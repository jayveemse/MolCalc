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codeName="ThisWorkbook" defaultThemeVersion="166925"/>
  <mc:AlternateContent xmlns:mc="http://schemas.openxmlformats.org/markup-compatibility/2006">
    <mc:Choice Requires="x15">
      <x15ac:absPath xmlns:x15ac="http://schemas.microsoft.com/office/spreadsheetml/2010/11/ac" url="/Users/siddha/Lehigh University Dropbox/ENG-MATSGroup/MATS/Equipment/MATS Lab - Overview/"/>
    </mc:Choice>
  </mc:AlternateContent>
  <xr:revisionPtr revIDLastSave="101" documentId="13_ncr:1_{AC89C45F-7F9B-BE46-9303-84657EE9B23E}" xr6:coauthVersionLast="47" xr6:coauthVersionMax="47" xr10:uidLastSave="{E08E7BF0-D935-4A1A-BDDA-EAE76D356600}"/>
  <bookViews>
    <workbookView xWindow="0" yWindow="500" windowWidth="51200" windowHeight="28300" tabRatio="813" firstSheet="15" activeTab="2" xr2:uid="{C296C9C9-727E-6745-9BB4-96CAC33D3321}"/>
  </bookViews>
  <sheets>
    <sheet name="Export Table" sheetId="27" r:id="rId1"/>
    <sheet name="DWG Naming" sheetId="26" r:id="rId2"/>
    <sheet name="AC" sheetId="2" r:id="rId3"/>
    <sheet name="AD" sheetId="38" r:id="rId4"/>
    <sheet name="CR" sheetId="35" r:id="rId5"/>
    <sheet name="CUP" sheetId="24" r:id="rId6"/>
    <sheet name="EL" sheetId="37" r:id="rId7"/>
    <sheet name="FI" sheetId="34" r:id="rId8"/>
    <sheet name="FUR" sheetId="8" r:id="rId9"/>
    <sheet name="GKT" sheetId="1" r:id="rId10"/>
    <sheet name="GN" sheetId="23" r:id="rId11"/>
    <sheet name="HDA" sheetId="17" r:id="rId12"/>
    <sheet name="NUT" sheetId="25" r:id="rId13"/>
    <sheet name="NP" sheetId="40" r:id="rId14"/>
    <sheet name="NV" sheetId="29" r:id="rId15"/>
    <sheet name="NZ" sheetId="31" r:id="rId16"/>
    <sheet name="RD" sheetId="20" r:id="rId17"/>
    <sheet name="RNG" sheetId="41" r:id="rId18"/>
    <sheet name="SH" sheetId="32" r:id="rId19"/>
    <sheet name="SSC" sheetId="22" r:id="rId20"/>
    <sheet name="TE" sheetId="36" r:id="rId21"/>
    <sheet name="TU" sheetId="39" r:id="rId22"/>
    <sheet name="TW" sheetId="21" r:id="rId2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9" i="8" l="1"/>
  <c r="G190" i="8"/>
  <c r="G188" i="8"/>
  <c r="G187" i="8"/>
  <c r="G186" i="8"/>
  <c r="G185" i="8"/>
  <c r="G184" i="8"/>
  <c r="G183" i="8"/>
  <c r="G182" i="8"/>
  <c r="G181" i="8"/>
  <c r="CL34" i="2"/>
  <c r="CH34" i="2"/>
  <c r="CG34" i="2"/>
  <c r="CF34" i="2"/>
  <c r="CC34" i="2"/>
  <c r="I61" i="31"/>
  <c r="G8" i="2"/>
  <c r="G7" i="2"/>
  <c r="F2" i="21" l="1"/>
  <c r="F3" i="21"/>
  <c r="F4" i="21"/>
  <c r="F5"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N54" i="31"/>
  <c r="CL60" i="31"/>
  <c r="CH60" i="31"/>
  <c r="CG60" i="31"/>
  <c r="CF60" i="31"/>
  <c r="N60" i="31"/>
  <c r="L5" i="2" l="1"/>
  <c r="N53" i="31"/>
  <c r="N52" i="31"/>
  <c r="CE151" i="41"/>
  <c r="CA151" i="41"/>
  <c r="BZ151" i="41"/>
  <c r="BY151" i="41"/>
  <c r="CE150" i="41"/>
  <c r="CA150" i="41"/>
  <c r="BZ150" i="41"/>
  <c r="BY150" i="41"/>
  <c r="CE149" i="41"/>
  <c r="CA149" i="41"/>
  <c r="BZ149" i="41"/>
  <c r="BY149" i="41"/>
  <c r="CE148" i="41"/>
  <c r="CA148" i="41"/>
  <c r="BZ148" i="41"/>
  <c r="BY148" i="41"/>
  <c r="CE147" i="41"/>
  <c r="CA147" i="41"/>
  <c r="BZ147" i="41"/>
  <c r="BY147" i="41"/>
  <c r="CE146" i="41"/>
  <c r="CA146" i="41"/>
  <c r="BZ146" i="41"/>
  <c r="BY146" i="41"/>
  <c r="CE145" i="41"/>
  <c r="CA145" i="41"/>
  <c r="BZ145" i="41"/>
  <c r="BY145" i="41"/>
  <c r="CE144" i="41"/>
  <c r="CA144" i="41"/>
  <c r="BZ144" i="41"/>
  <c r="BY144" i="41"/>
  <c r="CE143" i="41"/>
  <c r="CA143" i="41"/>
  <c r="BZ143" i="41"/>
  <c r="BY143" i="41"/>
  <c r="CE142" i="41"/>
  <c r="CA142" i="41"/>
  <c r="BZ142" i="41"/>
  <c r="BY142" i="41"/>
  <c r="CE141" i="41"/>
  <c r="CA141" i="41"/>
  <c r="BZ141" i="41"/>
  <c r="BY141" i="41"/>
  <c r="CE140" i="41"/>
  <c r="CA140" i="41"/>
  <c r="BZ140" i="41"/>
  <c r="BY140" i="41"/>
  <c r="CE139" i="41"/>
  <c r="CA139" i="41"/>
  <c r="BZ139" i="41"/>
  <c r="BY139" i="41"/>
  <c r="CE138" i="41"/>
  <c r="CA138" i="41"/>
  <c r="BZ138" i="41"/>
  <c r="BY138" i="41"/>
  <c r="CE137" i="41"/>
  <c r="CA137" i="41"/>
  <c r="BZ137" i="41"/>
  <c r="BY137" i="41"/>
  <c r="CE136" i="41"/>
  <c r="CA136" i="41"/>
  <c r="BZ136" i="41"/>
  <c r="BY136" i="41"/>
  <c r="CE135" i="41"/>
  <c r="CA135" i="41"/>
  <c r="BZ135" i="41"/>
  <c r="BY135" i="41"/>
  <c r="CE134" i="41"/>
  <c r="CA134" i="41"/>
  <c r="BZ134" i="41"/>
  <c r="BY134" i="41"/>
  <c r="CE133" i="41"/>
  <c r="CA133" i="41"/>
  <c r="BZ133" i="41"/>
  <c r="BY133" i="41"/>
  <c r="CE132" i="41"/>
  <c r="CA132" i="41"/>
  <c r="BZ132" i="41"/>
  <c r="BY132" i="41"/>
  <c r="CE131" i="41"/>
  <c r="CA131" i="41"/>
  <c r="BZ131" i="41"/>
  <c r="BY131" i="41"/>
  <c r="CE130" i="41"/>
  <c r="CA130" i="41"/>
  <c r="BZ130" i="41"/>
  <c r="BY130" i="41"/>
  <c r="CE129" i="41"/>
  <c r="CA129" i="41"/>
  <c r="BZ129" i="41"/>
  <c r="BY129" i="41"/>
  <c r="CE128" i="41"/>
  <c r="CA128" i="41"/>
  <c r="BZ128" i="41"/>
  <c r="BY128" i="41"/>
  <c r="CE127" i="41"/>
  <c r="CA127" i="41"/>
  <c r="BZ127" i="41"/>
  <c r="BY127" i="41"/>
  <c r="CE126" i="41"/>
  <c r="CA126" i="41"/>
  <c r="BZ126" i="41"/>
  <c r="BY126" i="41"/>
  <c r="CE125" i="41"/>
  <c r="CA125" i="41"/>
  <c r="BZ125" i="41"/>
  <c r="BY125" i="41"/>
  <c r="CE124" i="41"/>
  <c r="CA124" i="41"/>
  <c r="BZ124" i="41"/>
  <c r="BY124" i="41"/>
  <c r="CE123" i="41"/>
  <c r="CA123" i="41"/>
  <c r="BZ123" i="41"/>
  <c r="BY123" i="41"/>
  <c r="CE122" i="41"/>
  <c r="CA122" i="41"/>
  <c r="BZ122" i="41"/>
  <c r="BY122" i="41"/>
  <c r="CE121" i="41"/>
  <c r="CA121" i="41"/>
  <c r="BZ121" i="41"/>
  <c r="BY121" i="41"/>
  <c r="CE120" i="41"/>
  <c r="CA120" i="41"/>
  <c r="BZ120" i="41"/>
  <c r="BY120" i="41"/>
  <c r="CE119" i="41"/>
  <c r="CA119" i="41"/>
  <c r="BZ119" i="41"/>
  <c r="BY119" i="41"/>
  <c r="CE118" i="41"/>
  <c r="CA118" i="41"/>
  <c r="BZ118" i="41"/>
  <c r="BY118" i="41"/>
  <c r="CE117" i="41"/>
  <c r="CA117" i="41"/>
  <c r="BZ117" i="41"/>
  <c r="BY117" i="41"/>
  <c r="CE116" i="41"/>
  <c r="CA116" i="41"/>
  <c r="BZ116" i="41"/>
  <c r="BY116" i="41"/>
  <c r="CE115" i="41"/>
  <c r="CA115" i="41"/>
  <c r="BZ115" i="41"/>
  <c r="BY115" i="41"/>
  <c r="CE114" i="41"/>
  <c r="CA114" i="41"/>
  <c r="BZ114" i="41"/>
  <c r="BY114" i="41"/>
  <c r="CE113" i="41"/>
  <c r="CA113" i="41"/>
  <c r="BZ113" i="41"/>
  <c r="BY113" i="41"/>
  <c r="CE112" i="41"/>
  <c r="CA112" i="41"/>
  <c r="BZ112" i="41"/>
  <c r="BY112" i="41"/>
  <c r="CE111" i="41"/>
  <c r="CA111" i="41"/>
  <c r="BZ111" i="41"/>
  <c r="BY111" i="41"/>
  <c r="CE110" i="41"/>
  <c r="CA110" i="41"/>
  <c r="BZ110" i="41"/>
  <c r="BY110" i="41"/>
  <c r="CE109" i="41"/>
  <c r="CA109" i="41"/>
  <c r="BZ109" i="41"/>
  <c r="BY109" i="41"/>
  <c r="CE108" i="41"/>
  <c r="CA108" i="41"/>
  <c r="BZ108" i="41"/>
  <c r="BY108" i="41"/>
  <c r="CE107" i="41"/>
  <c r="CA107" i="41"/>
  <c r="BZ107" i="41"/>
  <c r="BY107" i="41"/>
  <c r="CE106" i="41"/>
  <c r="CA106" i="41"/>
  <c r="BZ106" i="41"/>
  <c r="BY106" i="41"/>
  <c r="CE105" i="41"/>
  <c r="CA105" i="41"/>
  <c r="BZ105" i="41"/>
  <c r="BY105" i="41"/>
  <c r="CE104" i="41"/>
  <c r="CA104" i="41"/>
  <c r="BZ104" i="41"/>
  <c r="BY104" i="41"/>
  <c r="CE103" i="41"/>
  <c r="CA103" i="41"/>
  <c r="BZ103" i="41"/>
  <c r="BY103" i="41"/>
  <c r="CE102" i="41"/>
  <c r="CA102" i="41"/>
  <c r="BZ102" i="41"/>
  <c r="BY102" i="41"/>
  <c r="CE101" i="41"/>
  <c r="CA101" i="41"/>
  <c r="BZ101" i="41"/>
  <c r="BY101" i="41"/>
  <c r="CE100" i="41"/>
  <c r="CA100" i="41"/>
  <c r="BZ100" i="41"/>
  <c r="BY100" i="41"/>
  <c r="CE99" i="41"/>
  <c r="CA99" i="41"/>
  <c r="BZ99" i="41"/>
  <c r="BY99" i="41"/>
  <c r="CE98" i="41"/>
  <c r="CA98" i="41"/>
  <c r="BZ98" i="41"/>
  <c r="BY98" i="41"/>
  <c r="CE97" i="41"/>
  <c r="CA97" i="41"/>
  <c r="BZ97" i="41"/>
  <c r="BY97" i="41"/>
  <c r="CE96" i="41"/>
  <c r="CA96" i="41"/>
  <c r="BZ96" i="41"/>
  <c r="BY96" i="41"/>
  <c r="CE95" i="41"/>
  <c r="CA95" i="41"/>
  <c r="BZ95" i="41"/>
  <c r="BY95" i="41"/>
  <c r="CE94" i="41"/>
  <c r="CA94" i="41"/>
  <c r="BZ94" i="41"/>
  <c r="BY94" i="41"/>
  <c r="CE93" i="41"/>
  <c r="CA93" i="41"/>
  <c r="BZ93" i="41"/>
  <c r="BY93" i="41"/>
  <c r="CE92" i="41"/>
  <c r="CA92" i="41"/>
  <c r="BZ92" i="41"/>
  <c r="BY92" i="41"/>
  <c r="CE91" i="41"/>
  <c r="CA91" i="41"/>
  <c r="BZ91" i="41"/>
  <c r="BY91" i="41"/>
  <c r="CE90" i="41"/>
  <c r="CA90" i="41"/>
  <c r="BZ90" i="41"/>
  <c r="BY90" i="41"/>
  <c r="CE89" i="41"/>
  <c r="CA89" i="41"/>
  <c r="BZ89" i="41"/>
  <c r="BY89" i="41"/>
  <c r="CE88" i="41"/>
  <c r="CA88" i="41"/>
  <c r="BZ88" i="41"/>
  <c r="BY88" i="41"/>
  <c r="CE87" i="41"/>
  <c r="CA87" i="41"/>
  <c r="BZ87" i="41"/>
  <c r="BY87" i="41"/>
  <c r="CE86" i="41"/>
  <c r="CA86" i="41"/>
  <c r="BZ86" i="41"/>
  <c r="BY86" i="41"/>
  <c r="CE85" i="41"/>
  <c r="CA85" i="41"/>
  <c r="BZ85" i="41"/>
  <c r="BY85" i="41"/>
  <c r="CE84" i="41"/>
  <c r="CA84" i="41"/>
  <c r="BZ84" i="41"/>
  <c r="BY84" i="41"/>
  <c r="CE83" i="41"/>
  <c r="CA83" i="41"/>
  <c r="BZ83" i="41"/>
  <c r="BY83" i="41"/>
  <c r="CE82" i="41"/>
  <c r="CA82" i="41"/>
  <c r="BZ82" i="41"/>
  <c r="BY82" i="41"/>
  <c r="CE81" i="41"/>
  <c r="CA81" i="41"/>
  <c r="BZ81" i="41"/>
  <c r="BY81" i="41"/>
  <c r="CE80" i="41"/>
  <c r="CA80" i="41"/>
  <c r="BZ80" i="41"/>
  <c r="BY80" i="41"/>
  <c r="CE79" i="41"/>
  <c r="CA79" i="41"/>
  <c r="BZ79" i="41"/>
  <c r="BY79" i="41"/>
  <c r="CE78" i="41"/>
  <c r="CA78" i="41"/>
  <c r="BZ78" i="41"/>
  <c r="BY78" i="41"/>
  <c r="CE77" i="41"/>
  <c r="CA77" i="41"/>
  <c r="BZ77" i="41"/>
  <c r="BY77" i="41"/>
  <c r="CE76" i="41"/>
  <c r="CA76" i="41"/>
  <c r="BZ76" i="41"/>
  <c r="BY76" i="41"/>
  <c r="CE75" i="41"/>
  <c r="CA75" i="41"/>
  <c r="BZ75" i="41"/>
  <c r="BY75" i="41"/>
  <c r="CE74" i="41"/>
  <c r="CA74" i="41"/>
  <c r="BZ74" i="41"/>
  <c r="BY74" i="41"/>
  <c r="CE73" i="41"/>
  <c r="CA73" i="41"/>
  <c r="BZ73" i="41"/>
  <c r="BY73" i="41"/>
  <c r="CE72" i="41"/>
  <c r="CA72" i="41"/>
  <c r="BZ72" i="41"/>
  <c r="BY72" i="41"/>
  <c r="CE71" i="41"/>
  <c r="CA71" i="41"/>
  <c r="BZ71" i="41"/>
  <c r="BY71" i="41"/>
  <c r="CE70" i="41"/>
  <c r="CA70" i="41"/>
  <c r="BZ70" i="41"/>
  <c r="BY70" i="41"/>
  <c r="CE69" i="41"/>
  <c r="CA69" i="41"/>
  <c r="BZ69" i="41"/>
  <c r="BY69" i="41"/>
  <c r="CE68" i="41"/>
  <c r="CA68" i="41"/>
  <c r="BZ68" i="41"/>
  <c r="BY68" i="41"/>
  <c r="CE67" i="41"/>
  <c r="CA67" i="41"/>
  <c r="BZ67" i="41"/>
  <c r="BY67" i="41"/>
  <c r="CE66" i="41"/>
  <c r="CA66" i="41"/>
  <c r="BZ66" i="41"/>
  <c r="BY66" i="41"/>
  <c r="CE65" i="41"/>
  <c r="CA65" i="41"/>
  <c r="BZ65" i="41"/>
  <c r="BY65" i="41"/>
  <c r="CE64" i="41"/>
  <c r="CA64" i="41"/>
  <c r="BZ64" i="41"/>
  <c r="BY64" i="41"/>
  <c r="CE63" i="41"/>
  <c r="CA63" i="41"/>
  <c r="BZ63" i="41"/>
  <c r="BY63" i="41"/>
  <c r="CE62" i="41"/>
  <c r="CA62" i="41"/>
  <c r="BZ62" i="41"/>
  <c r="BY62" i="41"/>
  <c r="CE61" i="41"/>
  <c r="CA61" i="41"/>
  <c r="BZ61" i="41"/>
  <c r="BY61" i="41"/>
  <c r="CE60" i="41"/>
  <c r="CA60" i="41"/>
  <c r="BZ60" i="41"/>
  <c r="BY60" i="41"/>
  <c r="CE59" i="41"/>
  <c r="CA59" i="41"/>
  <c r="BZ59" i="41"/>
  <c r="BY59" i="41"/>
  <c r="CE58" i="41"/>
  <c r="CA58" i="41"/>
  <c r="BZ58" i="41"/>
  <c r="BY58" i="41"/>
  <c r="CE57" i="41"/>
  <c r="CA57" i="41"/>
  <c r="BZ57" i="41"/>
  <c r="BY57" i="41"/>
  <c r="CE56" i="41"/>
  <c r="CA56" i="41"/>
  <c r="BZ56" i="41"/>
  <c r="BY56" i="41"/>
  <c r="CE55" i="41"/>
  <c r="CA55" i="41"/>
  <c r="BZ55" i="41"/>
  <c r="BY55" i="41"/>
  <c r="CE54" i="41"/>
  <c r="CA54" i="41"/>
  <c r="BZ54" i="41"/>
  <c r="BY54" i="41"/>
  <c r="CE53" i="41"/>
  <c r="CA53" i="41"/>
  <c r="BZ53" i="41"/>
  <c r="BY53" i="41"/>
  <c r="CE52" i="41"/>
  <c r="CA52" i="41"/>
  <c r="BZ52" i="41"/>
  <c r="BY52" i="41"/>
  <c r="CE51" i="41"/>
  <c r="CA51" i="41"/>
  <c r="BZ51" i="41"/>
  <c r="BY51" i="41"/>
  <c r="CE50" i="41"/>
  <c r="CA50" i="41"/>
  <c r="BZ50" i="41"/>
  <c r="BY50" i="41"/>
  <c r="CE49" i="41"/>
  <c r="CA49" i="41"/>
  <c r="BZ49" i="41"/>
  <c r="BY49" i="41"/>
  <c r="CE48" i="41"/>
  <c r="CA48" i="41"/>
  <c r="BZ48" i="41"/>
  <c r="BY48" i="41"/>
  <c r="CE47" i="41"/>
  <c r="CA47" i="41"/>
  <c r="BZ47" i="41"/>
  <c r="BY47" i="41"/>
  <c r="CE46" i="41"/>
  <c r="CA46" i="41"/>
  <c r="BZ46" i="41"/>
  <c r="BY46" i="41"/>
  <c r="CE45" i="41"/>
  <c r="CA45" i="41"/>
  <c r="BZ45" i="41"/>
  <c r="BY45" i="41"/>
  <c r="CE44" i="41"/>
  <c r="CA44" i="41"/>
  <c r="BZ44" i="41"/>
  <c r="BY44" i="41"/>
  <c r="CE43" i="41"/>
  <c r="CA43" i="41"/>
  <c r="BZ43" i="41"/>
  <c r="BY43" i="41"/>
  <c r="CE42" i="41"/>
  <c r="CA42" i="41"/>
  <c r="BZ42" i="41"/>
  <c r="BY42" i="41"/>
  <c r="CE41" i="41"/>
  <c r="CA41" i="41"/>
  <c r="BZ41" i="41"/>
  <c r="BY41" i="41"/>
  <c r="CE40" i="41"/>
  <c r="CA40" i="41"/>
  <c r="BZ40" i="41"/>
  <c r="BY40" i="41"/>
  <c r="CE39" i="41"/>
  <c r="CA39" i="41"/>
  <c r="BZ39" i="41"/>
  <c r="BY39" i="41"/>
  <c r="CE38" i="41"/>
  <c r="CA38" i="41"/>
  <c r="BZ38" i="41"/>
  <c r="BY38" i="41"/>
  <c r="CE37" i="41"/>
  <c r="CA37" i="41"/>
  <c r="BZ37" i="41"/>
  <c r="BY37" i="41"/>
  <c r="CE36" i="41"/>
  <c r="CA36" i="41"/>
  <c r="BZ36" i="41"/>
  <c r="BY36" i="41"/>
  <c r="CE35" i="41"/>
  <c r="CA35" i="41"/>
  <c r="BZ35" i="41"/>
  <c r="BY35" i="41"/>
  <c r="CE34" i="41"/>
  <c r="CA34" i="41"/>
  <c r="BZ34" i="41"/>
  <c r="BY34" i="41"/>
  <c r="CE33" i="41"/>
  <c r="CA33" i="41"/>
  <c r="BZ33" i="41"/>
  <c r="BY33" i="41"/>
  <c r="CE32" i="41"/>
  <c r="CA32" i="41"/>
  <c r="BZ32" i="41"/>
  <c r="BY32" i="41"/>
  <c r="CE31" i="41"/>
  <c r="CA31" i="41"/>
  <c r="BZ31" i="41"/>
  <c r="BY31" i="41"/>
  <c r="CE30" i="41"/>
  <c r="CA30" i="41"/>
  <c r="BZ30" i="41"/>
  <c r="BY30" i="41"/>
  <c r="CE29" i="41"/>
  <c r="CA29" i="41"/>
  <c r="BZ29" i="41"/>
  <c r="BY29" i="41"/>
  <c r="CE28" i="41"/>
  <c r="CA28" i="41"/>
  <c r="BZ28" i="41"/>
  <c r="BY28" i="41"/>
  <c r="CE27" i="41"/>
  <c r="CA27" i="41"/>
  <c r="BZ27" i="41"/>
  <c r="BY27" i="41"/>
  <c r="CE26" i="41"/>
  <c r="CA26" i="41"/>
  <c r="BZ26" i="41"/>
  <c r="BY26" i="41"/>
  <c r="CE25" i="41"/>
  <c r="CA25" i="41"/>
  <c r="BZ25" i="41"/>
  <c r="BY25" i="41"/>
  <c r="CE24" i="41"/>
  <c r="CA24" i="41"/>
  <c r="BZ24" i="41"/>
  <c r="BY24" i="41"/>
  <c r="CE23" i="41"/>
  <c r="CA23" i="41"/>
  <c r="BZ23" i="41"/>
  <c r="BY23" i="41"/>
  <c r="CE22" i="41"/>
  <c r="CA22" i="41"/>
  <c r="BZ22" i="41"/>
  <c r="BY22" i="41"/>
  <c r="CE21" i="41"/>
  <c r="CA21" i="41"/>
  <c r="BZ21" i="41"/>
  <c r="BY21" i="41"/>
  <c r="CE20" i="41"/>
  <c r="CA20" i="41"/>
  <c r="BZ20" i="41"/>
  <c r="BY20" i="41"/>
  <c r="CE19" i="41"/>
  <c r="CA19" i="41"/>
  <c r="BZ19" i="41"/>
  <c r="BY19" i="41"/>
  <c r="CE18" i="41"/>
  <c r="CA18" i="41"/>
  <c r="BZ18" i="41"/>
  <c r="BY18" i="41"/>
  <c r="CE17" i="41"/>
  <c r="CA17" i="41"/>
  <c r="BZ17" i="41"/>
  <c r="BY17" i="41"/>
  <c r="CE16" i="41"/>
  <c r="CA16" i="41"/>
  <c r="BZ16" i="41"/>
  <c r="BY16" i="41"/>
  <c r="CE15" i="41"/>
  <c r="CA15" i="41"/>
  <c r="BZ15" i="41"/>
  <c r="BY15" i="41"/>
  <c r="CE14" i="41"/>
  <c r="CA14" i="41"/>
  <c r="BZ14" i="41"/>
  <c r="BY14" i="41"/>
  <c r="CE13" i="41"/>
  <c r="CA13" i="41"/>
  <c r="BZ13" i="41"/>
  <c r="BY13" i="41"/>
  <c r="CE12" i="41"/>
  <c r="CA12" i="41"/>
  <c r="BZ12" i="41"/>
  <c r="BY12" i="41"/>
  <c r="CE11" i="41"/>
  <c r="CA11" i="41"/>
  <c r="BZ11" i="41"/>
  <c r="BY11" i="41"/>
  <c r="CE10" i="41"/>
  <c r="CA10" i="41"/>
  <c r="BZ10" i="41"/>
  <c r="BY10" i="41"/>
  <c r="CE9" i="41"/>
  <c r="CA9" i="41"/>
  <c r="BZ9" i="41"/>
  <c r="BY9" i="41"/>
  <c r="CE8" i="41"/>
  <c r="CA8" i="41"/>
  <c r="BZ8" i="41"/>
  <c r="BY8" i="41"/>
  <c r="CE7" i="41"/>
  <c r="CA7" i="41"/>
  <c r="BZ7" i="41"/>
  <c r="BY7" i="41"/>
  <c r="CE6" i="41"/>
  <c r="CA6" i="41"/>
  <c r="BZ6" i="41"/>
  <c r="BY6" i="41"/>
  <c r="CE5" i="41"/>
  <c r="CA5" i="41"/>
  <c r="BZ5" i="41"/>
  <c r="BY5" i="41"/>
  <c r="CE4" i="41"/>
  <c r="CA4" i="41"/>
  <c r="BZ4" i="41"/>
  <c r="BY4" i="41"/>
  <c r="CE3" i="41"/>
  <c r="CA3" i="41"/>
  <c r="BZ3" i="41"/>
  <c r="BY3" i="41"/>
  <c r="CE2" i="41"/>
  <c r="CA2" i="41"/>
  <c r="BZ2" i="41"/>
  <c r="BY2" i="41"/>
  <c r="CE151" i="40"/>
  <c r="CA151" i="40"/>
  <c r="BZ151" i="40"/>
  <c r="BY151" i="40"/>
  <c r="CE150" i="40"/>
  <c r="CA150" i="40"/>
  <c r="BZ150" i="40"/>
  <c r="BY150" i="40"/>
  <c r="CE149" i="40"/>
  <c r="CA149" i="40"/>
  <c r="BZ149" i="40"/>
  <c r="BY149" i="40"/>
  <c r="CE148" i="40"/>
  <c r="CA148" i="40"/>
  <c r="BZ148" i="40"/>
  <c r="BY148" i="40"/>
  <c r="CE147" i="40"/>
  <c r="CA147" i="40"/>
  <c r="BZ147" i="40"/>
  <c r="BY147" i="40"/>
  <c r="CE146" i="40"/>
  <c r="CA146" i="40"/>
  <c r="BZ146" i="40"/>
  <c r="BY146" i="40"/>
  <c r="CE145" i="40"/>
  <c r="CA145" i="40"/>
  <c r="BZ145" i="40"/>
  <c r="BY145" i="40"/>
  <c r="CE144" i="40"/>
  <c r="CA144" i="40"/>
  <c r="BZ144" i="40"/>
  <c r="BY144" i="40"/>
  <c r="CE143" i="40"/>
  <c r="CA143" i="40"/>
  <c r="BZ143" i="40"/>
  <c r="BY143" i="40"/>
  <c r="CE142" i="40"/>
  <c r="CA142" i="40"/>
  <c r="BZ142" i="40"/>
  <c r="BY142" i="40"/>
  <c r="CE141" i="40"/>
  <c r="CA141" i="40"/>
  <c r="BZ141" i="40"/>
  <c r="BY141" i="40"/>
  <c r="CE140" i="40"/>
  <c r="CA140" i="40"/>
  <c r="BZ140" i="40"/>
  <c r="BY140" i="40"/>
  <c r="CE139" i="40"/>
  <c r="CA139" i="40"/>
  <c r="BZ139" i="40"/>
  <c r="BY139" i="40"/>
  <c r="CE138" i="40"/>
  <c r="CA138" i="40"/>
  <c r="BZ138" i="40"/>
  <c r="BY138" i="40"/>
  <c r="CE137" i="40"/>
  <c r="CA137" i="40"/>
  <c r="BZ137" i="40"/>
  <c r="BY137" i="40"/>
  <c r="CE136" i="40"/>
  <c r="CA136" i="40"/>
  <c r="BZ136" i="40"/>
  <c r="BY136" i="40"/>
  <c r="CE135" i="40"/>
  <c r="CA135" i="40"/>
  <c r="BZ135" i="40"/>
  <c r="BY135" i="40"/>
  <c r="CE134" i="40"/>
  <c r="CA134" i="40"/>
  <c r="BZ134" i="40"/>
  <c r="BY134" i="40"/>
  <c r="CE133" i="40"/>
  <c r="CA133" i="40"/>
  <c r="BZ133" i="40"/>
  <c r="BY133" i="40"/>
  <c r="CE132" i="40"/>
  <c r="CA132" i="40"/>
  <c r="BZ132" i="40"/>
  <c r="BY132" i="40"/>
  <c r="CE131" i="40"/>
  <c r="CA131" i="40"/>
  <c r="BZ131" i="40"/>
  <c r="BY131" i="40"/>
  <c r="CE130" i="40"/>
  <c r="CA130" i="40"/>
  <c r="BZ130" i="40"/>
  <c r="BY130" i="40"/>
  <c r="CE129" i="40"/>
  <c r="CA129" i="40"/>
  <c r="BZ129" i="40"/>
  <c r="BY129" i="40"/>
  <c r="CE128" i="40"/>
  <c r="CA128" i="40"/>
  <c r="BZ128" i="40"/>
  <c r="BY128" i="40"/>
  <c r="CE127" i="40"/>
  <c r="CA127" i="40"/>
  <c r="BZ127" i="40"/>
  <c r="BY127" i="40"/>
  <c r="CE126" i="40"/>
  <c r="CA126" i="40"/>
  <c r="BZ126" i="40"/>
  <c r="BY126" i="40"/>
  <c r="CE125" i="40"/>
  <c r="CA125" i="40"/>
  <c r="BZ125" i="40"/>
  <c r="BY125" i="40"/>
  <c r="CE124" i="40"/>
  <c r="CA124" i="40"/>
  <c r="BZ124" i="40"/>
  <c r="BY124" i="40"/>
  <c r="CE123" i="40"/>
  <c r="CA123" i="40"/>
  <c r="BZ123" i="40"/>
  <c r="BY123" i="40"/>
  <c r="CE122" i="40"/>
  <c r="CA122" i="40"/>
  <c r="BZ122" i="40"/>
  <c r="BY122" i="40"/>
  <c r="CE121" i="40"/>
  <c r="CA121" i="40"/>
  <c r="BZ121" i="40"/>
  <c r="BY121" i="40"/>
  <c r="CE120" i="40"/>
  <c r="CA120" i="40"/>
  <c r="BZ120" i="40"/>
  <c r="BY120" i="40"/>
  <c r="CE119" i="40"/>
  <c r="CA119" i="40"/>
  <c r="BZ119" i="40"/>
  <c r="BY119" i="40"/>
  <c r="CE118" i="40"/>
  <c r="CA118" i="40"/>
  <c r="BZ118" i="40"/>
  <c r="BY118" i="40"/>
  <c r="CE117" i="40"/>
  <c r="CA117" i="40"/>
  <c r="BZ117" i="40"/>
  <c r="BY117" i="40"/>
  <c r="CE116" i="40"/>
  <c r="CA116" i="40"/>
  <c r="BZ116" i="40"/>
  <c r="BY116" i="40"/>
  <c r="CE115" i="40"/>
  <c r="CA115" i="40"/>
  <c r="BZ115" i="40"/>
  <c r="BY115" i="40"/>
  <c r="CE114" i="40"/>
  <c r="CA114" i="40"/>
  <c r="BZ114" i="40"/>
  <c r="BY114" i="40"/>
  <c r="CE113" i="40"/>
  <c r="CA113" i="40"/>
  <c r="BZ113" i="40"/>
  <c r="BY113" i="40"/>
  <c r="CE112" i="40"/>
  <c r="CA112" i="40"/>
  <c r="BZ112" i="40"/>
  <c r="BY112" i="40"/>
  <c r="CE111" i="40"/>
  <c r="CA111" i="40"/>
  <c r="BZ111" i="40"/>
  <c r="BY111" i="40"/>
  <c r="CE110" i="40"/>
  <c r="CA110" i="40"/>
  <c r="BZ110" i="40"/>
  <c r="BY110" i="40"/>
  <c r="CE109" i="40"/>
  <c r="CA109" i="40"/>
  <c r="BZ109" i="40"/>
  <c r="BY109" i="40"/>
  <c r="CE108" i="40"/>
  <c r="CA108" i="40"/>
  <c r="BZ108" i="40"/>
  <c r="BY108" i="40"/>
  <c r="CE107" i="40"/>
  <c r="CA107" i="40"/>
  <c r="BZ107" i="40"/>
  <c r="BY107" i="40"/>
  <c r="CE106" i="40"/>
  <c r="CA106" i="40"/>
  <c r="BZ106" i="40"/>
  <c r="BY106" i="40"/>
  <c r="CE105" i="40"/>
  <c r="CA105" i="40"/>
  <c r="BZ105" i="40"/>
  <c r="BY105" i="40"/>
  <c r="CE104" i="40"/>
  <c r="CA104" i="40"/>
  <c r="BZ104" i="40"/>
  <c r="BY104" i="40"/>
  <c r="CE103" i="40"/>
  <c r="CA103" i="40"/>
  <c r="BZ103" i="40"/>
  <c r="BY103" i="40"/>
  <c r="CE102" i="40"/>
  <c r="CA102" i="40"/>
  <c r="BZ102" i="40"/>
  <c r="BY102" i="40"/>
  <c r="CE101" i="40"/>
  <c r="CA101" i="40"/>
  <c r="BZ101" i="40"/>
  <c r="BY101" i="40"/>
  <c r="CE100" i="40"/>
  <c r="CA100" i="40"/>
  <c r="BZ100" i="40"/>
  <c r="BY100" i="40"/>
  <c r="CE99" i="40"/>
  <c r="CA99" i="40"/>
  <c r="BZ99" i="40"/>
  <c r="BY99" i="40"/>
  <c r="CE98" i="40"/>
  <c r="CA98" i="40"/>
  <c r="BZ98" i="40"/>
  <c r="BY98" i="40"/>
  <c r="CE97" i="40"/>
  <c r="CA97" i="40"/>
  <c r="BZ97" i="40"/>
  <c r="BY97" i="40"/>
  <c r="CE96" i="40"/>
  <c r="CA96" i="40"/>
  <c r="BZ96" i="40"/>
  <c r="BY96" i="40"/>
  <c r="CE95" i="40"/>
  <c r="CA95" i="40"/>
  <c r="BZ95" i="40"/>
  <c r="BY95" i="40"/>
  <c r="CE94" i="40"/>
  <c r="CA94" i="40"/>
  <c r="BZ94" i="40"/>
  <c r="BY94" i="40"/>
  <c r="CE93" i="40"/>
  <c r="CA93" i="40"/>
  <c r="BZ93" i="40"/>
  <c r="BY93" i="40"/>
  <c r="CE92" i="40"/>
  <c r="CA92" i="40"/>
  <c r="BZ92" i="40"/>
  <c r="BY92" i="40"/>
  <c r="CE91" i="40"/>
  <c r="CA91" i="40"/>
  <c r="BZ91" i="40"/>
  <c r="BY91" i="40"/>
  <c r="CE90" i="40"/>
  <c r="CA90" i="40"/>
  <c r="BZ90" i="40"/>
  <c r="BY90" i="40"/>
  <c r="CE89" i="40"/>
  <c r="CA89" i="40"/>
  <c r="BZ89" i="40"/>
  <c r="BY89" i="40"/>
  <c r="CE88" i="40"/>
  <c r="CA88" i="40"/>
  <c r="BZ88" i="40"/>
  <c r="BY88" i="40"/>
  <c r="CE87" i="40"/>
  <c r="CA87" i="40"/>
  <c r="BZ87" i="40"/>
  <c r="BY87" i="40"/>
  <c r="CE86" i="40"/>
  <c r="CA86" i="40"/>
  <c r="BZ86" i="40"/>
  <c r="BY86" i="40"/>
  <c r="CE85" i="40"/>
  <c r="CA85" i="40"/>
  <c r="BZ85" i="40"/>
  <c r="BY85" i="40"/>
  <c r="CE84" i="40"/>
  <c r="CA84" i="40"/>
  <c r="BZ84" i="40"/>
  <c r="BY84" i="40"/>
  <c r="CE83" i="40"/>
  <c r="CA83" i="40"/>
  <c r="BZ83" i="40"/>
  <c r="BY83" i="40"/>
  <c r="CE82" i="40"/>
  <c r="CA82" i="40"/>
  <c r="BZ82" i="40"/>
  <c r="BY82" i="40"/>
  <c r="CE81" i="40"/>
  <c r="CA81" i="40"/>
  <c r="BZ81" i="40"/>
  <c r="BY81" i="40"/>
  <c r="CE80" i="40"/>
  <c r="CA80" i="40"/>
  <c r="BZ80" i="40"/>
  <c r="BY80" i="40"/>
  <c r="CE79" i="40"/>
  <c r="CA79" i="40"/>
  <c r="BZ79" i="40"/>
  <c r="BY79" i="40"/>
  <c r="CE78" i="40"/>
  <c r="CA78" i="40"/>
  <c r="BZ78" i="40"/>
  <c r="BY78" i="40"/>
  <c r="CE77" i="40"/>
  <c r="CA77" i="40"/>
  <c r="BZ77" i="40"/>
  <c r="BY77" i="40"/>
  <c r="CE76" i="40"/>
  <c r="CA76" i="40"/>
  <c r="BZ76" i="40"/>
  <c r="BY76" i="40"/>
  <c r="CE75" i="40"/>
  <c r="CA75" i="40"/>
  <c r="BZ75" i="40"/>
  <c r="BY75" i="40"/>
  <c r="CE74" i="40"/>
  <c r="CA74" i="40"/>
  <c r="BZ74" i="40"/>
  <c r="BY74" i="40"/>
  <c r="CE73" i="40"/>
  <c r="CA73" i="40"/>
  <c r="BZ73" i="40"/>
  <c r="BY73" i="40"/>
  <c r="CE72" i="40"/>
  <c r="CA72" i="40"/>
  <c r="BZ72" i="40"/>
  <c r="BY72" i="40"/>
  <c r="CE71" i="40"/>
  <c r="CA71" i="40"/>
  <c r="BZ71" i="40"/>
  <c r="BY71" i="40"/>
  <c r="CE70" i="40"/>
  <c r="CA70" i="40"/>
  <c r="BZ70" i="40"/>
  <c r="BY70" i="40"/>
  <c r="CE69" i="40"/>
  <c r="CA69" i="40"/>
  <c r="BZ69" i="40"/>
  <c r="BY69" i="40"/>
  <c r="CE68" i="40"/>
  <c r="CA68" i="40"/>
  <c r="BZ68" i="40"/>
  <c r="BY68" i="40"/>
  <c r="CE67" i="40"/>
  <c r="CA67" i="40"/>
  <c r="BZ67" i="40"/>
  <c r="BY67" i="40"/>
  <c r="CE66" i="40"/>
  <c r="CA66" i="40"/>
  <c r="BZ66" i="40"/>
  <c r="BY66" i="40"/>
  <c r="CE65" i="40"/>
  <c r="CA65" i="40"/>
  <c r="BZ65" i="40"/>
  <c r="BY65" i="40"/>
  <c r="CE64" i="40"/>
  <c r="CA64" i="40"/>
  <c r="BZ64" i="40"/>
  <c r="BY64" i="40"/>
  <c r="CE63" i="40"/>
  <c r="CA63" i="40"/>
  <c r="BZ63" i="40"/>
  <c r="BY63" i="40"/>
  <c r="CE62" i="40"/>
  <c r="CA62" i="40"/>
  <c r="BZ62" i="40"/>
  <c r="BY62" i="40"/>
  <c r="CE61" i="40"/>
  <c r="CA61" i="40"/>
  <c r="BZ61" i="40"/>
  <c r="BY61" i="40"/>
  <c r="CE60" i="40"/>
  <c r="CA60" i="40"/>
  <c r="BZ60" i="40"/>
  <c r="BY60" i="40"/>
  <c r="CE59" i="40"/>
  <c r="CA59" i="40"/>
  <c r="BZ59" i="40"/>
  <c r="BY59" i="40"/>
  <c r="CE58" i="40"/>
  <c r="CA58" i="40"/>
  <c r="BZ58" i="40"/>
  <c r="BY58" i="40"/>
  <c r="CE57" i="40"/>
  <c r="CA57" i="40"/>
  <c r="BZ57" i="40"/>
  <c r="BY57" i="40"/>
  <c r="CE56" i="40"/>
  <c r="CA56" i="40"/>
  <c r="BZ56" i="40"/>
  <c r="BY56" i="40"/>
  <c r="CE55" i="40"/>
  <c r="CA55" i="40"/>
  <c r="BZ55" i="40"/>
  <c r="BY55" i="40"/>
  <c r="CE54" i="40"/>
  <c r="CA54" i="40"/>
  <c r="BZ54" i="40"/>
  <c r="BY54" i="40"/>
  <c r="CE53" i="40"/>
  <c r="CA53" i="40"/>
  <c r="BZ53" i="40"/>
  <c r="BY53" i="40"/>
  <c r="CE52" i="40"/>
  <c r="CA52" i="40"/>
  <c r="BZ52" i="40"/>
  <c r="BY52" i="40"/>
  <c r="CE51" i="40"/>
  <c r="CA51" i="40"/>
  <c r="BZ51" i="40"/>
  <c r="BY51" i="40"/>
  <c r="CE50" i="40"/>
  <c r="CA50" i="40"/>
  <c r="BZ50" i="40"/>
  <c r="BY50" i="40"/>
  <c r="CE49" i="40"/>
  <c r="CA49" i="40"/>
  <c r="BZ49" i="40"/>
  <c r="BY49" i="40"/>
  <c r="CE48" i="40"/>
  <c r="CA48" i="40"/>
  <c r="BZ48" i="40"/>
  <c r="BY48" i="40"/>
  <c r="CE47" i="40"/>
  <c r="CA47" i="40"/>
  <c r="BZ47" i="40"/>
  <c r="BY47" i="40"/>
  <c r="CE46" i="40"/>
  <c r="CA46" i="40"/>
  <c r="BZ46" i="40"/>
  <c r="BY46" i="40"/>
  <c r="CE45" i="40"/>
  <c r="CA45" i="40"/>
  <c r="BZ45" i="40"/>
  <c r="BY45" i="40"/>
  <c r="CE44" i="40"/>
  <c r="CA44" i="40"/>
  <c r="BZ44" i="40"/>
  <c r="BY44" i="40"/>
  <c r="CE43" i="40"/>
  <c r="CA43" i="40"/>
  <c r="BZ43" i="40"/>
  <c r="BY43" i="40"/>
  <c r="CE42" i="40"/>
  <c r="CA42" i="40"/>
  <c r="BZ42" i="40"/>
  <c r="BY42" i="40"/>
  <c r="CE41" i="40"/>
  <c r="CA41" i="40"/>
  <c r="BZ41" i="40"/>
  <c r="BY41" i="40"/>
  <c r="CE40" i="40"/>
  <c r="CA40" i="40"/>
  <c r="BZ40" i="40"/>
  <c r="BY40" i="40"/>
  <c r="CE39" i="40"/>
  <c r="CA39" i="40"/>
  <c r="BZ39" i="40"/>
  <c r="BY39" i="40"/>
  <c r="CE38" i="40"/>
  <c r="CA38" i="40"/>
  <c r="BZ38" i="40"/>
  <c r="BY38" i="40"/>
  <c r="CE37" i="40"/>
  <c r="CA37" i="40"/>
  <c r="BZ37" i="40"/>
  <c r="BY37" i="40"/>
  <c r="CE36" i="40"/>
  <c r="CA36" i="40"/>
  <c r="BZ36" i="40"/>
  <c r="BY36" i="40"/>
  <c r="CE35" i="40"/>
  <c r="CA35" i="40"/>
  <c r="BZ35" i="40"/>
  <c r="BY35" i="40"/>
  <c r="CE34" i="40"/>
  <c r="CA34" i="40"/>
  <c r="BZ34" i="40"/>
  <c r="BY34" i="40"/>
  <c r="CE33" i="40"/>
  <c r="CA33" i="40"/>
  <c r="BZ33" i="40"/>
  <c r="BY33" i="40"/>
  <c r="CE32" i="40"/>
  <c r="CA32" i="40"/>
  <c r="BZ32" i="40"/>
  <c r="BY32" i="40"/>
  <c r="CE31" i="40"/>
  <c r="CA31" i="40"/>
  <c r="BZ31" i="40"/>
  <c r="BY31" i="40"/>
  <c r="CE30" i="40"/>
  <c r="CA30" i="40"/>
  <c r="BZ30" i="40"/>
  <c r="BY30" i="40"/>
  <c r="CE29" i="40"/>
  <c r="CA29" i="40"/>
  <c r="BZ29" i="40"/>
  <c r="BY29" i="40"/>
  <c r="CE28" i="40"/>
  <c r="CA28" i="40"/>
  <c r="BZ28" i="40"/>
  <c r="BY28" i="40"/>
  <c r="CE27" i="40"/>
  <c r="CA27" i="40"/>
  <c r="BZ27" i="40"/>
  <c r="BY27" i="40"/>
  <c r="CE26" i="40"/>
  <c r="CA26" i="40"/>
  <c r="BZ26" i="40"/>
  <c r="BY26" i="40"/>
  <c r="CE25" i="40"/>
  <c r="CA25" i="40"/>
  <c r="BZ25" i="40"/>
  <c r="BY25" i="40"/>
  <c r="CE24" i="40"/>
  <c r="CA24" i="40"/>
  <c r="BZ24" i="40"/>
  <c r="BY24" i="40"/>
  <c r="CE23" i="40"/>
  <c r="CA23" i="40"/>
  <c r="BZ23" i="40"/>
  <c r="BY23" i="40"/>
  <c r="CE22" i="40"/>
  <c r="CA22" i="40"/>
  <c r="BZ22" i="40"/>
  <c r="BY22" i="40"/>
  <c r="CE21" i="40"/>
  <c r="CA21" i="40"/>
  <c r="BZ21" i="40"/>
  <c r="BY21" i="40"/>
  <c r="CE20" i="40"/>
  <c r="CA20" i="40"/>
  <c r="BZ20" i="40"/>
  <c r="BY20" i="40"/>
  <c r="CE19" i="40"/>
  <c r="CA19" i="40"/>
  <c r="BZ19" i="40"/>
  <c r="BY19" i="40"/>
  <c r="CE18" i="40"/>
  <c r="CA18" i="40"/>
  <c r="BZ18" i="40"/>
  <c r="BY18" i="40"/>
  <c r="CE17" i="40"/>
  <c r="CA17" i="40"/>
  <c r="BZ17" i="40"/>
  <c r="BY17" i="40"/>
  <c r="CE16" i="40"/>
  <c r="CA16" i="40"/>
  <c r="BZ16" i="40"/>
  <c r="BY16" i="40"/>
  <c r="CE15" i="40"/>
  <c r="CA15" i="40"/>
  <c r="BZ15" i="40"/>
  <c r="BY15" i="40"/>
  <c r="CE14" i="40"/>
  <c r="CA14" i="40"/>
  <c r="BZ14" i="40"/>
  <c r="BY14" i="40"/>
  <c r="CE13" i="40"/>
  <c r="CA13" i="40"/>
  <c r="BZ13" i="40"/>
  <c r="BY13" i="40"/>
  <c r="CE12" i="40"/>
  <c r="CA12" i="40"/>
  <c r="BZ12" i="40"/>
  <c r="BY12" i="40"/>
  <c r="CE11" i="40"/>
  <c r="CA11" i="40"/>
  <c r="BZ11" i="40"/>
  <c r="BY11" i="40"/>
  <c r="CE10" i="40"/>
  <c r="CA10" i="40"/>
  <c r="BZ10" i="40"/>
  <c r="BY10" i="40"/>
  <c r="CE9" i="40"/>
  <c r="CA9" i="40"/>
  <c r="BZ9" i="40"/>
  <c r="BY9" i="40"/>
  <c r="CE8" i="40"/>
  <c r="CA8" i="40"/>
  <c r="BZ8" i="40"/>
  <c r="BY8" i="40"/>
  <c r="CE7" i="40"/>
  <c r="CA7" i="40"/>
  <c r="BZ7" i="40"/>
  <c r="BY7" i="40"/>
  <c r="CE6" i="40"/>
  <c r="CA6" i="40"/>
  <c r="BZ6" i="40"/>
  <c r="BY6" i="40"/>
  <c r="CE5" i="40"/>
  <c r="CA5" i="40"/>
  <c r="BZ5" i="40"/>
  <c r="BY5" i="40"/>
  <c r="CE4" i="40"/>
  <c r="CA4" i="40"/>
  <c r="BZ4" i="40"/>
  <c r="BY4" i="40"/>
  <c r="CE3" i="40"/>
  <c r="CA3" i="40"/>
  <c r="BZ3" i="40"/>
  <c r="BY3" i="40"/>
  <c r="CE2" i="40"/>
  <c r="CA2" i="40"/>
  <c r="BZ2" i="40"/>
  <c r="BY2" i="40"/>
  <c r="CG2" i="31"/>
  <c r="CG3" i="31"/>
  <c r="CG4" i="31"/>
  <c r="CG5" i="31"/>
  <c r="CG6" i="31"/>
  <c r="CG7" i="31"/>
  <c r="CG8" i="31"/>
  <c r="CG9" i="31"/>
  <c r="CG10" i="31"/>
  <c r="CG11" i="31"/>
  <c r="CG12" i="31"/>
  <c r="CG13" i="31"/>
  <c r="CG14" i="31"/>
  <c r="CG15" i="31"/>
  <c r="CG16" i="31"/>
  <c r="CG17" i="31"/>
  <c r="CG18" i="31"/>
  <c r="CG19" i="31"/>
  <c r="CG20" i="31"/>
  <c r="CG21" i="31"/>
  <c r="CG22" i="31"/>
  <c r="CG23" i="31"/>
  <c r="CG24" i="31"/>
  <c r="CG25" i="31"/>
  <c r="CG26" i="31"/>
  <c r="CG27" i="31"/>
  <c r="CG28" i="31"/>
  <c r="CG29" i="31"/>
  <c r="CG30" i="31"/>
  <c r="CG31" i="31"/>
  <c r="CG32" i="31"/>
  <c r="CG33" i="31"/>
  <c r="CG34" i="31"/>
  <c r="CG35" i="31"/>
  <c r="CG36" i="31"/>
  <c r="CG37" i="31"/>
  <c r="CG38" i="31"/>
  <c r="CG39" i="31"/>
  <c r="CG40" i="31"/>
  <c r="CG41" i="31"/>
  <c r="CG42" i="31"/>
  <c r="CG43" i="31"/>
  <c r="CG44" i="31"/>
  <c r="CG45" i="31"/>
  <c r="CG46" i="31"/>
  <c r="CG47" i="31"/>
  <c r="CG48" i="31"/>
  <c r="CG49" i="31"/>
  <c r="CG50" i="31"/>
  <c r="CG51" i="31"/>
  <c r="CG52" i="31"/>
  <c r="CG53" i="31"/>
  <c r="CG54" i="31"/>
  <c r="CG55" i="31"/>
  <c r="CG56" i="31"/>
  <c r="CG57" i="31"/>
  <c r="CG58" i="31"/>
  <c r="CG59" i="31"/>
  <c r="CG61" i="31"/>
  <c r="CG62" i="31"/>
  <c r="CG63" i="31"/>
  <c r="CG64" i="31"/>
  <c r="CG65" i="31"/>
  <c r="CG66" i="31"/>
  <c r="CG67" i="31"/>
  <c r="CG68" i="31"/>
  <c r="CG69" i="31"/>
  <c r="CG70" i="31"/>
  <c r="CG71" i="31"/>
  <c r="CG72" i="31"/>
  <c r="CG73" i="31"/>
  <c r="CG74" i="31"/>
  <c r="CG75" i="31"/>
  <c r="CG76" i="31"/>
  <c r="CG77" i="31"/>
  <c r="CG78" i="31"/>
  <c r="CG79" i="31"/>
  <c r="CG80" i="31"/>
  <c r="CG81" i="31"/>
  <c r="CG82" i="31"/>
  <c r="CG83" i="31"/>
  <c r="CG84" i="31"/>
  <c r="CG85" i="31"/>
  <c r="CG86" i="31"/>
  <c r="CG87" i="31"/>
  <c r="CG88" i="31"/>
  <c r="CG89" i="31"/>
  <c r="CG90" i="31"/>
  <c r="CG91" i="31"/>
  <c r="CG92" i="31"/>
  <c r="CG93" i="31"/>
  <c r="CG94" i="31"/>
  <c r="CG95" i="31"/>
  <c r="CG96" i="31"/>
  <c r="CG97" i="31"/>
  <c r="CG98" i="31"/>
  <c r="CG99" i="31"/>
  <c r="CG100" i="31"/>
  <c r="CG101" i="31"/>
  <c r="CG102" i="31"/>
  <c r="CG103" i="31"/>
  <c r="CG104" i="31"/>
  <c r="CG105" i="31"/>
  <c r="CG106" i="31"/>
  <c r="CG107" i="31"/>
  <c r="CG108" i="31"/>
  <c r="CG109" i="31"/>
  <c r="CG110" i="31"/>
  <c r="CG111" i="31"/>
  <c r="CG112" i="31"/>
  <c r="CG113" i="31"/>
  <c r="CG114" i="31"/>
  <c r="CG115" i="31"/>
  <c r="CG116" i="31"/>
  <c r="CG117" i="31"/>
  <c r="CG118" i="31"/>
  <c r="CG119" i="31"/>
  <c r="CG120" i="31"/>
  <c r="CG121" i="31"/>
  <c r="CG122" i="31"/>
  <c r="CG123" i="31"/>
  <c r="CG124" i="31"/>
  <c r="CG125" i="31"/>
  <c r="CG126" i="31"/>
  <c r="CG127" i="31"/>
  <c r="CG128" i="31"/>
  <c r="CG129" i="31"/>
  <c r="CG130" i="31"/>
  <c r="CG131" i="31"/>
  <c r="CG132" i="31"/>
  <c r="CG133" i="31"/>
  <c r="CG134" i="31"/>
  <c r="CG135" i="31"/>
  <c r="CG136" i="31"/>
  <c r="CG137" i="31"/>
  <c r="CG138" i="31"/>
  <c r="CG139" i="31"/>
  <c r="CG140" i="31"/>
  <c r="CG141" i="31"/>
  <c r="CG142" i="31"/>
  <c r="CG143" i="31"/>
  <c r="CG144" i="31"/>
  <c r="CG145" i="31"/>
  <c r="CG146" i="31"/>
  <c r="CG147" i="31"/>
  <c r="CG148" i="31"/>
  <c r="CG149" i="31"/>
  <c r="CG150" i="31"/>
  <c r="CG151" i="31"/>
  <c r="F2023" i="27" l="1"/>
  <c r="G2023" i="27"/>
  <c r="H2023" i="27"/>
  <c r="I2023" i="27"/>
  <c r="M2023" i="27"/>
  <c r="N2023" i="27"/>
  <c r="O2023" i="27"/>
  <c r="F2024" i="27"/>
  <c r="G2024" i="27"/>
  <c r="H2024" i="27"/>
  <c r="I2024" i="27"/>
  <c r="M2024" i="27"/>
  <c r="N2024" i="27"/>
  <c r="O2024" i="27"/>
  <c r="F2025" i="27"/>
  <c r="G2025" i="27"/>
  <c r="H2025" i="27"/>
  <c r="I2025" i="27"/>
  <c r="M2025" i="27"/>
  <c r="N2025" i="27"/>
  <c r="O2025" i="27"/>
  <c r="F2026" i="27"/>
  <c r="G2026" i="27"/>
  <c r="H2026" i="27"/>
  <c r="I2026" i="27"/>
  <c r="M2026" i="27"/>
  <c r="N2026" i="27"/>
  <c r="O2026" i="27"/>
  <c r="F2027" i="27"/>
  <c r="G2027" i="27"/>
  <c r="H2027" i="27"/>
  <c r="I2027" i="27"/>
  <c r="M2027" i="27"/>
  <c r="N2027" i="27"/>
  <c r="O2027" i="27"/>
  <c r="F2028" i="27"/>
  <c r="G2028" i="27"/>
  <c r="H2028" i="27"/>
  <c r="I2028" i="27"/>
  <c r="M2028" i="27"/>
  <c r="N2028" i="27"/>
  <c r="O2028" i="27"/>
  <c r="F2029" i="27"/>
  <c r="G2029" i="27"/>
  <c r="H2029" i="27"/>
  <c r="I2029" i="27"/>
  <c r="M2029" i="27"/>
  <c r="N2029" i="27"/>
  <c r="O2029" i="27"/>
  <c r="F2030" i="27"/>
  <c r="G2030" i="27"/>
  <c r="H2030" i="27"/>
  <c r="I2030" i="27"/>
  <c r="M2030" i="27"/>
  <c r="N2030" i="27"/>
  <c r="O2030" i="27"/>
  <c r="F2031" i="27"/>
  <c r="G2031" i="27"/>
  <c r="H2031" i="27"/>
  <c r="I2031" i="27"/>
  <c r="M2031" i="27"/>
  <c r="N2031" i="27"/>
  <c r="O2031" i="27"/>
  <c r="F2032" i="27"/>
  <c r="G2032" i="27"/>
  <c r="H2032" i="27"/>
  <c r="I2032" i="27"/>
  <c r="M2032" i="27"/>
  <c r="N2032" i="27"/>
  <c r="O2032" i="27"/>
  <c r="F2033" i="27"/>
  <c r="G2033" i="27"/>
  <c r="H2033" i="27"/>
  <c r="I2033" i="27"/>
  <c r="M2033" i="27"/>
  <c r="N2033" i="27"/>
  <c r="O2033" i="27"/>
  <c r="F2034" i="27"/>
  <c r="G2034" i="27"/>
  <c r="H2034" i="27"/>
  <c r="I2034" i="27"/>
  <c r="M2034" i="27"/>
  <c r="N2034" i="27"/>
  <c r="O2034" i="27"/>
  <c r="F2035" i="27"/>
  <c r="G2035" i="27"/>
  <c r="H2035" i="27"/>
  <c r="I2035" i="27"/>
  <c r="M2035" i="27"/>
  <c r="N2035" i="27"/>
  <c r="O2035" i="27"/>
  <c r="F2036" i="27"/>
  <c r="G2036" i="27"/>
  <c r="H2036" i="27"/>
  <c r="I2036" i="27"/>
  <c r="M2036" i="27"/>
  <c r="N2036" i="27"/>
  <c r="O2036" i="27"/>
  <c r="F2037" i="27"/>
  <c r="G2037" i="27"/>
  <c r="H2037" i="27"/>
  <c r="I2037" i="27"/>
  <c r="M2037" i="27"/>
  <c r="N2037" i="27"/>
  <c r="O2037" i="27"/>
  <c r="F2038" i="27"/>
  <c r="G2038" i="27"/>
  <c r="H2038" i="27"/>
  <c r="I2038" i="27"/>
  <c r="M2038" i="27"/>
  <c r="N2038" i="27"/>
  <c r="O2038" i="27"/>
  <c r="F2039" i="27"/>
  <c r="G2039" i="27"/>
  <c r="H2039" i="27"/>
  <c r="I2039" i="27"/>
  <c r="M2039" i="27"/>
  <c r="N2039" i="27"/>
  <c r="O2039" i="27"/>
  <c r="F2040" i="27"/>
  <c r="G2040" i="27"/>
  <c r="H2040" i="27"/>
  <c r="I2040" i="27"/>
  <c r="M2040" i="27"/>
  <c r="N2040" i="27"/>
  <c r="O2040" i="27"/>
  <c r="F2041" i="27"/>
  <c r="G2041" i="27"/>
  <c r="H2041" i="27"/>
  <c r="I2041" i="27"/>
  <c r="M2041" i="27"/>
  <c r="N2041" i="27"/>
  <c r="O2041" i="27"/>
  <c r="F2042" i="27"/>
  <c r="G2042" i="27"/>
  <c r="H2042" i="27"/>
  <c r="I2042" i="27"/>
  <c r="M2042" i="27"/>
  <c r="N2042" i="27"/>
  <c r="O2042" i="27"/>
  <c r="F2043" i="27"/>
  <c r="G2043" i="27"/>
  <c r="H2043" i="27"/>
  <c r="I2043" i="27"/>
  <c r="M2043" i="27"/>
  <c r="N2043" i="27"/>
  <c r="O2043" i="27"/>
  <c r="F2044" i="27"/>
  <c r="G2044" i="27"/>
  <c r="H2044" i="27"/>
  <c r="I2044" i="27"/>
  <c r="M2044" i="27"/>
  <c r="N2044" i="27"/>
  <c r="O2044" i="27"/>
  <c r="F2045" i="27"/>
  <c r="G2045" i="27"/>
  <c r="H2045" i="27"/>
  <c r="I2045" i="27"/>
  <c r="M2045" i="27"/>
  <c r="N2045" i="27"/>
  <c r="O2045" i="27"/>
  <c r="F2046" i="27"/>
  <c r="G2046" i="27"/>
  <c r="H2046" i="27"/>
  <c r="I2046" i="27"/>
  <c r="M2046" i="27"/>
  <c r="N2046" i="27"/>
  <c r="O2046" i="27"/>
  <c r="F2047" i="27"/>
  <c r="G2047" i="27"/>
  <c r="H2047" i="27"/>
  <c r="I2047" i="27"/>
  <c r="M2047" i="27"/>
  <c r="N2047" i="27"/>
  <c r="O2047" i="27"/>
  <c r="F2048" i="27"/>
  <c r="G2048" i="27"/>
  <c r="H2048" i="27"/>
  <c r="I2048" i="27"/>
  <c r="M2048" i="27"/>
  <c r="N2048" i="27"/>
  <c r="O2048" i="27"/>
  <c r="F2049" i="27"/>
  <c r="G2049" i="27"/>
  <c r="H2049" i="27"/>
  <c r="I2049" i="27"/>
  <c r="M2049" i="27"/>
  <c r="N2049" i="27"/>
  <c r="O2049" i="27"/>
  <c r="F2050" i="27"/>
  <c r="G2050" i="27"/>
  <c r="H2050" i="27"/>
  <c r="I2050" i="27"/>
  <c r="M2050" i="27"/>
  <c r="N2050" i="27"/>
  <c r="O2050" i="27"/>
  <c r="F2051" i="27"/>
  <c r="G2051" i="27"/>
  <c r="H2051" i="27"/>
  <c r="I2051" i="27"/>
  <c r="M2051" i="27"/>
  <c r="N2051" i="27"/>
  <c r="O2051" i="27"/>
  <c r="F2052" i="27"/>
  <c r="G2052" i="27"/>
  <c r="H2052" i="27"/>
  <c r="I2052" i="27"/>
  <c r="M2052" i="27"/>
  <c r="N2052" i="27"/>
  <c r="O2052" i="27"/>
  <c r="F2053" i="27"/>
  <c r="G2053" i="27"/>
  <c r="H2053" i="27"/>
  <c r="I2053" i="27"/>
  <c r="M2053" i="27"/>
  <c r="N2053" i="27"/>
  <c r="O2053" i="27"/>
  <c r="F2054" i="27"/>
  <c r="G2054" i="27"/>
  <c r="H2054" i="27"/>
  <c r="I2054" i="27"/>
  <c r="M2054" i="27"/>
  <c r="N2054" i="27"/>
  <c r="O2054" i="27"/>
  <c r="F2055" i="27"/>
  <c r="G2055" i="27"/>
  <c r="H2055" i="27"/>
  <c r="I2055" i="27"/>
  <c r="M2055" i="27"/>
  <c r="N2055" i="27"/>
  <c r="O2055" i="27"/>
  <c r="F2056" i="27"/>
  <c r="G2056" i="27"/>
  <c r="H2056" i="27"/>
  <c r="I2056" i="27"/>
  <c r="M2056" i="27"/>
  <c r="N2056" i="27"/>
  <c r="O2056" i="27"/>
  <c r="F2057" i="27"/>
  <c r="G2057" i="27"/>
  <c r="H2057" i="27"/>
  <c r="I2057" i="27"/>
  <c r="M2057" i="27"/>
  <c r="N2057" i="27"/>
  <c r="O2057" i="27"/>
  <c r="F2058" i="27"/>
  <c r="G2058" i="27"/>
  <c r="H2058" i="27"/>
  <c r="I2058" i="27"/>
  <c r="M2058" i="27"/>
  <c r="N2058" i="27"/>
  <c r="O2058" i="27"/>
  <c r="F2059" i="27"/>
  <c r="G2059" i="27"/>
  <c r="H2059" i="27"/>
  <c r="I2059" i="27"/>
  <c r="M2059" i="27"/>
  <c r="N2059" i="27"/>
  <c r="O2059" i="27"/>
  <c r="F2060" i="27"/>
  <c r="G2060" i="27"/>
  <c r="H2060" i="27"/>
  <c r="I2060" i="27"/>
  <c r="M2060" i="27"/>
  <c r="N2060" i="27"/>
  <c r="O2060" i="27"/>
  <c r="F2061" i="27"/>
  <c r="G2061" i="27"/>
  <c r="H2061" i="27"/>
  <c r="I2061" i="27"/>
  <c r="M2061" i="27"/>
  <c r="N2061" i="27"/>
  <c r="O2061" i="27"/>
  <c r="F2062" i="27"/>
  <c r="G2062" i="27"/>
  <c r="H2062" i="27"/>
  <c r="I2062" i="27"/>
  <c r="M2062" i="27"/>
  <c r="N2062" i="27"/>
  <c r="O2062" i="27"/>
  <c r="F2063" i="27"/>
  <c r="G2063" i="27"/>
  <c r="H2063" i="27"/>
  <c r="I2063" i="27"/>
  <c r="M2063" i="27"/>
  <c r="N2063" i="27"/>
  <c r="O2063" i="27"/>
  <c r="F2064" i="27"/>
  <c r="G2064" i="27"/>
  <c r="H2064" i="27"/>
  <c r="I2064" i="27"/>
  <c r="M2064" i="27"/>
  <c r="N2064" i="27"/>
  <c r="O2064" i="27"/>
  <c r="F2065" i="27"/>
  <c r="G2065" i="27"/>
  <c r="H2065" i="27"/>
  <c r="I2065" i="27"/>
  <c r="M2065" i="27"/>
  <c r="N2065" i="27"/>
  <c r="O2065" i="27"/>
  <c r="F2066" i="27"/>
  <c r="G2066" i="27"/>
  <c r="H2066" i="27"/>
  <c r="I2066" i="27"/>
  <c r="M2066" i="27"/>
  <c r="N2066" i="27"/>
  <c r="O2066" i="27"/>
  <c r="F2067" i="27"/>
  <c r="G2067" i="27"/>
  <c r="H2067" i="27"/>
  <c r="I2067" i="27"/>
  <c r="M2067" i="27"/>
  <c r="N2067" i="27"/>
  <c r="O2067" i="27"/>
  <c r="F2068" i="27"/>
  <c r="G2068" i="27"/>
  <c r="H2068" i="27"/>
  <c r="I2068" i="27"/>
  <c r="M2068" i="27"/>
  <c r="N2068" i="27"/>
  <c r="O2068" i="27"/>
  <c r="F2069" i="27"/>
  <c r="G2069" i="27"/>
  <c r="H2069" i="27"/>
  <c r="I2069" i="27"/>
  <c r="M2069" i="27"/>
  <c r="N2069" i="27"/>
  <c r="O2069" i="27"/>
  <c r="F2070" i="27"/>
  <c r="G2070" i="27"/>
  <c r="H2070" i="27"/>
  <c r="I2070" i="27"/>
  <c r="M2070" i="27"/>
  <c r="N2070" i="27"/>
  <c r="O2070" i="27"/>
  <c r="F2071" i="27"/>
  <c r="G2071" i="27"/>
  <c r="H2071" i="27"/>
  <c r="I2071" i="27"/>
  <c r="M2071" i="27"/>
  <c r="N2071" i="27"/>
  <c r="O2071" i="27"/>
  <c r="G2022" i="27"/>
  <c r="H2022" i="27"/>
  <c r="I2022" i="27"/>
  <c r="M2022" i="27"/>
  <c r="N2022" i="27"/>
  <c r="O2022" i="27"/>
  <c r="F2022" i="27"/>
  <c r="F1823" i="27"/>
  <c r="G1823" i="27"/>
  <c r="H1823" i="27"/>
  <c r="I1823" i="27"/>
  <c r="M1823" i="27"/>
  <c r="N1823" i="27"/>
  <c r="O1823" i="27"/>
  <c r="F1824" i="27"/>
  <c r="G1824" i="27"/>
  <c r="H1824" i="27"/>
  <c r="I1824" i="27"/>
  <c r="M1824" i="27"/>
  <c r="N1824" i="27"/>
  <c r="O1824" i="27"/>
  <c r="F1825" i="27"/>
  <c r="G1825" i="27"/>
  <c r="H1825" i="27"/>
  <c r="I1825" i="27"/>
  <c r="M1825" i="27"/>
  <c r="N1825" i="27"/>
  <c r="O1825" i="27"/>
  <c r="F1826" i="27"/>
  <c r="G1826" i="27"/>
  <c r="H1826" i="27"/>
  <c r="I1826" i="27"/>
  <c r="M1826" i="27"/>
  <c r="N1826" i="27"/>
  <c r="O1826" i="27"/>
  <c r="F1827" i="27"/>
  <c r="G1827" i="27"/>
  <c r="H1827" i="27"/>
  <c r="I1827" i="27"/>
  <c r="M1827" i="27"/>
  <c r="N1827" i="27"/>
  <c r="O1827" i="27"/>
  <c r="F1828" i="27"/>
  <c r="G1828" i="27"/>
  <c r="H1828" i="27"/>
  <c r="I1828" i="27"/>
  <c r="M1828" i="27"/>
  <c r="N1828" i="27"/>
  <c r="O1828" i="27"/>
  <c r="F1829" i="27"/>
  <c r="G1829" i="27"/>
  <c r="H1829" i="27"/>
  <c r="I1829" i="27"/>
  <c r="M1829" i="27"/>
  <c r="N1829" i="27"/>
  <c r="O1829" i="27"/>
  <c r="F1830" i="27"/>
  <c r="G1830" i="27"/>
  <c r="H1830" i="27"/>
  <c r="I1830" i="27"/>
  <c r="M1830" i="27"/>
  <c r="N1830" i="27"/>
  <c r="O1830" i="27"/>
  <c r="F1831" i="27"/>
  <c r="G1831" i="27"/>
  <c r="H1831" i="27"/>
  <c r="I1831" i="27"/>
  <c r="M1831" i="27"/>
  <c r="N1831" i="27"/>
  <c r="O1831" i="27"/>
  <c r="F1832" i="27"/>
  <c r="G1832" i="27"/>
  <c r="H1832" i="27"/>
  <c r="I1832" i="27"/>
  <c r="M1832" i="27"/>
  <c r="N1832" i="27"/>
  <c r="O1832" i="27"/>
  <c r="F1833" i="27"/>
  <c r="G1833" i="27"/>
  <c r="H1833" i="27"/>
  <c r="I1833" i="27"/>
  <c r="M1833" i="27"/>
  <c r="N1833" i="27"/>
  <c r="O1833" i="27"/>
  <c r="F1834" i="27"/>
  <c r="G1834" i="27"/>
  <c r="H1834" i="27"/>
  <c r="I1834" i="27"/>
  <c r="M1834" i="27"/>
  <c r="N1834" i="27"/>
  <c r="O1834" i="27"/>
  <c r="F1835" i="27"/>
  <c r="G1835" i="27"/>
  <c r="H1835" i="27"/>
  <c r="I1835" i="27"/>
  <c r="M1835" i="27"/>
  <c r="N1835" i="27"/>
  <c r="O1835" i="27"/>
  <c r="F1836" i="27"/>
  <c r="G1836" i="27"/>
  <c r="H1836" i="27"/>
  <c r="I1836" i="27"/>
  <c r="M1836" i="27"/>
  <c r="N1836" i="27"/>
  <c r="O1836" i="27"/>
  <c r="F1837" i="27"/>
  <c r="G1837" i="27"/>
  <c r="H1837" i="27"/>
  <c r="I1837" i="27"/>
  <c r="M1837" i="27"/>
  <c r="N1837" i="27"/>
  <c r="O1837" i="27"/>
  <c r="F1838" i="27"/>
  <c r="G1838" i="27"/>
  <c r="H1838" i="27"/>
  <c r="I1838" i="27"/>
  <c r="M1838" i="27"/>
  <c r="N1838" i="27"/>
  <c r="O1838" i="27"/>
  <c r="F1839" i="27"/>
  <c r="G1839" i="27"/>
  <c r="H1839" i="27"/>
  <c r="I1839" i="27"/>
  <c r="M1839" i="27"/>
  <c r="N1839" i="27"/>
  <c r="O1839" i="27"/>
  <c r="F1840" i="27"/>
  <c r="G1840" i="27"/>
  <c r="H1840" i="27"/>
  <c r="I1840" i="27"/>
  <c r="M1840" i="27"/>
  <c r="N1840" i="27"/>
  <c r="O1840" i="27"/>
  <c r="F1841" i="27"/>
  <c r="G1841" i="27"/>
  <c r="H1841" i="27"/>
  <c r="I1841" i="27"/>
  <c r="M1841" i="27"/>
  <c r="N1841" i="27"/>
  <c r="O1841" i="27"/>
  <c r="F1842" i="27"/>
  <c r="G1842" i="27"/>
  <c r="H1842" i="27"/>
  <c r="I1842" i="27"/>
  <c r="M1842" i="27"/>
  <c r="N1842" i="27"/>
  <c r="O1842" i="27"/>
  <c r="F1843" i="27"/>
  <c r="G1843" i="27"/>
  <c r="H1843" i="27"/>
  <c r="I1843" i="27"/>
  <c r="M1843" i="27"/>
  <c r="N1843" i="27"/>
  <c r="O1843" i="27"/>
  <c r="F1844" i="27"/>
  <c r="G1844" i="27"/>
  <c r="H1844" i="27"/>
  <c r="I1844" i="27"/>
  <c r="M1844" i="27"/>
  <c r="N1844" i="27"/>
  <c r="O1844" i="27"/>
  <c r="F1845" i="27"/>
  <c r="G1845" i="27"/>
  <c r="H1845" i="27"/>
  <c r="I1845" i="27"/>
  <c r="M1845" i="27"/>
  <c r="N1845" i="27"/>
  <c r="O1845" i="27"/>
  <c r="F1846" i="27"/>
  <c r="G1846" i="27"/>
  <c r="H1846" i="27"/>
  <c r="I1846" i="27"/>
  <c r="M1846" i="27"/>
  <c r="N1846" i="27"/>
  <c r="O1846" i="27"/>
  <c r="F1847" i="27"/>
  <c r="G1847" i="27"/>
  <c r="H1847" i="27"/>
  <c r="I1847" i="27"/>
  <c r="M1847" i="27"/>
  <c r="N1847" i="27"/>
  <c r="O1847" i="27"/>
  <c r="F1848" i="27"/>
  <c r="G1848" i="27"/>
  <c r="H1848" i="27"/>
  <c r="I1848" i="27"/>
  <c r="M1848" i="27"/>
  <c r="N1848" i="27"/>
  <c r="O1848" i="27"/>
  <c r="F1849" i="27"/>
  <c r="G1849" i="27"/>
  <c r="H1849" i="27"/>
  <c r="I1849" i="27"/>
  <c r="M1849" i="27"/>
  <c r="N1849" i="27"/>
  <c r="O1849" i="27"/>
  <c r="F1850" i="27"/>
  <c r="G1850" i="27"/>
  <c r="H1850" i="27"/>
  <c r="I1850" i="27"/>
  <c r="M1850" i="27"/>
  <c r="N1850" i="27"/>
  <c r="O1850" i="27"/>
  <c r="F1851" i="27"/>
  <c r="G1851" i="27"/>
  <c r="H1851" i="27"/>
  <c r="I1851" i="27"/>
  <c r="M1851" i="27"/>
  <c r="N1851" i="27"/>
  <c r="O1851" i="27"/>
  <c r="F1852" i="27"/>
  <c r="G1852" i="27"/>
  <c r="H1852" i="27"/>
  <c r="I1852" i="27"/>
  <c r="M1852" i="27"/>
  <c r="N1852" i="27"/>
  <c r="O1852" i="27"/>
  <c r="F1853" i="27"/>
  <c r="G1853" i="27"/>
  <c r="H1853" i="27"/>
  <c r="I1853" i="27"/>
  <c r="M1853" i="27"/>
  <c r="N1853" i="27"/>
  <c r="O1853" i="27"/>
  <c r="F1854" i="27"/>
  <c r="G1854" i="27"/>
  <c r="H1854" i="27"/>
  <c r="I1854" i="27"/>
  <c r="M1854" i="27"/>
  <c r="N1854" i="27"/>
  <c r="O1854" i="27"/>
  <c r="F1855" i="27"/>
  <c r="G1855" i="27"/>
  <c r="H1855" i="27"/>
  <c r="I1855" i="27"/>
  <c r="M1855" i="27"/>
  <c r="N1855" i="27"/>
  <c r="O1855" i="27"/>
  <c r="F1856" i="27"/>
  <c r="G1856" i="27"/>
  <c r="H1856" i="27"/>
  <c r="I1856" i="27"/>
  <c r="M1856" i="27"/>
  <c r="N1856" i="27"/>
  <c r="O1856" i="27"/>
  <c r="F1857" i="27"/>
  <c r="G1857" i="27"/>
  <c r="H1857" i="27"/>
  <c r="I1857" i="27"/>
  <c r="M1857" i="27"/>
  <c r="N1857" i="27"/>
  <c r="O1857" i="27"/>
  <c r="F1858" i="27"/>
  <c r="G1858" i="27"/>
  <c r="H1858" i="27"/>
  <c r="I1858" i="27"/>
  <c r="M1858" i="27"/>
  <c r="N1858" i="27"/>
  <c r="O1858" i="27"/>
  <c r="F1859" i="27"/>
  <c r="G1859" i="27"/>
  <c r="H1859" i="27"/>
  <c r="I1859" i="27"/>
  <c r="M1859" i="27"/>
  <c r="N1859" i="27"/>
  <c r="O1859" i="27"/>
  <c r="F1860" i="27"/>
  <c r="G1860" i="27"/>
  <c r="H1860" i="27"/>
  <c r="I1860" i="27"/>
  <c r="M1860" i="27"/>
  <c r="N1860" i="27"/>
  <c r="O1860" i="27"/>
  <c r="F1861" i="27"/>
  <c r="G1861" i="27"/>
  <c r="H1861" i="27"/>
  <c r="I1861" i="27"/>
  <c r="M1861" i="27"/>
  <c r="N1861" i="27"/>
  <c r="O1861" i="27"/>
  <c r="F1862" i="27"/>
  <c r="G1862" i="27"/>
  <c r="H1862" i="27"/>
  <c r="I1862" i="27"/>
  <c r="M1862" i="27"/>
  <c r="N1862" i="27"/>
  <c r="O1862" i="27"/>
  <c r="F1863" i="27"/>
  <c r="G1863" i="27"/>
  <c r="H1863" i="27"/>
  <c r="I1863" i="27"/>
  <c r="M1863" i="27"/>
  <c r="N1863" i="27"/>
  <c r="O1863" i="27"/>
  <c r="F1864" i="27"/>
  <c r="G1864" i="27"/>
  <c r="H1864" i="27"/>
  <c r="I1864" i="27"/>
  <c r="M1864" i="27"/>
  <c r="N1864" i="27"/>
  <c r="O1864" i="27"/>
  <c r="F1865" i="27"/>
  <c r="G1865" i="27"/>
  <c r="H1865" i="27"/>
  <c r="I1865" i="27"/>
  <c r="M1865" i="27"/>
  <c r="N1865" i="27"/>
  <c r="O1865" i="27"/>
  <c r="F1866" i="27"/>
  <c r="G1866" i="27"/>
  <c r="H1866" i="27"/>
  <c r="I1866" i="27"/>
  <c r="M1866" i="27"/>
  <c r="N1866" i="27"/>
  <c r="O1866" i="27"/>
  <c r="F1867" i="27"/>
  <c r="G1867" i="27"/>
  <c r="H1867" i="27"/>
  <c r="I1867" i="27"/>
  <c r="M1867" i="27"/>
  <c r="N1867" i="27"/>
  <c r="O1867" i="27"/>
  <c r="F1868" i="27"/>
  <c r="G1868" i="27"/>
  <c r="H1868" i="27"/>
  <c r="I1868" i="27"/>
  <c r="M1868" i="27"/>
  <c r="N1868" i="27"/>
  <c r="O1868" i="27"/>
  <c r="F1869" i="27"/>
  <c r="G1869" i="27"/>
  <c r="H1869" i="27"/>
  <c r="I1869" i="27"/>
  <c r="M1869" i="27"/>
  <c r="N1869" i="27"/>
  <c r="O1869" i="27"/>
  <c r="F1870" i="27"/>
  <c r="G1870" i="27"/>
  <c r="H1870" i="27"/>
  <c r="I1870" i="27"/>
  <c r="M1870" i="27"/>
  <c r="N1870" i="27"/>
  <c r="O1870" i="27"/>
  <c r="F1871" i="27"/>
  <c r="G1871" i="27"/>
  <c r="H1871" i="27"/>
  <c r="I1871" i="27"/>
  <c r="M1871" i="27"/>
  <c r="N1871" i="27"/>
  <c r="O1871" i="27"/>
  <c r="F1872" i="27"/>
  <c r="G1872" i="27"/>
  <c r="H1872" i="27"/>
  <c r="I1872" i="27"/>
  <c r="M1872" i="27"/>
  <c r="N1872" i="27"/>
  <c r="O1872" i="27"/>
  <c r="F1873" i="27"/>
  <c r="G1873" i="27"/>
  <c r="H1873" i="27"/>
  <c r="I1873" i="27"/>
  <c r="M1873" i="27"/>
  <c r="N1873" i="27"/>
  <c r="O1873" i="27"/>
  <c r="F1874" i="27"/>
  <c r="G1874" i="27"/>
  <c r="H1874" i="27"/>
  <c r="I1874" i="27"/>
  <c r="M1874" i="27"/>
  <c r="N1874" i="27"/>
  <c r="O1874" i="27"/>
  <c r="F1875" i="27"/>
  <c r="G1875" i="27"/>
  <c r="H1875" i="27"/>
  <c r="I1875" i="27"/>
  <c r="M1875" i="27"/>
  <c r="N1875" i="27"/>
  <c r="O1875" i="27"/>
  <c r="F1876" i="27"/>
  <c r="G1876" i="27"/>
  <c r="H1876" i="27"/>
  <c r="I1876" i="27"/>
  <c r="M1876" i="27"/>
  <c r="N1876" i="27"/>
  <c r="O1876" i="27"/>
  <c r="F1877" i="27"/>
  <c r="G1877" i="27"/>
  <c r="H1877" i="27"/>
  <c r="I1877" i="27"/>
  <c r="M1877" i="27"/>
  <c r="N1877" i="27"/>
  <c r="O1877" i="27"/>
  <c r="F1878" i="27"/>
  <c r="G1878" i="27"/>
  <c r="H1878" i="27"/>
  <c r="I1878" i="27"/>
  <c r="M1878" i="27"/>
  <c r="N1878" i="27"/>
  <c r="O1878" i="27"/>
  <c r="F1879" i="27"/>
  <c r="G1879" i="27"/>
  <c r="H1879" i="27"/>
  <c r="I1879" i="27"/>
  <c r="M1879" i="27"/>
  <c r="N1879" i="27"/>
  <c r="O1879" i="27"/>
  <c r="F1880" i="27"/>
  <c r="G1880" i="27"/>
  <c r="H1880" i="27"/>
  <c r="I1880" i="27"/>
  <c r="M1880" i="27"/>
  <c r="N1880" i="27"/>
  <c r="O1880" i="27"/>
  <c r="F1881" i="27"/>
  <c r="G1881" i="27"/>
  <c r="H1881" i="27"/>
  <c r="I1881" i="27"/>
  <c r="M1881" i="27"/>
  <c r="N1881" i="27"/>
  <c r="O1881" i="27"/>
  <c r="F1882" i="27"/>
  <c r="G1882" i="27"/>
  <c r="H1882" i="27"/>
  <c r="I1882" i="27"/>
  <c r="M1882" i="27"/>
  <c r="N1882" i="27"/>
  <c r="O1882" i="27"/>
  <c r="F1883" i="27"/>
  <c r="G1883" i="27"/>
  <c r="H1883" i="27"/>
  <c r="I1883" i="27"/>
  <c r="M1883" i="27"/>
  <c r="N1883" i="27"/>
  <c r="O1883" i="27"/>
  <c r="F1884" i="27"/>
  <c r="G1884" i="27"/>
  <c r="H1884" i="27"/>
  <c r="I1884" i="27"/>
  <c r="M1884" i="27"/>
  <c r="N1884" i="27"/>
  <c r="O1884" i="27"/>
  <c r="F1885" i="27"/>
  <c r="G1885" i="27"/>
  <c r="H1885" i="27"/>
  <c r="I1885" i="27"/>
  <c r="M1885" i="27"/>
  <c r="N1885" i="27"/>
  <c r="O1885" i="27"/>
  <c r="F1886" i="27"/>
  <c r="G1886" i="27"/>
  <c r="H1886" i="27"/>
  <c r="I1886" i="27"/>
  <c r="M1886" i="27"/>
  <c r="N1886" i="27"/>
  <c r="O1886" i="27"/>
  <c r="F1887" i="27"/>
  <c r="G1887" i="27"/>
  <c r="H1887" i="27"/>
  <c r="I1887" i="27"/>
  <c r="M1887" i="27"/>
  <c r="N1887" i="27"/>
  <c r="O1887" i="27"/>
  <c r="F1888" i="27"/>
  <c r="G1888" i="27"/>
  <c r="H1888" i="27"/>
  <c r="I1888" i="27"/>
  <c r="M1888" i="27"/>
  <c r="N1888" i="27"/>
  <c r="O1888" i="27"/>
  <c r="F1889" i="27"/>
  <c r="G1889" i="27"/>
  <c r="H1889" i="27"/>
  <c r="I1889" i="27"/>
  <c r="M1889" i="27"/>
  <c r="N1889" i="27"/>
  <c r="O1889" i="27"/>
  <c r="F1890" i="27"/>
  <c r="G1890" i="27"/>
  <c r="H1890" i="27"/>
  <c r="I1890" i="27"/>
  <c r="M1890" i="27"/>
  <c r="N1890" i="27"/>
  <c r="O1890" i="27"/>
  <c r="F1891" i="27"/>
  <c r="G1891" i="27"/>
  <c r="H1891" i="27"/>
  <c r="I1891" i="27"/>
  <c r="M1891" i="27"/>
  <c r="N1891" i="27"/>
  <c r="O1891" i="27"/>
  <c r="F1892" i="27"/>
  <c r="G1892" i="27"/>
  <c r="H1892" i="27"/>
  <c r="I1892" i="27"/>
  <c r="M1892" i="27"/>
  <c r="N1892" i="27"/>
  <c r="O1892" i="27"/>
  <c r="F1893" i="27"/>
  <c r="G1893" i="27"/>
  <c r="H1893" i="27"/>
  <c r="I1893" i="27"/>
  <c r="M1893" i="27"/>
  <c r="N1893" i="27"/>
  <c r="O1893" i="27"/>
  <c r="F1894" i="27"/>
  <c r="G1894" i="27"/>
  <c r="H1894" i="27"/>
  <c r="I1894" i="27"/>
  <c r="M1894" i="27"/>
  <c r="N1894" i="27"/>
  <c r="O1894" i="27"/>
  <c r="F1895" i="27"/>
  <c r="G1895" i="27"/>
  <c r="H1895" i="27"/>
  <c r="I1895" i="27"/>
  <c r="M1895" i="27"/>
  <c r="N1895" i="27"/>
  <c r="O1895" i="27"/>
  <c r="F1896" i="27"/>
  <c r="G1896" i="27"/>
  <c r="H1896" i="27"/>
  <c r="I1896" i="27"/>
  <c r="M1896" i="27"/>
  <c r="N1896" i="27"/>
  <c r="O1896" i="27"/>
  <c r="F1897" i="27"/>
  <c r="G1897" i="27"/>
  <c r="H1897" i="27"/>
  <c r="I1897" i="27"/>
  <c r="M1897" i="27"/>
  <c r="N1897" i="27"/>
  <c r="O1897" i="27"/>
  <c r="F1898" i="27"/>
  <c r="G1898" i="27"/>
  <c r="H1898" i="27"/>
  <c r="I1898" i="27"/>
  <c r="M1898" i="27"/>
  <c r="N1898" i="27"/>
  <c r="O1898" i="27"/>
  <c r="F1899" i="27"/>
  <c r="G1899" i="27"/>
  <c r="H1899" i="27"/>
  <c r="I1899" i="27"/>
  <c r="M1899" i="27"/>
  <c r="N1899" i="27"/>
  <c r="O1899" i="27"/>
  <c r="F1900" i="27"/>
  <c r="G1900" i="27"/>
  <c r="H1900" i="27"/>
  <c r="I1900" i="27"/>
  <c r="M1900" i="27"/>
  <c r="N1900" i="27"/>
  <c r="O1900" i="27"/>
  <c r="F1901" i="27"/>
  <c r="G1901" i="27"/>
  <c r="H1901" i="27"/>
  <c r="I1901" i="27"/>
  <c r="M1901" i="27"/>
  <c r="N1901" i="27"/>
  <c r="O1901" i="27"/>
  <c r="F1902" i="27"/>
  <c r="G1902" i="27"/>
  <c r="H1902" i="27"/>
  <c r="I1902" i="27"/>
  <c r="M1902" i="27"/>
  <c r="N1902" i="27"/>
  <c r="O1902" i="27"/>
  <c r="F1903" i="27"/>
  <c r="G1903" i="27"/>
  <c r="H1903" i="27"/>
  <c r="I1903" i="27"/>
  <c r="M1903" i="27"/>
  <c r="N1903" i="27"/>
  <c r="O1903" i="27"/>
  <c r="F1904" i="27"/>
  <c r="G1904" i="27"/>
  <c r="H1904" i="27"/>
  <c r="I1904" i="27"/>
  <c r="M1904" i="27"/>
  <c r="N1904" i="27"/>
  <c r="O1904" i="27"/>
  <c r="F1905" i="27"/>
  <c r="G1905" i="27"/>
  <c r="H1905" i="27"/>
  <c r="I1905" i="27"/>
  <c r="M1905" i="27"/>
  <c r="N1905" i="27"/>
  <c r="O1905" i="27"/>
  <c r="F1906" i="27"/>
  <c r="G1906" i="27"/>
  <c r="H1906" i="27"/>
  <c r="I1906" i="27"/>
  <c r="M1906" i="27"/>
  <c r="N1906" i="27"/>
  <c r="O1906" i="27"/>
  <c r="F1907" i="27"/>
  <c r="G1907" i="27"/>
  <c r="H1907" i="27"/>
  <c r="I1907" i="27"/>
  <c r="M1907" i="27"/>
  <c r="N1907" i="27"/>
  <c r="O1907" i="27"/>
  <c r="F1908" i="27"/>
  <c r="G1908" i="27"/>
  <c r="H1908" i="27"/>
  <c r="I1908" i="27"/>
  <c r="M1908" i="27"/>
  <c r="N1908" i="27"/>
  <c r="O1908" i="27"/>
  <c r="F1909" i="27"/>
  <c r="G1909" i="27"/>
  <c r="H1909" i="27"/>
  <c r="I1909" i="27"/>
  <c r="M1909" i="27"/>
  <c r="N1909" i="27"/>
  <c r="O1909" i="27"/>
  <c r="F1910" i="27"/>
  <c r="G1910" i="27"/>
  <c r="H1910" i="27"/>
  <c r="I1910" i="27"/>
  <c r="M1910" i="27"/>
  <c r="N1910" i="27"/>
  <c r="O1910" i="27"/>
  <c r="F1911" i="27"/>
  <c r="G1911" i="27"/>
  <c r="H1911" i="27"/>
  <c r="I1911" i="27"/>
  <c r="M1911" i="27"/>
  <c r="N1911" i="27"/>
  <c r="O1911" i="27"/>
  <c r="F1912" i="27"/>
  <c r="G1912" i="27"/>
  <c r="H1912" i="27"/>
  <c r="I1912" i="27"/>
  <c r="M1912" i="27"/>
  <c r="N1912" i="27"/>
  <c r="O1912" i="27"/>
  <c r="F1913" i="27"/>
  <c r="G1913" i="27"/>
  <c r="H1913" i="27"/>
  <c r="I1913" i="27"/>
  <c r="M1913" i="27"/>
  <c r="N1913" i="27"/>
  <c r="O1913" i="27"/>
  <c r="F1914" i="27"/>
  <c r="G1914" i="27"/>
  <c r="H1914" i="27"/>
  <c r="I1914" i="27"/>
  <c r="M1914" i="27"/>
  <c r="N1914" i="27"/>
  <c r="O1914" i="27"/>
  <c r="F1915" i="27"/>
  <c r="G1915" i="27"/>
  <c r="H1915" i="27"/>
  <c r="I1915" i="27"/>
  <c r="M1915" i="27"/>
  <c r="N1915" i="27"/>
  <c r="O1915" i="27"/>
  <c r="F1916" i="27"/>
  <c r="G1916" i="27"/>
  <c r="H1916" i="27"/>
  <c r="I1916" i="27"/>
  <c r="M1916" i="27"/>
  <c r="N1916" i="27"/>
  <c r="O1916" i="27"/>
  <c r="F1917" i="27"/>
  <c r="G1917" i="27"/>
  <c r="H1917" i="27"/>
  <c r="I1917" i="27"/>
  <c r="M1917" i="27"/>
  <c r="N1917" i="27"/>
  <c r="O1917" i="27"/>
  <c r="F1918" i="27"/>
  <c r="G1918" i="27"/>
  <c r="H1918" i="27"/>
  <c r="I1918" i="27"/>
  <c r="M1918" i="27"/>
  <c r="N1918" i="27"/>
  <c r="O1918" i="27"/>
  <c r="F1919" i="27"/>
  <c r="G1919" i="27"/>
  <c r="H1919" i="27"/>
  <c r="I1919" i="27"/>
  <c r="M1919" i="27"/>
  <c r="N1919" i="27"/>
  <c r="O1919" i="27"/>
  <c r="F1920" i="27"/>
  <c r="G1920" i="27"/>
  <c r="H1920" i="27"/>
  <c r="I1920" i="27"/>
  <c r="M1920" i="27"/>
  <c r="N1920" i="27"/>
  <c r="O1920" i="27"/>
  <c r="F1921" i="27"/>
  <c r="G1921" i="27"/>
  <c r="H1921" i="27"/>
  <c r="I1921" i="27"/>
  <c r="M1921" i="27"/>
  <c r="N1921" i="27"/>
  <c r="O1921" i="27"/>
  <c r="F1922" i="27"/>
  <c r="G1922" i="27"/>
  <c r="H1922" i="27"/>
  <c r="I1922" i="27"/>
  <c r="M1922" i="27"/>
  <c r="N1922" i="27"/>
  <c r="O1922" i="27"/>
  <c r="F1923" i="27"/>
  <c r="G1923" i="27"/>
  <c r="H1923" i="27"/>
  <c r="I1923" i="27"/>
  <c r="M1923" i="27"/>
  <c r="N1923" i="27"/>
  <c r="O1923" i="27"/>
  <c r="F1924" i="27"/>
  <c r="G1924" i="27"/>
  <c r="H1924" i="27"/>
  <c r="I1924" i="27"/>
  <c r="M1924" i="27"/>
  <c r="N1924" i="27"/>
  <c r="O1924" i="27"/>
  <c r="F1925" i="27"/>
  <c r="G1925" i="27"/>
  <c r="H1925" i="27"/>
  <c r="I1925" i="27"/>
  <c r="M1925" i="27"/>
  <c r="N1925" i="27"/>
  <c r="O1925" i="27"/>
  <c r="F1926" i="27"/>
  <c r="G1926" i="27"/>
  <c r="H1926" i="27"/>
  <c r="I1926" i="27"/>
  <c r="M1926" i="27"/>
  <c r="N1926" i="27"/>
  <c r="O1926" i="27"/>
  <c r="F1927" i="27"/>
  <c r="G1927" i="27"/>
  <c r="H1927" i="27"/>
  <c r="I1927" i="27"/>
  <c r="M1927" i="27"/>
  <c r="N1927" i="27"/>
  <c r="O1927" i="27"/>
  <c r="F1928" i="27"/>
  <c r="G1928" i="27"/>
  <c r="H1928" i="27"/>
  <c r="I1928" i="27"/>
  <c r="M1928" i="27"/>
  <c r="N1928" i="27"/>
  <c r="O1928" i="27"/>
  <c r="F1929" i="27"/>
  <c r="G1929" i="27"/>
  <c r="H1929" i="27"/>
  <c r="I1929" i="27"/>
  <c r="M1929" i="27"/>
  <c r="N1929" i="27"/>
  <c r="O1929" i="27"/>
  <c r="F1930" i="27"/>
  <c r="G1930" i="27"/>
  <c r="H1930" i="27"/>
  <c r="I1930" i="27"/>
  <c r="M1930" i="27"/>
  <c r="N1930" i="27"/>
  <c r="O1930" i="27"/>
  <c r="F1931" i="27"/>
  <c r="G1931" i="27"/>
  <c r="H1931" i="27"/>
  <c r="I1931" i="27"/>
  <c r="M1931" i="27"/>
  <c r="N1931" i="27"/>
  <c r="O1931" i="27"/>
  <c r="F1932" i="27"/>
  <c r="G1932" i="27"/>
  <c r="H1932" i="27"/>
  <c r="I1932" i="27"/>
  <c r="M1932" i="27"/>
  <c r="N1932" i="27"/>
  <c r="O1932" i="27"/>
  <c r="F1933" i="27"/>
  <c r="G1933" i="27"/>
  <c r="H1933" i="27"/>
  <c r="I1933" i="27"/>
  <c r="M1933" i="27"/>
  <c r="N1933" i="27"/>
  <c r="O1933" i="27"/>
  <c r="F1934" i="27"/>
  <c r="G1934" i="27"/>
  <c r="H1934" i="27"/>
  <c r="I1934" i="27"/>
  <c r="M1934" i="27"/>
  <c r="N1934" i="27"/>
  <c r="O1934" i="27"/>
  <c r="F1935" i="27"/>
  <c r="G1935" i="27"/>
  <c r="H1935" i="27"/>
  <c r="I1935" i="27"/>
  <c r="M1935" i="27"/>
  <c r="N1935" i="27"/>
  <c r="O1935" i="27"/>
  <c r="F1936" i="27"/>
  <c r="G1936" i="27"/>
  <c r="H1936" i="27"/>
  <c r="I1936" i="27"/>
  <c r="M1936" i="27"/>
  <c r="N1936" i="27"/>
  <c r="O1936" i="27"/>
  <c r="F1937" i="27"/>
  <c r="G1937" i="27"/>
  <c r="H1937" i="27"/>
  <c r="I1937" i="27"/>
  <c r="M1937" i="27"/>
  <c r="N1937" i="27"/>
  <c r="O1937" i="27"/>
  <c r="F1938" i="27"/>
  <c r="G1938" i="27"/>
  <c r="H1938" i="27"/>
  <c r="I1938" i="27"/>
  <c r="M1938" i="27"/>
  <c r="N1938" i="27"/>
  <c r="O1938" i="27"/>
  <c r="F1939" i="27"/>
  <c r="G1939" i="27"/>
  <c r="H1939" i="27"/>
  <c r="I1939" i="27"/>
  <c r="M1939" i="27"/>
  <c r="N1939" i="27"/>
  <c r="O1939" i="27"/>
  <c r="F1940" i="27"/>
  <c r="G1940" i="27"/>
  <c r="H1940" i="27"/>
  <c r="I1940" i="27"/>
  <c r="M1940" i="27"/>
  <c r="N1940" i="27"/>
  <c r="O1940" i="27"/>
  <c r="F1941" i="27"/>
  <c r="G1941" i="27"/>
  <c r="H1941" i="27"/>
  <c r="I1941" i="27"/>
  <c r="M1941" i="27"/>
  <c r="N1941" i="27"/>
  <c r="O1941" i="27"/>
  <c r="F1942" i="27"/>
  <c r="G1942" i="27"/>
  <c r="H1942" i="27"/>
  <c r="I1942" i="27"/>
  <c r="M1942" i="27"/>
  <c r="N1942" i="27"/>
  <c r="O1942" i="27"/>
  <c r="F1943" i="27"/>
  <c r="G1943" i="27"/>
  <c r="H1943" i="27"/>
  <c r="I1943" i="27"/>
  <c r="M1943" i="27"/>
  <c r="N1943" i="27"/>
  <c r="O1943" i="27"/>
  <c r="F1944" i="27"/>
  <c r="G1944" i="27"/>
  <c r="H1944" i="27"/>
  <c r="I1944" i="27"/>
  <c r="M1944" i="27"/>
  <c r="N1944" i="27"/>
  <c r="O1944" i="27"/>
  <c r="F1945" i="27"/>
  <c r="G1945" i="27"/>
  <c r="H1945" i="27"/>
  <c r="I1945" i="27"/>
  <c r="M1945" i="27"/>
  <c r="N1945" i="27"/>
  <c r="O1945" i="27"/>
  <c r="F1946" i="27"/>
  <c r="G1946" i="27"/>
  <c r="H1946" i="27"/>
  <c r="I1946" i="27"/>
  <c r="M1946" i="27"/>
  <c r="N1946" i="27"/>
  <c r="O1946" i="27"/>
  <c r="F1947" i="27"/>
  <c r="G1947" i="27"/>
  <c r="H1947" i="27"/>
  <c r="I1947" i="27"/>
  <c r="M1947" i="27"/>
  <c r="N1947" i="27"/>
  <c r="O1947" i="27"/>
  <c r="F1948" i="27"/>
  <c r="G1948" i="27"/>
  <c r="H1948" i="27"/>
  <c r="I1948" i="27"/>
  <c r="M1948" i="27"/>
  <c r="N1948" i="27"/>
  <c r="O1948" i="27"/>
  <c r="F1949" i="27"/>
  <c r="G1949" i="27"/>
  <c r="H1949" i="27"/>
  <c r="I1949" i="27"/>
  <c r="M1949" i="27"/>
  <c r="N1949" i="27"/>
  <c r="O1949" i="27"/>
  <c r="F1950" i="27"/>
  <c r="G1950" i="27"/>
  <c r="H1950" i="27"/>
  <c r="I1950" i="27"/>
  <c r="M1950" i="27"/>
  <c r="N1950" i="27"/>
  <c r="O1950" i="27"/>
  <c r="F1951" i="27"/>
  <c r="G1951" i="27"/>
  <c r="H1951" i="27"/>
  <c r="I1951" i="27"/>
  <c r="M1951" i="27"/>
  <c r="N1951" i="27"/>
  <c r="O1951" i="27"/>
  <c r="F1952" i="27"/>
  <c r="G1952" i="27"/>
  <c r="H1952" i="27"/>
  <c r="I1952" i="27"/>
  <c r="M1952" i="27"/>
  <c r="N1952" i="27"/>
  <c r="O1952" i="27"/>
  <c r="F1953" i="27"/>
  <c r="G1953" i="27"/>
  <c r="H1953" i="27"/>
  <c r="I1953" i="27"/>
  <c r="M1953" i="27"/>
  <c r="N1953" i="27"/>
  <c r="O1953" i="27"/>
  <c r="F1954" i="27"/>
  <c r="G1954" i="27"/>
  <c r="H1954" i="27"/>
  <c r="I1954" i="27"/>
  <c r="M1954" i="27"/>
  <c r="N1954" i="27"/>
  <c r="O1954" i="27"/>
  <c r="F1955" i="27"/>
  <c r="G1955" i="27"/>
  <c r="H1955" i="27"/>
  <c r="I1955" i="27"/>
  <c r="M1955" i="27"/>
  <c r="N1955" i="27"/>
  <c r="O1955" i="27"/>
  <c r="F1956" i="27"/>
  <c r="G1956" i="27"/>
  <c r="H1956" i="27"/>
  <c r="I1956" i="27"/>
  <c r="M1956" i="27"/>
  <c r="N1956" i="27"/>
  <c r="O1956" i="27"/>
  <c r="F1957" i="27"/>
  <c r="G1957" i="27"/>
  <c r="H1957" i="27"/>
  <c r="I1957" i="27"/>
  <c r="M1957" i="27"/>
  <c r="N1957" i="27"/>
  <c r="O1957" i="27"/>
  <c r="F1958" i="27"/>
  <c r="G1958" i="27"/>
  <c r="H1958" i="27"/>
  <c r="I1958" i="27"/>
  <c r="M1958" i="27"/>
  <c r="N1958" i="27"/>
  <c r="O1958" i="27"/>
  <c r="F1959" i="27"/>
  <c r="G1959" i="27"/>
  <c r="H1959" i="27"/>
  <c r="I1959" i="27"/>
  <c r="M1959" i="27"/>
  <c r="N1959" i="27"/>
  <c r="O1959" i="27"/>
  <c r="F1960" i="27"/>
  <c r="G1960" i="27"/>
  <c r="H1960" i="27"/>
  <c r="I1960" i="27"/>
  <c r="M1960" i="27"/>
  <c r="N1960" i="27"/>
  <c r="O1960" i="27"/>
  <c r="F1961" i="27"/>
  <c r="G1961" i="27"/>
  <c r="H1961" i="27"/>
  <c r="I1961" i="27"/>
  <c r="M1961" i="27"/>
  <c r="N1961" i="27"/>
  <c r="O1961" i="27"/>
  <c r="F1962" i="27"/>
  <c r="G1962" i="27"/>
  <c r="H1962" i="27"/>
  <c r="I1962" i="27"/>
  <c r="M1962" i="27"/>
  <c r="N1962" i="27"/>
  <c r="O1962" i="27"/>
  <c r="F1963" i="27"/>
  <c r="G1963" i="27"/>
  <c r="H1963" i="27"/>
  <c r="I1963" i="27"/>
  <c r="M1963" i="27"/>
  <c r="N1963" i="27"/>
  <c r="O1963" i="27"/>
  <c r="F1964" i="27"/>
  <c r="G1964" i="27"/>
  <c r="H1964" i="27"/>
  <c r="I1964" i="27"/>
  <c r="M1964" i="27"/>
  <c r="N1964" i="27"/>
  <c r="O1964" i="27"/>
  <c r="F1965" i="27"/>
  <c r="G1965" i="27"/>
  <c r="H1965" i="27"/>
  <c r="I1965" i="27"/>
  <c r="M1965" i="27"/>
  <c r="N1965" i="27"/>
  <c r="O1965" i="27"/>
  <c r="F1966" i="27"/>
  <c r="G1966" i="27"/>
  <c r="H1966" i="27"/>
  <c r="I1966" i="27"/>
  <c r="M1966" i="27"/>
  <c r="N1966" i="27"/>
  <c r="O1966" i="27"/>
  <c r="F1967" i="27"/>
  <c r="G1967" i="27"/>
  <c r="H1967" i="27"/>
  <c r="I1967" i="27"/>
  <c r="M1967" i="27"/>
  <c r="N1967" i="27"/>
  <c r="O1967" i="27"/>
  <c r="F1968" i="27"/>
  <c r="G1968" i="27"/>
  <c r="H1968" i="27"/>
  <c r="I1968" i="27"/>
  <c r="M1968" i="27"/>
  <c r="N1968" i="27"/>
  <c r="O1968" i="27"/>
  <c r="F1969" i="27"/>
  <c r="G1969" i="27"/>
  <c r="H1969" i="27"/>
  <c r="I1969" i="27"/>
  <c r="M1969" i="27"/>
  <c r="N1969" i="27"/>
  <c r="O1969" i="27"/>
  <c r="F1970" i="27"/>
  <c r="G1970" i="27"/>
  <c r="H1970" i="27"/>
  <c r="I1970" i="27"/>
  <c r="M1970" i="27"/>
  <c r="N1970" i="27"/>
  <c r="O1970" i="27"/>
  <c r="F1971" i="27"/>
  <c r="G1971" i="27"/>
  <c r="H1971" i="27"/>
  <c r="I1971" i="27"/>
  <c r="M1971" i="27"/>
  <c r="N1971" i="27"/>
  <c r="O1971" i="27"/>
  <c r="F1972" i="27"/>
  <c r="G1972" i="27"/>
  <c r="H1972" i="27"/>
  <c r="I1972" i="27"/>
  <c r="M1972" i="27"/>
  <c r="N1972" i="27"/>
  <c r="O1972" i="27"/>
  <c r="F1973" i="27"/>
  <c r="G1973" i="27"/>
  <c r="H1973" i="27"/>
  <c r="I1973" i="27"/>
  <c r="M1973" i="27"/>
  <c r="N1973" i="27"/>
  <c r="O1973" i="27"/>
  <c r="F1974" i="27"/>
  <c r="G1974" i="27"/>
  <c r="H1974" i="27"/>
  <c r="I1974" i="27"/>
  <c r="M1974" i="27"/>
  <c r="N1974" i="27"/>
  <c r="O1974" i="27"/>
  <c r="F1975" i="27"/>
  <c r="G1975" i="27"/>
  <c r="H1975" i="27"/>
  <c r="I1975" i="27"/>
  <c r="M1975" i="27"/>
  <c r="N1975" i="27"/>
  <c r="O1975" i="27"/>
  <c r="F1976" i="27"/>
  <c r="G1976" i="27"/>
  <c r="H1976" i="27"/>
  <c r="I1976" i="27"/>
  <c r="M1976" i="27"/>
  <c r="N1976" i="27"/>
  <c r="O1976" i="27"/>
  <c r="F1977" i="27"/>
  <c r="G1977" i="27"/>
  <c r="H1977" i="27"/>
  <c r="I1977" i="27"/>
  <c r="M1977" i="27"/>
  <c r="N1977" i="27"/>
  <c r="O1977" i="27"/>
  <c r="F1978" i="27"/>
  <c r="G1978" i="27"/>
  <c r="H1978" i="27"/>
  <c r="I1978" i="27"/>
  <c r="M1978" i="27"/>
  <c r="N1978" i="27"/>
  <c r="O1978" i="27"/>
  <c r="F1979" i="27"/>
  <c r="G1979" i="27"/>
  <c r="H1979" i="27"/>
  <c r="I1979" i="27"/>
  <c r="M1979" i="27"/>
  <c r="N1979" i="27"/>
  <c r="O1979" i="27"/>
  <c r="F1980" i="27"/>
  <c r="G1980" i="27"/>
  <c r="H1980" i="27"/>
  <c r="I1980" i="27"/>
  <c r="M1980" i="27"/>
  <c r="N1980" i="27"/>
  <c r="O1980" i="27"/>
  <c r="F1981" i="27"/>
  <c r="G1981" i="27"/>
  <c r="H1981" i="27"/>
  <c r="I1981" i="27"/>
  <c r="M1981" i="27"/>
  <c r="N1981" i="27"/>
  <c r="O1981" i="27"/>
  <c r="F1982" i="27"/>
  <c r="G1982" i="27"/>
  <c r="H1982" i="27"/>
  <c r="I1982" i="27"/>
  <c r="M1982" i="27"/>
  <c r="N1982" i="27"/>
  <c r="O1982" i="27"/>
  <c r="F1983" i="27"/>
  <c r="G1983" i="27"/>
  <c r="H1983" i="27"/>
  <c r="I1983" i="27"/>
  <c r="M1983" i="27"/>
  <c r="N1983" i="27"/>
  <c r="O1983" i="27"/>
  <c r="F1984" i="27"/>
  <c r="G1984" i="27"/>
  <c r="H1984" i="27"/>
  <c r="I1984" i="27"/>
  <c r="M1984" i="27"/>
  <c r="N1984" i="27"/>
  <c r="O1984" i="27"/>
  <c r="F1985" i="27"/>
  <c r="G1985" i="27"/>
  <c r="H1985" i="27"/>
  <c r="I1985" i="27"/>
  <c r="M1985" i="27"/>
  <c r="N1985" i="27"/>
  <c r="O1985" i="27"/>
  <c r="F1986" i="27"/>
  <c r="G1986" i="27"/>
  <c r="H1986" i="27"/>
  <c r="I1986" i="27"/>
  <c r="M1986" i="27"/>
  <c r="N1986" i="27"/>
  <c r="O1986" i="27"/>
  <c r="F1987" i="27"/>
  <c r="G1987" i="27"/>
  <c r="H1987" i="27"/>
  <c r="I1987" i="27"/>
  <c r="M1987" i="27"/>
  <c r="N1987" i="27"/>
  <c r="O1987" i="27"/>
  <c r="F1988" i="27"/>
  <c r="G1988" i="27"/>
  <c r="H1988" i="27"/>
  <c r="I1988" i="27"/>
  <c r="M1988" i="27"/>
  <c r="N1988" i="27"/>
  <c r="O1988" i="27"/>
  <c r="F1989" i="27"/>
  <c r="G1989" i="27"/>
  <c r="H1989" i="27"/>
  <c r="I1989" i="27"/>
  <c r="M1989" i="27"/>
  <c r="N1989" i="27"/>
  <c r="O1989" i="27"/>
  <c r="F1990" i="27"/>
  <c r="G1990" i="27"/>
  <c r="H1990" i="27"/>
  <c r="I1990" i="27"/>
  <c r="M1990" i="27"/>
  <c r="N1990" i="27"/>
  <c r="O1990" i="27"/>
  <c r="F1991" i="27"/>
  <c r="G1991" i="27"/>
  <c r="H1991" i="27"/>
  <c r="I1991" i="27"/>
  <c r="M1991" i="27"/>
  <c r="N1991" i="27"/>
  <c r="O1991" i="27"/>
  <c r="F1992" i="27"/>
  <c r="G1992" i="27"/>
  <c r="H1992" i="27"/>
  <c r="I1992" i="27"/>
  <c r="M1992" i="27"/>
  <c r="N1992" i="27"/>
  <c r="O1992" i="27"/>
  <c r="F1993" i="27"/>
  <c r="G1993" i="27"/>
  <c r="H1993" i="27"/>
  <c r="I1993" i="27"/>
  <c r="M1993" i="27"/>
  <c r="N1993" i="27"/>
  <c r="O1993" i="27"/>
  <c r="F1994" i="27"/>
  <c r="G1994" i="27"/>
  <c r="H1994" i="27"/>
  <c r="I1994" i="27"/>
  <c r="M1994" i="27"/>
  <c r="N1994" i="27"/>
  <c r="O1994" i="27"/>
  <c r="F1995" i="27"/>
  <c r="G1995" i="27"/>
  <c r="H1995" i="27"/>
  <c r="I1995" i="27"/>
  <c r="M1995" i="27"/>
  <c r="N1995" i="27"/>
  <c r="O1995" i="27"/>
  <c r="F1996" i="27"/>
  <c r="G1996" i="27"/>
  <c r="H1996" i="27"/>
  <c r="I1996" i="27"/>
  <c r="M1996" i="27"/>
  <c r="N1996" i="27"/>
  <c r="O1996" i="27"/>
  <c r="F1997" i="27"/>
  <c r="G1997" i="27"/>
  <c r="H1997" i="27"/>
  <c r="I1997" i="27"/>
  <c r="M1997" i="27"/>
  <c r="N1997" i="27"/>
  <c r="O1997" i="27"/>
  <c r="F1998" i="27"/>
  <c r="G1998" i="27"/>
  <c r="H1998" i="27"/>
  <c r="I1998" i="27"/>
  <c r="M1998" i="27"/>
  <c r="N1998" i="27"/>
  <c r="O1998" i="27"/>
  <c r="F1999" i="27"/>
  <c r="G1999" i="27"/>
  <c r="H1999" i="27"/>
  <c r="I1999" i="27"/>
  <c r="M1999" i="27"/>
  <c r="N1999" i="27"/>
  <c r="O1999" i="27"/>
  <c r="F2000" i="27"/>
  <c r="G2000" i="27"/>
  <c r="H2000" i="27"/>
  <c r="I2000" i="27"/>
  <c r="M2000" i="27"/>
  <c r="N2000" i="27"/>
  <c r="O2000" i="27"/>
  <c r="F2001" i="27"/>
  <c r="G2001" i="27"/>
  <c r="H2001" i="27"/>
  <c r="I2001" i="27"/>
  <c r="M2001" i="27"/>
  <c r="N2001" i="27"/>
  <c r="O2001" i="27"/>
  <c r="F2002" i="27"/>
  <c r="G2002" i="27"/>
  <c r="H2002" i="27"/>
  <c r="I2002" i="27"/>
  <c r="M2002" i="27"/>
  <c r="N2002" i="27"/>
  <c r="O2002" i="27"/>
  <c r="F2003" i="27"/>
  <c r="G2003" i="27"/>
  <c r="H2003" i="27"/>
  <c r="I2003" i="27"/>
  <c r="M2003" i="27"/>
  <c r="N2003" i="27"/>
  <c r="O2003" i="27"/>
  <c r="F2004" i="27"/>
  <c r="G2004" i="27"/>
  <c r="H2004" i="27"/>
  <c r="I2004" i="27"/>
  <c r="M2004" i="27"/>
  <c r="N2004" i="27"/>
  <c r="O2004" i="27"/>
  <c r="F2005" i="27"/>
  <c r="G2005" i="27"/>
  <c r="H2005" i="27"/>
  <c r="I2005" i="27"/>
  <c r="M2005" i="27"/>
  <c r="N2005" i="27"/>
  <c r="O2005" i="27"/>
  <c r="F2006" i="27"/>
  <c r="G2006" i="27"/>
  <c r="H2006" i="27"/>
  <c r="I2006" i="27"/>
  <c r="M2006" i="27"/>
  <c r="N2006" i="27"/>
  <c r="O2006" i="27"/>
  <c r="F2007" i="27"/>
  <c r="G2007" i="27"/>
  <c r="H2007" i="27"/>
  <c r="I2007" i="27"/>
  <c r="M2007" i="27"/>
  <c r="N2007" i="27"/>
  <c r="O2007" i="27"/>
  <c r="F2008" i="27"/>
  <c r="G2008" i="27"/>
  <c r="H2008" i="27"/>
  <c r="I2008" i="27"/>
  <c r="M2008" i="27"/>
  <c r="N2008" i="27"/>
  <c r="O2008" i="27"/>
  <c r="F2009" i="27"/>
  <c r="G2009" i="27"/>
  <c r="H2009" i="27"/>
  <c r="I2009" i="27"/>
  <c r="M2009" i="27"/>
  <c r="N2009" i="27"/>
  <c r="O2009" i="27"/>
  <c r="F2010" i="27"/>
  <c r="G2010" i="27"/>
  <c r="H2010" i="27"/>
  <c r="I2010" i="27"/>
  <c r="M2010" i="27"/>
  <c r="N2010" i="27"/>
  <c r="O2010" i="27"/>
  <c r="F2011" i="27"/>
  <c r="G2011" i="27"/>
  <c r="H2011" i="27"/>
  <c r="I2011" i="27"/>
  <c r="M2011" i="27"/>
  <c r="N2011" i="27"/>
  <c r="O2011" i="27"/>
  <c r="F2012" i="27"/>
  <c r="G2012" i="27"/>
  <c r="H2012" i="27"/>
  <c r="I2012" i="27"/>
  <c r="M2012" i="27"/>
  <c r="N2012" i="27"/>
  <c r="O2012" i="27"/>
  <c r="F2013" i="27"/>
  <c r="G2013" i="27"/>
  <c r="H2013" i="27"/>
  <c r="I2013" i="27"/>
  <c r="M2013" i="27"/>
  <c r="N2013" i="27"/>
  <c r="O2013" i="27"/>
  <c r="F2014" i="27"/>
  <c r="G2014" i="27"/>
  <c r="H2014" i="27"/>
  <c r="I2014" i="27"/>
  <c r="M2014" i="27"/>
  <c r="N2014" i="27"/>
  <c r="O2014" i="27"/>
  <c r="F2015" i="27"/>
  <c r="G2015" i="27"/>
  <c r="H2015" i="27"/>
  <c r="I2015" i="27"/>
  <c r="M2015" i="27"/>
  <c r="N2015" i="27"/>
  <c r="O2015" i="27"/>
  <c r="F2016" i="27"/>
  <c r="G2016" i="27"/>
  <c r="H2016" i="27"/>
  <c r="I2016" i="27"/>
  <c r="M2016" i="27"/>
  <c r="N2016" i="27"/>
  <c r="O2016" i="27"/>
  <c r="F2017" i="27"/>
  <c r="G2017" i="27"/>
  <c r="H2017" i="27"/>
  <c r="I2017" i="27"/>
  <c r="M2017" i="27"/>
  <c r="N2017" i="27"/>
  <c r="O2017" i="27"/>
  <c r="F2018" i="27"/>
  <c r="G2018" i="27"/>
  <c r="H2018" i="27"/>
  <c r="I2018" i="27"/>
  <c r="M2018" i="27"/>
  <c r="N2018" i="27"/>
  <c r="O2018" i="27"/>
  <c r="F2019" i="27"/>
  <c r="G2019" i="27"/>
  <c r="H2019" i="27"/>
  <c r="I2019" i="27"/>
  <c r="M2019" i="27"/>
  <c r="N2019" i="27"/>
  <c r="O2019" i="27"/>
  <c r="F2020" i="27"/>
  <c r="G2020" i="27"/>
  <c r="H2020" i="27"/>
  <c r="I2020" i="27"/>
  <c r="M2020" i="27"/>
  <c r="N2020" i="27"/>
  <c r="O2020" i="27"/>
  <c r="F2021" i="27"/>
  <c r="G2021" i="27"/>
  <c r="H2021" i="27"/>
  <c r="I2021" i="27"/>
  <c r="M2021" i="27"/>
  <c r="N2021" i="27"/>
  <c r="O2021" i="27"/>
  <c r="G1822" i="27"/>
  <c r="H1822" i="27"/>
  <c r="I1822" i="27"/>
  <c r="M1822" i="27"/>
  <c r="N1822" i="27"/>
  <c r="O1822" i="27"/>
  <c r="F1822" i="27"/>
  <c r="CI51" i="21"/>
  <c r="K2071" i="27" s="1"/>
  <c r="CH51" i="21"/>
  <c r="J2071" i="27" s="1"/>
  <c r="CJ51" i="21"/>
  <c r="L2071" i="27" s="1"/>
  <c r="CN51" i="21"/>
  <c r="P2071" i="27" s="1"/>
  <c r="CE201" i="39"/>
  <c r="J2021" i="27" s="1"/>
  <c r="CF201" i="39"/>
  <c r="K2021" i="27" s="1"/>
  <c r="CG201" i="39"/>
  <c r="L2021" i="27" s="1"/>
  <c r="CK201" i="39"/>
  <c r="P2021" i="27" s="1"/>
  <c r="CE51" i="36"/>
  <c r="CF51" i="36"/>
  <c r="K1821" i="27" s="1"/>
  <c r="CG51" i="36"/>
  <c r="L1821" i="27" s="1"/>
  <c r="CK51" i="36"/>
  <c r="P1821" i="27" s="1"/>
  <c r="F1773" i="27"/>
  <c r="G1773" i="27"/>
  <c r="H1773" i="27"/>
  <c r="I1773" i="27"/>
  <c r="M1773" i="27"/>
  <c r="N1773" i="27"/>
  <c r="O1773" i="27"/>
  <c r="F1774" i="27"/>
  <c r="G1774" i="27"/>
  <c r="H1774" i="27"/>
  <c r="I1774" i="27"/>
  <c r="M1774" i="27"/>
  <c r="N1774" i="27"/>
  <c r="O1774" i="27"/>
  <c r="F1775" i="27"/>
  <c r="G1775" i="27"/>
  <c r="H1775" i="27"/>
  <c r="I1775" i="27"/>
  <c r="M1775" i="27"/>
  <c r="N1775" i="27"/>
  <c r="O1775" i="27"/>
  <c r="F1776" i="27"/>
  <c r="G1776" i="27"/>
  <c r="H1776" i="27"/>
  <c r="I1776" i="27"/>
  <c r="M1776" i="27"/>
  <c r="N1776" i="27"/>
  <c r="O1776" i="27"/>
  <c r="F1777" i="27"/>
  <c r="G1777" i="27"/>
  <c r="H1777" i="27"/>
  <c r="I1777" i="27"/>
  <c r="M1777" i="27"/>
  <c r="N1777" i="27"/>
  <c r="O1777" i="27"/>
  <c r="F1778" i="27"/>
  <c r="G1778" i="27"/>
  <c r="H1778" i="27"/>
  <c r="I1778" i="27"/>
  <c r="M1778" i="27"/>
  <c r="N1778" i="27"/>
  <c r="O1778" i="27"/>
  <c r="F1779" i="27"/>
  <c r="G1779" i="27"/>
  <c r="H1779" i="27"/>
  <c r="I1779" i="27"/>
  <c r="M1779" i="27"/>
  <c r="N1779" i="27"/>
  <c r="O1779" i="27"/>
  <c r="F1780" i="27"/>
  <c r="G1780" i="27"/>
  <c r="H1780" i="27"/>
  <c r="I1780" i="27"/>
  <c r="M1780" i="27"/>
  <c r="N1780" i="27"/>
  <c r="O1780" i="27"/>
  <c r="F1781" i="27"/>
  <c r="G1781" i="27"/>
  <c r="H1781" i="27"/>
  <c r="I1781" i="27"/>
  <c r="M1781" i="27"/>
  <c r="N1781" i="27"/>
  <c r="O1781" i="27"/>
  <c r="F1782" i="27"/>
  <c r="G1782" i="27"/>
  <c r="H1782" i="27"/>
  <c r="I1782" i="27"/>
  <c r="M1782" i="27"/>
  <c r="N1782" i="27"/>
  <c r="O1782" i="27"/>
  <c r="F1783" i="27"/>
  <c r="G1783" i="27"/>
  <c r="H1783" i="27"/>
  <c r="I1783" i="27"/>
  <c r="M1783" i="27"/>
  <c r="N1783" i="27"/>
  <c r="O1783" i="27"/>
  <c r="F1784" i="27"/>
  <c r="G1784" i="27"/>
  <c r="H1784" i="27"/>
  <c r="I1784" i="27"/>
  <c r="M1784" i="27"/>
  <c r="N1784" i="27"/>
  <c r="O1784" i="27"/>
  <c r="F1785" i="27"/>
  <c r="G1785" i="27"/>
  <c r="H1785" i="27"/>
  <c r="I1785" i="27"/>
  <c r="M1785" i="27"/>
  <c r="N1785" i="27"/>
  <c r="O1785" i="27"/>
  <c r="F1786" i="27"/>
  <c r="G1786" i="27"/>
  <c r="H1786" i="27"/>
  <c r="I1786" i="27"/>
  <c r="M1786" i="27"/>
  <c r="N1786" i="27"/>
  <c r="O1786" i="27"/>
  <c r="F1787" i="27"/>
  <c r="G1787" i="27"/>
  <c r="H1787" i="27"/>
  <c r="I1787" i="27"/>
  <c r="M1787" i="27"/>
  <c r="N1787" i="27"/>
  <c r="O1787" i="27"/>
  <c r="F1788" i="27"/>
  <c r="G1788" i="27"/>
  <c r="H1788" i="27"/>
  <c r="I1788" i="27"/>
  <c r="M1788" i="27"/>
  <c r="N1788" i="27"/>
  <c r="O1788" i="27"/>
  <c r="F1789" i="27"/>
  <c r="G1789" i="27"/>
  <c r="H1789" i="27"/>
  <c r="I1789" i="27"/>
  <c r="M1789" i="27"/>
  <c r="N1789" i="27"/>
  <c r="O1789" i="27"/>
  <c r="F1790" i="27"/>
  <c r="G1790" i="27"/>
  <c r="H1790" i="27"/>
  <c r="I1790" i="27"/>
  <c r="M1790" i="27"/>
  <c r="N1790" i="27"/>
  <c r="O1790" i="27"/>
  <c r="F1791" i="27"/>
  <c r="G1791" i="27"/>
  <c r="H1791" i="27"/>
  <c r="I1791" i="27"/>
  <c r="M1791" i="27"/>
  <c r="N1791" i="27"/>
  <c r="O1791" i="27"/>
  <c r="F1792" i="27"/>
  <c r="G1792" i="27"/>
  <c r="H1792" i="27"/>
  <c r="I1792" i="27"/>
  <c r="M1792" i="27"/>
  <c r="N1792" i="27"/>
  <c r="O1792" i="27"/>
  <c r="F1793" i="27"/>
  <c r="G1793" i="27"/>
  <c r="H1793" i="27"/>
  <c r="I1793" i="27"/>
  <c r="M1793" i="27"/>
  <c r="N1793" i="27"/>
  <c r="O1793" i="27"/>
  <c r="F1794" i="27"/>
  <c r="G1794" i="27"/>
  <c r="H1794" i="27"/>
  <c r="I1794" i="27"/>
  <c r="M1794" i="27"/>
  <c r="N1794" i="27"/>
  <c r="O1794" i="27"/>
  <c r="F1795" i="27"/>
  <c r="G1795" i="27"/>
  <c r="H1795" i="27"/>
  <c r="I1795" i="27"/>
  <c r="M1795" i="27"/>
  <c r="N1795" i="27"/>
  <c r="O1795" i="27"/>
  <c r="F1796" i="27"/>
  <c r="G1796" i="27"/>
  <c r="H1796" i="27"/>
  <c r="I1796" i="27"/>
  <c r="M1796" i="27"/>
  <c r="N1796" i="27"/>
  <c r="O1796" i="27"/>
  <c r="F1797" i="27"/>
  <c r="G1797" i="27"/>
  <c r="H1797" i="27"/>
  <c r="I1797" i="27"/>
  <c r="M1797" i="27"/>
  <c r="N1797" i="27"/>
  <c r="O1797" i="27"/>
  <c r="F1798" i="27"/>
  <c r="G1798" i="27"/>
  <c r="H1798" i="27"/>
  <c r="I1798" i="27"/>
  <c r="M1798" i="27"/>
  <c r="N1798" i="27"/>
  <c r="O1798" i="27"/>
  <c r="F1799" i="27"/>
  <c r="G1799" i="27"/>
  <c r="H1799" i="27"/>
  <c r="I1799" i="27"/>
  <c r="M1799" i="27"/>
  <c r="N1799" i="27"/>
  <c r="O1799" i="27"/>
  <c r="F1800" i="27"/>
  <c r="G1800" i="27"/>
  <c r="H1800" i="27"/>
  <c r="I1800" i="27"/>
  <c r="M1800" i="27"/>
  <c r="N1800" i="27"/>
  <c r="O1800" i="27"/>
  <c r="F1801" i="27"/>
  <c r="G1801" i="27"/>
  <c r="H1801" i="27"/>
  <c r="I1801" i="27"/>
  <c r="M1801" i="27"/>
  <c r="N1801" i="27"/>
  <c r="O1801" i="27"/>
  <c r="F1802" i="27"/>
  <c r="G1802" i="27"/>
  <c r="H1802" i="27"/>
  <c r="I1802" i="27"/>
  <c r="M1802" i="27"/>
  <c r="N1802" i="27"/>
  <c r="O1802" i="27"/>
  <c r="F1803" i="27"/>
  <c r="G1803" i="27"/>
  <c r="H1803" i="27"/>
  <c r="I1803" i="27"/>
  <c r="M1803" i="27"/>
  <c r="N1803" i="27"/>
  <c r="O1803" i="27"/>
  <c r="F1804" i="27"/>
  <c r="G1804" i="27"/>
  <c r="H1804" i="27"/>
  <c r="I1804" i="27"/>
  <c r="M1804" i="27"/>
  <c r="N1804" i="27"/>
  <c r="O1804" i="27"/>
  <c r="F1805" i="27"/>
  <c r="G1805" i="27"/>
  <c r="H1805" i="27"/>
  <c r="I1805" i="27"/>
  <c r="M1805" i="27"/>
  <c r="N1805" i="27"/>
  <c r="O1805" i="27"/>
  <c r="F1806" i="27"/>
  <c r="G1806" i="27"/>
  <c r="H1806" i="27"/>
  <c r="I1806" i="27"/>
  <c r="M1806" i="27"/>
  <c r="N1806" i="27"/>
  <c r="O1806" i="27"/>
  <c r="F1807" i="27"/>
  <c r="G1807" i="27"/>
  <c r="H1807" i="27"/>
  <c r="I1807" i="27"/>
  <c r="M1807" i="27"/>
  <c r="N1807" i="27"/>
  <c r="O1807" i="27"/>
  <c r="F1808" i="27"/>
  <c r="G1808" i="27"/>
  <c r="H1808" i="27"/>
  <c r="I1808" i="27"/>
  <c r="M1808" i="27"/>
  <c r="N1808" i="27"/>
  <c r="O1808" i="27"/>
  <c r="F1809" i="27"/>
  <c r="G1809" i="27"/>
  <c r="H1809" i="27"/>
  <c r="I1809" i="27"/>
  <c r="M1809" i="27"/>
  <c r="N1809" i="27"/>
  <c r="O1809" i="27"/>
  <c r="F1810" i="27"/>
  <c r="G1810" i="27"/>
  <c r="H1810" i="27"/>
  <c r="I1810" i="27"/>
  <c r="M1810" i="27"/>
  <c r="N1810" i="27"/>
  <c r="O1810" i="27"/>
  <c r="F1811" i="27"/>
  <c r="G1811" i="27"/>
  <c r="H1811" i="27"/>
  <c r="I1811" i="27"/>
  <c r="M1811" i="27"/>
  <c r="N1811" i="27"/>
  <c r="O1811" i="27"/>
  <c r="F1812" i="27"/>
  <c r="G1812" i="27"/>
  <c r="H1812" i="27"/>
  <c r="I1812" i="27"/>
  <c r="M1812" i="27"/>
  <c r="N1812" i="27"/>
  <c r="O1812" i="27"/>
  <c r="F1813" i="27"/>
  <c r="G1813" i="27"/>
  <c r="H1813" i="27"/>
  <c r="I1813" i="27"/>
  <c r="M1813" i="27"/>
  <c r="N1813" i="27"/>
  <c r="O1813" i="27"/>
  <c r="F1814" i="27"/>
  <c r="G1814" i="27"/>
  <c r="H1814" i="27"/>
  <c r="I1814" i="27"/>
  <c r="M1814" i="27"/>
  <c r="N1814" i="27"/>
  <c r="O1814" i="27"/>
  <c r="F1815" i="27"/>
  <c r="G1815" i="27"/>
  <c r="H1815" i="27"/>
  <c r="I1815" i="27"/>
  <c r="M1815" i="27"/>
  <c r="N1815" i="27"/>
  <c r="O1815" i="27"/>
  <c r="F1816" i="27"/>
  <c r="G1816" i="27"/>
  <c r="H1816" i="27"/>
  <c r="I1816" i="27"/>
  <c r="M1816" i="27"/>
  <c r="N1816" i="27"/>
  <c r="O1816" i="27"/>
  <c r="F1817" i="27"/>
  <c r="G1817" i="27"/>
  <c r="H1817" i="27"/>
  <c r="I1817" i="27"/>
  <c r="M1817" i="27"/>
  <c r="N1817" i="27"/>
  <c r="O1817" i="27"/>
  <c r="F1818" i="27"/>
  <c r="G1818" i="27"/>
  <c r="H1818" i="27"/>
  <c r="I1818" i="27"/>
  <c r="M1818" i="27"/>
  <c r="N1818" i="27"/>
  <c r="O1818" i="27"/>
  <c r="F1819" i="27"/>
  <c r="G1819" i="27"/>
  <c r="H1819" i="27"/>
  <c r="I1819" i="27"/>
  <c r="M1819" i="27"/>
  <c r="N1819" i="27"/>
  <c r="O1819" i="27"/>
  <c r="F1820" i="27"/>
  <c r="G1820" i="27"/>
  <c r="H1820" i="27"/>
  <c r="I1820" i="27"/>
  <c r="M1820" i="27"/>
  <c r="N1820" i="27"/>
  <c r="O1820" i="27"/>
  <c r="F1821" i="27"/>
  <c r="G1821" i="27"/>
  <c r="H1821" i="27"/>
  <c r="I1821" i="27"/>
  <c r="J1821" i="27"/>
  <c r="M1821" i="27"/>
  <c r="N1821" i="27"/>
  <c r="O1821" i="27"/>
  <c r="G1772" i="27"/>
  <c r="H1772" i="27"/>
  <c r="I1772" i="27"/>
  <c r="M1772" i="27"/>
  <c r="N1772" i="27"/>
  <c r="O1772" i="27"/>
  <c r="F1772" i="27"/>
  <c r="F1673" i="27"/>
  <c r="G1673" i="27"/>
  <c r="H1673" i="27"/>
  <c r="I1673" i="27"/>
  <c r="M1673" i="27"/>
  <c r="N1673" i="27"/>
  <c r="O1673" i="27"/>
  <c r="F1674" i="27"/>
  <c r="G1674" i="27"/>
  <c r="H1674" i="27"/>
  <c r="I1674" i="27"/>
  <c r="M1674" i="27"/>
  <c r="N1674" i="27"/>
  <c r="O1674" i="27"/>
  <c r="F1675" i="27"/>
  <c r="G1675" i="27"/>
  <c r="H1675" i="27"/>
  <c r="I1675" i="27"/>
  <c r="M1675" i="27"/>
  <c r="N1675" i="27"/>
  <c r="O1675" i="27"/>
  <c r="F1676" i="27"/>
  <c r="G1676" i="27"/>
  <c r="H1676" i="27"/>
  <c r="I1676" i="27"/>
  <c r="M1676" i="27"/>
  <c r="N1676" i="27"/>
  <c r="O1676" i="27"/>
  <c r="F1677" i="27"/>
  <c r="G1677" i="27"/>
  <c r="H1677" i="27"/>
  <c r="I1677" i="27"/>
  <c r="M1677" i="27"/>
  <c r="N1677" i="27"/>
  <c r="O1677" i="27"/>
  <c r="F1678" i="27"/>
  <c r="G1678" i="27"/>
  <c r="H1678" i="27"/>
  <c r="I1678" i="27"/>
  <c r="M1678" i="27"/>
  <c r="N1678" i="27"/>
  <c r="O1678" i="27"/>
  <c r="F1679" i="27"/>
  <c r="G1679" i="27"/>
  <c r="H1679" i="27"/>
  <c r="I1679" i="27"/>
  <c r="M1679" i="27"/>
  <c r="N1679" i="27"/>
  <c r="O1679" i="27"/>
  <c r="F1680" i="27"/>
  <c r="G1680" i="27"/>
  <c r="H1680" i="27"/>
  <c r="I1680" i="27"/>
  <c r="M1680" i="27"/>
  <c r="N1680" i="27"/>
  <c r="O1680" i="27"/>
  <c r="F1681" i="27"/>
  <c r="G1681" i="27"/>
  <c r="H1681" i="27"/>
  <c r="I1681" i="27"/>
  <c r="M1681" i="27"/>
  <c r="N1681" i="27"/>
  <c r="O1681" i="27"/>
  <c r="F1682" i="27"/>
  <c r="G1682" i="27"/>
  <c r="H1682" i="27"/>
  <c r="I1682" i="27"/>
  <c r="M1682" i="27"/>
  <c r="N1682" i="27"/>
  <c r="O1682" i="27"/>
  <c r="F1683" i="27"/>
  <c r="G1683" i="27"/>
  <c r="H1683" i="27"/>
  <c r="I1683" i="27"/>
  <c r="M1683" i="27"/>
  <c r="N1683" i="27"/>
  <c r="O1683" i="27"/>
  <c r="F1684" i="27"/>
  <c r="G1684" i="27"/>
  <c r="H1684" i="27"/>
  <c r="I1684" i="27"/>
  <c r="M1684" i="27"/>
  <c r="N1684" i="27"/>
  <c r="O1684" i="27"/>
  <c r="F1685" i="27"/>
  <c r="G1685" i="27"/>
  <c r="H1685" i="27"/>
  <c r="I1685" i="27"/>
  <c r="M1685" i="27"/>
  <c r="N1685" i="27"/>
  <c r="O1685" i="27"/>
  <c r="F1686" i="27"/>
  <c r="G1686" i="27"/>
  <c r="H1686" i="27"/>
  <c r="I1686" i="27"/>
  <c r="M1686" i="27"/>
  <c r="N1686" i="27"/>
  <c r="O1686" i="27"/>
  <c r="F1687" i="27"/>
  <c r="G1687" i="27"/>
  <c r="H1687" i="27"/>
  <c r="I1687" i="27"/>
  <c r="M1687" i="27"/>
  <c r="N1687" i="27"/>
  <c r="O1687" i="27"/>
  <c r="F1688" i="27"/>
  <c r="G1688" i="27"/>
  <c r="H1688" i="27"/>
  <c r="I1688" i="27"/>
  <c r="M1688" i="27"/>
  <c r="N1688" i="27"/>
  <c r="O1688" i="27"/>
  <c r="F1689" i="27"/>
  <c r="G1689" i="27"/>
  <c r="H1689" i="27"/>
  <c r="I1689" i="27"/>
  <c r="M1689" i="27"/>
  <c r="N1689" i="27"/>
  <c r="O1689" i="27"/>
  <c r="F1690" i="27"/>
  <c r="G1690" i="27"/>
  <c r="H1690" i="27"/>
  <c r="I1690" i="27"/>
  <c r="M1690" i="27"/>
  <c r="N1690" i="27"/>
  <c r="O1690" i="27"/>
  <c r="F1691" i="27"/>
  <c r="G1691" i="27"/>
  <c r="H1691" i="27"/>
  <c r="I1691" i="27"/>
  <c r="M1691" i="27"/>
  <c r="N1691" i="27"/>
  <c r="O1691" i="27"/>
  <c r="F1692" i="27"/>
  <c r="G1692" i="27"/>
  <c r="H1692" i="27"/>
  <c r="I1692" i="27"/>
  <c r="M1692" i="27"/>
  <c r="N1692" i="27"/>
  <c r="O1692" i="27"/>
  <c r="F1693" i="27"/>
  <c r="G1693" i="27"/>
  <c r="H1693" i="27"/>
  <c r="I1693" i="27"/>
  <c r="M1693" i="27"/>
  <c r="N1693" i="27"/>
  <c r="O1693" i="27"/>
  <c r="F1694" i="27"/>
  <c r="G1694" i="27"/>
  <c r="H1694" i="27"/>
  <c r="I1694" i="27"/>
  <c r="M1694" i="27"/>
  <c r="N1694" i="27"/>
  <c r="O1694" i="27"/>
  <c r="F1695" i="27"/>
  <c r="G1695" i="27"/>
  <c r="H1695" i="27"/>
  <c r="I1695" i="27"/>
  <c r="M1695" i="27"/>
  <c r="N1695" i="27"/>
  <c r="O1695" i="27"/>
  <c r="F1696" i="27"/>
  <c r="G1696" i="27"/>
  <c r="H1696" i="27"/>
  <c r="I1696" i="27"/>
  <c r="M1696" i="27"/>
  <c r="N1696" i="27"/>
  <c r="O1696" i="27"/>
  <c r="F1697" i="27"/>
  <c r="G1697" i="27"/>
  <c r="H1697" i="27"/>
  <c r="I1697" i="27"/>
  <c r="M1697" i="27"/>
  <c r="N1697" i="27"/>
  <c r="O1697" i="27"/>
  <c r="F1698" i="27"/>
  <c r="G1698" i="27"/>
  <c r="H1698" i="27"/>
  <c r="I1698" i="27"/>
  <c r="M1698" i="27"/>
  <c r="N1698" i="27"/>
  <c r="O1698" i="27"/>
  <c r="F1699" i="27"/>
  <c r="G1699" i="27"/>
  <c r="H1699" i="27"/>
  <c r="I1699" i="27"/>
  <c r="M1699" i="27"/>
  <c r="N1699" i="27"/>
  <c r="O1699" i="27"/>
  <c r="F1700" i="27"/>
  <c r="G1700" i="27"/>
  <c r="H1700" i="27"/>
  <c r="I1700" i="27"/>
  <c r="M1700" i="27"/>
  <c r="N1700" i="27"/>
  <c r="O1700" i="27"/>
  <c r="F1701" i="27"/>
  <c r="G1701" i="27"/>
  <c r="H1701" i="27"/>
  <c r="I1701" i="27"/>
  <c r="M1701" i="27"/>
  <c r="N1701" i="27"/>
  <c r="O1701" i="27"/>
  <c r="F1702" i="27"/>
  <c r="G1702" i="27"/>
  <c r="H1702" i="27"/>
  <c r="I1702" i="27"/>
  <c r="M1702" i="27"/>
  <c r="N1702" i="27"/>
  <c r="O1702" i="27"/>
  <c r="F1703" i="27"/>
  <c r="G1703" i="27"/>
  <c r="H1703" i="27"/>
  <c r="I1703" i="27"/>
  <c r="M1703" i="27"/>
  <c r="N1703" i="27"/>
  <c r="O1703" i="27"/>
  <c r="F1704" i="27"/>
  <c r="G1704" i="27"/>
  <c r="H1704" i="27"/>
  <c r="I1704" i="27"/>
  <c r="M1704" i="27"/>
  <c r="N1704" i="27"/>
  <c r="O1704" i="27"/>
  <c r="F1705" i="27"/>
  <c r="G1705" i="27"/>
  <c r="H1705" i="27"/>
  <c r="I1705" i="27"/>
  <c r="M1705" i="27"/>
  <c r="N1705" i="27"/>
  <c r="O1705" i="27"/>
  <c r="F1706" i="27"/>
  <c r="G1706" i="27"/>
  <c r="H1706" i="27"/>
  <c r="I1706" i="27"/>
  <c r="M1706" i="27"/>
  <c r="N1706" i="27"/>
  <c r="O1706" i="27"/>
  <c r="F1707" i="27"/>
  <c r="G1707" i="27"/>
  <c r="H1707" i="27"/>
  <c r="I1707" i="27"/>
  <c r="M1707" i="27"/>
  <c r="N1707" i="27"/>
  <c r="O1707" i="27"/>
  <c r="F1708" i="27"/>
  <c r="G1708" i="27"/>
  <c r="H1708" i="27"/>
  <c r="I1708" i="27"/>
  <c r="M1708" i="27"/>
  <c r="N1708" i="27"/>
  <c r="O1708" i="27"/>
  <c r="F1709" i="27"/>
  <c r="G1709" i="27"/>
  <c r="H1709" i="27"/>
  <c r="I1709" i="27"/>
  <c r="M1709" i="27"/>
  <c r="N1709" i="27"/>
  <c r="O1709" i="27"/>
  <c r="F1710" i="27"/>
  <c r="G1710" i="27"/>
  <c r="H1710" i="27"/>
  <c r="I1710" i="27"/>
  <c r="M1710" i="27"/>
  <c r="N1710" i="27"/>
  <c r="O1710" i="27"/>
  <c r="F1711" i="27"/>
  <c r="G1711" i="27"/>
  <c r="H1711" i="27"/>
  <c r="I1711" i="27"/>
  <c r="M1711" i="27"/>
  <c r="N1711" i="27"/>
  <c r="O1711" i="27"/>
  <c r="F1712" i="27"/>
  <c r="G1712" i="27"/>
  <c r="H1712" i="27"/>
  <c r="I1712" i="27"/>
  <c r="M1712" i="27"/>
  <c r="N1712" i="27"/>
  <c r="O1712" i="27"/>
  <c r="F1713" i="27"/>
  <c r="G1713" i="27"/>
  <c r="H1713" i="27"/>
  <c r="I1713" i="27"/>
  <c r="M1713" i="27"/>
  <c r="N1713" i="27"/>
  <c r="O1713" i="27"/>
  <c r="F1714" i="27"/>
  <c r="G1714" i="27"/>
  <c r="H1714" i="27"/>
  <c r="I1714" i="27"/>
  <c r="M1714" i="27"/>
  <c r="N1714" i="27"/>
  <c r="O1714" i="27"/>
  <c r="F1715" i="27"/>
  <c r="G1715" i="27"/>
  <c r="H1715" i="27"/>
  <c r="I1715" i="27"/>
  <c r="M1715" i="27"/>
  <c r="N1715" i="27"/>
  <c r="O1715" i="27"/>
  <c r="F1716" i="27"/>
  <c r="G1716" i="27"/>
  <c r="H1716" i="27"/>
  <c r="I1716" i="27"/>
  <c r="M1716" i="27"/>
  <c r="N1716" i="27"/>
  <c r="O1716" i="27"/>
  <c r="F1717" i="27"/>
  <c r="G1717" i="27"/>
  <c r="H1717" i="27"/>
  <c r="I1717" i="27"/>
  <c r="M1717" i="27"/>
  <c r="N1717" i="27"/>
  <c r="O1717" i="27"/>
  <c r="F1718" i="27"/>
  <c r="G1718" i="27"/>
  <c r="H1718" i="27"/>
  <c r="I1718" i="27"/>
  <c r="M1718" i="27"/>
  <c r="N1718" i="27"/>
  <c r="O1718" i="27"/>
  <c r="F1719" i="27"/>
  <c r="G1719" i="27"/>
  <c r="H1719" i="27"/>
  <c r="I1719" i="27"/>
  <c r="M1719" i="27"/>
  <c r="N1719" i="27"/>
  <c r="O1719" i="27"/>
  <c r="F1720" i="27"/>
  <c r="G1720" i="27"/>
  <c r="H1720" i="27"/>
  <c r="I1720" i="27"/>
  <c r="M1720" i="27"/>
  <c r="N1720" i="27"/>
  <c r="O1720" i="27"/>
  <c r="F1721" i="27"/>
  <c r="G1721" i="27"/>
  <c r="H1721" i="27"/>
  <c r="I1721" i="27"/>
  <c r="M1721" i="27"/>
  <c r="N1721" i="27"/>
  <c r="O1721" i="27"/>
  <c r="F1722" i="27"/>
  <c r="G1722" i="27"/>
  <c r="H1722" i="27"/>
  <c r="I1722" i="27"/>
  <c r="M1722" i="27"/>
  <c r="N1722" i="27"/>
  <c r="O1722" i="27"/>
  <c r="F1723" i="27"/>
  <c r="G1723" i="27"/>
  <c r="H1723" i="27"/>
  <c r="I1723" i="27"/>
  <c r="M1723" i="27"/>
  <c r="N1723" i="27"/>
  <c r="O1723" i="27"/>
  <c r="F1724" i="27"/>
  <c r="G1724" i="27"/>
  <c r="H1724" i="27"/>
  <c r="I1724" i="27"/>
  <c r="M1724" i="27"/>
  <c r="N1724" i="27"/>
  <c r="O1724" i="27"/>
  <c r="F1725" i="27"/>
  <c r="G1725" i="27"/>
  <c r="H1725" i="27"/>
  <c r="I1725" i="27"/>
  <c r="M1725" i="27"/>
  <c r="N1725" i="27"/>
  <c r="O1725" i="27"/>
  <c r="F1726" i="27"/>
  <c r="G1726" i="27"/>
  <c r="H1726" i="27"/>
  <c r="I1726" i="27"/>
  <c r="M1726" i="27"/>
  <c r="N1726" i="27"/>
  <c r="O1726" i="27"/>
  <c r="F1727" i="27"/>
  <c r="G1727" i="27"/>
  <c r="H1727" i="27"/>
  <c r="I1727" i="27"/>
  <c r="M1727" i="27"/>
  <c r="N1727" i="27"/>
  <c r="O1727" i="27"/>
  <c r="F1728" i="27"/>
  <c r="G1728" i="27"/>
  <c r="H1728" i="27"/>
  <c r="I1728" i="27"/>
  <c r="M1728" i="27"/>
  <c r="N1728" i="27"/>
  <c r="O1728" i="27"/>
  <c r="F1729" i="27"/>
  <c r="G1729" i="27"/>
  <c r="H1729" i="27"/>
  <c r="I1729" i="27"/>
  <c r="M1729" i="27"/>
  <c r="N1729" i="27"/>
  <c r="O1729" i="27"/>
  <c r="F1730" i="27"/>
  <c r="G1730" i="27"/>
  <c r="H1730" i="27"/>
  <c r="I1730" i="27"/>
  <c r="M1730" i="27"/>
  <c r="N1730" i="27"/>
  <c r="O1730" i="27"/>
  <c r="F1731" i="27"/>
  <c r="G1731" i="27"/>
  <c r="H1731" i="27"/>
  <c r="I1731" i="27"/>
  <c r="M1731" i="27"/>
  <c r="N1731" i="27"/>
  <c r="O1731" i="27"/>
  <c r="F1732" i="27"/>
  <c r="G1732" i="27"/>
  <c r="H1732" i="27"/>
  <c r="I1732" i="27"/>
  <c r="M1732" i="27"/>
  <c r="N1732" i="27"/>
  <c r="O1732" i="27"/>
  <c r="F1733" i="27"/>
  <c r="G1733" i="27"/>
  <c r="H1733" i="27"/>
  <c r="I1733" i="27"/>
  <c r="M1733" i="27"/>
  <c r="N1733" i="27"/>
  <c r="O1733" i="27"/>
  <c r="F1734" i="27"/>
  <c r="G1734" i="27"/>
  <c r="H1734" i="27"/>
  <c r="I1734" i="27"/>
  <c r="M1734" i="27"/>
  <c r="N1734" i="27"/>
  <c r="O1734" i="27"/>
  <c r="F1735" i="27"/>
  <c r="G1735" i="27"/>
  <c r="H1735" i="27"/>
  <c r="I1735" i="27"/>
  <c r="M1735" i="27"/>
  <c r="N1735" i="27"/>
  <c r="O1735" i="27"/>
  <c r="F1736" i="27"/>
  <c r="G1736" i="27"/>
  <c r="H1736" i="27"/>
  <c r="I1736" i="27"/>
  <c r="M1736" i="27"/>
  <c r="N1736" i="27"/>
  <c r="O1736" i="27"/>
  <c r="F1737" i="27"/>
  <c r="G1737" i="27"/>
  <c r="H1737" i="27"/>
  <c r="I1737" i="27"/>
  <c r="M1737" i="27"/>
  <c r="N1737" i="27"/>
  <c r="O1737" i="27"/>
  <c r="F1738" i="27"/>
  <c r="G1738" i="27"/>
  <c r="H1738" i="27"/>
  <c r="I1738" i="27"/>
  <c r="M1738" i="27"/>
  <c r="N1738" i="27"/>
  <c r="O1738" i="27"/>
  <c r="F1739" i="27"/>
  <c r="G1739" i="27"/>
  <c r="H1739" i="27"/>
  <c r="I1739" i="27"/>
  <c r="M1739" i="27"/>
  <c r="N1739" i="27"/>
  <c r="O1739" i="27"/>
  <c r="F1740" i="27"/>
  <c r="G1740" i="27"/>
  <c r="H1740" i="27"/>
  <c r="I1740" i="27"/>
  <c r="M1740" i="27"/>
  <c r="N1740" i="27"/>
  <c r="O1740" i="27"/>
  <c r="F1741" i="27"/>
  <c r="G1741" i="27"/>
  <c r="H1741" i="27"/>
  <c r="I1741" i="27"/>
  <c r="M1741" i="27"/>
  <c r="N1741" i="27"/>
  <c r="O1741" i="27"/>
  <c r="F1742" i="27"/>
  <c r="G1742" i="27"/>
  <c r="H1742" i="27"/>
  <c r="I1742" i="27"/>
  <c r="M1742" i="27"/>
  <c r="N1742" i="27"/>
  <c r="O1742" i="27"/>
  <c r="F1743" i="27"/>
  <c r="G1743" i="27"/>
  <c r="H1743" i="27"/>
  <c r="I1743" i="27"/>
  <c r="M1743" i="27"/>
  <c r="N1743" i="27"/>
  <c r="O1743" i="27"/>
  <c r="F1744" i="27"/>
  <c r="G1744" i="27"/>
  <c r="H1744" i="27"/>
  <c r="I1744" i="27"/>
  <c r="M1744" i="27"/>
  <c r="N1744" i="27"/>
  <c r="O1744" i="27"/>
  <c r="F1745" i="27"/>
  <c r="G1745" i="27"/>
  <c r="H1745" i="27"/>
  <c r="I1745" i="27"/>
  <c r="M1745" i="27"/>
  <c r="N1745" i="27"/>
  <c r="O1745" i="27"/>
  <c r="F1746" i="27"/>
  <c r="G1746" i="27"/>
  <c r="H1746" i="27"/>
  <c r="I1746" i="27"/>
  <c r="M1746" i="27"/>
  <c r="N1746" i="27"/>
  <c r="O1746" i="27"/>
  <c r="F1747" i="27"/>
  <c r="G1747" i="27"/>
  <c r="H1747" i="27"/>
  <c r="I1747" i="27"/>
  <c r="M1747" i="27"/>
  <c r="N1747" i="27"/>
  <c r="O1747" i="27"/>
  <c r="F1748" i="27"/>
  <c r="G1748" i="27"/>
  <c r="H1748" i="27"/>
  <c r="I1748" i="27"/>
  <c r="M1748" i="27"/>
  <c r="N1748" i="27"/>
  <c r="O1748" i="27"/>
  <c r="F1749" i="27"/>
  <c r="G1749" i="27"/>
  <c r="H1749" i="27"/>
  <c r="I1749" i="27"/>
  <c r="M1749" i="27"/>
  <c r="N1749" i="27"/>
  <c r="O1749" i="27"/>
  <c r="F1750" i="27"/>
  <c r="G1750" i="27"/>
  <c r="H1750" i="27"/>
  <c r="I1750" i="27"/>
  <c r="M1750" i="27"/>
  <c r="N1750" i="27"/>
  <c r="O1750" i="27"/>
  <c r="F1751" i="27"/>
  <c r="G1751" i="27"/>
  <c r="H1751" i="27"/>
  <c r="I1751" i="27"/>
  <c r="M1751" i="27"/>
  <c r="N1751" i="27"/>
  <c r="O1751" i="27"/>
  <c r="F1752" i="27"/>
  <c r="G1752" i="27"/>
  <c r="H1752" i="27"/>
  <c r="I1752" i="27"/>
  <c r="M1752" i="27"/>
  <c r="N1752" i="27"/>
  <c r="O1752" i="27"/>
  <c r="F1753" i="27"/>
  <c r="G1753" i="27"/>
  <c r="H1753" i="27"/>
  <c r="I1753" i="27"/>
  <c r="M1753" i="27"/>
  <c r="N1753" i="27"/>
  <c r="O1753" i="27"/>
  <c r="F1754" i="27"/>
  <c r="G1754" i="27"/>
  <c r="H1754" i="27"/>
  <c r="I1754" i="27"/>
  <c r="M1754" i="27"/>
  <c r="N1754" i="27"/>
  <c r="O1754" i="27"/>
  <c r="F1755" i="27"/>
  <c r="G1755" i="27"/>
  <c r="H1755" i="27"/>
  <c r="I1755" i="27"/>
  <c r="M1755" i="27"/>
  <c r="N1755" i="27"/>
  <c r="O1755" i="27"/>
  <c r="F1756" i="27"/>
  <c r="G1756" i="27"/>
  <c r="H1756" i="27"/>
  <c r="I1756" i="27"/>
  <c r="M1756" i="27"/>
  <c r="N1756" i="27"/>
  <c r="O1756" i="27"/>
  <c r="F1757" i="27"/>
  <c r="G1757" i="27"/>
  <c r="H1757" i="27"/>
  <c r="I1757" i="27"/>
  <c r="M1757" i="27"/>
  <c r="N1757" i="27"/>
  <c r="O1757" i="27"/>
  <c r="F1758" i="27"/>
  <c r="G1758" i="27"/>
  <c r="H1758" i="27"/>
  <c r="I1758" i="27"/>
  <c r="M1758" i="27"/>
  <c r="N1758" i="27"/>
  <c r="O1758" i="27"/>
  <c r="F1759" i="27"/>
  <c r="G1759" i="27"/>
  <c r="H1759" i="27"/>
  <c r="I1759" i="27"/>
  <c r="M1759" i="27"/>
  <c r="N1759" i="27"/>
  <c r="O1759" i="27"/>
  <c r="F1760" i="27"/>
  <c r="G1760" i="27"/>
  <c r="H1760" i="27"/>
  <c r="I1760" i="27"/>
  <c r="M1760" i="27"/>
  <c r="N1760" i="27"/>
  <c r="O1760" i="27"/>
  <c r="F1761" i="27"/>
  <c r="G1761" i="27"/>
  <c r="H1761" i="27"/>
  <c r="I1761" i="27"/>
  <c r="M1761" i="27"/>
  <c r="N1761" i="27"/>
  <c r="O1761" i="27"/>
  <c r="F1762" i="27"/>
  <c r="G1762" i="27"/>
  <c r="H1762" i="27"/>
  <c r="I1762" i="27"/>
  <c r="M1762" i="27"/>
  <c r="N1762" i="27"/>
  <c r="O1762" i="27"/>
  <c r="F1763" i="27"/>
  <c r="G1763" i="27"/>
  <c r="H1763" i="27"/>
  <c r="I1763" i="27"/>
  <c r="M1763" i="27"/>
  <c r="N1763" i="27"/>
  <c r="O1763" i="27"/>
  <c r="F1764" i="27"/>
  <c r="G1764" i="27"/>
  <c r="H1764" i="27"/>
  <c r="I1764" i="27"/>
  <c r="M1764" i="27"/>
  <c r="N1764" i="27"/>
  <c r="O1764" i="27"/>
  <c r="F1765" i="27"/>
  <c r="G1765" i="27"/>
  <c r="H1765" i="27"/>
  <c r="I1765" i="27"/>
  <c r="M1765" i="27"/>
  <c r="N1765" i="27"/>
  <c r="O1765" i="27"/>
  <c r="F1766" i="27"/>
  <c r="G1766" i="27"/>
  <c r="H1766" i="27"/>
  <c r="I1766" i="27"/>
  <c r="M1766" i="27"/>
  <c r="N1766" i="27"/>
  <c r="O1766" i="27"/>
  <c r="F1767" i="27"/>
  <c r="G1767" i="27"/>
  <c r="H1767" i="27"/>
  <c r="I1767" i="27"/>
  <c r="M1767" i="27"/>
  <c r="N1767" i="27"/>
  <c r="O1767" i="27"/>
  <c r="F1768" i="27"/>
  <c r="G1768" i="27"/>
  <c r="H1768" i="27"/>
  <c r="I1768" i="27"/>
  <c r="M1768" i="27"/>
  <c r="N1768" i="27"/>
  <c r="O1768" i="27"/>
  <c r="F1769" i="27"/>
  <c r="G1769" i="27"/>
  <c r="H1769" i="27"/>
  <c r="I1769" i="27"/>
  <c r="M1769" i="27"/>
  <c r="N1769" i="27"/>
  <c r="O1769" i="27"/>
  <c r="F1770" i="27"/>
  <c r="G1770" i="27"/>
  <c r="H1770" i="27"/>
  <c r="I1770" i="27"/>
  <c r="M1770" i="27"/>
  <c r="N1770" i="27"/>
  <c r="O1770" i="27"/>
  <c r="F1771" i="27"/>
  <c r="G1771" i="27"/>
  <c r="H1771" i="27"/>
  <c r="I1771" i="27"/>
  <c r="M1771" i="27"/>
  <c r="N1771" i="27"/>
  <c r="O1771" i="27"/>
  <c r="G1672" i="27"/>
  <c r="H1672" i="27"/>
  <c r="I1672" i="27"/>
  <c r="M1672" i="27"/>
  <c r="N1672" i="27"/>
  <c r="O1672" i="27"/>
  <c r="F1672" i="27"/>
  <c r="CE101" i="22"/>
  <c r="J1771" i="27" s="1"/>
  <c r="CF101" i="22"/>
  <c r="K1771" i="27" s="1"/>
  <c r="CG101" i="22"/>
  <c r="L1771" i="27" s="1"/>
  <c r="CK101" i="22"/>
  <c r="P1771" i="27" s="1"/>
  <c r="F1523" i="27"/>
  <c r="G1523" i="27"/>
  <c r="H1523" i="27"/>
  <c r="I1523" i="27"/>
  <c r="M1523" i="27"/>
  <c r="N1523" i="27"/>
  <c r="O1523" i="27"/>
  <c r="F1524" i="27"/>
  <c r="G1524" i="27"/>
  <c r="H1524" i="27"/>
  <c r="I1524" i="27"/>
  <c r="M1524" i="27"/>
  <c r="N1524" i="27"/>
  <c r="O1524" i="27"/>
  <c r="F1525" i="27"/>
  <c r="G1525" i="27"/>
  <c r="H1525" i="27"/>
  <c r="I1525" i="27"/>
  <c r="M1525" i="27"/>
  <c r="N1525" i="27"/>
  <c r="O1525" i="27"/>
  <c r="F1526" i="27"/>
  <c r="G1526" i="27"/>
  <c r="H1526" i="27"/>
  <c r="I1526" i="27"/>
  <c r="M1526" i="27"/>
  <c r="N1526" i="27"/>
  <c r="O1526" i="27"/>
  <c r="F1527" i="27"/>
  <c r="G1527" i="27"/>
  <c r="H1527" i="27"/>
  <c r="I1527" i="27"/>
  <c r="M1527" i="27"/>
  <c r="N1527" i="27"/>
  <c r="O1527" i="27"/>
  <c r="F1528" i="27"/>
  <c r="G1528" i="27"/>
  <c r="H1528" i="27"/>
  <c r="I1528" i="27"/>
  <c r="M1528" i="27"/>
  <c r="N1528" i="27"/>
  <c r="O1528" i="27"/>
  <c r="F1529" i="27"/>
  <c r="G1529" i="27"/>
  <c r="H1529" i="27"/>
  <c r="I1529" i="27"/>
  <c r="M1529" i="27"/>
  <c r="N1529" i="27"/>
  <c r="O1529" i="27"/>
  <c r="F1530" i="27"/>
  <c r="G1530" i="27"/>
  <c r="H1530" i="27"/>
  <c r="I1530" i="27"/>
  <c r="M1530" i="27"/>
  <c r="N1530" i="27"/>
  <c r="O1530" i="27"/>
  <c r="F1531" i="27"/>
  <c r="G1531" i="27"/>
  <c r="H1531" i="27"/>
  <c r="I1531" i="27"/>
  <c r="M1531" i="27"/>
  <c r="N1531" i="27"/>
  <c r="O1531" i="27"/>
  <c r="F1532" i="27"/>
  <c r="G1532" i="27"/>
  <c r="H1532" i="27"/>
  <c r="I1532" i="27"/>
  <c r="M1532" i="27"/>
  <c r="N1532" i="27"/>
  <c r="O1532" i="27"/>
  <c r="F1533" i="27"/>
  <c r="G1533" i="27"/>
  <c r="H1533" i="27"/>
  <c r="I1533" i="27"/>
  <c r="M1533" i="27"/>
  <c r="N1533" i="27"/>
  <c r="O1533" i="27"/>
  <c r="F1534" i="27"/>
  <c r="G1534" i="27"/>
  <c r="H1534" i="27"/>
  <c r="I1534" i="27"/>
  <c r="M1534" i="27"/>
  <c r="N1534" i="27"/>
  <c r="O1534" i="27"/>
  <c r="F1535" i="27"/>
  <c r="G1535" i="27"/>
  <c r="H1535" i="27"/>
  <c r="I1535" i="27"/>
  <c r="M1535" i="27"/>
  <c r="N1535" i="27"/>
  <c r="O1535" i="27"/>
  <c r="F1536" i="27"/>
  <c r="G1536" i="27"/>
  <c r="H1536" i="27"/>
  <c r="I1536" i="27"/>
  <c r="M1536" i="27"/>
  <c r="N1536" i="27"/>
  <c r="O1536" i="27"/>
  <c r="F1537" i="27"/>
  <c r="G1537" i="27"/>
  <c r="H1537" i="27"/>
  <c r="I1537" i="27"/>
  <c r="M1537" i="27"/>
  <c r="N1537" i="27"/>
  <c r="O1537" i="27"/>
  <c r="F1538" i="27"/>
  <c r="G1538" i="27"/>
  <c r="H1538" i="27"/>
  <c r="I1538" i="27"/>
  <c r="M1538" i="27"/>
  <c r="N1538" i="27"/>
  <c r="O1538" i="27"/>
  <c r="F1539" i="27"/>
  <c r="G1539" i="27"/>
  <c r="H1539" i="27"/>
  <c r="I1539" i="27"/>
  <c r="M1539" i="27"/>
  <c r="N1539" i="27"/>
  <c r="O1539" i="27"/>
  <c r="F1540" i="27"/>
  <c r="G1540" i="27"/>
  <c r="H1540" i="27"/>
  <c r="I1540" i="27"/>
  <c r="M1540" i="27"/>
  <c r="N1540" i="27"/>
  <c r="O1540" i="27"/>
  <c r="F1541" i="27"/>
  <c r="G1541" i="27"/>
  <c r="H1541" i="27"/>
  <c r="I1541" i="27"/>
  <c r="M1541" i="27"/>
  <c r="N1541" i="27"/>
  <c r="O1541" i="27"/>
  <c r="F1542" i="27"/>
  <c r="G1542" i="27"/>
  <c r="H1542" i="27"/>
  <c r="I1542" i="27"/>
  <c r="M1542" i="27"/>
  <c r="N1542" i="27"/>
  <c r="O1542" i="27"/>
  <c r="F1543" i="27"/>
  <c r="G1543" i="27"/>
  <c r="H1543" i="27"/>
  <c r="I1543" i="27"/>
  <c r="M1543" i="27"/>
  <c r="N1543" i="27"/>
  <c r="O1543" i="27"/>
  <c r="F1544" i="27"/>
  <c r="G1544" i="27"/>
  <c r="H1544" i="27"/>
  <c r="I1544" i="27"/>
  <c r="M1544" i="27"/>
  <c r="N1544" i="27"/>
  <c r="O1544" i="27"/>
  <c r="F1545" i="27"/>
  <c r="G1545" i="27"/>
  <c r="H1545" i="27"/>
  <c r="I1545" i="27"/>
  <c r="M1545" i="27"/>
  <c r="N1545" i="27"/>
  <c r="O1545" i="27"/>
  <c r="F1546" i="27"/>
  <c r="G1546" i="27"/>
  <c r="H1546" i="27"/>
  <c r="I1546" i="27"/>
  <c r="M1546" i="27"/>
  <c r="N1546" i="27"/>
  <c r="O1546" i="27"/>
  <c r="F1547" i="27"/>
  <c r="G1547" i="27"/>
  <c r="H1547" i="27"/>
  <c r="I1547" i="27"/>
  <c r="M1547" i="27"/>
  <c r="N1547" i="27"/>
  <c r="O1547" i="27"/>
  <c r="F1548" i="27"/>
  <c r="G1548" i="27"/>
  <c r="H1548" i="27"/>
  <c r="I1548" i="27"/>
  <c r="M1548" i="27"/>
  <c r="N1548" i="27"/>
  <c r="O1548" i="27"/>
  <c r="F1549" i="27"/>
  <c r="G1549" i="27"/>
  <c r="H1549" i="27"/>
  <c r="I1549" i="27"/>
  <c r="M1549" i="27"/>
  <c r="N1549" i="27"/>
  <c r="O1549" i="27"/>
  <c r="F1550" i="27"/>
  <c r="G1550" i="27"/>
  <c r="H1550" i="27"/>
  <c r="I1550" i="27"/>
  <c r="M1550" i="27"/>
  <c r="N1550" i="27"/>
  <c r="O1550" i="27"/>
  <c r="F1551" i="27"/>
  <c r="G1551" i="27"/>
  <c r="H1551" i="27"/>
  <c r="I1551" i="27"/>
  <c r="M1551" i="27"/>
  <c r="N1551" i="27"/>
  <c r="O1551" i="27"/>
  <c r="F1552" i="27"/>
  <c r="G1552" i="27"/>
  <c r="H1552" i="27"/>
  <c r="I1552" i="27"/>
  <c r="M1552" i="27"/>
  <c r="N1552" i="27"/>
  <c r="O1552" i="27"/>
  <c r="F1553" i="27"/>
  <c r="G1553" i="27"/>
  <c r="H1553" i="27"/>
  <c r="I1553" i="27"/>
  <c r="M1553" i="27"/>
  <c r="N1553" i="27"/>
  <c r="O1553" i="27"/>
  <c r="F1554" i="27"/>
  <c r="G1554" i="27"/>
  <c r="H1554" i="27"/>
  <c r="I1554" i="27"/>
  <c r="M1554" i="27"/>
  <c r="N1554" i="27"/>
  <c r="O1554" i="27"/>
  <c r="F1555" i="27"/>
  <c r="G1555" i="27"/>
  <c r="H1555" i="27"/>
  <c r="I1555" i="27"/>
  <c r="M1555" i="27"/>
  <c r="N1555" i="27"/>
  <c r="O1555" i="27"/>
  <c r="F1556" i="27"/>
  <c r="G1556" i="27"/>
  <c r="H1556" i="27"/>
  <c r="I1556" i="27"/>
  <c r="M1556" i="27"/>
  <c r="N1556" i="27"/>
  <c r="O1556" i="27"/>
  <c r="F1557" i="27"/>
  <c r="G1557" i="27"/>
  <c r="H1557" i="27"/>
  <c r="I1557" i="27"/>
  <c r="M1557" i="27"/>
  <c r="N1557" i="27"/>
  <c r="O1557" i="27"/>
  <c r="F1558" i="27"/>
  <c r="G1558" i="27"/>
  <c r="H1558" i="27"/>
  <c r="I1558" i="27"/>
  <c r="M1558" i="27"/>
  <c r="N1558" i="27"/>
  <c r="O1558" i="27"/>
  <c r="F1559" i="27"/>
  <c r="G1559" i="27"/>
  <c r="H1559" i="27"/>
  <c r="I1559" i="27"/>
  <c r="M1559" i="27"/>
  <c r="N1559" i="27"/>
  <c r="O1559" i="27"/>
  <c r="F1560" i="27"/>
  <c r="G1560" i="27"/>
  <c r="H1560" i="27"/>
  <c r="I1560" i="27"/>
  <c r="M1560" i="27"/>
  <c r="N1560" i="27"/>
  <c r="O1560" i="27"/>
  <c r="F1561" i="27"/>
  <c r="G1561" i="27"/>
  <c r="H1561" i="27"/>
  <c r="I1561" i="27"/>
  <c r="M1561" i="27"/>
  <c r="N1561" i="27"/>
  <c r="O1561" i="27"/>
  <c r="F1562" i="27"/>
  <c r="G1562" i="27"/>
  <c r="H1562" i="27"/>
  <c r="I1562" i="27"/>
  <c r="M1562" i="27"/>
  <c r="N1562" i="27"/>
  <c r="O1562" i="27"/>
  <c r="F1563" i="27"/>
  <c r="G1563" i="27"/>
  <c r="H1563" i="27"/>
  <c r="I1563" i="27"/>
  <c r="M1563" i="27"/>
  <c r="N1563" i="27"/>
  <c r="O1563" i="27"/>
  <c r="F1564" i="27"/>
  <c r="G1564" i="27"/>
  <c r="H1564" i="27"/>
  <c r="I1564" i="27"/>
  <c r="M1564" i="27"/>
  <c r="N1564" i="27"/>
  <c r="O1564" i="27"/>
  <c r="F1565" i="27"/>
  <c r="G1565" i="27"/>
  <c r="H1565" i="27"/>
  <c r="I1565" i="27"/>
  <c r="M1565" i="27"/>
  <c r="N1565" i="27"/>
  <c r="O1565" i="27"/>
  <c r="F1566" i="27"/>
  <c r="G1566" i="27"/>
  <c r="H1566" i="27"/>
  <c r="I1566" i="27"/>
  <c r="M1566" i="27"/>
  <c r="N1566" i="27"/>
  <c r="O1566" i="27"/>
  <c r="F1567" i="27"/>
  <c r="G1567" i="27"/>
  <c r="H1567" i="27"/>
  <c r="I1567" i="27"/>
  <c r="M1567" i="27"/>
  <c r="N1567" i="27"/>
  <c r="O1567" i="27"/>
  <c r="F1568" i="27"/>
  <c r="G1568" i="27"/>
  <c r="H1568" i="27"/>
  <c r="I1568" i="27"/>
  <c r="M1568" i="27"/>
  <c r="N1568" i="27"/>
  <c r="O1568" i="27"/>
  <c r="F1569" i="27"/>
  <c r="G1569" i="27"/>
  <c r="H1569" i="27"/>
  <c r="I1569" i="27"/>
  <c r="M1569" i="27"/>
  <c r="N1569" i="27"/>
  <c r="O1569" i="27"/>
  <c r="F1570" i="27"/>
  <c r="G1570" i="27"/>
  <c r="H1570" i="27"/>
  <c r="I1570" i="27"/>
  <c r="M1570" i="27"/>
  <c r="N1570" i="27"/>
  <c r="O1570" i="27"/>
  <c r="F1571" i="27"/>
  <c r="G1571" i="27"/>
  <c r="H1571" i="27"/>
  <c r="I1571" i="27"/>
  <c r="M1571" i="27"/>
  <c r="N1571" i="27"/>
  <c r="O1571" i="27"/>
  <c r="F1572" i="27"/>
  <c r="G1572" i="27"/>
  <c r="H1572" i="27"/>
  <c r="I1572" i="27"/>
  <c r="M1572" i="27"/>
  <c r="N1572" i="27"/>
  <c r="O1572" i="27"/>
  <c r="F1573" i="27"/>
  <c r="G1573" i="27"/>
  <c r="H1573" i="27"/>
  <c r="I1573" i="27"/>
  <c r="M1573" i="27"/>
  <c r="N1573" i="27"/>
  <c r="O1573" i="27"/>
  <c r="F1574" i="27"/>
  <c r="G1574" i="27"/>
  <c r="H1574" i="27"/>
  <c r="I1574" i="27"/>
  <c r="M1574" i="27"/>
  <c r="N1574" i="27"/>
  <c r="O1574" i="27"/>
  <c r="F1575" i="27"/>
  <c r="G1575" i="27"/>
  <c r="H1575" i="27"/>
  <c r="I1575" i="27"/>
  <c r="M1575" i="27"/>
  <c r="N1575" i="27"/>
  <c r="O1575" i="27"/>
  <c r="F1576" i="27"/>
  <c r="G1576" i="27"/>
  <c r="H1576" i="27"/>
  <c r="I1576" i="27"/>
  <c r="M1576" i="27"/>
  <c r="N1576" i="27"/>
  <c r="O1576" i="27"/>
  <c r="F1577" i="27"/>
  <c r="G1577" i="27"/>
  <c r="H1577" i="27"/>
  <c r="I1577" i="27"/>
  <c r="M1577" i="27"/>
  <c r="N1577" i="27"/>
  <c r="O1577" i="27"/>
  <c r="F1578" i="27"/>
  <c r="G1578" i="27"/>
  <c r="H1578" i="27"/>
  <c r="I1578" i="27"/>
  <c r="M1578" i="27"/>
  <c r="N1578" i="27"/>
  <c r="O1578" i="27"/>
  <c r="F1579" i="27"/>
  <c r="G1579" i="27"/>
  <c r="H1579" i="27"/>
  <c r="I1579" i="27"/>
  <c r="M1579" i="27"/>
  <c r="N1579" i="27"/>
  <c r="O1579" i="27"/>
  <c r="F1580" i="27"/>
  <c r="G1580" i="27"/>
  <c r="H1580" i="27"/>
  <c r="I1580" i="27"/>
  <c r="M1580" i="27"/>
  <c r="N1580" i="27"/>
  <c r="O1580" i="27"/>
  <c r="F1581" i="27"/>
  <c r="G1581" i="27"/>
  <c r="H1581" i="27"/>
  <c r="I1581" i="27"/>
  <c r="M1581" i="27"/>
  <c r="N1581" i="27"/>
  <c r="O1581" i="27"/>
  <c r="F1582" i="27"/>
  <c r="G1582" i="27"/>
  <c r="H1582" i="27"/>
  <c r="I1582" i="27"/>
  <c r="M1582" i="27"/>
  <c r="N1582" i="27"/>
  <c r="O1582" i="27"/>
  <c r="F1583" i="27"/>
  <c r="G1583" i="27"/>
  <c r="H1583" i="27"/>
  <c r="I1583" i="27"/>
  <c r="M1583" i="27"/>
  <c r="N1583" i="27"/>
  <c r="O1583" i="27"/>
  <c r="F1584" i="27"/>
  <c r="G1584" i="27"/>
  <c r="H1584" i="27"/>
  <c r="I1584" i="27"/>
  <c r="M1584" i="27"/>
  <c r="N1584" i="27"/>
  <c r="O1584" i="27"/>
  <c r="F1585" i="27"/>
  <c r="G1585" i="27"/>
  <c r="H1585" i="27"/>
  <c r="I1585" i="27"/>
  <c r="M1585" i="27"/>
  <c r="N1585" i="27"/>
  <c r="O1585" i="27"/>
  <c r="F1586" i="27"/>
  <c r="G1586" i="27"/>
  <c r="H1586" i="27"/>
  <c r="I1586" i="27"/>
  <c r="M1586" i="27"/>
  <c r="N1586" i="27"/>
  <c r="O1586" i="27"/>
  <c r="F1587" i="27"/>
  <c r="G1587" i="27"/>
  <c r="H1587" i="27"/>
  <c r="I1587" i="27"/>
  <c r="M1587" i="27"/>
  <c r="N1587" i="27"/>
  <c r="O1587" i="27"/>
  <c r="F1588" i="27"/>
  <c r="G1588" i="27"/>
  <c r="H1588" i="27"/>
  <c r="I1588" i="27"/>
  <c r="M1588" i="27"/>
  <c r="N1588" i="27"/>
  <c r="O1588" i="27"/>
  <c r="F1589" i="27"/>
  <c r="G1589" i="27"/>
  <c r="H1589" i="27"/>
  <c r="I1589" i="27"/>
  <c r="M1589" i="27"/>
  <c r="N1589" i="27"/>
  <c r="O1589" i="27"/>
  <c r="F1590" i="27"/>
  <c r="G1590" i="27"/>
  <c r="H1590" i="27"/>
  <c r="I1590" i="27"/>
  <c r="M1590" i="27"/>
  <c r="N1590" i="27"/>
  <c r="O1590" i="27"/>
  <c r="F1591" i="27"/>
  <c r="G1591" i="27"/>
  <c r="H1591" i="27"/>
  <c r="I1591" i="27"/>
  <c r="M1591" i="27"/>
  <c r="N1591" i="27"/>
  <c r="O1591" i="27"/>
  <c r="F1592" i="27"/>
  <c r="G1592" i="27"/>
  <c r="H1592" i="27"/>
  <c r="I1592" i="27"/>
  <c r="M1592" i="27"/>
  <c r="N1592" i="27"/>
  <c r="O1592" i="27"/>
  <c r="F1593" i="27"/>
  <c r="G1593" i="27"/>
  <c r="H1593" i="27"/>
  <c r="I1593" i="27"/>
  <c r="M1593" i="27"/>
  <c r="N1593" i="27"/>
  <c r="O1593" i="27"/>
  <c r="F1594" i="27"/>
  <c r="G1594" i="27"/>
  <c r="H1594" i="27"/>
  <c r="I1594" i="27"/>
  <c r="M1594" i="27"/>
  <c r="N1594" i="27"/>
  <c r="O1594" i="27"/>
  <c r="F1595" i="27"/>
  <c r="G1595" i="27"/>
  <c r="H1595" i="27"/>
  <c r="I1595" i="27"/>
  <c r="M1595" i="27"/>
  <c r="N1595" i="27"/>
  <c r="O1595" i="27"/>
  <c r="F1596" i="27"/>
  <c r="G1596" i="27"/>
  <c r="H1596" i="27"/>
  <c r="I1596" i="27"/>
  <c r="M1596" i="27"/>
  <c r="N1596" i="27"/>
  <c r="O1596" i="27"/>
  <c r="F1597" i="27"/>
  <c r="G1597" i="27"/>
  <c r="H1597" i="27"/>
  <c r="I1597" i="27"/>
  <c r="M1597" i="27"/>
  <c r="N1597" i="27"/>
  <c r="O1597" i="27"/>
  <c r="F1598" i="27"/>
  <c r="G1598" i="27"/>
  <c r="H1598" i="27"/>
  <c r="I1598" i="27"/>
  <c r="M1598" i="27"/>
  <c r="N1598" i="27"/>
  <c r="O1598" i="27"/>
  <c r="F1599" i="27"/>
  <c r="G1599" i="27"/>
  <c r="H1599" i="27"/>
  <c r="I1599" i="27"/>
  <c r="M1599" i="27"/>
  <c r="N1599" i="27"/>
  <c r="O1599" i="27"/>
  <c r="F1600" i="27"/>
  <c r="G1600" i="27"/>
  <c r="H1600" i="27"/>
  <c r="I1600" i="27"/>
  <c r="M1600" i="27"/>
  <c r="N1600" i="27"/>
  <c r="O1600" i="27"/>
  <c r="F1601" i="27"/>
  <c r="G1601" i="27"/>
  <c r="H1601" i="27"/>
  <c r="I1601" i="27"/>
  <c r="M1601" i="27"/>
  <c r="N1601" i="27"/>
  <c r="O1601" i="27"/>
  <c r="F1602" i="27"/>
  <c r="G1602" i="27"/>
  <c r="H1602" i="27"/>
  <c r="I1602" i="27"/>
  <c r="M1602" i="27"/>
  <c r="N1602" i="27"/>
  <c r="O1602" i="27"/>
  <c r="F1603" i="27"/>
  <c r="G1603" i="27"/>
  <c r="H1603" i="27"/>
  <c r="I1603" i="27"/>
  <c r="M1603" i="27"/>
  <c r="N1603" i="27"/>
  <c r="O1603" i="27"/>
  <c r="F1604" i="27"/>
  <c r="G1604" i="27"/>
  <c r="H1604" i="27"/>
  <c r="I1604" i="27"/>
  <c r="M1604" i="27"/>
  <c r="N1604" i="27"/>
  <c r="O1604" i="27"/>
  <c r="F1605" i="27"/>
  <c r="G1605" i="27"/>
  <c r="H1605" i="27"/>
  <c r="I1605" i="27"/>
  <c r="M1605" i="27"/>
  <c r="N1605" i="27"/>
  <c r="O1605" i="27"/>
  <c r="F1606" i="27"/>
  <c r="G1606" i="27"/>
  <c r="H1606" i="27"/>
  <c r="I1606" i="27"/>
  <c r="M1606" i="27"/>
  <c r="N1606" i="27"/>
  <c r="O1606" i="27"/>
  <c r="F1607" i="27"/>
  <c r="G1607" i="27"/>
  <c r="H1607" i="27"/>
  <c r="I1607" i="27"/>
  <c r="M1607" i="27"/>
  <c r="N1607" i="27"/>
  <c r="O1607" i="27"/>
  <c r="F1608" i="27"/>
  <c r="G1608" i="27"/>
  <c r="H1608" i="27"/>
  <c r="I1608" i="27"/>
  <c r="M1608" i="27"/>
  <c r="N1608" i="27"/>
  <c r="O1608" i="27"/>
  <c r="F1609" i="27"/>
  <c r="G1609" i="27"/>
  <c r="H1609" i="27"/>
  <c r="I1609" i="27"/>
  <c r="M1609" i="27"/>
  <c r="N1609" i="27"/>
  <c r="O1609" i="27"/>
  <c r="F1610" i="27"/>
  <c r="G1610" i="27"/>
  <c r="H1610" i="27"/>
  <c r="I1610" i="27"/>
  <c r="M1610" i="27"/>
  <c r="N1610" i="27"/>
  <c r="O1610" i="27"/>
  <c r="F1611" i="27"/>
  <c r="G1611" i="27"/>
  <c r="H1611" i="27"/>
  <c r="I1611" i="27"/>
  <c r="M1611" i="27"/>
  <c r="N1611" i="27"/>
  <c r="O1611" i="27"/>
  <c r="F1612" i="27"/>
  <c r="G1612" i="27"/>
  <c r="H1612" i="27"/>
  <c r="I1612" i="27"/>
  <c r="M1612" i="27"/>
  <c r="N1612" i="27"/>
  <c r="O1612" i="27"/>
  <c r="F1613" i="27"/>
  <c r="G1613" i="27"/>
  <c r="H1613" i="27"/>
  <c r="I1613" i="27"/>
  <c r="M1613" i="27"/>
  <c r="N1613" i="27"/>
  <c r="O1613" i="27"/>
  <c r="F1614" i="27"/>
  <c r="G1614" i="27"/>
  <c r="H1614" i="27"/>
  <c r="I1614" i="27"/>
  <c r="M1614" i="27"/>
  <c r="N1614" i="27"/>
  <c r="O1614" i="27"/>
  <c r="F1615" i="27"/>
  <c r="G1615" i="27"/>
  <c r="H1615" i="27"/>
  <c r="I1615" i="27"/>
  <c r="M1615" i="27"/>
  <c r="N1615" i="27"/>
  <c r="O1615" i="27"/>
  <c r="F1616" i="27"/>
  <c r="G1616" i="27"/>
  <c r="H1616" i="27"/>
  <c r="I1616" i="27"/>
  <c r="M1616" i="27"/>
  <c r="N1616" i="27"/>
  <c r="O1616" i="27"/>
  <c r="F1617" i="27"/>
  <c r="G1617" i="27"/>
  <c r="H1617" i="27"/>
  <c r="I1617" i="27"/>
  <c r="M1617" i="27"/>
  <c r="N1617" i="27"/>
  <c r="O1617" i="27"/>
  <c r="F1618" i="27"/>
  <c r="G1618" i="27"/>
  <c r="H1618" i="27"/>
  <c r="I1618" i="27"/>
  <c r="M1618" i="27"/>
  <c r="N1618" i="27"/>
  <c r="O1618" i="27"/>
  <c r="F1619" i="27"/>
  <c r="G1619" i="27"/>
  <c r="H1619" i="27"/>
  <c r="I1619" i="27"/>
  <c r="M1619" i="27"/>
  <c r="N1619" i="27"/>
  <c r="O1619" i="27"/>
  <c r="F1620" i="27"/>
  <c r="G1620" i="27"/>
  <c r="H1620" i="27"/>
  <c r="I1620" i="27"/>
  <c r="M1620" i="27"/>
  <c r="N1620" i="27"/>
  <c r="O1620" i="27"/>
  <c r="F1621" i="27"/>
  <c r="G1621" i="27"/>
  <c r="H1621" i="27"/>
  <c r="I1621" i="27"/>
  <c r="M1621" i="27"/>
  <c r="N1621" i="27"/>
  <c r="O1621" i="27"/>
  <c r="F1622" i="27"/>
  <c r="G1622" i="27"/>
  <c r="H1622" i="27"/>
  <c r="I1622" i="27"/>
  <c r="M1622" i="27"/>
  <c r="N1622" i="27"/>
  <c r="O1622" i="27"/>
  <c r="F1623" i="27"/>
  <c r="G1623" i="27"/>
  <c r="H1623" i="27"/>
  <c r="I1623" i="27"/>
  <c r="M1623" i="27"/>
  <c r="N1623" i="27"/>
  <c r="O1623" i="27"/>
  <c r="F1624" i="27"/>
  <c r="G1624" i="27"/>
  <c r="H1624" i="27"/>
  <c r="I1624" i="27"/>
  <c r="M1624" i="27"/>
  <c r="N1624" i="27"/>
  <c r="O1624" i="27"/>
  <c r="F1625" i="27"/>
  <c r="G1625" i="27"/>
  <c r="H1625" i="27"/>
  <c r="I1625" i="27"/>
  <c r="M1625" i="27"/>
  <c r="N1625" i="27"/>
  <c r="O1625" i="27"/>
  <c r="F1626" i="27"/>
  <c r="G1626" i="27"/>
  <c r="H1626" i="27"/>
  <c r="I1626" i="27"/>
  <c r="M1626" i="27"/>
  <c r="N1626" i="27"/>
  <c r="O1626" i="27"/>
  <c r="F1627" i="27"/>
  <c r="G1627" i="27"/>
  <c r="H1627" i="27"/>
  <c r="I1627" i="27"/>
  <c r="M1627" i="27"/>
  <c r="N1627" i="27"/>
  <c r="O1627" i="27"/>
  <c r="F1628" i="27"/>
  <c r="G1628" i="27"/>
  <c r="H1628" i="27"/>
  <c r="I1628" i="27"/>
  <c r="M1628" i="27"/>
  <c r="N1628" i="27"/>
  <c r="O1628" i="27"/>
  <c r="F1629" i="27"/>
  <c r="G1629" i="27"/>
  <c r="H1629" i="27"/>
  <c r="I1629" i="27"/>
  <c r="M1629" i="27"/>
  <c r="N1629" i="27"/>
  <c r="O1629" i="27"/>
  <c r="F1630" i="27"/>
  <c r="G1630" i="27"/>
  <c r="H1630" i="27"/>
  <c r="I1630" i="27"/>
  <c r="M1630" i="27"/>
  <c r="N1630" i="27"/>
  <c r="O1630" i="27"/>
  <c r="F1631" i="27"/>
  <c r="G1631" i="27"/>
  <c r="H1631" i="27"/>
  <c r="I1631" i="27"/>
  <c r="M1631" i="27"/>
  <c r="N1631" i="27"/>
  <c r="O1631" i="27"/>
  <c r="F1632" i="27"/>
  <c r="G1632" i="27"/>
  <c r="H1632" i="27"/>
  <c r="I1632" i="27"/>
  <c r="M1632" i="27"/>
  <c r="N1632" i="27"/>
  <c r="O1632" i="27"/>
  <c r="F1633" i="27"/>
  <c r="G1633" i="27"/>
  <c r="H1633" i="27"/>
  <c r="I1633" i="27"/>
  <c r="M1633" i="27"/>
  <c r="N1633" i="27"/>
  <c r="O1633" i="27"/>
  <c r="F1634" i="27"/>
  <c r="G1634" i="27"/>
  <c r="H1634" i="27"/>
  <c r="I1634" i="27"/>
  <c r="M1634" i="27"/>
  <c r="N1634" i="27"/>
  <c r="O1634" i="27"/>
  <c r="F1635" i="27"/>
  <c r="G1635" i="27"/>
  <c r="H1635" i="27"/>
  <c r="I1635" i="27"/>
  <c r="M1635" i="27"/>
  <c r="N1635" i="27"/>
  <c r="O1635" i="27"/>
  <c r="F1636" i="27"/>
  <c r="G1636" i="27"/>
  <c r="H1636" i="27"/>
  <c r="I1636" i="27"/>
  <c r="M1636" i="27"/>
  <c r="N1636" i="27"/>
  <c r="O1636" i="27"/>
  <c r="F1637" i="27"/>
  <c r="G1637" i="27"/>
  <c r="H1637" i="27"/>
  <c r="I1637" i="27"/>
  <c r="M1637" i="27"/>
  <c r="N1637" i="27"/>
  <c r="O1637" i="27"/>
  <c r="F1638" i="27"/>
  <c r="G1638" i="27"/>
  <c r="H1638" i="27"/>
  <c r="I1638" i="27"/>
  <c r="M1638" i="27"/>
  <c r="N1638" i="27"/>
  <c r="O1638" i="27"/>
  <c r="F1639" i="27"/>
  <c r="G1639" i="27"/>
  <c r="H1639" i="27"/>
  <c r="I1639" i="27"/>
  <c r="M1639" i="27"/>
  <c r="N1639" i="27"/>
  <c r="O1639" i="27"/>
  <c r="F1640" i="27"/>
  <c r="G1640" i="27"/>
  <c r="H1640" i="27"/>
  <c r="I1640" i="27"/>
  <c r="M1640" i="27"/>
  <c r="N1640" i="27"/>
  <c r="O1640" i="27"/>
  <c r="F1641" i="27"/>
  <c r="G1641" i="27"/>
  <c r="H1641" i="27"/>
  <c r="I1641" i="27"/>
  <c r="M1641" i="27"/>
  <c r="N1641" i="27"/>
  <c r="O1641" i="27"/>
  <c r="F1642" i="27"/>
  <c r="G1642" i="27"/>
  <c r="H1642" i="27"/>
  <c r="I1642" i="27"/>
  <c r="M1642" i="27"/>
  <c r="N1642" i="27"/>
  <c r="O1642" i="27"/>
  <c r="F1643" i="27"/>
  <c r="G1643" i="27"/>
  <c r="H1643" i="27"/>
  <c r="I1643" i="27"/>
  <c r="M1643" i="27"/>
  <c r="N1643" i="27"/>
  <c r="O1643" i="27"/>
  <c r="F1644" i="27"/>
  <c r="G1644" i="27"/>
  <c r="H1644" i="27"/>
  <c r="I1644" i="27"/>
  <c r="M1644" i="27"/>
  <c r="N1644" i="27"/>
  <c r="O1644" i="27"/>
  <c r="F1645" i="27"/>
  <c r="G1645" i="27"/>
  <c r="H1645" i="27"/>
  <c r="I1645" i="27"/>
  <c r="M1645" i="27"/>
  <c r="N1645" i="27"/>
  <c r="O1645" i="27"/>
  <c r="F1646" i="27"/>
  <c r="G1646" i="27"/>
  <c r="H1646" i="27"/>
  <c r="I1646" i="27"/>
  <c r="M1646" i="27"/>
  <c r="N1646" i="27"/>
  <c r="O1646" i="27"/>
  <c r="F1647" i="27"/>
  <c r="G1647" i="27"/>
  <c r="H1647" i="27"/>
  <c r="I1647" i="27"/>
  <c r="M1647" i="27"/>
  <c r="N1647" i="27"/>
  <c r="O1647" i="27"/>
  <c r="F1648" i="27"/>
  <c r="G1648" i="27"/>
  <c r="H1648" i="27"/>
  <c r="I1648" i="27"/>
  <c r="M1648" i="27"/>
  <c r="N1648" i="27"/>
  <c r="O1648" i="27"/>
  <c r="F1649" i="27"/>
  <c r="G1649" i="27"/>
  <c r="H1649" i="27"/>
  <c r="I1649" i="27"/>
  <c r="M1649" i="27"/>
  <c r="N1649" i="27"/>
  <c r="O1649" i="27"/>
  <c r="F1650" i="27"/>
  <c r="G1650" i="27"/>
  <c r="H1650" i="27"/>
  <c r="I1650" i="27"/>
  <c r="M1650" i="27"/>
  <c r="N1650" i="27"/>
  <c r="O1650" i="27"/>
  <c r="F1651" i="27"/>
  <c r="G1651" i="27"/>
  <c r="H1651" i="27"/>
  <c r="I1651" i="27"/>
  <c r="M1651" i="27"/>
  <c r="N1651" i="27"/>
  <c r="O1651" i="27"/>
  <c r="F1652" i="27"/>
  <c r="G1652" i="27"/>
  <c r="H1652" i="27"/>
  <c r="I1652" i="27"/>
  <c r="M1652" i="27"/>
  <c r="N1652" i="27"/>
  <c r="O1652" i="27"/>
  <c r="F1653" i="27"/>
  <c r="G1653" i="27"/>
  <c r="H1653" i="27"/>
  <c r="I1653" i="27"/>
  <c r="M1653" i="27"/>
  <c r="N1653" i="27"/>
  <c r="O1653" i="27"/>
  <c r="F1654" i="27"/>
  <c r="G1654" i="27"/>
  <c r="H1654" i="27"/>
  <c r="I1654" i="27"/>
  <c r="M1654" i="27"/>
  <c r="N1654" i="27"/>
  <c r="O1654" i="27"/>
  <c r="F1655" i="27"/>
  <c r="G1655" i="27"/>
  <c r="H1655" i="27"/>
  <c r="I1655" i="27"/>
  <c r="M1655" i="27"/>
  <c r="N1655" i="27"/>
  <c r="O1655" i="27"/>
  <c r="F1656" i="27"/>
  <c r="G1656" i="27"/>
  <c r="H1656" i="27"/>
  <c r="I1656" i="27"/>
  <c r="M1656" i="27"/>
  <c r="N1656" i="27"/>
  <c r="O1656" i="27"/>
  <c r="F1657" i="27"/>
  <c r="G1657" i="27"/>
  <c r="H1657" i="27"/>
  <c r="I1657" i="27"/>
  <c r="M1657" i="27"/>
  <c r="N1657" i="27"/>
  <c r="O1657" i="27"/>
  <c r="F1658" i="27"/>
  <c r="G1658" i="27"/>
  <c r="H1658" i="27"/>
  <c r="I1658" i="27"/>
  <c r="M1658" i="27"/>
  <c r="N1658" i="27"/>
  <c r="O1658" i="27"/>
  <c r="F1659" i="27"/>
  <c r="G1659" i="27"/>
  <c r="H1659" i="27"/>
  <c r="I1659" i="27"/>
  <c r="M1659" i="27"/>
  <c r="N1659" i="27"/>
  <c r="O1659" i="27"/>
  <c r="F1660" i="27"/>
  <c r="G1660" i="27"/>
  <c r="H1660" i="27"/>
  <c r="I1660" i="27"/>
  <c r="M1660" i="27"/>
  <c r="N1660" i="27"/>
  <c r="O1660" i="27"/>
  <c r="F1661" i="27"/>
  <c r="G1661" i="27"/>
  <c r="H1661" i="27"/>
  <c r="I1661" i="27"/>
  <c r="M1661" i="27"/>
  <c r="N1661" i="27"/>
  <c r="O1661" i="27"/>
  <c r="F1662" i="27"/>
  <c r="G1662" i="27"/>
  <c r="H1662" i="27"/>
  <c r="I1662" i="27"/>
  <c r="M1662" i="27"/>
  <c r="N1662" i="27"/>
  <c r="O1662" i="27"/>
  <c r="F1663" i="27"/>
  <c r="G1663" i="27"/>
  <c r="H1663" i="27"/>
  <c r="I1663" i="27"/>
  <c r="M1663" i="27"/>
  <c r="N1663" i="27"/>
  <c r="O1663" i="27"/>
  <c r="F1664" i="27"/>
  <c r="G1664" i="27"/>
  <c r="H1664" i="27"/>
  <c r="I1664" i="27"/>
  <c r="M1664" i="27"/>
  <c r="N1664" i="27"/>
  <c r="O1664" i="27"/>
  <c r="F1665" i="27"/>
  <c r="G1665" i="27"/>
  <c r="H1665" i="27"/>
  <c r="I1665" i="27"/>
  <c r="M1665" i="27"/>
  <c r="N1665" i="27"/>
  <c r="O1665" i="27"/>
  <c r="F1666" i="27"/>
  <c r="G1666" i="27"/>
  <c r="H1666" i="27"/>
  <c r="I1666" i="27"/>
  <c r="M1666" i="27"/>
  <c r="N1666" i="27"/>
  <c r="O1666" i="27"/>
  <c r="F1667" i="27"/>
  <c r="G1667" i="27"/>
  <c r="H1667" i="27"/>
  <c r="I1667" i="27"/>
  <c r="M1667" i="27"/>
  <c r="N1667" i="27"/>
  <c r="O1667" i="27"/>
  <c r="F1668" i="27"/>
  <c r="G1668" i="27"/>
  <c r="H1668" i="27"/>
  <c r="I1668" i="27"/>
  <c r="M1668" i="27"/>
  <c r="N1668" i="27"/>
  <c r="O1668" i="27"/>
  <c r="F1669" i="27"/>
  <c r="G1669" i="27"/>
  <c r="H1669" i="27"/>
  <c r="I1669" i="27"/>
  <c r="M1669" i="27"/>
  <c r="N1669" i="27"/>
  <c r="O1669" i="27"/>
  <c r="F1670" i="27"/>
  <c r="G1670" i="27"/>
  <c r="H1670" i="27"/>
  <c r="I1670" i="27"/>
  <c r="M1670" i="27"/>
  <c r="N1670" i="27"/>
  <c r="O1670" i="27"/>
  <c r="F1671" i="27"/>
  <c r="G1671" i="27"/>
  <c r="H1671" i="27"/>
  <c r="I1671" i="27"/>
  <c r="M1671" i="27"/>
  <c r="N1671" i="27"/>
  <c r="O1671" i="27"/>
  <c r="G1522" i="27"/>
  <c r="H1522" i="27"/>
  <c r="I1522" i="27"/>
  <c r="M1522" i="27"/>
  <c r="N1522" i="27"/>
  <c r="O1522" i="27"/>
  <c r="F1522" i="27"/>
  <c r="CE151" i="32"/>
  <c r="J1671" i="27" s="1"/>
  <c r="CF151" i="32"/>
  <c r="K1671" i="27" s="1"/>
  <c r="CG151" i="32"/>
  <c r="L1671" i="27" s="1"/>
  <c r="CK151" i="32"/>
  <c r="P1671" i="27" s="1"/>
  <c r="F1423" i="27"/>
  <c r="G1423" i="27"/>
  <c r="H1423" i="27"/>
  <c r="I1423" i="27"/>
  <c r="M1423" i="27"/>
  <c r="N1423" i="27"/>
  <c r="O1423" i="27"/>
  <c r="F1424" i="27"/>
  <c r="G1424" i="27"/>
  <c r="H1424" i="27"/>
  <c r="I1424" i="27"/>
  <c r="M1424" i="27"/>
  <c r="N1424" i="27"/>
  <c r="O1424" i="27"/>
  <c r="F1425" i="27"/>
  <c r="G1425" i="27"/>
  <c r="H1425" i="27"/>
  <c r="I1425" i="27"/>
  <c r="M1425" i="27"/>
  <c r="N1425" i="27"/>
  <c r="O1425" i="27"/>
  <c r="F1426" i="27"/>
  <c r="G1426" i="27"/>
  <c r="H1426" i="27"/>
  <c r="I1426" i="27"/>
  <c r="M1426" i="27"/>
  <c r="N1426" i="27"/>
  <c r="O1426" i="27"/>
  <c r="F1427" i="27"/>
  <c r="G1427" i="27"/>
  <c r="H1427" i="27"/>
  <c r="I1427" i="27"/>
  <c r="M1427" i="27"/>
  <c r="N1427" i="27"/>
  <c r="O1427" i="27"/>
  <c r="F1428" i="27"/>
  <c r="G1428" i="27"/>
  <c r="H1428" i="27"/>
  <c r="I1428" i="27"/>
  <c r="M1428" i="27"/>
  <c r="N1428" i="27"/>
  <c r="O1428" i="27"/>
  <c r="F1429" i="27"/>
  <c r="G1429" i="27"/>
  <c r="H1429" i="27"/>
  <c r="I1429" i="27"/>
  <c r="M1429" i="27"/>
  <c r="N1429" i="27"/>
  <c r="O1429" i="27"/>
  <c r="F1430" i="27"/>
  <c r="G1430" i="27"/>
  <c r="H1430" i="27"/>
  <c r="I1430" i="27"/>
  <c r="M1430" i="27"/>
  <c r="N1430" i="27"/>
  <c r="O1430" i="27"/>
  <c r="F1431" i="27"/>
  <c r="G1431" i="27"/>
  <c r="H1431" i="27"/>
  <c r="I1431" i="27"/>
  <c r="M1431" i="27"/>
  <c r="N1431" i="27"/>
  <c r="O1431" i="27"/>
  <c r="F1432" i="27"/>
  <c r="G1432" i="27"/>
  <c r="H1432" i="27"/>
  <c r="I1432" i="27"/>
  <c r="M1432" i="27"/>
  <c r="N1432" i="27"/>
  <c r="O1432" i="27"/>
  <c r="F1433" i="27"/>
  <c r="G1433" i="27"/>
  <c r="H1433" i="27"/>
  <c r="I1433" i="27"/>
  <c r="M1433" i="27"/>
  <c r="N1433" i="27"/>
  <c r="O1433" i="27"/>
  <c r="F1434" i="27"/>
  <c r="G1434" i="27"/>
  <c r="H1434" i="27"/>
  <c r="I1434" i="27"/>
  <c r="M1434" i="27"/>
  <c r="N1434" i="27"/>
  <c r="O1434" i="27"/>
  <c r="F1435" i="27"/>
  <c r="G1435" i="27"/>
  <c r="H1435" i="27"/>
  <c r="I1435" i="27"/>
  <c r="M1435" i="27"/>
  <c r="N1435" i="27"/>
  <c r="O1435" i="27"/>
  <c r="F1436" i="27"/>
  <c r="G1436" i="27"/>
  <c r="H1436" i="27"/>
  <c r="I1436" i="27"/>
  <c r="M1436" i="27"/>
  <c r="N1436" i="27"/>
  <c r="O1436" i="27"/>
  <c r="F1437" i="27"/>
  <c r="G1437" i="27"/>
  <c r="H1437" i="27"/>
  <c r="I1437" i="27"/>
  <c r="M1437" i="27"/>
  <c r="N1437" i="27"/>
  <c r="O1437" i="27"/>
  <c r="F1438" i="27"/>
  <c r="G1438" i="27"/>
  <c r="H1438" i="27"/>
  <c r="I1438" i="27"/>
  <c r="M1438" i="27"/>
  <c r="N1438" i="27"/>
  <c r="O1438" i="27"/>
  <c r="F1439" i="27"/>
  <c r="G1439" i="27"/>
  <c r="H1439" i="27"/>
  <c r="I1439" i="27"/>
  <c r="M1439" i="27"/>
  <c r="N1439" i="27"/>
  <c r="O1439" i="27"/>
  <c r="F1440" i="27"/>
  <c r="G1440" i="27"/>
  <c r="H1440" i="27"/>
  <c r="I1440" i="27"/>
  <c r="M1440" i="27"/>
  <c r="N1440" i="27"/>
  <c r="O1440" i="27"/>
  <c r="F1441" i="27"/>
  <c r="G1441" i="27"/>
  <c r="H1441" i="27"/>
  <c r="I1441" i="27"/>
  <c r="M1441" i="27"/>
  <c r="N1441" i="27"/>
  <c r="O1441" i="27"/>
  <c r="F1442" i="27"/>
  <c r="G1442" i="27"/>
  <c r="H1442" i="27"/>
  <c r="I1442" i="27"/>
  <c r="M1442" i="27"/>
  <c r="N1442" i="27"/>
  <c r="O1442" i="27"/>
  <c r="F1443" i="27"/>
  <c r="G1443" i="27"/>
  <c r="H1443" i="27"/>
  <c r="I1443" i="27"/>
  <c r="M1443" i="27"/>
  <c r="N1443" i="27"/>
  <c r="O1443" i="27"/>
  <c r="F1444" i="27"/>
  <c r="G1444" i="27"/>
  <c r="H1444" i="27"/>
  <c r="I1444" i="27"/>
  <c r="M1444" i="27"/>
  <c r="N1444" i="27"/>
  <c r="O1444" i="27"/>
  <c r="F1445" i="27"/>
  <c r="G1445" i="27"/>
  <c r="H1445" i="27"/>
  <c r="I1445" i="27"/>
  <c r="M1445" i="27"/>
  <c r="N1445" i="27"/>
  <c r="O1445" i="27"/>
  <c r="F1446" i="27"/>
  <c r="G1446" i="27"/>
  <c r="H1446" i="27"/>
  <c r="I1446" i="27"/>
  <c r="M1446" i="27"/>
  <c r="N1446" i="27"/>
  <c r="O1446" i="27"/>
  <c r="F1447" i="27"/>
  <c r="G1447" i="27"/>
  <c r="H1447" i="27"/>
  <c r="I1447" i="27"/>
  <c r="M1447" i="27"/>
  <c r="N1447" i="27"/>
  <c r="O1447" i="27"/>
  <c r="F1448" i="27"/>
  <c r="G1448" i="27"/>
  <c r="H1448" i="27"/>
  <c r="I1448" i="27"/>
  <c r="M1448" i="27"/>
  <c r="N1448" i="27"/>
  <c r="O1448" i="27"/>
  <c r="F1449" i="27"/>
  <c r="G1449" i="27"/>
  <c r="H1449" i="27"/>
  <c r="I1449" i="27"/>
  <c r="M1449" i="27"/>
  <c r="N1449" i="27"/>
  <c r="O1449" i="27"/>
  <c r="F1450" i="27"/>
  <c r="G1450" i="27"/>
  <c r="H1450" i="27"/>
  <c r="I1450" i="27"/>
  <c r="M1450" i="27"/>
  <c r="N1450" i="27"/>
  <c r="O1450" i="27"/>
  <c r="F1451" i="27"/>
  <c r="G1451" i="27"/>
  <c r="H1451" i="27"/>
  <c r="I1451" i="27"/>
  <c r="M1451" i="27"/>
  <c r="N1451" i="27"/>
  <c r="O1451" i="27"/>
  <c r="F1452" i="27"/>
  <c r="G1452" i="27"/>
  <c r="H1452" i="27"/>
  <c r="I1452" i="27"/>
  <c r="M1452" i="27"/>
  <c r="N1452" i="27"/>
  <c r="O1452" i="27"/>
  <c r="F1453" i="27"/>
  <c r="G1453" i="27"/>
  <c r="H1453" i="27"/>
  <c r="I1453" i="27"/>
  <c r="M1453" i="27"/>
  <c r="N1453" i="27"/>
  <c r="O1453" i="27"/>
  <c r="F1454" i="27"/>
  <c r="G1454" i="27"/>
  <c r="H1454" i="27"/>
  <c r="I1454" i="27"/>
  <c r="M1454" i="27"/>
  <c r="N1454" i="27"/>
  <c r="O1454" i="27"/>
  <c r="F1455" i="27"/>
  <c r="G1455" i="27"/>
  <c r="H1455" i="27"/>
  <c r="I1455" i="27"/>
  <c r="M1455" i="27"/>
  <c r="N1455" i="27"/>
  <c r="O1455" i="27"/>
  <c r="F1456" i="27"/>
  <c r="G1456" i="27"/>
  <c r="H1456" i="27"/>
  <c r="I1456" i="27"/>
  <c r="M1456" i="27"/>
  <c r="N1456" i="27"/>
  <c r="O1456" i="27"/>
  <c r="F1457" i="27"/>
  <c r="G1457" i="27"/>
  <c r="H1457" i="27"/>
  <c r="I1457" i="27"/>
  <c r="M1457" i="27"/>
  <c r="N1457" i="27"/>
  <c r="O1457" i="27"/>
  <c r="F1458" i="27"/>
  <c r="G1458" i="27"/>
  <c r="H1458" i="27"/>
  <c r="I1458" i="27"/>
  <c r="M1458" i="27"/>
  <c r="N1458" i="27"/>
  <c r="O1458" i="27"/>
  <c r="F1459" i="27"/>
  <c r="G1459" i="27"/>
  <c r="H1459" i="27"/>
  <c r="I1459" i="27"/>
  <c r="M1459" i="27"/>
  <c r="N1459" i="27"/>
  <c r="O1459" i="27"/>
  <c r="F1460" i="27"/>
  <c r="G1460" i="27"/>
  <c r="H1460" i="27"/>
  <c r="I1460" i="27"/>
  <c r="M1460" i="27"/>
  <c r="N1460" i="27"/>
  <c r="O1460" i="27"/>
  <c r="F1461" i="27"/>
  <c r="G1461" i="27"/>
  <c r="H1461" i="27"/>
  <c r="I1461" i="27"/>
  <c r="M1461" i="27"/>
  <c r="N1461" i="27"/>
  <c r="O1461" i="27"/>
  <c r="F1462" i="27"/>
  <c r="G1462" i="27"/>
  <c r="H1462" i="27"/>
  <c r="I1462" i="27"/>
  <c r="M1462" i="27"/>
  <c r="N1462" i="27"/>
  <c r="O1462" i="27"/>
  <c r="F1463" i="27"/>
  <c r="G1463" i="27"/>
  <c r="H1463" i="27"/>
  <c r="I1463" i="27"/>
  <c r="M1463" i="27"/>
  <c r="N1463" i="27"/>
  <c r="O1463" i="27"/>
  <c r="F1464" i="27"/>
  <c r="G1464" i="27"/>
  <c r="H1464" i="27"/>
  <c r="I1464" i="27"/>
  <c r="M1464" i="27"/>
  <c r="N1464" i="27"/>
  <c r="O1464" i="27"/>
  <c r="F1465" i="27"/>
  <c r="G1465" i="27"/>
  <c r="H1465" i="27"/>
  <c r="I1465" i="27"/>
  <c r="M1465" i="27"/>
  <c r="N1465" i="27"/>
  <c r="O1465" i="27"/>
  <c r="F1466" i="27"/>
  <c r="G1466" i="27"/>
  <c r="H1466" i="27"/>
  <c r="I1466" i="27"/>
  <c r="M1466" i="27"/>
  <c r="N1466" i="27"/>
  <c r="O1466" i="27"/>
  <c r="F1467" i="27"/>
  <c r="G1467" i="27"/>
  <c r="H1467" i="27"/>
  <c r="I1467" i="27"/>
  <c r="M1467" i="27"/>
  <c r="N1467" i="27"/>
  <c r="O1467" i="27"/>
  <c r="F1468" i="27"/>
  <c r="G1468" i="27"/>
  <c r="H1468" i="27"/>
  <c r="I1468" i="27"/>
  <c r="M1468" i="27"/>
  <c r="N1468" i="27"/>
  <c r="O1468" i="27"/>
  <c r="F1469" i="27"/>
  <c r="G1469" i="27"/>
  <c r="H1469" i="27"/>
  <c r="I1469" i="27"/>
  <c r="M1469" i="27"/>
  <c r="N1469" i="27"/>
  <c r="O1469" i="27"/>
  <c r="F1470" i="27"/>
  <c r="G1470" i="27"/>
  <c r="H1470" i="27"/>
  <c r="I1470" i="27"/>
  <c r="M1470" i="27"/>
  <c r="N1470" i="27"/>
  <c r="O1470" i="27"/>
  <c r="F1471" i="27"/>
  <c r="G1471" i="27"/>
  <c r="H1471" i="27"/>
  <c r="I1471" i="27"/>
  <c r="M1471" i="27"/>
  <c r="N1471" i="27"/>
  <c r="O1471" i="27"/>
  <c r="F1472" i="27"/>
  <c r="G1472" i="27"/>
  <c r="H1472" i="27"/>
  <c r="I1472" i="27"/>
  <c r="M1472" i="27"/>
  <c r="N1472" i="27"/>
  <c r="O1472" i="27"/>
  <c r="F1473" i="27"/>
  <c r="G1473" i="27"/>
  <c r="H1473" i="27"/>
  <c r="I1473" i="27"/>
  <c r="M1473" i="27"/>
  <c r="N1473" i="27"/>
  <c r="O1473" i="27"/>
  <c r="F1474" i="27"/>
  <c r="G1474" i="27"/>
  <c r="H1474" i="27"/>
  <c r="I1474" i="27"/>
  <c r="M1474" i="27"/>
  <c r="N1474" i="27"/>
  <c r="O1474" i="27"/>
  <c r="F1475" i="27"/>
  <c r="G1475" i="27"/>
  <c r="H1475" i="27"/>
  <c r="I1475" i="27"/>
  <c r="M1475" i="27"/>
  <c r="N1475" i="27"/>
  <c r="O1475" i="27"/>
  <c r="F1476" i="27"/>
  <c r="G1476" i="27"/>
  <c r="H1476" i="27"/>
  <c r="I1476" i="27"/>
  <c r="M1476" i="27"/>
  <c r="N1476" i="27"/>
  <c r="O1476" i="27"/>
  <c r="F1477" i="27"/>
  <c r="G1477" i="27"/>
  <c r="H1477" i="27"/>
  <c r="I1477" i="27"/>
  <c r="M1477" i="27"/>
  <c r="N1477" i="27"/>
  <c r="O1477" i="27"/>
  <c r="F1478" i="27"/>
  <c r="G1478" i="27"/>
  <c r="H1478" i="27"/>
  <c r="I1478" i="27"/>
  <c r="M1478" i="27"/>
  <c r="N1478" i="27"/>
  <c r="O1478" i="27"/>
  <c r="F1479" i="27"/>
  <c r="G1479" i="27"/>
  <c r="H1479" i="27"/>
  <c r="I1479" i="27"/>
  <c r="M1479" i="27"/>
  <c r="N1479" i="27"/>
  <c r="O1479" i="27"/>
  <c r="F1480" i="27"/>
  <c r="G1480" i="27"/>
  <c r="H1480" i="27"/>
  <c r="I1480" i="27"/>
  <c r="M1480" i="27"/>
  <c r="N1480" i="27"/>
  <c r="O1480" i="27"/>
  <c r="F1481" i="27"/>
  <c r="G1481" i="27"/>
  <c r="H1481" i="27"/>
  <c r="I1481" i="27"/>
  <c r="M1481" i="27"/>
  <c r="N1481" i="27"/>
  <c r="O1481" i="27"/>
  <c r="F1482" i="27"/>
  <c r="G1482" i="27"/>
  <c r="H1482" i="27"/>
  <c r="I1482" i="27"/>
  <c r="M1482" i="27"/>
  <c r="N1482" i="27"/>
  <c r="O1482" i="27"/>
  <c r="F1483" i="27"/>
  <c r="G1483" i="27"/>
  <c r="H1483" i="27"/>
  <c r="I1483" i="27"/>
  <c r="M1483" i="27"/>
  <c r="N1483" i="27"/>
  <c r="O1483" i="27"/>
  <c r="F1484" i="27"/>
  <c r="G1484" i="27"/>
  <c r="H1484" i="27"/>
  <c r="I1484" i="27"/>
  <c r="M1484" i="27"/>
  <c r="N1484" i="27"/>
  <c r="O1484" i="27"/>
  <c r="F1485" i="27"/>
  <c r="G1485" i="27"/>
  <c r="H1485" i="27"/>
  <c r="I1485" i="27"/>
  <c r="M1485" i="27"/>
  <c r="N1485" i="27"/>
  <c r="O1485" i="27"/>
  <c r="F1486" i="27"/>
  <c r="G1486" i="27"/>
  <c r="H1486" i="27"/>
  <c r="I1486" i="27"/>
  <c r="M1486" i="27"/>
  <c r="N1486" i="27"/>
  <c r="O1486" i="27"/>
  <c r="F1487" i="27"/>
  <c r="G1487" i="27"/>
  <c r="H1487" i="27"/>
  <c r="I1487" i="27"/>
  <c r="M1487" i="27"/>
  <c r="N1487" i="27"/>
  <c r="O1487" i="27"/>
  <c r="F1488" i="27"/>
  <c r="G1488" i="27"/>
  <c r="H1488" i="27"/>
  <c r="I1488" i="27"/>
  <c r="M1488" i="27"/>
  <c r="N1488" i="27"/>
  <c r="O1488" i="27"/>
  <c r="F1489" i="27"/>
  <c r="G1489" i="27"/>
  <c r="H1489" i="27"/>
  <c r="I1489" i="27"/>
  <c r="M1489" i="27"/>
  <c r="N1489" i="27"/>
  <c r="O1489" i="27"/>
  <c r="F1490" i="27"/>
  <c r="G1490" i="27"/>
  <c r="H1490" i="27"/>
  <c r="I1490" i="27"/>
  <c r="M1490" i="27"/>
  <c r="N1490" i="27"/>
  <c r="O1490" i="27"/>
  <c r="F1491" i="27"/>
  <c r="G1491" i="27"/>
  <c r="H1491" i="27"/>
  <c r="I1491" i="27"/>
  <c r="M1491" i="27"/>
  <c r="N1491" i="27"/>
  <c r="O1491" i="27"/>
  <c r="F1492" i="27"/>
  <c r="G1492" i="27"/>
  <c r="H1492" i="27"/>
  <c r="I1492" i="27"/>
  <c r="M1492" i="27"/>
  <c r="N1492" i="27"/>
  <c r="O1492" i="27"/>
  <c r="F1493" i="27"/>
  <c r="G1493" i="27"/>
  <c r="H1493" i="27"/>
  <c r="I1493" i="27"/>
  <c r="M1493" i="27"/>
  <c r="N1493" i="27"/>
  <c r="O1493" i="27"/>
  <c r="F1494" i="27"/>
  <c r="G1494" i="27"/>
  <c r="H1494" i="27"/>
  <c r="I1494" i="27"/>
  <c r="M1494" i="27"/>
  <c r="N1494" i="27"/>
  <c r="O1494" i="27"/>
  <c r="F1495" i="27"/>
  <c r="G1495" i="27"/>
  <c r="H1495" i="27"/>
  <c r="I1495" i="27"/>
  <c r="M1495" i="27"/>
  <c r="N1495" i="27"/>
  <c r="O1495" i="27"/>
  <c r="F1496" i="27"/>
  <c r="G1496" i="27"/>
  <c r="H1496" i="27"/>
  <c r="I1496" i="27"/>
  <c r="M1496" i="27"/>
  <c r="N1496" i="27"/>
  <c r="O1496" i="27"/>
  <c r="F1497" i="27"/>
  <c r="G1497" i="27"/>
  <c r="H1497" i="27"/>
  <c r="I1497" i="27"/>
  <c r="M1497" i="27"/>
  <c r="N1497" i="27"/>
  <c r="O1497" i="27"/>
  <c r="F1498" i="27"/>
  <c r="G1498" i="27"/>
  <c r="H1498" i="27"/>
  <c r="I1498" i="27"/>
  <c r="M1498" i="27"/>
  <c r="N1498" i="27"/>
  <c r="O1498" i="27"/>
  <c r="F1499" i="27"/>
  <c r="G1499" i="27"/>
  <c r="H1499" i="27"/>
  <c r="I1499" i="27"/>
  <c r="M1499" i="27"/>
  <c r="N1499" i="27"/>
  <c r="O1499" i="27"/>
  <c r="F1500" i="27"/>
  <c r="G1500" i="27"/>
  <c r="H1500" i="27"/>
  <c r="I1500" i="27"/>
  <c r="M1500" i="27"/>
  <c r="N1500" i="27"/>
  <c r="O1500" i="27"/>
  <c r="F1501" i="27"/>
  <c r="G1501" i="27"/>
  <c r="H1501" i="27"/>
  <c r="I1501" i="27"/>
  <c r="M1501" i="27"/>
  <c r="N1501" i="27"/>
  <c r="O1501" i="27"/>
  <c r="F1502" i="27"/>
  <c r="G1502" i="27"/>
  <c r="H1502" i="27"/>
  <c r="I1502" i="27"/>
  <c r="M1502" i="27"/>
  <c r="N1502" i="27"/>
  <c r="O1502" i="27"/>
  <c r="F1503" i="27"/>
  <c r="G1503" i="27"/>
  <c r="H1503" i="27"/>
  <c r="I1503" i="27"/>
  <c r="M1503" i="27"/>
  <c r="N1503" i="27"/>
  <c r="O1503" i="27"/>
  <c r="F1504" i="27"/>
  <c r="G1504" i="27"/>
  <c r="H1504" i="27"/>
  <c r="I1504" i="27"/>
  <c r="M1504" i="27"/>
  <c r="N1504" i="27"/>
  <c r="O1504" i="27"/>
  <c r="F1505" i="27"/>
  <c r="G1505" i="27"/>
  <c r="H1505" i="27"/>
  <c r="I1505" i="27"/>
  <c r="M1505" i="27"/>
  <c r="N1505" i="27"/>
  <c r="O1505" i="27"/>
  <c r="F1506" i="27"/>
  <c r="G1506" i="27"/>
  <c r="H1506" i="27"/>
  <c r="I1506" i="27"/>
  <c r="M1506" i="27"/>
  <c r="N1506" i="27"/>
  <c r="O1506" i="27"/>
  <c r="F1507" i="27"/>
  <c r="G1507" i="27"/>
  <c r="H1507" i="27"/>
  <c r="I1507" i="27"/>
  <c r="M1507" i="27"/>
  <c r="N1507" i="27"/>
  <c r="O1507" i="27"/>
  <c r="F1508" i="27"/>
  <c r="G1508" i="27"/>
  <c r="H1508" i="27"/>
  <c r="I1508" i="27"/>
  <c r="M1508" i="27"/>
  <c r="N1508" i="27"/>
  <c r="O1508" i="27"/>
  <c r="F1509" i="27"/>
  <c r="G1509" i="27"/>
  <c r="H1509" i="27"/>
  <c r="I1509" i="27"/>
  <c r="M1509" i="27"/>
  <c r="N1509" i="27"/>
  <c r="O1509" i="27"/>
  <c r="F1510" i="27"/>
  <c r="G1510" i="27"/>
  <c r="H1510" i="27"/>
  <c r="I1510" i="27"/>
  <c r="M1510" i="27"/>
  <c r="N1510" i="27"/>
  <c r="O1510" i="27"/>
  <c r="F1511" i="27"/>
  <c r="G1511" i="27"/>
  <c r="H1511" i="27"/>
  <c r="I1511" i="27"/>
  <c r="M1511" i="27"/>
  <c r="N1511" i="27"/>
  <c r="O1511" i="27"/>
  <c r="F1512" i="27"/>
  <c r="G1512" i="27"/>
  <c r="H1512" i="27"/>
  <c r="I1512" i="27"/>
  <c r="M1512" i="27"/>
  <c r="N1512" i="27"/>
  <c r="O1512" i="27"/>
  <c r="F1513" i="27"/>
  <c r="G1513" i="27"/>
  <c r="H1513" i="27"/>
  <c r="I1513" i="27"/>
  <c r="M1513" i="27"/>
  <c r="N1513" i="27"/>
  <c r="O1513" i="27"/>
  <c r="F1514" i="27"/>
  <c r="G1514" i="27"/>
  <c r="H1514" i="27"/>
  <c r="I1514" i="27"/>
  <c r="M1514" i="27"/>
  <c r="N1514" i="27"/>
  <c r="O1514" i="27"/>
  <c r="F1515" i="27"/>
  <c r="G1515" i="27"/>
  <c r="H1515" i="27"/>
  <c r="I1515" i="27"/>
  <c r="M1515" i="27"/>
  <c r="N1515" i="27"/>
  <c r="O1515" i="27"/>
  <c r="F1516" i="27"/>
  <c r="G1516" i="27"/>
  <c r="H1516" i="27"/>
  <c r="I1516" i="27"/>
  <c r="M1516" i="27"/>
  <c r="N1516" i="27"/>
  <c r="O1516" i="27"/>
  <c r="F1517" i="27"/>
  <c r="G1517" i="27"/>
  <c r="H1517" i="27"/>
  <c r="I1517" i="27"/>
  <c r="M1517" i="27"/>
  <c r="N1517" i="27"/>
  <c r="O1517" i="27"/>
  <c r="F1518" i="27"/>
  <c r="G1518" i="27"/>
  <c r="H1518" i="27"/>
  <c r="I1518" i="27"/>
  <c r="M1518" i="27"/>
  <c r="N1518" i="27"/>
  <c r="O1518" i="27"/>
  <c r="F1519" i="27"/>
  <c r="G1519" i="27"/>
  <c r="H1519" i="27"/>
  <c r="I1519" i="27"/>
  <c r="M1519" i="27"/>
  <c r="N1519" i="27"/>
  <c r="O1519" i="27"/>
  <c r="F1520" i="27"/>
  <c r="G1520" i="27"/>
  <c r="H1520" i="27"/>
  <c r="I1520" i="27"/>
  <c r="M1520" i="27"/>
  <c r="N1520" i="27"/>
  <c r="O1520" i="27"/>
  <c r="F1521" i="27"/>
  <c r="G1521" i="27"/>
  <c r="H1521" i="27"/>
  <c r="I1521" i="27"/>
  <c r="M1521" i="27"/>
  <c r="N1521" i="27"/>
  <c r="O1521" i="27"/>
  <c r="G1422" i="27"/>
  <c r="H1422" i="27"/>
  <c r="I1422" i="27"/>
  <c r="M1422" i="27"/>
  <c r="N1422" i="27"/>
  <c r="O1422" i="27"/>
  <c r="F1422" i="27"/>
  <c r="CE101" i="20"/>
  <c r="J1521" i="27" s="1"/>
  <c r="CG101" i="20"/>
  <c r="L1521" i="27" s="1"/>
  <c r="CK101" i="20"/>
  <c r="P1521" i="27" s="1"/>
  <c r="H101" i="20"/>
  <c r="CF101" i="20" s="1"/>
  <c r="K1521" i="27" s="1"/>
  <c r="F1273" i="27"/>
  <c r="G1273" i="27"/>
  <c r="H1273" i="27"/>
  <c r="I1273" i="27"/>
  <c r="K1273" i="27"/>
  <c r="M1273" i="27"/>
  <c r="N1273" i="27"/>
  <c r="O1273" i="27"/>
  <c r="P1273" i="27"/>
  <c r="F1274" i="27"/>
  <c r="G1274" i="27"/>
  <c r="H1274" i="27"/>
  <c r="I1274" i="27"/>
  <c r="K1274" i="27"/>
  <c r="M1274" i="27"/>
  <c r="N1274" i="27"/>
  <c r="O1274" i="27"/>
  <c r="F1275" i="27"/>
  <c r="G1275" i="27"/>
  <c r="H1275" i="27"/>
  <c r="I1275" i="27"/>
  <c r="K1275" i="27"/>
  <c r="M1275" i="27"/>
  <c r="N1275" i="27"/>
  <c r="O1275" i="27"/>
  <c r="F1276" i="27"/>
  <c r="G1276" i="27"/>
  <c r="H1276" i="27"/>
  <c r="I1276" i="27"/>
  <c r="K1276" i="27"/>
  <c r="M1276" i="27"/>
  <c r="N1276" i="27"/>
  <c r="O1276" i="27"/>
  <c r="F1277" i="27"/>
  <c r="G1277" i="27"/>
  <c r="H1277" i="27"/>
  <c r="I1277" i="27"/>
  <c r="K1277" i="27"/>
  <c r="M1277" i="27"/>
  <c r="N1277" i="27"/>
  <c r="O1277" i="27"/>
  <c r="F1278" i="27"/>
  <c r="G1278" i="27"/>
  <c r="H1278" i="27"/>
  <c r="I1278" i="27"/>
  <c r="K1278" i="27"/>
  <c r="M1278" i="27"/>
  <c r="N1278" i="27"/>
  <c r="O1278" i="27"/>
  <c r="F1279" i="27"/>
  <c r="G1279" i="27"/>
  <c r="H1279" i="27"/>
  <c r="I1279" i="27"/>
  <c r="K1279" i="27"/>
  <c r="M1279" i="27"/>
  <c r="N1279" i="27"/>
  <c r="O1279" i="27"/>
  <c r="F1280" i="27"/>
  <c r="G1280" i="27"/>
  <c r="H1280" i="27"/>
  <c r="I1280" i="27"/>
  <c r="K1280" i="27"/>
  <c r="M1280" i="27"/>
  <c r="N1280" i="27"/>
  <c r="O1280" i="27"/>
  <c r="F1281" i="27"/>
  <c r="G1281" i="27"/>
  <c r="H1281" i="27"/>
  <c r="I1281" i="27"/>
  <c r="K1281" i="27"/>
  <c r="M1281" i="27"/>
  <c r="N1281" i="27"/>
  <c r="O1281" i="27"/>
  <c r="F1282" i="27"/>
  <c r="G1282" i="27"/>
  <c r="H1282" i="27"/>
  <c r="I1282" i="27"/>
  <c r="K1282" i="27"/>
  <c r="M1282" i="27"/>
  <c r="N1282" i="27"/>
  <c r="O1282" i="27"/>
  <c r="F1283" i="27"/>
  <c r="G1283" i="27"/>
  <c r="H1283" i="27"/>
  <c r="I1283" i="27"/>
  <c r="K1283" i="27"/>
  <c r="M1283" i="27"/>
  <c r="N1283" i="27"/>
  <c r="O1283" i="27"/>
  <c r="F1284" i="27"/>
  <c r="G1284" i="27"/>
  <c r="H1284" i="27"/>
  <c r="I1284" i="27"/>
  <c r="K1284" i="27"/>
  <c r="M1284" i="27"/>
  <c r="N1284" i="27"/>
  <c r="O1284" i="27"/>
  <c r="F1285" i="27"/>
  <c r="G1285" i="27"/>
  <c r="H1285" i="27"/>
  <c r="I1285" i="27"/>
  <c r="K1285" i="27"/>
  <c r="M1285" i="27"/>
  <c r="N1285" i="27"/>
  <c r="O1285" i="27"/>
  <c r="F1286" i="27"/>
  <c r="G1286" i="27"/>
  <c r="H1286" i="27"/>
  <c r="I1286" i="27"/>
  <c r="K1286" i="27"/>
  <c r="M1286" i="27"/>
  <c r="N1286" i="27"/>
  <c r="O1286" i="27"/>
  <c r="F1287" i="27"/>
  <c r="G1287" i="27"/>
  <c r="H1287" i="27"/>
  <c r="I1287" i="27"/>
  <c r="K1287" i="27"/>
  <c r="M1287" i="27"/>
  <c r="N1287" i="27"/>
  <c r="O1287" i="27"/>
  <c r="F1288" i="27"/>
  <c r="G1288" i="27"/>
  <c r="H1288" i="27"/>
  <c r="I1288" i="27"/>
  <c r="K1288" i="27"/>
  <c r="M1288" i="27"/>
  <c r="N1288" i="27"/>
  <c r="O1288" i="27"/>
  <c r="F1289" i="27"/>
  <c r="G1289" i="27"/>
  <c r="H1289" i="27"/>
  <c r="I1289" i="27"/>
  <c r="K1289" i="27"/>
  <c r="M1289" i="27"/>
  <c r="N1289" i="27"/>
  <c r="O1289" i="27"/>
  <c r="F1290" i="27"/>
  <c r="G1290" i="27"/>
  <c r="H1290" i="27"/>
  <c r="I1290" i="27"/>
  <c r="K1290" i="27"/>
  <c r="M1290" i="27"/>
  <c r="N1290" i="27"/>
  <c r="O1290" i="27"/>
  <c r="F1291" i="27"/>
  <c r="G1291" i="27"/>
  <c r="H1291" i="27"/>
  <c r="I1291" i="27"/>
  <c r="K1291" i="27"/>
  <c r="M1291" i="27"/>
  <c r="N1291" i="27"/>
  <c r="O1291" i="27"/>
  <c r="F1292" i="27"/>
  <c r="G1292" i="27"/>
  <c r="H1292" i="27"/>
  <c r="I1292" i="27"/>
  <c r="K1292" i="27"/>
  <c r="M1292" i="27"/>
  <c r="N1292" i="27"/>
  <c r="O1292" i="27"/>
  <c r="F1293" i="27"/>
  <c r="G1293" i="27"/>
  <c r="H1293" i="27"/>
  <c r="I1293" i="27"/>
  <c r="K1293" i="27"/>
  <c r="M1293" i="27"/>
  <c r="N1293" i="27"/>
  <c r="O1293" i="27"/>
  <c r="F1294" i="27"/>
  <c r="G1294" i="27"/>
  <c r="H1294" i="27"/>
  <c r="I1294" i="27"/>
  <c r="K1294" i="27"/>
  <c r="M1294" i="27"/>
  <c r="N1294" i="27"/>
  <c r="O1294" i="27"/>
  <c r="F1295" i="27"/>
  <c r="G1295" i="27"/>
  <c r="H1295" i="27"/>
  <c r="I1295" i="27"/>
  <c r="K1295" i="27"/>
  <c r="M1295" i="27"/>
  <c r="N1295" i="27"/>
  <c r="O1295" i="27"/>
  <c r="F1296" i="27"/>
  <c r="G1296" i="27"/>
  <c r="H1296" i="27"/>
  <c r="I1296" i="27"/>
  <c r="K1296" i="27"/>
  <c r="M1296" i="27"/>
  <c r="N1296" i="27"/>
  <c r="O1296" i="27"/>
  <c r="F1297" i="27"/>
  <c r="G1297" i="27"/>
  <c r="H1297" i="27"/>
  <c r="I1297" i="27"/>
  <c r="K1297" i="27"/>
  <c r="M1297" i="27"/>
  <c r="N1297" i="27"/>
  <c r="O1297" i="27"/>
  <c r="F1298" i="27"/>
  <c r="G1298" i="27"/>
  <c r="H1298" i="27"/>
  <c r="I1298" i="27"/>
  <c r="K1298" i="27"/>
  <c r="M1298" i="27"/>
  <c r="N1298" i="27"/>
  <c r="O1298" i="27"/>
  <c r="F1299" i="27"/>
  <c r="G1299" i="27"/>
  <c r="H1299" i="27"/>
  <c r="I1299" i="27"/>
  <c r="K1299" i="27"/>
  <c r="M1299" i="27"/>
  <c r="N1299" i="27"/>
  <c r="O1299" i="27"/>
  <c r="F1300" i="27"/>
  <c r="G1300" i="27"/>
  <c r="H1300" i="27"/>
  <c r="I1300" i="27"/>
  <c r="K1300" i="27"/>
  <c r="M1300" i="27"/>
  <c r="N1300" i="27"/>
  <c r="O1300" i="27"/>
  <c r="F1301" i="27"/>
  <c r="G1301" i="27"/>
  <c r="H1301" i="27"/>
  <c r="I1301" i="27"/>
  <c r="K1301" i="27"/>
  <c r="M1301" i="27"/>
  <c r="N1301" i="27"/>
  <c r="O1301" i="27"/>
  <c r="F1302" i="27"/>
  <c r="G1302" i="27"/>
  <c r="H1302" i="27"/>
  <c r="I1302" i="27"/>
  <c r="K1302" i="27"/>
  <c r="M1302" i="27"/>
  <c r="N1302" i="27"/>
  <c r="O1302" i="27"/>
  <c r="F1303" i="27"/>
  <c r="G1303" i="27"/>
  <c r="H1303" i="27"/>
  <c r="I1303" i="27"/>
  <c r="K1303" i="27"/>
  <c r="M1303" i="27"/>
  <c r="N1303" i="27"/>
  <c r="O1303" i="27"/>
  <c r="F1304" i="27"/>
  <c r="G1304" i="27"/>
  <c r="H1304" i="27"/>
  <c r="I1304" i="27"/>
  <c r="K1304" i="27"/>
  <c r="M1304" i="27"/>
  <c r="N1304" i="27"/>
  <c r="O1304" i="27"/>
  <c r="F1305" i="27"/>
  <c r="G1305" i="27"/>
  <c r="H1305" i="27"/>
  <c r="I1305" i="27"/>
  <c r="K1305" i="27"/>
  <c r="M1305" i="27"/>
  <c r="N1305" i="27"/>
  <c r="O1305" i="27"/>
  <c r="F1306" i="27"/>
  <c r="G1306" i="27"/>
  <c r="H1306" i="27"/>
  <c r="I1306" i="27"/>
  <c r="K1306" i="27"/>
  <c r="M1306" i="27"/>
  <c r="N1306" i="27"/>
  <c r="O1306" i="27"/>
  <c r="F1307" i="27"/>
  <c r="G1307" i="27"/>
  <c r="H1307" i="27"/>
  <c r="I1307" i="27"/>
  <c r="K1307" i="27"/>
  <c r="M1307" i="27"/>
  <c r="N1307" i="27"/>
  <c r="O1307" i="27"/>
  <c r="F1308" i="27"/>
  <c r="G1308" i="27"/>
  <c r="H1308" i="27"/>
  <c r="I1308" i="27"/>
  <c r="K1308" i="27"/>
  <c r="M1308" i="27"/>
  <c r="N1308" i="27"/>
  <c r="O1308" i="27"/>
  <c r="F1309" i="27"/>
  <c r="G1309" i="27"/>
  <c r="H1309" i="27"/>
  <c r="I1309" i="27"/>
  <c r="K1309" i="27"/>
  <c r="M1309" i="27"/>
  <c r="N1309" i="27"/>
  <c r="O1309" i="27"/>
  <c r="F1310" i="27"/>
  <c r="G1310" i="27"/>
  <c r="H1310" i="27"/>
  <c r="I1310" i="27"/>
  <c r="K1310" i="27"/>
  <c r="M1310" i="27"/>
  <c r="N1310" i="27"/>
  <c r="O1310" i="27"/>
  <c r="F1311" i="27"/>
  <c r="G1311" i="27"/>
  <c r="H1311" i="27"/>
  <c r="I1311" i="27"/>
  <c r="K1311" i="27"/>
  <c r="M1311" i="27"/>
  <c r="N1311" i="27"/>
  <c r="O1311" i="27"/>
  <c r="F1312" i="27"/>
  <c r="G1312" i="27"/>
  <c r="H1312" i="27"/>
  <c r="I1312" i="27"/>
  <c r="K1312" i="27"/>
  <c r="M1312" i="27"/>
  <c r="N1312" i="27"/>
  <c r="O1312" i="27"/>
  <c r="F1313" i="27"/>
  <c r="G1313" i="27"/>
  <c r="H1313" i="27"/>
  <c r="I1313" i="27"/>
  <c r="K1313" i="27"/>
  <c r="M1313" i="27"/>
  <c r="N1313" i="27"/>
  <c r="O1313" i="27"/>
  <c r="F1314" i="27"/>
  <c r="G1314" i="27"/>
  <c r="H1314" i="27"/>
  <c r="I1314" i="27"/>
  <c r="K1314" i="27"/>
  <c r="M1314" i="27"/>
  <c r="N1314" i="27"/>
  <c r="O1314" i="27"/>
  <c r="F1315" i="27"/>
  <c r="G1315" i="27"/>
  <c r="H1315" i="27"/>
  <c r="I1315" i="27"/>
  <c r="K1315" i="27"/>
  <c r="M1315" i="27"/>
  <c r="N1315" i="27"/>
  <c r="O1315" i="27"/>
  <c r="F1316" i="27"/>
  <c r="G1316" i="27"/>
  <c r="H1316" i="27"/>
  <c r="I1316" i="27"/>
  <c r="K1316" i="27"/>
  <c r="M1316" i="27"/>
  <c r="N1316" i="27"/>
  <c r="O1316" i="27"/>
  <c r="F1317" i="27"/>
  <c r="G1317" i="27"/>
  <c r="H1317" i="27"/>
  <c r="I1317" i="27"/>
  <c r="K1317" i="27"/>
  <c r="M1317" i="27"/>
  <c r="N1317" i="27"/>
  <c r="O1317" i="27"/>
  <c r="F1318" i="27"/>
  <c r="G1318" i="27"/>
  <c r="H1318" i="27"/>
  <c r="I1318" i="27"/>
  <c r="K1318" i="27"/>
  <c r="M1318" i="27"/>
  <c r="N1318" i="27"/>
  <c r="O1318" i="27"/>
  <c r="F1319" i="27"/>
  <c r="G1319" i="27"/>
  <c r="H1319" i="27"/>
  <c r="I1319" i="27"/>
  <c r="K1319" i="27"/>
  <c r="M1319" i="27"/>
  <c r="N1319" i="27"/>
  <c r="O1319" i="27"/>
  <c r="F1320" i="27"/>
  <c r="G1320" i="27"/>
  <c r="H1320" i="27"/>
  <c r="I1320" i="27"/>
  <c r="K1320" i="27"/>
  <c r="M1320" i="27"/>
  <c r="N1320" i="27"/>
  <c r="O1320" i="27"/>
  <c r="F1321" i="27"/>
  <c r="G1321" i="27"/>
  <c r="H1321" i="27"/>
  <c r="I1321" i="27"/>
  <c r="K1321" i="27"/>
  <c r="M1321" i="27"/>
  <c r="N1321" i="27"/>
  <c r="O1321" i="27"/>
  <c r="F1322" i="27"/>
  <c r="G1322" i="27"/>
  <c r="H1322" i="27"/>
  <c r="I1322" i="27"/>
  <c r="K1322" i="27"/>
  <c r="M1322" i="27"/>
  <c r="N1322" i="27"/>
  <c r="O1322" i="27"/>
  <c r="F1323" i="27"/>
  <c r="G1323" i="27"/>
  <c r="H1323" i="27"/>
  <c r="I1323" i="27"/>
  <c r="K1323" i="27"/>
  <c r="M1323" i="27"/>
  <c r="N1323" i="27"/>
  <c r="O1323" i="27"/>
  <c r="F1324" i="27"/>
  <c r="G1324" i="27"/>
  <c r="H1324" i="27"/>
  <c r="I1324" i="27"/>
  <c r="K1324" i="27"/>
  <c r="M1324" i="27"/>
  <c r="N1324" i="27"/>
  <c r="O1324" i="27"/>
  <c r="F1325" i="27"/>
  <c r="G1325" i="27"/>
  <c r="H1325" i="27"/>
  <c r="I1325" i="27"/>
  <c r="K1325" i="27"/>
  <c r="M1325" i="27"/>
  <c r="N1325" i="27"/>
  <c r="O1325" i="27"/>
  <c r="F1326" i="27"/>
  <c r="G1326" i="27"/>
  <c r="H1326" i="27"/>
  <c r="I1326" i="27"/>
  <c r="K1326" i="27"/>
  <c r="M1326" i="27"/>
  <c r="N1326" i="27"/>
  <c r="O1326" i="27"/>
  <c r="F1327" i="27"/>
  <c r="G1327" i="27"/>
  <c r="H1327" i="27"/>
  <c r="I1327" i="27"/>
  <c r="K1327" i="27"/>
  <c r="M1327" i="27"/>
  <c r="N1327" i="27"/>
  <c r="O1327" i="27"/>
  <c r="F1328" i="27"/>
  <c r="G1328" i="27"/>
  <c r="H1328" i="27"/>
  <c r="I1328" i="27"/>
  <c r="K1328" i="27"/>
  <c r="M1328" i="27"/>
  <c r="N1328" i="27"/>
  <c r="O1328" i="27"/>
  <c r="F1329" i="27"/>
  <c r="G1329" i="27"/>
  <c r="H1329" i="27"/>
  <c r="I1329" i="27"/>
  <c r="K1329" i="27"/>
  <c r="M1329" i="27"/>
  <c r="N1329" i="27"/>
  <c r="O1329" i="27"/>
  <c r="F1330" i="27"/>
  <c r="G1330" i="27"/>
  <c r="H1330" i="27"/>
  <c r="I1330" i="27"/>
  <c r="K1330" i="27"/>
  <c r="M1330" i="27"/>
  <c r="N1330" i="27"/>
  <c r="O1330" i="27"/>
  <c r="F1331" i="27"/>
  <c r="G1331" i="27"/>
  <c r="H1331" i="27"/>
  <c r="I1331" i="27"/>
  <c r="K1331" i="27"/>
  <c r="M1331" i="27"/>
  <c r="N1331" i="27"/>
  <c r="O1331" i="27"/>
  <c r="F1332" i="27"/>
  <c r="G1332" i="27"/>
  <c r="H1332" i="27"/>
  <c r="I1332" i="27"/>
  <c r="K1332" i="27"/>
  <c r="M1332" i="27"/>
  <c r="N1332" i="27"/>
  <c r="O1332" i="27"/>
  <c r="F1333" i="27"/>
  <c r="G1333" i="27"/>
  <c r="H1333" i="27"/>
  <c r="I1333" i="27"/>
  <c r="K1333" i="27"/>
  <c r="M1333" i="27"/>
  <c r="N1333" i="27"/>
  <c r="O1333" i="27"/>
  <c r="F1334" i="27"/>
  <c r="G1334" i="27"/>
  <c r="H1334" i="27"/>
  <c r="I1334" i="27"/>
  <c r="K1334" i="27"/>
  <c r="M1334" i="27"/>
  <c r="N1334" i="27"/>
  <c r="O1334" i="27"/>
  <c r="F1335" i="27"/>
  <c r="G1335" i="27"/>
  <c r="H1335" i="27"/>
  <c r="I1335" i="27"/>
  <c r="K1335" i="27"/>
  <c r="M1335" i="27"/>
  <c r="N1335" i="27"/>
  <c r="O1335" i="27"/>
  <c r="F1336" i="27"/>
  <c r="G1336" i="27"/>
  <c r="H1336" i="27"/>
  <c r="I1336" i="27"/>
  <c r="K1336" i="27"/>
  <c r="M1336" i="27"/>
  <c r="N1336" i="27"/>
  <c r="O1336" i="27"/>
  <c r="F1337" i="27"/>
  <c r="G1337" i="27"/>
  <c r="H1337" i="27"/>
  <c r="I1337" i="27"/>
  <c r="K1337" i="27"/>
  <c r="M1337" i="27"/>
  <c r="N1337" i="27"/>
  <c r="O1337" i="27"/>
  <c r="F1338" i="27"/>
  <c r="G1338" i="27"/>
  <c r="H1338" i="27"/>
  <c r="I1338" i="27"/>
  <c r="K1338" i="27"/>
  <c r="M1338" i="27"/>
  <c r="N1338" i="27"/>
  <c r="O1338" i="27"/>
  <c r="F1339" i="27"/>
  <c r="G1339" i="27"/>
  <c r="H1339" i="27"/>
  <c r="I1339" i="27"/>
  <c r="K1339" i="27"/>
  <c r="M1339" i="27"/>
  <c r="N1339" i="27"/>
  <c r="O1339" i="27"/>
  <c r="F1340" i="27"/>
  <c r="G1340" i="27"/>
  <c r="H1340" i="27"/>
  <c r="I1340" i="27"/>
  <c r="K1340" i="27"/>
  <c r="M1340" i="27"/>
  <c r="N1340" i="27"/>
  <c r="O1340" i="27"/>
  <c r="F1341" i="27"/>
  <c r="G1341" i="27"/>
  <c r="H1341" i="27"/>
  <c r="I1341" i="27"/>
  <c r="K1341" i="27"/>
  <c r="M1341" i="27"/>
  <c r="N1341" i="27"/>
  <c r="O1341" i="27"/>
  <c r="F1342" i="27"/>
  <c r="G1342" i="27"/>
  <c r="H1342" i="27"/>
  <c r="I1342" i="27"/>
  <c r="K1342" i="27"/>
  <c r="M1342" i="27"/>
  <c r="N1342" i="27"/>
  <c r="O1342" i="27"/>
  <c r="F1343" i="27"/>
  <c r="G1343" i="27"/>
  <c r="H1343" i="27"/>
  <c r="I1343" i="27"/>
  <c r="K1343" i="27"/>
  <c r="M1343" i="27"/>
  <c r="N1343" i="27"/>
  <c r="O1343" i="27"/>
  <c r="F1344" i="27"/>
  <c r="G1344" i="27"/>
  <c r="H1344" i="27"/>
  <c r="I1344" i="27"/>
  <c r="K1344" i="27"/>
  <c r="M1344" i="27"/>
  <c r="N1344" i="27"/>
  <c r="O1344" i="27"/>
  <c r="F1345" i="27"/>
  <c r="G1345" i="27"/>
  <c r="H1345" i="27"/>
  <c r="I1345" i="27"/>
  <c r="K1345" i="27"/>
  <c r="M1345" i="27"/>
  <c r="N1345" i="27"/>
  <c r="O1345" i="27"/>
  <c r="F1346" i="27"/>
  <c r="G1346" i="27"/>
  <c r="H1346" i="27"/>
  <c r="I1346" i="27"/>
  <c r="K1346" i="27"/>
  <c r="M1346" i="27"/>
  <c r="N1346" i="27"/>
  <c r="O1346" i="27"/>
  <c r="F1347" i="27"/>
  <c r="G1347" i="27"/>
  <c r="H1347" i="27"/>
  <c r="I1347" i="27"/>
  <c r="K1347" i="27"/>
  <c r="M1347" i="27"/>
  <c r="N1347" i="27"/>
  <c r="O1347" i="27"/>
  <c r="F1348" i="27"/>
  <c r="G1348" i="27"/>
  <c r="H1348" i="27"/>
  <c r="I1348" i="27"/>
  <c r="K1348" i="27"/>
  <c r="M1348" i="27"/>
  <c r="N1348" i="27"/>
  <c r="O1348" i="27"/>
  <c r="F1349" i="27"/>
  <c r="G1349" i="27"/>
  <c r="H1349" i="27"/>
  <c r="I1349" i="27"/>
  <c r="K1349" i="27"/>
  <c r="M1349" i="27"/>
  <c r="N1349" i="27"/>
  <c r="O1349" i="27"/>
  <c r="F1350" i="27"/>
  <c r="G1350" i="27"/>
  <c r="H1350" i="27"/>
  <c r="I1350" i="27"/>
  <c r="K1350" i="27"/>
  <c r="M1350" i="27"/>
  <c r="N1350" i="27"/>
  <c r="O1350" i="27"/>
  <c r="F1351" i="27"/>
  <c r="G1351" i="27"/>
  <c r="H1351" i="27"/>
  <c r="I1351" i="27"/>
  <c r="K1351" i="27"/>
  <c r="M1351" i="27"/>
  <c r="N1351" i="27"/>
  <c r="O1351" i="27"/>
  <c r="F1352" i="27"/>
  <c r="G1352" i="27"/>
  <c r="H1352" i="27"/>
  <c r="I1352" i="27"/>
  <c r="K1352" i="27"/>
  <c r="M1352" i="27"/>
  <c r="N1352" i="27"/>
  <c r="O1352" i="27"/>
  <c r="F1353" i="27"/>
  <c r="G1353" i="27"/>
  <c r="H1353" i="27"/>
  <c r="I1353" i="27"/>
  <c r="K1353" i="27"/>
  <c r="M1353" i="27"/>
  <c r="N1353" i="27"/>
  <c r="O1353" i="27"/>
  <c r="F1354" i="27"/>
  <c r="G1354" i="27"/>
  <c r="H1354" i="27"/>
  <c r="I1354" i="27"/>
  <c r="K1354" i="27"/>
  <c r="M1354" i="27"/>
  <c r="N1354" i="27"/>
  <c r="O1354" i="27"/>
  <c r="F1355" i="27"/>
  <c r="G1355" i="27"/>
  <c r="H1355" i="27"/>
  <c r="I1355" i="27"/>
  <c r="K1355" i="27"/>
  <c r="M1355" i="27"/>
  <c r="N1355" i="27"/>
  <c r="O1355" i="27"/>
  <c r="F1356" i="27"/>
  <c r="G1356" i="27"/>
  <c r="H1356" i="27"/>
  <c r="I1356" i="27"/>
  <c r="K1356" i="27"/>
  <c r="M1356" i="27"/>
  <c r="N1356" i="27"/>
  <c r="O1356" i="27"/>
  <c r="F1357" i="27"/>
  <c r="G1357" i="27"/>
  <c r="H1357" i="27"/>
  <c r="I1357" i="27"/>
  <c r="K1357" i="27"/>
  <c r="M1357" i="27"/>
  <c r="N1357" i="27"/>
  <c r="O1357" i="27"/>
  <c r="F1358" i="27"/>
  <c r="G1358" i="27"/>
  <c r="H1358" i="27"/>
  <c r="I1358" i="27"/>
  <c r="K1358" i="27"/>
  <c r="M1358" i="27"/>
  <c r="N1358" i="27"/>
  <c r="O1358" i="27"/>
  <c r="F1359" i="27"/>
  <c r="G1359" i="27"/>
  <c r="H1359" i="27"/>
  <c r="I1359" i="27"/>
  <c r="K1359" i="27"/>
  <c r="M1359" i="27"/>
  <c r="N1359" i="27"/>
  <c r="O1359" i="27"/>
  <c r="F1360" i="27"/>
  <c r="G1360" i="27"/>
  <c r="H1360" i="27"/>
  <c r="I1360" i="27"/>
  <c r="K1360" i="27"/>
  <c r="M1360" i="27"/>
  <c r="N1360" i="27"/>
  <c r="O1360" i="27"/>
  <c r="F1361" i="27"/>
  <c r="G1361" i="27"/>
  <c r="H1361" i="27"/>
  <c r="I1361" i="27"/>
  <c r="K1361" i="27"/>
  <c r="M1361" i="27"/>
  <c r="N1361" i="27"/>
  <c r="O1361" i="27"/>
  <c r="F1362" i="27"/>
  <c r="G1362" i="27"/>
  <c r="H1362" i="27"/>
  <c r="I1362" i="27"/>
  <c r="K1362" i="27"/>
  <c r="M1362" i="27"/>
  <c r="N1362" i="27"/>
  <c r="O1362" i="27"/>
  <c r="F1363" i="27"/>
  <c r="G1363" i="27"/>
  <c r="H1363" i="27"/>
  <c r="I1363" i="27"/>
  <c r="K1363" i="27"/>
  <c r="M1363" i="27"/>
  <c r="N1363" i="27"/>
  <c r="O1363" i="27"/>
  <c r="F1364" i="27"/>
  <c r="G1364" i="27"/>
  <c r="H1364" i="27"/>
  <c r="I1364" i="27"/>
  <c r="K1364" i="27"/>
  <c r="M1364" i="27"/>
  <c r="N1364" i="27"/>
  <c r="O1364" i="27"/>
  <c r="F1365" i="27"/>
  <c r="G1365" i="27"/>
  <c r="H1365" i="27"/>
  <c r="I1365" i="27"/>
  <c r="K1365" i="27"/>
  <c r="M1365" i="27"/>
  <c r="N1365" i="27"/>
  <c r="O1365" i="27"/>
  <c r="F1366" i="27"/>
  <c r="G1366" i="27"/>
  <c r="H1366" i="27"/>
  <c r="I1366" i="27"/>
  <c r="K1366" i="27"/>
  <c r="M1366" i="27"/>
  <c r="N1366" i="27"/>
  <c r="O1366" i="27"/>
  <c r="F1367" i="27"/>
  <c r="G1367" i="27"/>
  <c r="H1367" i="27"/>
  <c r="I1367" i="27"/>
  <c r="K1367" i="27"/>
  <c r="M1367" i="27"/>
  <c r="N1367" i="27"/>
  <c r="O1367" i="27"/>
  <c r="F1368" i="27"/>
  <c r="G1368" i="27"/>
  <c r="H1368" i="27"/>
  <c r="I1368" i="27"/>
  <c r="K1368" i="27"/>
  <c r="M1368" i="27"/>
  <c r="N1368" i="27"/>
  <c r="O1368" i="27"/>
  <c r="F1369" i="27"/>
  <c r="G1369" i="27"/>
  <c r="H1369" i="27"/>
  <c r="I1369" i="27"/>
  <c r="K1369" i="27"/>
  <c r="M1369" i="27"/>
  <c r="N1369" i="27"/>
  <c r="O1369" i="27"/>
  <c r="F1370" i="27"/>
  <c r="G1370" i="27"/>
  <c r="H1370" i="27"/>
  <c r="I1370" i="27"/>
  <c r="K1370" i="27"/>
  <c r="M1370" i="27"/>
  <c r="N1370" i="27"/>
  <c r="O1370" i="27"/>
  <c r="F1371" i="27"/>
  <c r="G1371" i="27"/>
  <c r="H1371" i="27"/>
  <c r="I1371" i="27"/>
  <c r="K1371" i="27"/>
  <c r="M1371" i="27"/>
  <c r="N1371" i="27"/>
  <c r="O1371" i="27"/>
  <c r="F1372" i="27"/>
  <c r="G1372" i="27"/>
  <c r="H1372" i="27"/>
  <c r="I1372" i="27"/>
  <c r="K1372" i="27"/>
  <c r="M1372" i="27"/>
  <c r="N1372" i="27"/>
  <c r="O1372" i="27"/>
  <c r="F1373" i="27"/>
  <c r="G1373" i="27"/>
  <c r="H1373" i="27"/>
  <c r="I1373" i="27"/>
  <c r="K1373" i="27"/>
  <c r="M1373" i="27"/>
  <c r="N1373" i="27"/>
  <c r="O1373" i="27"/>
  <c r="F1374" i="27"/>
  <c r="G1374" i="27"/>
  <c r="H1374" i="27"/>
  <c r="I1374" i="27"/>
  <c r="K1374" i="27"/>
  <c r="M1374" i="27"/>
  <c r="N1374" i="27"/>
  <c r="O1374" i="27"/>
  <c r="F1375" i="27"/>
  <c r="G1375" i="27"/>
  <c r="H1375" i="27"/>
  <c r="I1375" i="27"/>
  <c r="K1375" i="27"/>
  <c r="M1375" i="27"/>
  <c r="N1375" i="27"/>
  <c r="O1375" i="27"/>
  <c r="F1376" i="27"/>
  <c r="G1376" i="27"/>
  <c r="H1376" i="27"/>
  <c r="I1376" i="27"/>
  <c r="K1376" i="27"/>
  <c r="M1376" i="27"/>
  <c r="N1376" i="27"/>
  <c r="O1376" i="27"/>
  <c r="F1377" i="27"/>
  <c r="G1377" i="27"/>
  <c r="H1377" i="27"/>
  <c r="I1377" i="27"/>
  <c r="K1377" i="27"/>
  <c r="M1377" i="27"/>
  <c r="N1377" i="27"/>
  <c r="O1377" i="27"/>
  <c r="F1378" i="27"/>
  <c r="G1378" i="27"/>
  <c r="H1378" i="27"/>
  <c r="I1378" i="27"/>
  <c r="K1378" i="27"/>
  <c r="M1378" i="27"/>
  <c r="N1378" i="27"/>
  <c r="O1378" i="27"/>
  <c r="F1379" i="27"/>
  <c r="G1379" i="27"/>
  <c r="H1379" i="27"/>
  <c r="I1379" i="27"/>
  <c r="K1379" i="27"/>
  <c r="M1379" i="27"/>
  <c r="N1379" i="27"/>
  <c r="O1379" i="27"/>
  <c r="F1380" i="27"/>
  <c r="G1380" i="27"/>
  <c r="H1380" i="27"/>
  <c r="I1380" i="27"/>
  <c r="K1380" i="27"/>
  <c r="M1380" i="27"/>
  <c r="N1380" i="27"/>
  <c r="O1380" i="27"/>
  <c r="F1381" i="27"/>
  <c r="G1381" i="27"/>
  <c r="H1381" i="27"/>
  <c r="I1381" i="27"/>
  <c r="K1381" i="27"/>
  <c r="M1381" i="27"/>
  <c r="N1381" i="27"/>
  <c r="O1381" i="27"/>
  <c r="F1382" i="27"/>
  <c r="G1382" i="27"/>
  <c r="H1382" i="27"/>
  <c r="I1382" i="27"/>
  <c r="K1382" i="27"/>
  <c r="M1382" i="27"/>
  <c r="N1382" i="27"/>
  <c r="O1382" i="27"/>
  <c r="F1383" i="27"/>
  <c r="G1383" i="27"/>
  <c r="H1383" i="27"/>
  <c r="I1383" i="27"/>
  <c r="K1383" i="27"/>
  <c r="M1383" i="27"/>
  <c r="N1383" i="27"/>
  <c r="O1383" i="27"/>
  <c r="F1384" i="27"/>
  <c r="G1384" i="27"/>
  <c r="H1384" i="27"/>
  <c r="I1384" i="27"/>
  <c r="K1384" i="27"/>
  <c r="M1384" i="27"/>
  <c r="N1384" i="27"/>
  <c r="O1384" i="27"/>
  <c r="F1385" i="27"/>
  <c r="G1385" i="27"/>
  <c r="H1385" i="27"/>
  <c r="I1385" i="27"/>
  <c r="K1385" i="27"/>
  <c r="M1385" i="27"/>
  <c r="N1385" i="27"/>
  <c r="O1385" i="27"/>
  <c r="F1386" i="27"/>
  <c r="G1386" i="27"/>
  <c r="H1386" i="27"/>
  <c r="I1386" i="27"/>
  <c r="K1386" i="27"/>
  <c r="M1386" i="27"/>
  <c r="N1386" i="27"/>
  <c r="O1386" i="27"/>
  <c r="F1387" i="27"/>
  <c r="G1387" i="27"/>
  <c r="H1387" i="27"/>
  <c r="I1387" i="27"/>
  <c r="K1387" i="27"/>
  <c r="M1387" i="27"/>
  <c r="N1387" i="27"/>
  <c r="O1387" i="27"/>
  <c r="F1388" i="27"/>
  <c r="G1388" i="27"/>
  <c r="H1388" i="27"/>
  <c r="I1388" i="27"/>
  <c r="K1388" i="27"/>
  <c r="M1388" i="27"/>
  <c r="N1388" i="27"/>
  <c r="O1388" i="27"/>
  <c r="F1389" i="27"/>
  <c r="G1389" i="27"/>
  <c r="H1389" i="27"/>
  <c r="I1389" i="27"/>
  <c r="K1389" i="27"/>
  <c r="M1389" i="27"/>
  <c r="N1389" i="27"/>
  <c r="O1389" i="27"/>
  <c r="F1390" i="27"/>
  <c r="G1390" i="27"/>
  <c r="H1390" i="27"/>
  <c r="I1390" i="27"/>
  <c r="K1390" i="27"/>
  <c r="M1390" i="27"/>
  <c r="N1390" i="27"/>
  <c r="O1390" i="27"/>
  <c r="F1391" i="27"/>
  <c r="G1391" i="27"/>
  <c r="H1391" i="27"/>
  <c r="I1391" i="27"/>
  <c r="K1391" i="27"/>
  <c r="M1391" i="27"/>
  <c r="N1391" i="27"/>
  <c r="O1391" i="27"/>
  <c r="F1392" i="27"/>
  <c r="G1392" i="27"/>
  <c r="H1392" i="27"/>
  <c r="I1392" i="27"/>
  <c r="K1392" i="27"/>
  <c r="M1392" i="27"/>
  <c r="N1392" i="27"/>
  <c r="O1392" i="27"/>
  <c r="F1393" i="27"/>
  <c r="G1393" i="27"/>
  <c r="H1393" i="27"/>
  <c r="I1393" i="27"/>
  <c r="K1393" i="27"/>
  <c r="M1393" i="27"/>
  <c r="N1393" i="27"/>
  <c r="O1393" i="27"/>
  <c r="F1394" i="27"/>
  <c r="G1394" i="27"/>
  <c r="H1394" i="27"/>
  <c r="I1394" i="27"/>
  <c r="K1394" i="27"/>
  <c r="M1394" i="27"/>
  <c r="N1394" i="27"/>
  <c r="O1394" i="27"/>
  <c r="F1395" i="27"/>
  <c r="G1395" i="27"/>
  <c r="H1395" i="27"/>
  <c r="I1395" i="27"/>
  <c r="K1395" i="27"/>
  <c r="M1395" i="27"/>
  <c r="N1395" i="27"/>
  <c r="O1395" i="27"/>
  <c r="F1396" i="27"/>
  <c r="G1396" i="27"/>
  <c r="H1396" i="27"/>
  <c r="I1396" i="27"/>
  <c r="K1396" i="27"/>
  <c r="M1396" i="27"/>
  <c r="N1396" i="27"/>
  <c r="O1396" i="27"/>
  <c r="F1397" i="27"/>
  <c r="G1397" i="27"/>
  <c r="H1397" i="27"/>
  <c r="I1397" i="27"/>
  <c r="K1397" i="27"/>
  <c r="M1397" i="27"/>
  <c r="N1397" i="27"/>
  <c r="O1397" i="27"/>
  <c r="F1398" i="27"/>
  <c r="G1398" i="27"/>
  <c r="H1398" i="27"/>
  <c r="I1398" i="27"/>
  <c r="K1398" i="27"/>
  <c r="M1398" i="27"/>
  <c r="N1398" i="27"/>
  <c r="O1398" i="27"/>
  <c r="F1399" i="27"/>
  <c r="G1399" i="27"/>
  <c r="H1399" i="27"/>
  <c r="I1399" i="27"/>
  <c r="K1399" i="27"/>
  <c r="M1399" i="27"/>
  <c r="N1399" i="27"/>
  <c r="O1399" i="27"/>
  <c r="F1400" i="27"/>
  <c r="G1400" i="27"/>
  <c r="H1400" i="27"/>
  <c r="I1400" i="27"/>
  <c r="K1400" i="27"/>
  <c r="M1400" i="27"/>
  <c r="N1400" i="27"/>
  <c r="O1400" i="27"/>
  <c r="F1401" i="27"/>
  <c r="G1401" i="27"/>
  <c r="H1401" i="27"/>
  <c r="I1401" i="27"/>
  <c r="K1401" i="27"/>
  <c r="M1401" i="27"/>
  <c r="N1401" i="27"/>
  <c r="O1401" i="27"/>
  <c r="F1402" i="27"/>
  <c r="G1402" i="27"/>
  <c r="H1402" i="27"/>
  <c r="I1402" i="27"/>
  <c r="K1402" i="27"/>
  <c r="M1402" i="27"/>
  <c r="N1402" i="27"/>
  <c r="O1402" i="27"/>
  <c r="F1403" i="27"/>
  <c r="G1403" i="27"/>
  <c r="H1403" i="27"/>
  <c r="I1403" i="27"/>
  <c r="K1403" i="27"/>
  <c r="M1403" i="27"/>
  <c r="N1403" i="27"/>
  <c r="O1403" i="27"/>
  <c r="F1404" i="27"/>
  <c r="G1404" i="27"/>
  <c r="H1404" i="27"/>
  <c r="I1404" i="27"/>
  <c r="K1404" i="27"/>
  <c r="M1404" i="27"/>
  <c r="N1404" i="27"/>
  <c r="O1404" i="27"/>
  <c r="F1405" i="27"/>
  <c r="G1405" i="27"/>
  <c r="H1405" i="27"/>
  <c r="I1405" i="27"/>
  <c r="K1405" i="27"/>
  <c r="M1405" i="27"/>
  <c r="N1405" i="27"/>
  <c r="O1405" i="27"/>
  <c r="F1406" i="27"/>
  <c r="G1406" i="27"/>
  <c r="H1406" i="27"/>
  <c r="I1406" i="27"/>
  <c r="K1406" i="27"/>
  <c r="M1406" i="27"/>
  <c r="N1406" i="27"/>
  <c r="O1406" i="27"/>
  <c r="F1407" i="27"/>
  <c r="G1407" i="27"/>
  <c r="H1407" i="27"/>
  <c r="I1407" i="27"/>
  <c r="K1407" i="27"/>
  <c r="M1407" i="27"/>
  <c r="N1407" i="27"/>
  <c r="O1407" i="27"/>
  <c r="F1408" i="27"/>
  <c r="G1408" i="27"/>
  <c r="H1408" i="27"/>
  <c r="I1408" i="27"/>
  <c r="K1408" i="27"/>
  <c r="M1408" i="27"/>
  <c r="N1408" i="27"/>
  <c r="O1408" i="27"/>
  <c r="F1409" i="27"/>
  <c r="G1409" i="27"/>
  <c r="H1409" i="27"/>
  <c r="I1409" i="27"/>
  <c r="K1409" i="27"/>
  <c r="M1409" i="27"/>
  <c r="N1409" i="27"/>
  <c r="O1409" i="27"/>
  <c r="F1410" i="27"/>
  <c r="G1410" i="27"/>
  <c r="H1410" i="27"/>
  <c r="I1410" i="27"/>
  <c r="K1410" i="27"/>
  <c r="M1410" i="27"/>
  <c r="N1410" i="27"/>
  <c r="O1410" i="27"/>
  <c r="F1411" i="27"/>
  <c r="G1411" i="27"/>
  <c r="H1411" i="27"/>
  <c r="I1411" i="27"/>
  <c r="K1411" i="27"/>
  <c r="M1411" i="27"/>
  <c r="N1411" i="27"/>
  <c r="O1411" i="27"/>
  <c r="F1412" i="27"/>
  <c r="G1412" i="27"/>
  <c r="H1412" i="27"/>
  <c r="I1412" i="27"/>
  <c r="K1412" i="27"/>
  <c r="M1412" i="27"/>
  <c r="N1412" i="27"/>
  <c r="O1412" i="27"/>
  <c r="F1413" i="27"/>
  <c r="G1413" i="27"/>
  <c r="H1413" i="27"/>
  <c r="I1413" i="27"/>
  <c r="K1413" i="27"/>
  <c r="M1413" i="27"/>
  <c r="N1413" i="27"/>
  <c r="O1413" i="27"/>
  <c r="F1414" i="27"/>
  <c r="G1414" i="27"/>
  <c r="H1414" i="27"/>
  <c r="I1414" i="27"/>
  <c r="K1414" i="27"/>
  <c r="M1414" i="27"/>
  <c r="N1414" i="27"/>
  <c r="O1414" i="27"/>
  <c r="F1415" i="27"/>
  <c r="G1415" i="27"/>
  <c r="H1415" i="27"/>
  <c r="I1415" i="27"/>
  <c r="K1415" i="27"/>
  <c r="M1415" i="27"/>
  <c r="N1415" i="27"/>
  <c r="O1415" i="27"/>
  <c r="F1416" i="27"/>
  <c r="G1416" i="27"/>
  <c r="H1416" i="27"/>
  <c r="I1416" i="27"/>
  <c r="K1416" i="27"/>
  <c r="M1416" i="27"/>
  <c r="N1416" i="27"/>
  <c r="O1416" i="27"/>
  <c r="F1417" i="27"/>
  <c r="G1417" i="27"/>
  <c r="H1417" i="27"/>
  <c r="I1417" i="27"/>
  <c r="K1417" i="27"/>
  <c r="M1417" i="27"/>
  <c r="N1417" i="27"/>
  <c r="O1417" i="27"/>
  <c r="F1418" i="27"/>
  <c r="G1418" i="27"/>
  <c r="H1418" i="27"/>
  <c r="I1418" i="27"/>
  <c r="K1418" i="27"/>
  <c r="M1418" i="27"/>
  <c r="N1418" i="27"/>
  <c r="O1418" i="27"/>
  <c r="F1419" i="27"/>
  <c r="G1419" i="27"/>
  <c r="H1419" i="27"/>
  <c r="I1419" i="27"/>
  <c r="K1419" i="27"/>
  <c r="M1419" i="27"/>
  <c r="N1419" i="27"/>
  <c r="O1419" i="27"/>
  <c r="F1420" i="27"/>
  <c r="G1420" i="27"/>
  <c r="H1420" i="27"/>
  <c r="I1420" i="27"/>
  <c r="K1420" i="27"/>
  <c r="M1420" i="27"/>
  <c r="N1420" i="27"/>
  <c r="O1420" i="27"/>
  <c r="F1421" i="27"/>
  <c r="G1421" i="27"/>
  <c r="H1421" i="27"/>
  <c r="I1421" i="27"/>
  <c r="K1421" i="27"/>
  <c r="M1421" i="27"/>
  <c r="N1421" i="27"/>
  <c r="O1421" i="27"/>
  <c r="F1271" i="27"/>
  <c r="G1271" i="27"/>
  <c r="H1271" i="27"/>
  <c r="I1271" i="27"/>
  <c r="M1271" i="27"/>
  <c r="N1271" i="27"/>
  <c r="O1271" i="27"/>
  <c r="G1272" i="27"/>
  <c r="H1272" i="27"/>
  <c r="I1272" i="27"/>
  <c r="K1272" i="27"/>
  <c r="M1272" i="27"/>
  <c r="N1272" i="27"/>
  <c r="O1272" i="27"/>
  <c r="P1272" i="27"/>
  <c r="F1272" i="27"/>
  <c r="CF151" i="31"/>
  <c r="J1421" i="27" s="1"/>
  <c r="CH151" i="31"/>
  <c r="L1421" i="27" s="1"/>
  <c r="CL151" i="31"/>
  <c r="P1421" i="27" s="1"/>
  <c r="I151" i="31"/>
  <c r="F1123" i="27"/>
  <c r="G1123" i="27"/>
  <c r="H1123" i="27"/>
  <c r="I1123" i="27"/>
  <c r="M1123" i="27"/>
  <c r="N1123" i="27"/>
  <c r="O1123" i="27"/>
  <c r="F1124" i="27"/>
  <c r="G1124" i="27"/>
  <c r="H1124" i="27"/>
  <c r="I1124" i="27"/>
  <c r="M1124" i="27"/>
  <c r="N1124" i="27"/>
  <c r="O1124" i="27"/>
  <c r="F1125" i="27"/>
  <c r="G1125" i="27"/>
  <c r="H1125" i="27"/>
  <c r="I1125" i="27"/>
  <c r="M1125" i="27"/>
  <c r="N1125" i="27"/>
  <c r="O1125" i="27"/>
  <c r="F1126" i="27"/>
  <c r="G1126" i="27"/>
  <c r="H1126" i="27"/>
  <c r="I1126" i="27"/>
  <c r="M1126" i="27"/>
  <c r="N1126" i="27"/>
  <c r="O1126" i="27"/>
  <c r="F1127" i="27"/>
  <c r="G1127" i="27"/>
  <c r="H1127" i="27"/>
  <c r="I1127" i="27"/>
  <c r="M1127" i="27"/>
  <c r="N1127" i="27"/>
  <c r="O1127" i="27"/>
  <c r="F1128" i="27"/>
  <c r="G1128" i="27"/>
  <c r="H1128" i="27"/>
  <c r="I1128" i="27"/>
  <c r="M1128" i="27"/>
  <c r="N1128" i="27"/>
  <c r="O1128" i="27"/>
  <c r="F1129" i="27"/>
  <c r="G1129" i="27"/>
  <c r="H1129" i="27"/>
  <c r="I1129" i="27"/>
  <c r="M1129" i="27"/>
  <c r="N1129" i="27"/>
  <c r="O1129" i="27"/>
  <c r="F1130" i="27"/>
  <c r="G1130" i="27"/>
  <c r="H1130" i="27"/>
  <c r="I1130" i="27"/>
  <c r="M1130" i="27"/>
  <c r="N1130" i="27"/>
  <c r="O1130" i="27"/>
  <c r="F1131" i="27"/>
  <c r="G1131" i="27"/>
  <c r="H1131" i="27"/>
  <c r="I1131" i="27"/>
  <c r="M1131" i="27"/>
  <c r="N1131" i="27"/>
  <c r="O1131" i="27"/>
  <c r="F1132" i="27"/>
  <c r="G1132" i="27"/>
  <c r="H1132" i="27"/>
  <c r="I1132" i="27"/>
  <c r="M1132" i="27"/>
  <c r="N1132" i="27"/>
  <c r="O1132" i="27"/>
  <c r="F1133" i="27"/>
  <c r="G1133" i="27"/>
  <c r="H1133" i="27"/>
  <c r="I1133" i="27"/>
  <c r="M1133" i="27"/>
  <c r="N1133" i="27"/>
  <c r="O1133" i="27"/>
  <c r="F1134" i="27"/>
  <c r="G1134" i="27"/>
  <c r="H1134" i="27"/>
  <c r="I1134" i="27"/>
  <c r="M1134" i="27"/>
  <c r="N1134" i="27"/>
  <c r="O1134" i="27"/>
  <c r="F1135" i="27"/>
  <c r="G1135" i="27"/>
  <c r="H1135" i="27"/>
  <c r="I1135" i="27"/>
  <c r="M1135" i="27"/>
  <c r="N1135" i="27"/>
  <c r="O1135" i="27"/>
  <c r="F1136" i="27"/>
  <c r="G1136" i="27"/>
  <c r="H1136" i="27"/>
  <c r="I1136" i="27"/>
  <c r="M1136" i="27"/>
  <c r="N1136" i="27"/>
  <c r="O1136" i="27"/>
  <c r="F1137" i="27"/>
  <c r="G1137" i="27"/>
  <c r="H1137" i="27"/>
  <c r="I1137" i="27"/>
  <c r="M1137" i="27"/>
  <c r="N1137" i="27"/>
  <c r="O1137" i="27"/>
  <c r="F1138" i="27"/>
  <c r="G1138" i="27"/>
  <c r="H1138" i="27"/>
  <c r="I1138" i="27"/>
  <c r="M1138" i="27"/>
  <c r="N1138" i="27"/>
  <c r="O1138" i="27"/>
  <c r="F1139" i="27"/>
  <c r="G1139" i="27"/>
  <c r="H1139" i="27"/>
  <c r="I1139" i="27"/>
  <c r="M1139" i="27"/>
  <c r="N1139" i="27"/>
  <c r="O1139" i="27"/>
  <c r="F1140" i="27"/>
  <c r="G1140" i="27"/>
  <c r="H1140" i="27"/>
  <c r="I1140" i="27"/>
  <c r="M1140" i="27"/>
  <c r="N1140" i="27"/>
  <c r="O1140" i="27"/>
  <c r="F1141" i="27"/>
  <c r="G1141" i="27"/>
  <c r="H1141" i="27"/>
  <c r="I1141" i="27"/>
  <c r="M1141" i="27"/>
  <c r="N1141" i="27"/>
  <c r="O1141" i="27"/>
  <c r="F1142" i="27"/>
  <c r="G1142" i="27"/>
  <c r="H1142" i="27"/>
  <c r="I1142" i="27"/>
  <c r="M1142" i="27"/>
  <c r="N1142" i="27"/>
  <c r="O1142" i="27"/>
  <c r="F1143" i="27"/>
  <c r="G1143" i="27"/>
  <c r="H1143" i="27"/>
  <c r="I1143" i="27"/>
  <c r="M1143" i="27"/>
  <c r="N1143" i="27"/>
  <c r="O1143" i="27"/>
  <c r="F1144" i="27"/>
  <c r="G1144" i="27"/>
  <c r="H1144" i="27"/>
  <c r="I1144" i="27"/>
  <c r="M1144" i="27"/>
  <c r="N1144" i="27"/>
  <c r="O1144" i="27"/>
  <c r="F1145" i="27"/>
  <c r="G1145" i="27"/>
  <c r="H1145" i="27"/>
  <c r="I1145" i="27"/>
  <c r="M1145" i="27"/>
  <c r="N1145" i="27"/>
  <c r="O1145" i="27"/>
  <c r="F1146" i="27"/>
  <c r="G1146" i="27"/>
  <c r="H1146" i="27"/>
  <c r="I1146" i="27"/>
  <c r="M1146" i="27"/>
  <c r="N1146" i="27"/>
  <c r="O1146" i="27"/>
  <c r="F1147" i="27"/>
  <c r="G1147" i="27"/>
  <c r="H1147" i="27"/>
  <c r="I1147" i="27"/>
  <c r="M1147" i="27"/>
  <c r="N1147" i="27"/>
  <c r="O1147" i="27"/>
  <c r="F1148" i="27"/>
  <c r="G1148" i="27"/>
  <c r="H1148" i="27"/>
  <c r="I1148" i="27"/>
  <c r="M1148" i="27"/>
  <c r="N1148" i="27"/>
  <c r="O1148" i="27"/>
  <c r="F1149" i="27"/>
  <c r="G1149" i="27"/>
  <c r="H1149" i="27"/>
  <c r="I1149" i="27"/>
  <c r="M1149" i="27"/>
  <c r="N1149" i="27"/>
  <c r="O1149" i="27"/>
  <c r="F1150" i="27"/>
  <c r="G1150" i="27"/>
  <c r="H1150" i="27"/>
  <c r="I1150" i="27"/>
  <c r="M1150" i="27"/>
  <c r="N1150" i="27"/>
  <c r="O1150" i="27"/>
  <c r="F1151" i="27"/>
  <c r="G1151" i="27"/>
  <c r="H1151" i="27"/>
  <c r="I1151" i="27"/>
  <c r="M1151" i="27"/>
  <c r="N1151" i="27"/>
  <c r="O1151" i="27"/>
  <c r="F1152" i="27"/>
  <c r="G1152" i="27"/>
  <c r="H1152" i="27"/>
  <c r="I1152" i="27"/>
  <c r="M1152" i="27"/>
  <c r="N1152" i="27"/>
  <c r="O1152" i="27"/>
  <c r="F1153" i="27"/>
  <c r="G1153" i="27"/>
  <c r="H1153" i="27"/>
  <c r="I1153" i="27"/>
  <c r="M1153" i="27"/>
  <c r="N1153" i="27"/>
  <c r="O1153" i="27"/>
  <c r="F1154" i="27"/>
  <c r="G1154" i="27"/>
  <c r="H1154" i="27"/>
  <c r="I1154" i="27"/>
  <c r="M1154" i="27"/>
  <c r="N1154" i="27"/>
  <c r="O1154" i="27"/>
  <c r="F1155" i="27"/>
  <c r="G1155" i="27"/>
  <c r="H1155" i="27"/>
  <c r="I1155" i="27"/>
  <c r="M1155" i="27"/>
  <c r="N1155" i="27"/>
  <c r="O1155" i="27"/>
  <c r="F1156" i="27"/>
  <c r="G1156" i="27"/>
  <c r="H1156" i="27"/>
  <c r="I1156" i="27"/>
  <c r="M1156" i="27"/>
  <c r="N1156" i="27"/>
  <c r="O1156" i="27"/>
  <c r="F1157" i="27"/>
  <c r="G1157" i="27"/>
  <c r="H1157" i="27"/>
  <c r="I1157" i="27"/>
  <c r="M1157" i="27"/>
  <c r="N1157" i="27"/>
  <c r="O1157" i="27"/>
  <c r="F1158" i="27"/>
  <c r="G1158" i="27"/>
  <c r="H1158" i="27"/>
  <c r="I1158" i="27"/>
  <c r="M1158" i="27"/>
  <c r="N1158" i="27"/>
  <c r="O1158" i="27"/>
  <c r="F1159" i="27"/>
  <c r="G1159" i="27"/>
  <c r="H1159" i="27"/>
  <c r="I1159" i="27"/>
  <c r="M1159" i="27"/>
  <c r="N1159" i="27"/>
  <c r="O1159" i="27"/>
  <c r="F1160" i="27"/>
  <c r="G1160" i="27"/>
  <c r="H1160" i="27"/>
  <c r="I1160" i="27"/>
  <c r="M1160" i="27"/>
  <c r="N1160" i="27"/>
  <c r="O1160" i="27"/>
  <c r="F1161" i="27"/>
  <c r="G1161" i="27"/>
  <c r="H1161" i="27"/>
  <c r="I1161" i="27"/>
  <c r="M1161" i="27"/>
  <c r="N1161" i="27"/>
  <c r="O1161" i="27"/>
  <c r="F1162" i="27"/>
  <c r="G1162" i="27"/>
  <c r="H1162" i="27"/>
  <c r="I1162" i="27"/>
  <c r="M1162" i="27"/>
  <c r="N1162" i="27"/>
  <c r="O1162" i="27"/>
  <c r="F1163" i="27"/>
  <c r="G1163" i="27"/>
  <c r="H1163" i="27"/>
  <c r="I1163" i="27"/>
  <c r="M1163" i="27"/>
  <c r="N1163" i="27"/>
  <c r="O1163" i="27"/>
  <c r="F1164" i="27"/>
  <c r="G1164" i="27"/>
  <c r="H1164" i="27"/>
  <c r="I1164" i="27"/>
  <c r="M1164" i="27"/>
  <c r="N1164" i="27"/>
  <c r="O1164" i="27"/>
  <c r="F1165" i="27"/>
  <c r="G1165" i="27"/>
  <c r="H1165" i="27"/>
  <c r="I1165" i="27"/>
  <c r="M1165" i="27"/>
  <c r="N1165" i="27"/>
  <c r="O1165" i="27"/>
  <c r="F1166" i="27"/>
  <c r="G1166" i="27"/>
  <c r="H1166" i="27"/>
  <c r="I1166" i="27"/>
  <c r="M1166" i="27"/>
  <c r="N1166" i="27"/>
  <c r="O1166" i="27"/>
  <c r="F1167" i="27"/>
  <c r="G1167" i="27"/>
  <c r="H1167" i="27"/>
  <c r="I1167" i="27"/>
  <c r="M1167" i="27"/>
  <c r="N1167" i="27"/>
  <c r="O1167" i="27"/>
  <c r="F1168" i="27"/>
  <c r="G1168" i="27"/>
  <c r="H1168" i="27"/>
  <c r="I1168" i="27"/>
  <c r="M1168" i="27"/>
  <c r="N1168" i="27"/>
  <c r="O1168" i="27"/>
  <c r="F1169" i="27"/>
  <c r="G1169" i="27"/>
  <c r="H1169" i="27"/>
  <c r="I1169" i="27"/>
  <c r="M1169" i="27"/>
  <c r="N1169" i="27"/>
  <c r="O1169" i="27"/>
  <c r="F1170" i="27"/>
  <c r="G1170" i="27"/>
  <c r="H1170" i="27"/>
  <c r="I1170" i="27"/>
  <c r="M1170" i="27"/>
  <c r="N1170" i="27"/>
  <c r="O1170" i="27"/>
  <c r="F1171" i="27"/>
  <c r="G1171" i="27"/>
  <c r="H1171" i="27"/>
  <c r="I1171" i="27"/>
  <c r="M1171" i="27"/>
  <c r="N1171" i="27"/>
  <c r="O1171" i="27"/>
  <c r="F1172" i="27"/>
  <c r="G1172" i="27"/>
  <c r="H1172" i="27"/>
  <c r="I1172" i="27"/>
  <c r="M1172" i="27"/>
  <c r="N1172" i="27"/>
  <c r="O1172" i="27"/>
  <c r="F1173" i="27"/>
  <c r="G1173" i="27"/>
  <c r="H1173" i="27"/>
  <c r="I1173" i="27"/>
  <c r="M1173" i="27"/>
  <c r="N1173" i="27"/>
  <c r="O1173" i="27"/>
  <c r="F1174" i="27"/>
  <c r="G1174" i="27"/>
  <c r="H1174" i="27"/>
  <c r="I1174" i="27"/>
  <c r="M1174" i="27"/>
  <c r="N1174" i="27"/>
  <c r="O1174" i="27"/>
  <c r="F1175" i="27"/>
  <c r="G1175" i="27"/>
  <c r="H1175" i="27"/>
  <c r="I1175" i="27"/>
  <c r="M1175" i="27"/>
  <c r="N1175" i="27"/>
  <c r="O1175" i="27"/>
  <c r="F1176" i="27"/>
  <c r="G1176" i="27"/>
  <c r="H1176" i="27"/>
  <c r="I1176" i="27"/>
  <c r="M1176" i="27"/>
  <c r="N1176" i="27"/>
  <c r="O1176" i="27"/>
  <c r="F1177" i="27"/>
  <c r="G1177" i="27"/>
  <c r="H1177" i="27"/>
  <c r="I1177" i="27"/>
  <c r="M1177" i="27"/>
  <c r="N1177" i="27"/>
  <c r="O1177" i="27"/>
  <c r="F1178" i="27"/>
  <c r="G1178" i="27"/>
  <c r="H1178" i="27"/>
  <c r="I1178" i="27"/>
  <c r="M1178" i="27"/>
  <c r="N1178" i="27"/>
  <c r="O1178" i="27"/>
  <c r="F1179" i="27"/>
  <c r="G1179" i="27"/>
  <c r="H1179" i="27"/>
  <c r="I1179" i="27"/>
  <c r="M1179" i="27"/>
  <c r="N1179" i="27"/>
  <c r="O1179" i="27"/>
  <c r="F1180" i="27"/>
  <c r="G1180" i="27"/>
  <c r="H1180" i="27"/>
  <c r="I1180" i="27"/>
  <c r="M1180" i="27"/>
  <c r="N1180" i="27"/>
  <c r="O1180" i="27"/>
  <c r="F1181" i="27"/>
  <c r="G1181" i="27"/>
  <c r="H1181" i="27"/>
  <c r="I1181" i="27"/>
  <c r="M1181" i="27"/>
  <c r="N1181" i="27"/>
  <c r="O1181" i="27"/>
  <c r="F1182" i="27"/>
  <c r="G1182" i="27"/>
  <c r="H1182" i="27"/>
  <c r="I1182" i="27"/>
  <c r="M1182" i="27"/>
  <c r="N1182" i="27"/>
  <c r="O1182" i="27"/>
  <c r="F1183" i="27"/>
  <c r="G1183" i="27"/>
  <c r="H1183" i="27"/>
  <c r="I1183" i="27"/>
  <c r="M1183" i="27"/>
  <c r="N1183" i="27"/>
  <c r="O1183" i="27"/>
  <c r="F1184" i="27"/>
  <c r="G1184" i="27"/>
  <c r="H1184" i="27"/>
  <c r="I1184" i="27"/>
  <c r="M1184" i="27"/>
  <c r="N1184" i="27"/>
  <c r="O1184" i="27"/>
  <c r="F1185" i="27"/>
  <c r="G1185" i="27"/>
  <c r="H1185" i="27"/>
  <c r="I1185" i="27"/>
  <c r="M1185" i="27"/>
  <c r="N1185" i="27"/>
  <c r="O1185" i="27"/>
  <c r="F1186" i="27"/>
  <c r="G1186" i="27"/>
  <c r="H1186" i="27"/>
  <c r="I1186" i="27"/>
  <c r="M1186" i="27"/>
  <c r="N1186" i="27"/>
  <c r="O1186" i="27"/>
  <c r="F1187" i="27"/>
  <c r="G1187" i="27"/>
  <c r="H1187" i="27"/>
  <c r="I1187" i="27"/>
  <c r="M1187" i="27"/>
  <c r="N1187" i="27"/>
  <c r="O1187" i="27"/>
  <c r="F1188" i="27"/>
  <c r="G1188" i="27"/>
  <c r="H1188" i="27"/>
  <c r="I1188" i="27"/>
  <c r="M1188" i="27"/>
  <c r="N1188" i="27"/>
  <c r="O1188" i="27"/>
  <c r="F1189" i="27"/>
  <c r="G1189" i="27"/>
  <c r="H1189" i="27"/>
  <c r="I1189" i="27"/>
  <c r="M1189" i="27"/>
  <c r="N1189" i="27"/>
  <c r="O1189" i="27"/>
  <c r="F1190" i="27"/>
  <c r="G1190" i="27"/>
  <c r="H1190" i="27"/>
  <c r="I1190" i="27"/>
  <c r="M1190" i="27"/>
  <c r="N1190" i="27"/>
  <c r="O1190" i="27"/>
  <c r="F1191" i="27"/>
  <c r="G1191" i="27"/>
  <c r="H1191" i="27"/>
  <c r="I1191" i="27"/>
  <c r="M1191" i="27"/>
  <c r="N1191" i="27"/>
  <c r="O1191" i="27"/>
  <c r="F1192" i="27"/>
  <c r="G1192" i="27"/>
  <c r="H1192" i="27"/>
  <c r="I1192" i="27"/>
  <c r="M1192" i="27"/>
  <c r="N1192" i="27"/>
  <c r="O1192" i="27"/>
  <c r="F1193" i="27"/>
  <c r="G1193" i="27"/>
  <c r="H1193" i="27"/>
  <c r="I1193" i="27"/>
  <c r="M1193" i="27"/>
  <c r="N1193" i="27"/>
  <c r="O1193" i="27"/>
  <c r="F1194" i="27"/>
  <c r="G1194" i="27"/>
  <c r="H1194" i="27"/>
  <c r="I1194" i="27"/>
  <c r="M1194" i="27"/>
  <c r="N1194" i="27"/>
  <c r="O1194" i="27"/>
  <c r="F1195" i="27"/>
  <c r="G1195" i="27"/>
  <c r="H1195" i="27"/>
  <c r="I1195" i="27"/>
  <c r="M1195" i="27"/>
  <c r="N1195" i="27"/>
  <c r="O1195" i="27"/>
  <c r="F1196" i="27"/>
  <c r="G1196" i="27"/>
  <c r="H1196" i="27"/>
  <c r="I1196" i="27"/>
  <c r="M1196" i="27"/>
  <c r="N1196" i="27"/>
  <c r="O1196" i="27"/>
  <c r="F1197" i="27"/>
  <c r="G1197" i="27"/>
  <c r="H1197" i="27"/>
  <c r="I1197" i="27"/>
  <c r="M1197" i="27"/>
  <c r="N1197" i="27"/>
  <c r="O1197" i="27"/>
  <c r="F1198" i="27"/>
  <c r="G1198" i="27"/>
  <c r="H1198" i="27"/>
  <c r="I1198" i="27"/>
  <c r="M1198" i="27"/>
  <c r="N1198" i="27"/>
  <c r="O1198" i="27"/>
  <c r="F1199" i="27"/>
  <c r="G1199" i="27"/>
  <c r="H1199" i="27"/>
  <c r="I1199" i="27"/>
  <c r="M1199" i="27"/>
  <c r="N1199" i="27"/>
  <c r="O1199" i="27"/>
  <c r="F1200" i="27"/>
  <c r="G1200" i="27"/>
  <c r="H1200" i="27"/>
  <c r="I1200" i="27"/>
  <c r="M1200" i="27"/>
  <c r="N1200" i="27"/>
  <c r="O1200" i="27"/>
  <c r="F1201" i="27"/>
  <c r="G1201" i="27"/>
  <c r="H1201" i="27"/>
  <c r="I1201" i="27"/>
  <c r="M1201" i="27"/>
  <c r="N1201" i="27"/>
  <c r="O1201" i="27"/>
  <c r="F1202" i="27"/>
  <c r="G1202" i="27"/>
  <c r="H1202" i="27"/>
  <c r="I1202" i="27"/>
  <c r="M1202" i="27"/>
  <c r="N1202" i="27"/>
  <c r="O1202" i="27"/>
  <c r="F1203" i="27"/>
  <c r="G1203" i="27"/>
  <c r="H1203" i="27"/>
  <c r="I1203" i="27"/>
  <c r="M1203" i="27"/>
  <c r="N1203" i="27"/>
  <c r="O1203" i="27"/>
  <c r="F1204" i="27"/>
  <c r="G1204" i="27"/>
  <c r="H1204" i="27"/>
  <c r="I1204" i="27"/>
  <c r="M1204" i="27"/>
  <c r="N1204" i="27"/>
  <c r="O1204" i="27"/>
  <c r="F1205" i="27"/>
  <c r="G1205" i="27"/>
  <c r="H1205" i="27"/>
  <c r="I1205" i="27"/>
  <c r="M1205" i="27"/>
  <c r="N1205" i="27"/>
  <c r="O1205" i="27"/>
  <c r="F1206" i="27"/>
  <c r="G1206" i="27"/>
  <c r="H1206" i="27"/>
  <c r="I1206" i="27"/>
  <c r="M1206" i="27"/>
  <c r="N1206" i="27"/>
  <c r="O1206" i="27"/>
  <c r="F1207" i="27"/>
  <c r="G1207" i="27"/>
  <c r="H1207" i="27"/>
  <c r="I1207" i="27"/>
  <c r="M1207" i="27"/>
  <c r="N1207" i="27"/>
  <c r="O1207" i="27"/>
  <c r="F1208" i="27"/>
  <c r="G1208" i="27"/>
  <c r="H1208" i="27"/>
  <c r="I1208" i="27"/>
  <c r="M1208" i="27"/>
  <c r="N1208" i="27"/>
  <c r="O1208" i="27"/>
  <c r="F1209" i="27"/>
  <c r="G1209" i="27"/>
  <c r="H1209" i="27"/>
  <c r="I1209" i="27"/>
  <c r="M1209" i="27"/>
  <c r="N1209" i="27"/>
  <c r="O1209" i="27"/>
  <c r="F1210" i="27"/>
  <c r="G1210" i="27"/>
  <c r="H1210" i="27"/>
  <c r="I1210" i="27"/>
  <c r="M1210" i="27"/>
  <c r="N1210" i="27"/>
  <c r="O1210" i="27"/>
  <c r="F1211" i="27"/>
  <c r="G1211" i="27"/>
  <c r="H1211" i="27"/>
  <c r="I1211" i="27"/>
  <c r="M1211" i="27"/>
  <c r="N1211" i="27"/>
  <c r="O1211" i="27"/>
  <c r="F1212" i="27"/>
  <c r="G1212" i="27"/>
  <c r="H1212" i="27"/>
  <c r="I1212" i="27"/>
  <c r="M1212" i="27"/>
  <c r="N1212" i="27"/>
  <c r="O1212" i="27"/>
  <c r="F1213" i="27"/>
  <c r="G1213" i="27"/>
  <c r="H1213" i="27"/>
  <c r="I1213" i="27"/>
  <c r="M1213" i="27"/>
  <c r="N1213" i="27"/>
  <c r="O1213" i="27"/>
  <c r="F1214" i="27"/>
  <c r="G1214" i="27"/>
  <c r="H1214" i="27"/>
  <c r="I1214" i="27"/>
  <c r="M1214" i="27"/>
  <c r="N1214" i="27"/>
  <c r="O1214" i="27"/>
  <c r="F1215" i="27"/>
  <c r="G1215" i="27"/>
  <c r="H1215" i="27"/>
  <c r="I1215" i="27"/>
  <c r="M1215" i="27"/>
  <c r="N1215" i="27"/>
  <c r="O1215" i="27"/>
  <c r="F1216" i="27"/>
  <c r="G1216" i="27"/>
  <c r="H1216" i="27"/>
  <c r="I1216" i="27"/>
  <c r="M1216" i="27"/>
  <c r="N1216" i="27"/>
  <c r="O1216" i="27"/>
  <c r="F1217" i="27"/>
  <c r="G1217" i="27"/>
  <c r="H1217" i="27"/>
  <c r="I1217" i="27"/>
  <c r="M1217" i="27"/>
  <c r="N1217" i="27"/>
  <c r="O1217" i="27"/>
  <c r="F1218" i="27"/>
  <c r="G1218" i="27"/>
  <c r="H1218" i="27"/>
  <c r="I1218" i="27"/>
  <c r="M1218" i="27"/>
  <c r="N1218" i="27"/>
  <c r="O1218" i="27"/>
  <c r="F1219" i="27"/>
  <c r="G1219" i="27"/>
  <c r="H1219" i="27"/>
  <c r="I1219" i="27"/>
  <c r="M1219" i="27"/>
  <c r="N1219" i="27"/>
  <c r="O1219" i="27"/>
  <c r="F1220" i="27"/>
  <c r="G1220" i="27"/>
  <c r="H1220" i="27"/>
  <c r="I1220" i="27"/>
  <c r="M1220" i="27"/>
  <c r="N1220" i="27"/>
  <c r="O1220" i="27"/>
  <c r="F1221" i="27"/>
  <c r="G1221" i="27"/>
  <c r="H1221" i="27"/>
  <c r="I1221" i="27"/>
  <c r="M1221" i="27"/>
  <c r="N1221" i="27"/>
  <c r="O1221" i="27"/>
  <c r="F1222" i="27"/>
  <c r="G1222" i="27"/>
  <c r="H1222" i="27"/>
  <c r="I1222" i="27"/>
  <c r="M1222" i="27"/>
  <c r="N1222" i="27"/>
  <c r="O1222" i="27"/>
  <c r="F1223" i="27"/>
  <c r="G1223" i="27"/>
  <c r="H1223" i="27"/>
  <c r="I1223" i="27"/>
  <c r="M1223" i="27"/>
  <c r="N1223" i="27"/>
  <c r="O1223" i="27"/>
  <c r="F1224" i="27"/>
  <c r="G1224" i="27"/>
  <c r="H1224" i="27"/>
  <c r="I1224" i="27"/>
  <c r="M1224" i="27"/>
  <c r="N1224" i="27"/>
  <c r="O1224" i="27"/>
  <c r="F1225" i="27"/>
  <c r="G1225" i="27"/>
  <c r="H1225" i="27"/>
  <c r="I1225" i="27"/>
  <c r="M1225" i="27"/>
  <c r="N1225" i="27"/>
  <c r="O1225" i="27"/>
  <c r="F1226" i="27"/>
  <c r="G1226" i="27"/>
  <c r="H1226" i="27"/>
  <c r="I1226" i="27"/>
  <c r="M1226" i="27"/>
  <c r="N1226" i="27"/>
  <c r="O1226" i="27"/>
  <c r="F1227" i="27"/>
  <c r="G1227" i="27"/>
  <c r="H1227" i="27"/>
  <c r="I1227" i="27"/>
  <c r="M1227" i="27"/>
  <c r="N1227" i="27"/>
  <c r="O1227" i="27"/>
  <c r="F1228" i="27"/>
  <c r="G1228" i="27"/>
  <c r="H1228" i="27"/>
  <c r="I1228" i="27"/>
  <c r="M1228" i="27"/>
  <c r="N1228" i="27"/>
  <c r="O1228" i="27"/>
  <c r="F1229" i="27"/>
  <c r="G1229" i="27"/>
  <c r="H1229" i="27"/>
  <c r="I1229" i="27"/>
  <c r="M1229" i="27"/>
  <c r="N1229" i="27"/>
  <c r="O1229" i="27"/>
  <c r="F1230" i="27"/>
  <c r="G1230" i="27"/>
  <c r="H1230" i="27"/>
  <c r="I1230" i="27"/>
  <c r="M1230" i="27"/>
  <c r="N1230" i="27"/>
  <c r="O1230" i="27"/>
  <c r="F1231" i="27"/>
  <c r="G1231" i="27"/>
  <c r="H1231" i="27"/>
  <c r="I1231" i="27"/>
  <c r="M1231" i="27"/>
  <c r="N1231" i="27"/>
  <c r="O1231" i="27"/>
  <c r="F1232" i="27"/>
  <c r="G1232" i="27"/>
  <c r="H1232" i="27"/>
  <c r="I1232" i="27"/>
  <c r="M1232" i="27"/>
  <c r="N1232" i="27"/>
  <c r="O1232" i="27"/>
  <c r="F1233" i="27"/>
  <c r="G1233" i="27"/>
  <c r="H1233" i="27"/>
  <c r="I1233" i="27"/>
  <c r="M1233" i="27"/>
  <c r="N1233" i="27"/>
  <c r="O1233" i="27"/>
  <c r="F1234" i="27"/>
  <c r="G1234" i="27"/>
  <c r="H1234" i="27"/>
  <c r="I1234" i="27"/>
  <c r="M1234" i="27"/>
  <c r="N1234" i="27"/>
  <c r="O1234" i="27"/>
  <c r="F1235" i="27"/>
  <c r="G1235" i="27"/>
  <c r="H1235" i="27"/>
  <c r="I1235" i="27"/>
  <c r="M1235" i="27"/>
  <c r="N1235" i="27"/>
  <c r="O1235" i="27"/>
  <c r="F1236" i="27"/>
  <c r="G1236" i="27"/>
  <c r="H1236" i="27"/>
  <c r="I1236" i="27"/>
  <c r="M1236" i="27"/>
  <c r="N1236" i="27"/>
  <c r="O1236" i="27"/>
  <c r="F1237" i="27"/>
  <c r="G1237" i="27"/>
  <c r="H1237" i="27"/>
  <c r="I1237" i="27"/>
  <c r="M1237" i="27"/>
  <c r="N1237" i="27"/>
  <c r="O1237" i="27"/>
  <c r="F1238" i="27"/>
  <c r="G1238" i="27"/>
  <c r="H1238" i="27"/>
  <c r="I1238" i="27"/>
  <c r="M1238" i="27"/>
  <c r="N1238" i="27"/>
  <c r="O1238" i="27"/>
  <c r="F1239" i="27"/>
  <c r="G1239" i="27"/>
  <c r="H1239" i="27"/>
  <c r="I1239" i="27"/>
  <c r="M1239" i="27"/>
  <c r="N1239" i="27"/>
  <c r="O1239" i="27"/>
  <c r="F1240" i="27"/>
  <c r="G1240" i="27"/>
  <c r="H1240" i="27"/>
  <c r="I1240" i="27"/>
  <c r="M1240" i="27"/>
  <c r="N1240" i="27"/>
  <c r="O1240" i="27"/>
  <c r="F1241" i="27"/>
  <c r="G1241" i="27"/>
  <c r="H1241" i="27"/>
  <c r="I1241" i="27"/>
  <c r="M1241" i="27"/>
  <c r="N1241" i="27"/>
  <c r="O1241" i="27"/>
  <c r="F1242" i="27"/>
  <c r="G1242" i="27"/>
  <c r="H1242" i="27"/>
  <c r="I1242" i="27"/>
  <c r="M1242" i="27"/>
  <c r="N1242" i="27"/>
  <c r="O1242" i="27"/>
  <c r="F1243" i="27"/>
  <c r="G1243" i="27"/>
  <c r="H1243" i="27"/>
  <c r="I1243" i="27"/>
  <c r="M1243" i="27"/>
  <c r="N1243" i="27"/>
  <c r="O1243" i="27"/>
  <c r="F1244" i="27"/>
  <c r="G1244" i="27"/>
  <c r="H1244" i="27"/>
  <c r="I1244" i="27"/>
  <c r="M1244" i="27"/>
  <c r="N1244" i="27"/>
  <c r="O1244" i="27"/>
  <c r="F1245" i="27"/>
  <c r="G1245" i="27"/>
  <c r="H1245" i="27"/>
  <c r="I1245" i="27"/>
  <c r="M1245" i="27"/>
  <c r="N1245" i="27"/>
  <c r="O1245" i="27"/>
  <c r="F1246" i="27"/>
  <c r="G1246" i="27"/>
  <c r="H1246" i="27"/>
  <c r="I1246" i="27"/>
  <c r="M1246" i="27"/>
  <c r="N1246" i="27"/>
  <c r="O1246" i="27"/>
  <c r="F1247" i="27"/>
  <c r="G1247" i="27"/>
  <c r="H1247" i="27"/>
  <c r="I1247" i="27"/>
  <c r="M1247" i="27"/>
  <c r="N1247" i="27"/>
  <c r="O1247" i="27"/>
  <c r="F1248" i="27"/>
  <c r="G1248" i="27"/>
  <c r="H1248" i="27"/>
  <c r="I1248" i="27"/>
  <c r="M1248" i="27"/>
  <c r="N1248" i="27"/>
  <c r="O1248" i="27"/>
  <c r="F1249" i="27"/>
  <c r="G1249" i="27"/>
  <c r="H1249" i="27"/>
  <c r="I1249" i="27"/>
  <c r="M1249" i="27"/>
  <c r="N1249" i="27"/>
  <c r="O1249" i="27"/>
  <c r="F1250" i="27"/>
  <c r="G1250" i="27"/>
  <c r="H1250" i="27"/>
  <c r="I1250" i="27"/>
  <c r="M1250" i="27"/>
  <c r="N1250" i="27"/>
  <c r="O1250" i="27"/>
  <c r="F1251" i="27"/>
  <c r="G1251" i="27"/>
  <c r="H1251" i="27"/>
  <c r="I1251" i="27"/>
  <c r="M1251" i="27"/>
  <c r="N1251" i="27"/>
  <c r="O1251" i="27"/>
  <c r="F1252" i="27"/>
  <c r="G1252" i="27"/>
  <c r="H1252" i="27"/>
  <c r="I1252" i="27"/>
  <c r="M1252" i="27"/>
  <c r="N1252" i="27"/>
  <c r="O1252" i="27"/>
  <c r="F1253" i="27"/>
  <c r="G1253" i="27"/>
  <c r="H1253" i="27"/>
  <c r="I1253" i="27"/>
  <c r="M1253" i="27"/>
  <c r="N1253" i="27"/>
  <c r="O1253" i="27"/>
  <c r="F1254" i="27"/>
  <c r="G1254" i="27"/>
  <c r="H1254" i="27"/>
  <c r="I1254" i="27"/>
  <c r="M1254" i="27"/>
  <c r="N1254" i="27"/>
  <c r="O1254" i="27"/>
  <c r="F1255" i="27"/>
  <c r="G1255" i="27"/>
  <c r="H1255" i="27"/>
  <c r="I1255" i="27"/>
  <c r="M1255" i="27"/>
  <c r="N1255" i="27"/>
  <c r="O1255" i="27"/>
  <c r="F1256" i="27"/>
  <c r="G1256" i="27"/>
  <c r="H1256" i="27"/>
  <c r="I1256" i="27"/>
  <c r="M1256" i="27"/>
  <c r="N1256" i="27"/>
  <c r="O1256" i="27"/>
  <c r="F1257" i="27"/>
  <c r="G1257" i="27"/>
  <c r="H1257" i="27"/>
  <c r="I1257" i="27"/>
  <c r="M1257" i="27"/>
  <c r="N1257" i="27"/>
  <c r="O1257" i="27"/>
  <c r="F1258" i="27"/>
  <c r="G1258" i="27"/>
  <c r="H1258" i="27"/>
  <c r="I1258" i="27"/>
  <c r="M1258" i="27"/>
  <c r="N1258" i="27"/>
  <c r="O1258" i="27"/>
  <c r="F1259" i="27"/>
  <c r="G1259" i="27"/>
  <c r="H1259" i="27"/>
  <c r="I1259" i="27"/>
  <c r="M1259" i="27"/>
  <c r="N1259" i="27"/>
  <c r="O1259" i="27"/>
  <c r="F1260" i="27"/>
  <c r="G1260" i="27"/>
  <c r="H1260" i="27"/>
  <c r="I1260" i="27"/>
  <c r="M1260" i="27"/>
  <c r="N1260" i="27"/>
  <c r="O1260" i="27"/>
  <c r="F1261" i="27"/>
  <c r="G1261" i="27"/>
  <c r="H1261" i="27"/>
  <c r="I1261" i="27"/>
  <c r="M1261" i="27"/>
  <c r="N1261" i="27"/>
  <c r="O1261" i="27"/>
  <c r="F1262" i="27"/>
  <c r="G1262" i="27"/>
  <c r="H1262" i="27"/>
  <c r="I1262" i="27"/>
  <c r="M1262" i="27"/>
  <c r="N1262" i="27"/>
  <c r="O1262" i="27"/>
  <c r="F1263" i="27"/>
  <c r="G1263" i="27"/>
  <c r="H1263" i="27"/>
  <c r="I1263" i="27"/>
  <c r="M1263" i="27"/>
  <c r="N1263" i="27"/>
  <c r="O1263" i="27"/>
  <c r="F1264" i="27"/>
  <c r="G1264" i="27"/>
  <c r="H1264" i="27"/>
  <c r="I1264" i="27"/>
  <c r="M1264" i="27"/>
  <c r="N1264" i="27"/>
  <c r="O1264" i="27"/>
  <c r="F1265" i="27"/>
  <c r="G1265" i="27"/>
  <c r="H1265" i="27"/>
  <c r="I1265" i="27"/>
  <c r="M1265" i="27"/>
  <c r="N1265" i="27"/>
  <c r="O1265" i="27"/>
  <c r="F1266" i="27"/>
  <c r="G1266" i="27"/>
  <c r="H1266" i="27"/>
  <c r="I1266" i="27"/>
  <c r="M1266" i="27"/>
  <c r="N1266" i="27"/>
  <c r="O1266" i="27"/>
  <c r="F1267" i="27"/>
  <c r="G1267" i="27"/>
  <c r="H1267" i="27"/>
  <c r="I1267" i="27"/>
  <c r="M1267" i="27"/>
  <c r="N1267" i="27"/>
  <c r="O1267" i="27"/>
  <c r="F1268" i="27"/>
  <c r="G1268" i="27"/>
  <c r="H1268" i="27"/>
  <c r="I1268" i="27"/>
  <c r="M1268" i="27"/>
  <c r="N1268" i="27"/>
  <c r="O1268" i="27"/>
  <c r="F1269" i="27"/>
  <c r="G1269" i="27"/>
  <c r="H1269" i="27"/>
  <c r="I1269" i="27"/>
  <c r="M1269" i="27"/>
  <c r="N1269" i="27"/>
  <c r="O1269" i="27"/>
  <c r="F1270" i="27"/>
  <c r="G1270" i="27"/>
  <c r="H1270" i="27"/>
  <c r="I1270" i="27"/>
  <c r="M1270" i="27"/>
  <c r="N1270" i="27"/>
  <c r="O1270" i="27"/>
  <c r="G1122" i="27"/>
  <c r="H1122" i="27"/>
  <c r="I1122" i="27"/>
  <c r="M1122" i="27"/>
  <c r="N1122" i="27"/>
  <c r="O1122" i="27"/>
  <c r="F1122" i="27"/>
  <c r="CE151" i="29"/>
  <c r="J1271" i="27" s="1"/>
  <c r="CF151" i="29"/>
  <c r="K1271" i="27" s="1"/>
  <c r="CG151" i="29"/>
  <c r="L1271" i="27" s="1"/>
  <c r="CK151" i="29"/>
  <c r="P1271" i="27" s="1"/>
  <c r="F1023" i="27"/>
  <c r="G1023" i="27"/>
  <c r="H1023" i="27"/>
  <c r="I1023" i="27"/>
  <c r="M1023" i="27"/>
  <c r="N1023" i="27"/>
  <c r="O1023" i="27"/>
  <c r="F1024" i="27"/>
  <c r="G1024" i="27"/>
  <c r="H1024" i="27"/>
  <c r="I1024" i="27"/>
  <c r="M1024" i="27"/>
  <c r="N1024" i="27"/>
  <c r="O1024" i="27"/>
  <c r="F1025" i="27"/>
  <c r="G1025" i="27"/>
  <c r="H1025" i="27"/>
  <c r="I1025" i="27"/>
  <c r="M1025" i="27"/>
  <c r="N1025" i="27"/>
  <c r="O1025" i="27"/>
  <c r="F1026" i="27"/>
  <c r="G1026" i="27"/>
  <c r="H1026" i="27"/>
  <c r="I1026" i="27"/>
  <c r="M1026" i="27"/>
  <c r="N1026" i="27"/>
  <c r="O1026" i="27"/>
  <c r="F1027" i="27"/>
  <c r="G1027" i="27"/>
  <c r="H1027" i="27"/>
  <c r="I1027" i="27"/>
  <c r="M1027" i="27"/>
  <c r="N1027" i="27"/>
  <c r="O1027" i="27"/>
  <c r="F1028" i="27"/>
  <c r="G1028" i="27"/>
  <c r="H1028" i="27"/>
  <c r="I1028" i="27"/>
  <c r="M1028" i="27"/>
  <c r="N1028" i="27"/>
  <c r="O1028" i="27"/>
  <c r="F1029" i="27"/>
  <c r="G1029" i="27"/>
  <c r="H1029" i="27"/>
  <c r="I1029" i="27"/>
  <c r="M1029" i="27"/>
  <c r="N1029" i="27"/>
  <c r="O1029" i="27"/>
  <c r="F1030" i="27"/>
  <c r="G1030" i="27"/>
  <c r="H1030" i="27"/>
  <c r="I1030" i="27"/>
  <c r="M1030" i="27"/>
  <c r="N1030" i="27"/>
  <c r="O1030" i="27"/>
  <c r="F1031" i="27"/>
  <c r="G1031" i="27"/>
  <c r="H1031" i="27"/>
  <c r="I1031" i="27"/>
  <c r="M1031" i="27"/>
  <c r="N1031" i="27"/>
  <c r="O1031" i="27"/>
  <c r="F1032" i="27"/>
  <c r="G1032" i="27"/>
  <c r="H1032" i="27"/>
  <c r="I1032" i="27"/>
  <c r="M1032" i="27"/>
  <c r="N1032" i="27"/>
  <c r="O1032" i="27"/>
  <c r="F1033" i="27"/>
  <c r="G1033" i="27"/>
  <c r="H1033" i="27"/>
  <c r="I1033" i="27"/>
  <c r="M1033" i="27"/>
  <c r="N1033" i="27"/>
  <c r="O1033" i="27"/>
  <c r="F1034" i="27"/>
  <c r="G1034" i="27"/>
  <c r="H1034" i="27"/>
  <c r="I1034" i="27"/>
  <c r="M1034" i="27"/>
  <c r="N1034" i="27"/>
  <c r="O1034" i="27"/>
  <c r="F1035" i="27"/>
  <c r="G1035" i="27"/>
  <c r="H1035" i="27"/>
  <c r="I1035" i="27"/>
  <c r="M1035" i="27"/>
  <c r="N1035" i="27"/>
  <c r="O1035" i="27"/>
  <c r="F1036" i="27"/>
  <c r="G1036" i="27"/>
  <c r="H1036" i="27"/>
  <c r="I1036" i="27"/>
  <c r="M1036" i="27"/>
  <c r="N1036" i="27"/>
  <c r="O1036" i="27"/>
  <c r="F1037" i="27"/>
  <c r="G1037" i="27"/>
  <c r="H1037" i="27"/>
  <c r="I1037" i="27"/>
  <c r="M1037" i="27"/>
  <c r="N1037" i="27"/>
  <c r="O1037" i="27"/>
  <c r="F1038" i="27"/>
  <c r="G1038" i="27"/>
  <c r="H1038" i="27"/>
  <c r="I1038" i="27"/>
  <c r="M1038" i="27"/>
  <c r="N1038" i="27"/>
  <c r="O1038" i="27"/>
  <c r="F1039" i="27"/>
  <c r="G1039" i="27"/>
  <c r="H1039" i="27"/>
  <c r="I1039" i="27"/>
  <c r="M1039" i="27"/>
  <c r="N1039" i="27"/>
  <c r="O1039" i="27"/>
  <c r="F1040" i="27"/>
  <c r="G1040" i="27"/>
  <c r="H1040" i="27"/>
  <c r="I1040" i="27"/>
  <c r="M1040" i="27"/>
  <c r="N1040" i="27"/>
  <c r="O1040" i="27"/>
  <c r="F1041" i="27"/>
  <c r="G1041" i="27"/>
  <c r="H1041" i="27"/>
  <c r="I1041" i="27"/>
  <c r="M1041" i="27"/>
  <c r="N1041" i="27"/>
  <c r="O1041" i="27"/>
  <c r="F1042" i="27"/>
  <c r="G1042" i="27"/>
  <c r="H1042" i="27"/>
  <c r="I1042" i="27"/>
  <c r="M1042" i="27"/>
  <c r="N1042" i="27"/>
  <c r="O1042" i="27"/>
  <c r="F1043" i="27"/>
  <c r="G1043" i="27"/>
  <c r="H1043" i="27"/>
  <c r="I1043" i="27"/>
  <c r="M1043" i="27"/>
  <c r="N1043" i="27"/>
  <c r="O1043" i="27"/>
  <c r="F1044" i="27"/>
  <c r="G1044" i="27"/>
  <c r="H1044" i="27"/>
  <c r="I1044" i="27"/>
  <c r="M1044" i="27"/>
  <c r="N1044" i="27"/>
  <c r="O1044" i="27"/>
  <c r="F1045" i="27"/>
  <c r="G1045" i="27"/>
  <c r="H1045" i="27"/>
  <c r="I1045" i="27"/>
  <c r="M1045" i="27"/>
  <c r="N1045" i="27"/>
  <c r="O1045" i="27"/>
  <c r="F1046" i="27"/>
  <c r="G1046" i="27"/>
  <c r="H1046" i="27"/>
  <c r="I1046" i="27"/>
  <c r="M1046" i="27"/>
  <c r="N1046" i="27"/>
  <c r="O1046" i="27"/>
  <c r="F1047" i="27"/>
  <c r="G1047" i="27"/>
  <c r="H1047" i="27"/>
  <c r="I1047" i="27"/>
  <c r="M1047" i="27"/>
  <c r="N1047" i="27"/>
  <c r="O1047" i="27"/>
  <c r="F1048" i="27"/>
  <c r="G1048" i="27"/>
  <c r="H1048" i="27"/>
  <c r="I1048" i="27"/>
  <c r="M1048" i="27"/>
  <c r="N1048" i="27"/>
  <c r="O1048" i="27"/>
  <c r="F1049" i="27"/>
  <c r="G1049" i="27"/>
  <c r="H1049" i="27"/>
  <c r="I1049" i="27"/>
  <c r="M1049" i="27"/>
  <c r="N1049" i="27"/>
  <c r="O1049" i="27"/>
  <c r="F1050" i="27"/>
  <c r="G1050" i="27"/>
  <c r="H1050" i="27"/>
  <c r="I1050" i="27"/>
  <c r="M1050" i="27"/>
  <c r="N1050" i="27"/>
  <c r="O1050" i="27"/>
  <c r="F1051" i="27"/>
  <c r="G1051" i="27"/>
  <c r="H1051" i="27"/>
  <c r="I1051" i="27"/>
  <c r="M1051" i="27"/>
  <c r="N1051" i="27"/>
  <c r="O1051" i="27"/>
  <c r="F1052" i="27"/>
  <c r="G1052" i="27"/>
  <c r="H1052" i="27"/>
  <c r="I1052" i="27"/>
  <c r="M1052" i="27"/>
  <c r="N1052" i="27"/>
  <c r="O1052" i="27"/>
  <c r="F1053" i="27"/>
  <c r="G1053" i="27"/>
  <c r="H1053" i="27"/>
  <c r="I1053" i="27"/>
  <c r="M1053" i="27"/>
  <c r="N1053" i="27"/>
  <c r="O1053" i="27"/>
  <c r="F1054" i="27"/>
  <c r="G1054" i="27"/>
  <c r="H1054" i="27"/>
  <c r="I1054" i="27"/>
  <c r="M1054" i="27"/>
  <c r="N1054" i="27"/>
  <c r="O1054" i="27"/>
  <c r="F1055" i="27"/>
  <c r="G1055" i="27"/>
  <c r="H1055" i="27"/>
  <c r="I1055" i="27"/>
  <c r="M1055" i="27"/>
  <c r="N1055" i="27"/>
  <c r="O1055" i="27"/>
  <c r="F1056" i="27"/>
  <c r="G1056" i="27"/>
  <c r="H1056" i="27"/>
  <c r="I1056" i="27"/>
  <c r="M1056" i="27"/>
  <c r="N1056" i="27"/>
  <c r="O1056" i="27"/>
  <c r="F1057" i="27"/>
  <c r="G1057" i="27"/>
  <c r="H1057" i="27"/>
  <c r="I1057" i="27"/>
  <c r="M1057" i="27"/>
  <c r="N1057" i="27"/>
  <c r="O1057" i="27"/>
  <c r="F1058" i="27"/>
  <c r="G1058" i="27"/>
  <c r="H1058" i="27"/>
  <c r="I1058" i="27"/>
  <c r="M1058" i="27"/>
  <c r="N1058" i="27"/>
  <c r="O1058" i="27"/>
  <c r="F1059" i="27"/>
  <c r="G1059" i="27"/>
  <c r="H1059" i="27"/>
  <c r="I1059" i="27"/>
  <c r="M1059" i="27"/>
  <c r="N1059" i="27"/>
  <c r="O1059" i="27"/>
  <c r="F1060" i="27"/>
  <c r="G1060" i="27"/>
  <c r="H1060" i="27"/>
  <c r="I1060" i="27"/>
  <c r="M1060" i="27"/>
  <c r="N1060" i="27"/>
  <c r="O1060" i="27"/>
  <c r="F1061" i="27"/>
  <c r="G1061" i="27"/>
  <c r="H1061" i="27"/>
  <c r="I1061" i="27"/>
  <c r="M1061" i="27"/>
  <c r="N1061" i="27"/>
  <c r="O1061" i="27"/>
  <c r="F1062" i="27"/>
  <c r="G1062" i="27"/>
  <c r="H1062" i="27"/>
  <c r="I1062" i="27"/>
  <c r="M1062" i="27"/>
  <c r="N1062" i="27"/>
  <c r="O1062" i="27"/>
  <c r="F1063" i="27"/>
  <c r="G1063" i="27"/>
  <c r="H1063" i="27"/>
  <c r="I1063" i="27"/>
  <c r="M1063" i="27"/>
  <c r="N1063" i="27"/>
  <c r="O1063" i="27"/>
  <c r="F1064" i="27"/>
  <c r="G1064" i="27"/>
  <c r="H1064" i="27"/>
  <c r="I1064" i="27"/>
  <c r="M1064" i="27"/>
  <c r="N1064" i="27"/>
  <c r="O1064" i="27"/>
  <c r="F1065" i="27"/>
  <c r="G1065" i="27"/>
  <c r="H1065" i="27"/>
  <c r="I1065" i="27"/>
  <c r="M1065" i="27"/>
  <c r="N1065" i="27"/>
  <c r="O1065" i="27"/>
  <c r="F1066" i="27"/>
  <c r="G1066" i="27"/>
  <c r="H1066" i="27"/>
  <c r="I1066" i="27"/>
  <c r="M1066" i="27"/>
  <c r="N1066" i="27"/>
  <c r="O1066" i="27"/>
  <c r="F1067" i="27"/>
  <c r="G1067" i="27"/>
  <c r="H1067" i="27"/>
  <c r="I1067" i="27"/>
  <c r="M1067" i="27"/>
  <c r="N1067" i="27"/>
  <c r="O1067" i="27"/>
  <c r="F1068" i="27"/>
  <c r="G1068" i="27"/>
  <c r="H1068" i="27"/>
  <c r="I1068" i="27"/>
  <c r="M1068" i="27"/>
  <c r="N1068" i="27"/>
  <c r="O1068" i="27"/>
  <c r="F1069" i="27"/>
  <c r="G1069" i="27"/>
  <c r="H1069" i="27"/>
  <c r="I1069" i="27"/>
  <c r="M1069" i="27"/>
  <c r="N1069" i="27"/>
  <c r="O1069" i="27"/>
  <c r="F1070" i="27"/>
  <c r="G1070" i="27"/>
  <c r="H1070" i="27"/>
  <c r="I1070" i="27"/>
  <c r="M1070" i="27"/>
  <c r="N1070" i="27"/>
  <c r="O1070" i="27"/>
  <c r="F1071" i="27"/>
  <c r="G1071" i="27"/>
  <c r="H1071" i="27"/>
  <c r="I1071" i="27"/>
  <c r="M1071" i="27"/>
  <c r="N1071" i="27"/>
  <c r="O1071" i="27"/>
  <c r="F1072" i="27"/>
  <c r="G1072" i="27"/>
  <c r="H1072" i="27"/>
  <c r="I1072" i="27"/>
  <c r="M1072" i="27"/>
  <c r="N1072" i="27"/>
  <c r="O1072" i="27"/>
  <c r="F1073" i="27"/>
  <c r="G1073" i="27"/>
  <c r="H1073" i="27"/>
  <c r="I1073" i="27"/>
  <c r="M1073" i="27"/>
  <c r="N1073" i="27"/>
  <c r="O1073" i="27"/>
  <c r="F1074" i="27"/>
  <c r="G1074" i="27"/>
  <c r="H1074" i="27"/>
  <c r="I1074" i="27"/>
  <c r="M1074" i="27"/>
  <c r="N1074" i="27"/>
  <c r="O1074" i="27"/>
  <c r="F1075" i="27"/>
  <c r="G1075" i="27"/>
  <c r="H1075" i="27"/>
  <c r="I1075" i="27"/>
  <c r="M1075" i="27"/>
  <c r="N1075" i="27"/>
  <c r="O1075" i="27"/>
  <c r="F1076" i="27"/>
  <c r="G1076" i="27"/>
  <c r="H1076" i="27"/>
  <c r="I1076" i="27"/>
  <c r="M1076" i="27"/>
  <c r="N1076" i="27"/>
  <c r="O1076" i="27"/>
  <c r="F1077" i="27"/>
  <c r="G1077" i="27"/>
  <c r="H1077" i="27"/>
  <c r="I1077" i="27"/>
  <c r="M1077" i="27"/>
  <c r="N1077" i="27"/>
  <c r="O1077" i="27"/>
  <c r="F1078" i="27"/>
  <c r="G1078" i="27"/>
  <c r="H1078" i="27"/>
  <c r="I1078" i="27"/>
  <c r="M1078" i="27"/>
  <c r="N1078" i="27"/>
  <c r="O1078" i="27"/>
  <c r="F1079" i="27"/>
  <c r="G1079" i="27"/>
  <c r="H1079" i="27"/>
  <c r="I1079" i="27"/>
  <c r="M1079" i="27"/>
  <c r="N1079" i="27"/>
  <c r="O1079" i="27"/>
  <c r="F1080" i="27"/>
  <c r="G1080" i="27"/>
  <c r="H1080" i="27"/>
  <c r="I1080" i="27"/>
  <c r="M1080" i="27"/>
  <c r="N1080" i="27"/>
  <c r="O1080" i="27"/>
  <c r="F1081" i="27"/>
  <c r="G1081" i="27"/>
  <c r="H1081" i="27"/>
  <c r="I1081" i="27"/>
  <c r="M1081" i="27"/>
  <c r="N1081" i="27"/>
  <c r="O1081" i="27"/>
  <c r="F1082" i="27"/>
  <c r="G1082" i="27"/>
  <c r="H1082" i="27"/>
  <c r="I1082" i="27"/>
  <c r="M1082" i="27"/>
  <c r="N1082" i="27"/>
  <c r="O1082" i="27"/>
  <c r="F1083" i="27"/>
  <c r="G1083" i="27"/>
  <c r="H1083" i="27"/>
  <c r="I1083" i="27"/>
  <c r="M1083" i="27"/>
  <c r="N1083" i="27"/>
  <c r="O1083" i="27"/>
  <c r="F1084" i="27"/>
  <c r="G1084" i="27"/>
  <c r="H1084" i="27"/>
  <c r="I1084" i="27"/>
  <c r="M1084" i="27"/>
  <c r="N1084" i="27"/>
  <c r="O1084" i="27"/>
  <c r="F1085" i="27"/>
  <c r="G1085" i="27"/>
  <c r="H1085" i="27"/>
  <c r="I1085" i="27"/>
  <c r="M1085" i="27"/>
  <c r="N1085" i="27"/>
  <c r="O1085" i="27"/>
  <c r="F1086" i="27"/>
  <c r="G1086" i="27"/>
  <c r="H1086" i="27"/>
  <c r="I1086" i="27"/>
  <c r="M1086" i="27"/>
  <c r="N1086" i="27"/>
  <c r="O1086" i="27"/>
  <c r="F1087" i="27"/>
  <c r="G1087" i="27"/>
  <c r="H1087" i="27"/>
  <c r="I1087" i="27"/>
  <c r="M1087" i="27"/>
  <c r="N1087" i="27"/>
  <c r="O1087" i="27"/>
  <c r="F1088" i="27"/>
  <c r="G1088" i="27"/>
  <c r="H1088" i="27"/>
  <c r="I1088" i="27"/>
  <c r="M1088" i="27"/>
  <c r="N1088" i="27"/>
  <c r="O1088" i="27"/>
  <c r="F1089" i="27"/>
  <c r="G1089" i="27"/>
  <c r="H1089" i="27"/>
  <c r="I1089" i="27"/>
  <c r="M1089" i="27"/>
  <c r="N1089" i="27"/>
  <c r="O1089" i="27"/>
  <c r="F1090" i="27"/>
  <c r="G1090" i="27"/>
  <c r="H1090" i="27"/>
  <c r="I1090" i="27"/>
  <c r="M1090" i="27"/>
  <c r="N1090" i="27"/>
  <c r="O1090" i="27"/>
  <c r="F1091" i="27"/>
  <c r="G1091" i="27"/>
  <c r="H1091" i="27"/>
  <c r="I1091" i="27"/>
  <c r="M1091" i="27"/>
  <c r="N1091" i="27"/>
  <c r="O1091" i="27"/>
  <c r="F1092" i="27"/>
  <c r="G1092" i="27"/>
  <c r="H1092" i="27"/>
  <c r="I1092" i="27"/>
  <c r="M1092" i="27"/>
  <c r="N1092" i="27"/>
  <c r="O1092" i="27"/>
  <c r="F1093" i="27"/>
  <c r="G1093" i="27"/>
  <c r="H1093" i="27"/>
  <c r="I1093" i="27"/>
  <c r="M1093" i="27"/>
  <c r="N1093" i="27"/>
  <c r="O1093" i="27"/>
  <c r="F1094" i="27"/>
  <c r="G1094" i="27"/>
  <c r="H1094" i="27"/>
  <c r="I1094" i="27"/>
  <c r="M1094" i="27"/>
  <c r="N1094" i="27"/>
  <c r="O1094" i="27"/>
  <c r="F1095" i="27"/>
  <c r="G1095" i="27"/>
  <c r="H1095" i="27"/>
  <c r="I1095" i="27"/>
  <c r="M1095" i="27"/>
  <c r="N1095" i="27"/>
  <c r="O1095" i="27"/>
  <c r="F1096" i="27"/>
  <c r="G1096" i="27"/>
  <c r="H1096" i="27"/>
  <c r="I1096" i="27"/>
  <c r="M1096" i="27"/>
  <c r="N1096" i="27"/>
  <c r="O1096" i="27"/>
  <c r="F1097" i="27"/>
  <c r="G1097" i="27"/>
  <c r="H1097" i="27"/>
  <c r="I1097" i="27"/>
  <c r="M1097" i="27"/>
  <c r="N1097" i="27"/>
  <c r="O1097" i="27"/>
  <c r="F1098" i="27"/>
  <c r="G1098" i="27"/>
  <c r="H1098" i="27"/>
  <c r="I1098" i="27"/>
  <c r="M1098" i="27"/>
  <c r="N1098" i="27"/>
  <c r="O1098" i="27"/>
  <c r="F1099" i="27"/>
  <c r="G1099" i="27"/>
  <c r="H1099" i="27"/>
  <c r="I1099" i="27"/>
  <c r="M1099" i="27"/>
  <c r="N1099" i="27"/>
  <c r="O1099" i="27"/>
  <c r="F1100" i="27"/>
  <c r="G1100" i="27"/>
  <c r="H1100" i="27"/>
  <c r="I1100" i="27"/>
  <c r="M1100" i="27"/>
  <c r="N1100" i="27"/>
  <c r="O1100" i="27"/>
  <c r="F1101" i="27"/>
  <c r="G1101" i="27"/>
  <c r="H1101" i="27"/>
  <c r="I1101" i="27"/>
  <c r="M1101" i="27"/>
  <c r="N1101" i="27"/>
  <c r="O1101" i="27"/>
  <c r="F1102" i="27"/>
  <c r="G1102" i="27"/>
  <c r="H1102" i="27"/>
  <c r="I1102" i="27"/>
  <c r="M1102" i="27"/>
  <c r="N1102" i="27"/>
  <c r="O1102" i="27"/>
  <c r="F1103" i="27"/>
  <c r="G1103" i="27"/>
  <c r="H1103" i="27"/>
  <c r="I1103" i="27"/>
  <c r="M1103" i="27"/>
  <c r="N1103" i="27"/>
  <c r="O1103" i="27"/>
  <c r="F1104" i="27"/>
  <c r="G1104" i="27"/>
  <c r="H1104" i="27"/>
  <c r="I1104" i="27"/>
  <c r="M1104" i="27"/>
  <c r="N1104" i="27"/>
  <c r="O1104" i="27"/>
  <c r="F1105" i="27"/>
  <c r="G1105" i="27"/>
  <c r="H1105" i="27"/>
  <c r="I1105" i="27"/>
  <c r="M1105" i="27"/>
  <c r="N1105" i="27"/>
  <c r="O1105" i="27"/>
  <c r="F1106" i="27"/>
  <c r="G1106" i="27"/>
  <c r="H1106" i="27"/>
  <c r="I1106" i="27"/>
  <c r="M1106" i="27"/>
  <c r="N1106" i="27"/>
  <c r="O1106" i="27"/>
  <c r="F1107" i="27"/>
  <c r="G1107" i="27"/>
  <c r="H1107" i="27"/>
  <c r="I1107" i="27"/>
  <c r="M1107" i="27"/>
  <c r="N1107" i="27"/>
  <c r="O1107" i="27"/>
  <c r="F1108" i="27"/>
  <c r="G1108" i="27"/>
  <c r="H1108" i="27"/>
  <c r="I1108" i="27"/>
  <c r="M1108" i="27"/>
  <c r="N1108" i="27"/>
  <c r="O1108" i="27"/>
  <c r="F1109" i="27"/>
  <c r="G1109" i="27"/>
  <c r="H1109" i="27"/>
  <c r="I1109" i="27"/>
  <c r="M1109" i="27"/>
  <c r="N1109" i="27"/>
  <c r="O1109" i="27"/>
  <c r="F1110" i="27"/>
  <c r="G1110" i="27"/>
  <c r="H1110" i="27"/>
  <c r="I1110" i="27"/>
  <c r="M1110" i="27"/>
  <c r="N1110" i="27"/>
  <c r="O1110" i="27"/>
  <c r="F1111" i="27"/>
  <c r="G1111" i="27"/>
  <c r="H1111" i="27"/>
  <c r="I1111" i="27"/>
  <c r="M1111" i="27"/>
  <c r="N1111" i="27"/>
  <c r="O1111" i="27"/>
  <c r="F1112" i="27"/>
  <c r="G1112" i="27"/>
  <c r="H1112" i="27"/>
  <c r="I1112" i="27"/>
  <c r="M1112" i="27"/>
  <c r="N1112" i="27"/>
  <c r="O1112" i="27"/>
  <c r="F1113" i="27"/>
  <c r="G1113" i="27"/>
  <c r="H1113" i="27"/>
  <c r="I1113" i="27"/>
  <c r="M1113" i="27"/>
  <c r="N1113" i="27"/>
  <c r="O1113" i="27"/>
  <c r="F1114" i="27"/>
  <c r="G1114" i="27"/>
  <c r="H1114" i="27"/>
  <c r="I1114" i="27"/>
  <c r="M1114" i="27"/>
  <c r="N1114" i="27"/>
  <c r="O1114" i="27"/>
  <c r="F1115" i="27"/>
  <c r="G1115" i="27"/>
  <c r="H1115" i="27"/>
  <c r="I1115" i="27"/>
  <c r="M1115" i="27"/>
  <c r="N1115" i="27"/>
  <c r="O1115" i="27"/>
  <c r="F1116" i="27"/>
  <c r="G1116" i="27"/>
  <c r="H1116" i="27"/>
  <c r="I1116" i="27"/>
  <c r="M1116" i="27"/>
  <c r="N1116" i="27"/>
  <c r="O1116" i="27"/>
  <c r="F1117" i="27"/>
  <c r="G1117" i="27"/>
  <c r="H1117" i="27"/>
  <c r="I1117" i="27"/>
  <c r="M1117" i="27"/>
  <c r="N1117" i="27"/>
  <c r="O1117" i="27"/>
  <c r="F1118" i="27"/>
  <c r="G1118" i="27"/>
  <c r="H1118" i="27"/>
  <c r="I1118" i="27"/>
  <c r="M1118" i="27"/>
  <c r="N1118" i="27"/>
  <c r="O1118" i="27"/>
  <c r="F1119" i="27"/>
  <c r="G1119" i="27"/>
  <c r="H1119" i="27"/>
  <c r="I1119" i="27"/>
  <c r="M1119" i="27"/>
  <c r="N1119" i="27"/>
  <c r="O1119" i="27"/>
  <c r="F1120" i="27"/>
  <c r="G1120" i="27"/>
  <c r="H1120" i="27"/>
  <c r="I1120" i="27"/>
  <c r="M1120" i="27"/>
  <c r="N1120" i="27"/>
  <c r="O1120" i="27"/>
  <c r="F1121" i="27"/>
  <c r="G1121" i="27"/>
  <c r="H1121" i="27"/>
  <c r="I1121" i="27"/>
  <c r="M1121" i="27"/>
  <c r="N1121" i="27"/>
  <c r="O1121" i="27"/>
  <c r="G1022" i="27"/>
  <c r="H1022" i="27"/>
  <c r="I1022" i="27"/>
  <c r="M1022" i="27"/>
  <c r="N1022" i="27"/>
  <c r="O1022" i="27"/>
  <c r="F1022" i="27"/>
  <c r="CF101" i="25"/>
  <c r="J1121" i="27" s="1"/>
  <c r="CG101" i="25"/>
  <c r="K1121" i="27" s="1"/>
  <c r="CH101" i="25"/>
  <c r="L1121" i="27" s="1"/>
  <c r="CL101" i="25"/>
  <c r="P1121" i="27" s="1"/>
  <c r="F923" i="27"/>
  <c r="G923" i="27"/>
  <c r="H923" i="27"/>
  <c r="I923" i="27"/>
  <c r="M923" i="27"/>
  <c r="N923" i="27"/>
  <c r="O923" i="27"/>
  <c r="F924" i="27"/>
  <c r="G924" i="27"/>
  <c r="H924" i="27"/>
  <c r="I924" i="27"/>
  <c r="M924" i="27"/>
  <c r="N924" i="27"/>
  <c r="O924" i="27"/>
  <c r="F925" i="27"/>
  <c r="G925" i="27"/>
  <c r="H925" i="27"/>
  <c r="I925" i="27"/>
  <c r="M925" i="27"/>
  <c r="N925" i="27"/>
  <c r="O925" i="27"/>
  <c r="F926" i="27"/>
  <c r="G926" i="27"/>
  <c r="H926" i="27"/>
  <c r="I926" i="27"/>
  <c r="M926" i="27"/>
  <c r="N926" i="27"/>
  <c r="O926" i="27"/>
  <c r="F927" i="27"/>
  <c r="G927" i="27"/>
  <c r="H927" i="27"/>
  <c r="I927" i="27"/>
  <c r="M927" i="27"/>
  <c r="N927" i="27"/>
  <c r="O927" i="27"/>
  <c r="F928" i="27"/>
  <c r="G928" i="27"/>
  <c r="H928" i="27"/>
  <c r="I928" i="27"/>
  <c r="M928" i="27"/>
  <c r="N928" i="27"/>
  <c r="O928" i="27"/>
  <c r="F929" i="27"/>
  <c r="G929" i="27"/>
  <c r="H929" i="27"/>
  <c r="I929" i="27"/>
  <c r="M929" i="27"/>
  <c r="N929" i="27"/>
  <c r="O929" i="27"/>
  <c r="F930" i="27"/>
  <c r="G930" i="27"/>
  <c r="H930" i="27"/>
  <c r="I930" i="27"/>
  <c r="M930" i="27"/>
  <c r="N930" i="27"/>
  <c r="O930" i="27"/>
  <c r="F931" i="27"/>
  <c r="G931" i="27"/>
  <c r="H931" i="27"/>
  <c r="I931" i="27"/>
  <c r="M931" i="27"/>
  <c r="N931" i="27"/>
  <c r="O931" i="27"/>
  <c r="F932" i="27"/>
  <c r="G932" i="27"/>
  <c r="H932" i="27"/>
  <c r="I932" i="27"/>
  <c r="M932" i="27"/>
  <c r="N932" i="27"/>
  <c r="O932" i="27"/>
  <c r="F933" i="27"/>
  <c r="G933" i="27"/>
  <c r="H933" i="27"/>
  <c r="I933" i="27"/>
  <c r="M933" i="27"/>
  <c r="N933" i="27"/>
  <c r="O933" i="27"/>
  <c r="F934" i="27"/>
  <c r="G934" i="27"/>
  <c r="H934" i="27"/>
  <c r="I934" i="27"/>
  <c r="M934" i="27"/>
  <c r="N934" i="27"/>
  <c r="O934" i="27"/>
  <c r="F935" i="27"/>
  <c r="G935" i="27"/>
  <c r="H935" i="27"/>
  <c r="I935" i="27"/>
  <c r="M935" i="27"/>
  <c r="N935" i="27"/>
  <c r="O935" i="27"/>
  <c r="F936" i="27"/>
  <c r="G936" i="27"/>
  <c r="H936" i="27"/>
  <c r="I936" i="27"/>
  <c r="M936" i="27"/>
  <c r="N936" i="27"/>
  <c r="O936" i="27"/>
  <c r="F937" i="27"/>
  <c r="G937" i="27"/>
  <c r="H937" i="27"/>
  <c r="I937" i="27"/>
  <c r="M937" i="27"/>
  <c r="N937" i="27"/>
  <c r="O937" i="27"/>
  <c r="F938" i="27"/>
  <c r="G938" i="27"/>
  <c r="H938" i="27"/>
  <c r="I938" i="27"/>
  <c r="M938" i="27"/>
  <c r="N938" i="27"/>
  <c r="O938" i="27"/>
  <c r="F939" i="27"/>
  <c r="G939" i="27"/>
  <c r="H939" i="27"/>
  <c r="I939" i="27"/>
  <c r="M939" i="27"/>
  <c r="N939" i="27"/>
  <c r="O939" i="27"/>
  <c r="F940" i="27"/>
  <c r="G940" i="27"/>
  <c r="H940" i="27"/>
  <c r="I940" i="27"/>
  <c r="M940" i="27"/>
  <c r="N940" i="27"/>
  <c r="O940" i="27"/>
  <c r="F941" i="27"/>
  <c r="G941" i="27"/>
  <c r="H941" i="27"/>
  <c r="I941" i="27"/>
  <c r="M941" i="27"/>
  <c r="N941" i="27"/>
  <c r="O941" i="27"/>
  <c r="F942" i="27"/>
  <c r="G942" i="27"/>
  <c r="H942" i="27"/>
  <c r="I942" i="27"/>
  <c r="M942" i="27"/>
  <c r="N942" i="27"/>
  <c r="O942" i="27"/>
  <c r="F943" i="27"/>
  <c r="G943" i="27"/>
  <c r="H943" i="27"/>
  <c r="I943" i="27"/>
  <c r="M943" i="27"/>
  <c r="N943" i="27"/>
  <c r="O943" i="27"/>
  <c r="F944" i="27"/>
  <c r="G944" i="27"/>
  <c r="H944" i="27"/>
  <c r="I944" i="27"/>
  <c r="M944" i="27"/>
  <c r="N944" i="27"/>
  <c r="O944" i="27"/>
  <c r="F945" i="27"/>
  <c r="G945" i="27"/>
  <c r="H945" i="27"/>
  <c r="I945" i="27"/>
  <c r="M945" i="27"/>
  <c r="N945" i="27"/>
  <c r="O945" i="27"/>
  <c r="F946" i="27"/>
  <c r="G946" i="27"/>
  <c r="H946" i="27"/>
  <c r="I946" i="27"/>
  <c r="M946" i="27"/>
  <c r="N946" i="27"/>
  <c r="O946" i="27"/>
  <c r="F947" i="27"/>
  <c r="G947" i="27"/>
  <c r="H947" i="27"/>
  <c r="I947" i="27"/>
  <c r="M947" i="27"/>
  <c r="N947" i="27"/>
  <c r="O947" i="27"/>
  <c r="F948" i="27"/>
  <c r="G948" i="27"/>
  <c r="H948" i="27"/>
  <c r="I948" i="27"/>
  <c r="M948" i="27"/>
  <c r="N948" i="27"/>
  <c r="O948" i="27"/>
  <c r="F949" i="27"/>
  <c r="G949" i="27"/>
  <c r="H949" i="27"/>
  <c r="I949" i="27"/>
  <c r="M949" i="27"/>
  <c r="N949" i="27"/>
  <c r="O949" i="27"/>
  <c r="F950" i="27"/>
  <c r="G950" i="27"/>
  <c r="H950" i="27"/>
  <c r="I950" i="27"/>
  <c r="M950" i="27"/>
  <c r="N950" i="27"/>
  <c r="O950" i="27"/>
  <c r="F951" i="27"/>
  <c r="G951" i="27"/>
  <c r="H951" i="27"/>
  <c r="I951" i="27"/>
  <c r="M951" i="27"/>
  <c r="N951" i="27"/>
  <c r="O951" i="27"/>
  <c r="F952" i="27"/>
  <c r="G952" i="27"/>
  <c r="H952" i="27"/>
  <c r="I952" i="27"/>
  <c r="M952" i="27"/>
  <c r="N952" i="27"/>
  <c r="O952" i="27"/>
  <c r="F953" i="27"/>
  <c r="G953" i="27"/>
  <c r="H953" i="27"/>
  <c r="I953" i="27"/>
  <c r="M953" i="27"/>
  <c r="N953" i="27"/>
  <c r="O953" i="27"/>
  <c r="F954" i="27"/>
  <c r="G954" i="27"/>
  <c r="H954" i="27"/>
  <c r="I954" i="27"/>
  <c r="M954" i="27"/>
  <c r="N954" i="27"/>
  <c r="O954" i="27"/>
  <c r="F955" i="27"/>
  <c r="G955" i="27"/>
  <c r="H955" i="27"/>
  <c r="I955" i="27"/>
  <c r="M955" i="27"/>
  <c r="N955" i="27"/>
  <c r="O955" i="27"/>
  <c r="F956" i="27"/>
  <c r="G956" i="27"/>
  <c r="H956" i="27"/>
  <c r="I956" i="27"/>
  <c r="M956" i="27"/>
  <c r="N956" i="27"/>
  <c r="O956" i="27"/>
  <c r="F957" i="27"/>
  <c r="G957" i="27"/>
  <c r="H957" i="27"/>
  <c r="I957" i="27"/>
  <c r="M957" i="27"/>
  <c r="N957" i="27"/>
  <c r="O957" i="27"/>
  <c r="F958" i="27"/>
  <c r="G958" i="27"/>
  <c r="H958" i="27"/>
  <c r="I958" i="27"/>
  <c r="M958" i="27"/>
  <c r="N958" i="27"/>
  <c r="O958" i="27"/>
  <c r="F959" i="27"/>
  <c r="G959" i="27"/>
  <c r="H959" i="27"/>
  <c r="I959" i="27"/>
  <c r="M959" i="27"/>
  <c r="N959" i="27"/>
  <c r="O959" i="27"/>
  <c r="F960" i="27"/>
  <c r="G960" i="27"/>
  <c r="H960" i="27"/>
  <c r="I960" i="27"/>
  <c r="M960" i="27"/>
  <c r="N960" i="27"/>
  <c r="O960" i="27"/>
  <c r="F961" i="27"/>
  <c r="G961" i="27"/>
  <c r="H961" i="27"/>
  <c r="I961" i="27"/>
  <c r="M961" i="27"/>
  <c r="N961" i="27"/>
  <c r="O961" i="27"/>
  <c r="F962" i="27"/>
  <c r="G962" i="27"/>
  <c r="H962" i="27"/>
  <c r="I962" i="27"/>
  <c r="M962" i="27"/>
  <c r="N962" i="27"/>
  <c r="O962" i="27"/>
  <c r="F963" i="27"/>
  <c r="G963" i="27"/>
  <c r="H963" i="27"/>
  <c r="I963" i="27"/>
  <c r="M963" i="27"/>
  <c r="N963" i="27"/>
  <c r="O963" i="27"/>
  <c r="F964" i="27"/>
  <c r="G964" i="27"/>
  <c r="H964" i="27"/>
  <c r="I964" i="27"/>
  <c r="M964" i="27"/>
  <c r="N964" i="27"/>
  <c r="O964" i="27"/>
  <c r="F965" i="27"/>
  <c r="G965" i="27"/>
  <c r="H965" i="27"/>
  <c r="I965" i="27"/>
  <c r="M965" i="27"/>
  <c r="N965" i="27"/>
  <c r="O965" i="27"/>
  <c r="F966" i="27"/>
  <c r="G966" i="27"/>
  <c r="H966" i="27"/>
  <c r="I966" i="27"/>
  <c r="M966" i="27"/>
  <c r="N966" i="27"/>
  <c r="O966" i="27"/>
  <c r="F967" i="27"/>
  <c r="G967" i="27"/>
  <c r="H967" i="27"/>
  <c r="I967" i="27"/>
  <c r="M967" i="27"/>
  <c r="N967" i="27"/>
  <c r="O967" i="27"/>
  <c r="F968" i="27"/>
  <c r="G968" i="27"/>
  <c r="H968" i="27"/>
  <c r="I968" i="27"/>
  <c r="M968" i="27"/>
  <c r="N968" i="27"/>
  <c r="O968" i="27"/>
  <c r="F969" i="27"/>
  <c r="G969" i="27"/>
  <c r="H969" i="27"/>
  <c r="I969" i="27"/>
  <c r="M969" i="27"/>
  <c r="N969" i="27"/>
  <c r="O969" i="27"/>
  <c r="F970" i="27"/>
  <c r="G970" i="27"/>
  <c r="H970" i="27"/>
  <c r="I970" i="27"/>
  <c r="M970" i="27"/>
  <c r="N970" i="27"/>
  <c r="O970" i="27"/>
  <c r="F971" i="27"/>
  <c r="G971" i="27"/>
  <c r="H971" i="27"/>
  <c r="I971" i="27"/>
  <c r="M971" i="27"/>
  <c r="N971" i="27"/>
  <c r="O971" i="27"/>
  <c r="F972" i="27"/>
  <c r="G972" i="27"/>
  <c r="H972" i="27"/>
  <c r="I972" i="27"/>
  <c r="M972" i="27"/>
  <c r="N972" i="27"/>
  <c r="O972" i="27"/>
  <c r="F973" i="27"/>
  <c r="G973" i="27"/>
  <c r="H973" i="27"/>
  <c r="I973" i="27"/>
  <c r="M973" i="27"/>
  <c r="N973" i="27"/>
  <c r="O973" i="27"/>
  <c r="F974" i="27"/>
  <c r="G974" i="27"/>
  <c r="H974" i="27"/>
  <c r="I974" i="27"/>
  <c r="M974" i="27"/>
  <c r="N974" i="27"/>
  <c r="O974" i="27"/>
  <c r="F975" i="27"/>
  <c r="G975" i="27"/>
  <c r="H975" i="27"/>
  <c r="I975" i="27"/>
  <c r="M975" i="27"/>
  <c r="N975" i="27"/>
  <c r="O975" i="27"/>
  <c r="F976" i="27"/>
  <c r="G976" i="27"/>
  <c r="H976" i="27"/>
  <c r="I976" i="27"/>
  <c r="M976" i="27"/>
  <c r="N976" i="27"/>
  <c r="O976" i="27"/>
  <c r="F977" i="27"/>
  <c r="G977" i="27"/>
  <c r="H977" i="27"/>
  <c r="I977" i="27"/>
  <c r="M977" i="27"/>
  <c r="N977" i="27"/>
  <c r="O977" i="27"/>
  <c r="F978" i="27"/>
  <c r="G978" i="27"/>
  <c r="H978" i="27"/>
  <c r="I978" i="27"/>
  <c r="M978" i="27"/>
  <c r="N978" i="27"/>
  <c r="O978" i="27"/>
  <c r="F979" i="27"/>
  <c r="G979" i="27"/>
  <c r="H979" i="27"/>
  <c r="I979" i="27"/>
  <c r="M979" i="27"/>
  <c r="N979" i="27"/>
  <c r="O979" i="27"/>
  <c r="F980" i="27"/>
  <c r="G980" i="27"/>
  <c r="H980" i="27"/>
  <c r="I980" i="27"/>
  <c r="M980" i="27"/>
  <c r="N980" i="27"/>
  <c r="O980" i="27"/>
  <c r="F981" i="27"/>
  <c r="G981" i="27"/>
  <c r="H981" i="27"/>
  <c r="I981" i="27"/>
  <c r="M981" i="27"/>
  <c r="N981" i="27"/>
  <c r="O981" i="27"/>
  <c r="F982" i="27"/>
  <c r="G982" i="27"/>
  <c r="H982" i="27"/>
  <c r="I982" i="27"/>
  <c r="M982" i="27"/>
  <c r="N982" i="27"/>
  <c r="O982" i="27"/>
  <c r="F983" i="27"/>
  <c r="G983" i="27"/>
  <c r="H983" i="27"/>
  <c r="I983" i="27"/>
  <c r="M983" i="27"/>
  <c r="N983" i="27"/>
  <c r="O983" i="27"/>
  <c r="F984" i="27"/>
  <c r="G984" i="27"/>
  <c r="H984" i="27"/>
  <c r="I984" i="27"/>
  <c r="M984" i="27"/>
  <c r="N984" i="27"/>
  <c r="O984" i="27"/>
  <c r="F985" i="27"/>
  <c r="G985" i="27"/>
  <c r="H985" i="27"/>
  <c r="I985" i="27"/>
  <c r="M985" i="27"/>
  <c r="N985" i="27"/>
  <c r="O985" i="27"/>
  <c r="F986" i="27"/>
  <c r="G986" i="27"/>
  <c r="H986" i="27"/>
  <c r="I986" i="27"/>
  <c r="M986" i="27"/>
  <c r="N986" i="27"/>
  <c r="O986" i="27"/>
  <c r="F987" i="27"/>
  <c r="G987" i="27"/>
  <c r="H987" i="27"/>
  <c r="I987" i="27"/>
  <c r="M987" i="27"/>
  <c r="N987" i="27"/>
  <c r="O987" i="27"/>
  <c r="F988" i="27"/>
  <c r="G988" i="27"/>
  <c r="H988" i="27"/>
  <c r="I988" i="27"/>
  <c r="M988" i="27"/>
  <c r="N988" i="27"/>
  <c r="O988" i="27"/>
  <c r="F989" i="27"/>
  <c r="G989" i="27"/>
  <c r="H989" i="27"/>
  <c r="I989" i="27"/>
  <c r="M989" i="27"/>
  <c r="N989" i="27"/>
  <c r="O989" i="27"/>
  <c r="F990" i="27"/>
  <c r="G990" i="27"/>
  <c r="H990" i="27"/>
  <c r="I990" i="27"/>
  <c r="M990" i="27"/>
  <c r="N990" i="27"/>
  <c r="O990" i="27"/>
  <c r="F991" i="27"/>
  <c r="G991" i="27"/>
  <c r="H991" i="27"/>
  <c r="I991" i="27"/>
  <c r="M991" i="27"/>
  <c r="N991" i="27"/>
  <c r="O991" i="27"/>
  <c r="F992" i="27"/>
  <c r="G992" i="27"/>
  <c r="H992" i="27"/>
  <c r="I992" i="27"/>
  <c r="M992" i="27"/>
  <c r="N992" i="27"/>
  <c r="O992" i="27"/>
  <c r="F993" i="27"/>
  <c r="G993" i="27"/>
  <c r="H993" i="27"/>
  <c r="I993" i="27"/>
  <c r="M993" i="27"/>
  <c r="N993" i="27"/>
  <c r="O993" i="27"/>
  <c r="F994" i="27"/>
  <c r="G994" i="27"/>
  <c r="H994" i="27"/>
  <c r="I994" i="27"/>
  <c r="M994" i="27"/>
  <c r="N994" i="27"/>
  <c r="O994" i="27"/>
  <c r="F995" i="27"/>
  <c r="G995" i="27"/>
  <c r="H995" i="27"/>
  <c r="I995" i="27"/>
  <c r="M995" i="27"/>
  <c r="N995" i="27"/>
  <c r="O995" i="27"/>
  <c r="F996" i="27"/>
  <c r="G996" i="27"/>
  <c r="H996" i="27"/>
  <c r="I996" i="27"/>
  <c r="M996" i="27"/>
  <c r="N996" i="27"/>
  <c r="O996" i="27"/>
  <c r="F997" i="27"/>
  <c r="G997" i="27"/>
  <c r="H997" i="27"/>
  <c r="I997" i="27"/>
  <c r="M997" i="27"/>
  <c r="N997" i="27"/>
  <c r="O997" i="27"/>
  <c r="F998" i="27"/>
  <c r="G998" i="27"/>
  <c r="H998" i="27"/>
  <c r="I998" i="27"/>
  <c r="M998" i="27"/>
  <c r="N998" i="27"/>
  <c r="O998" i="27"/>
  <c r="F999" i="27"/>
  <c r="G999" i="27"/>
  <c r="H999" i="27"/>
  <c r="I999" i="27"/>
  <c r="M999" i="27"/>
  <c r="N999" i="27"/>
  <c r="O999" i="27"/>
  <c r="F1000" i="27"/>
  <c r="G1000" i="27"/>
  <c r="H1000" i="27"/>
  <c r="I1000" i="27"/>
  <c r="M1000" i="27"/>
  <c r="N1000" i="27"/>
  <c r="O1000" i="27"/>
  <c r="F1001" i="27"/>
  <c r="G1001" i="27"/>
  <c r="H1001" i="27"/>
  <c r="I1001" i="27"/>
  <c r="M1001" i="27"/>
  <c r="N1001" i="27"/>
  <c r="O1001" i="27"/>
  <c r="F1002" i="27"/>
  <c r="G1002" i="27"/>
  <c r="H1002" i="27"/>
  <c r="I1002" i="27"/>
  <c r="M1002" i="27"/>
  <c r="N1002" i="27"/>
  <c r="O1002" i="27"/>
  <c r="F1003" i="27"/>
  <c r="G1003" i="27"/>
  <c r="H1003" i="27"/>
  <c r="I1003" i="27"/>
  <c r="M1003" i="27"/>
  <c r="N1003" i="27"/>
  <c r="O1003" i="27"/>
  <c r="F1004" i="27"/>
  <c r="G1004" i="27"/>
  <c r="H1004" i="27"/>
  <c r="I1004" i="27"/>
  <c r="M1004" i="27"/>
  <c r="N1004" i="27"/>
  <c r="O1004" i="27"/>
  <c r="F1005" i="27"/>
  <c r="G1005" i="27"/>
  <c r="H1005" i="27"/>
  <c r="I1005" i="27"/>
  <c r="M1005" i="27"/>
  <c r="N1005" i="27"/>
  <c r="O1005" i="27"/>
  <c r="F1006" i="27"/>
  <c r="G1006" i="27"/>
  <c r="H1006" i="27"/>
  <c r="I1006" i="27"/>
  <c r="M1006" i="27"/>
  <c r="N1006" i="27"/>
  <c r="O1006" i="27"/>
  <c r="F1007" i="27"/>
  <c r="G1007" i="27"/>
  <c r="H1007" i="27"/>
  <c r="I1007" i="27"/>
  <c r="M1007" i="27"/>
  <c r="N1007" i="27"/>
  <c r="O1007" i="27"/>
  <c r="F1008" i="27"/>
  <c r="G1008" i="27"/>
  <c r="H1008" i="27"/>
  <c r="I1008" i="27"/>
  <c r="M1008" i="27"/>
  <c r="N1008" i="27"/>
  <c r="O1008" i="27"/>
  <c r="F1009" i="27"/>
  <c r="G1009" i="27"/>
  <c r="H1009" i="27"/>
  <c r="I1009" i="27"/>
  <c r="M1009" i="27"/>
  <c r="N1009" i="27"/>
  <c r="O1009" i="27"/>
  <c r="F1010" i="27"/>
  <c r="G1010" i="27"/>
  <c r="H1010" i="27"/>
  <c r="I1010" i="27"/>
  <c r="M1010" i="27"/>
  <c r="N1010" i="27"/>
  <c r="O1010" i="27"/>
  <c r="F1011" i="27"/>
  <c r="G1011" i="27"/>
  <c r="H1011" i="27"/>
  <c r="I1011" i="27"/>
  <c r="M1011" i="27"/>
  <c r="N1011" i="27"/>
  <c r="O1011" i="27"/>
  <c r="F1012" i="27"/>
  <c r="G1012" i="27"/>
  <c r="H1012" i="27"/>
  <c r="I1012" i="27"/>
  <c r="M1012" i="27"/>
  <c r="N1012" i="27"/>
  <c r="O1012" i="27"/>
  <c r="F1013" i="27"/>
  <c r="G1013" i="27"/>
  <c r="H1013" i="27"/>
  <c r="I1013" i="27"/>
  <c r="M1013" i="27"/>
  <c r="N1013" i="27"/>
  <c r="O1013" i="27"/>
  <c r="F1014" i="27"/>
  <c r="G1014" i="27"/>
  <c r="H1014" i="27"/>
  <c r="I1014" i="27"/>
  <c r="M1014" i="27"/>
  <c r="N1014" i="27"/>
  <c r="O1014" i="27"/>
  <c r="F1015" i="27"/>
  <c r="G1015" i="27"/>
  <c r="H1015" i="27"/>
  <c r="I1015" i="27"/>
  <c r="M1015" i="27"/>
  <c r="N1015" i="27"/>
  <c r="O1015" i="27"/>
  <c r="F1016" i="27"/>
  <c r="G1016" i="27"/>
  <c r="H1016" i="27"/>
  <c r="I1016" i="27"/>
  <c r="M1016" i="27"/>
  <c r="N1016" i="27"/>
  <c r="O1016" i="27"/>
  <c r="F1017" i="27"/>
  <c r="G1017" i="27"/>
  <c r="H1017" i="27"/>
  <c r="I1017" i="27"/>
  <c r="M1017" i="27"/>
  <c r="N1017" i="27"/>
  <c r="O1017" i="27"/>
  <c r="F1018" i="27"/>
  <c r="G1018" i="27"/>
  <c r="H1018" i="27"/>
  <c r="I1018" i="27"/>
  <c r="M1018" i="27"/>
  <c r="N1018" i="27"/>
  <c r="O1018" i="27"/>
  <c r="F1019" i="27"/>
  <c r="G1019" i="27"/>
  <c r="H1019" i="27"/>
  <c r="I1019" i="27"/>
  <c r="M1019" i="27"/>
  <c r="N1019" i="27"/>
  <c r="O1019" i="27"/>
  <c r="F1020" i="27"/>
  <c r="G1020" i="27"/>
  <c r="H1020" i="27"/>
  <c r="I1020" i="27"/>
  <c r="M1020" i="27"/>
  <c r="N1020" i="27"/>
  <c r="O1020" i="27"/>
  <c r="F1021" i="27"/>
  <c r="G1021" i="27"/>
  <c r="H1021" i="27"/>
  <c r="I1021" i="27"/>
  <c r="M1021" i="27"/>
  <c r="N1021" i="27"/>
  <c r="O1021" i="27"/>
  <c r="G922" i="27"/>
  <c r="H922" i="27"/>
  <c r="I922" i="27"/>
  <c r="M922" i="27"/>
  <c r="N922" i="27"/>
  <c r="O922" i="27"/>
  <c r="F922" i="27"/>
  <c r="CE101" i="23"/>
  <c r="J1021" i="27" s="1"/>
  <c r="CF101" i="23"/>
  <c r="K1021" i="27" s="1"/>
  <c r="CG101" i="23"/>
  <c r="L1021" i="27" s="1"/>
  <c r="CK101" i="23"/>
  <c r="P1021" i="27" s="1"/>
  <c r="F823" i="27"/>
  <c r="G823" i="27"/>
  <c r="H823" i="27"/>
  <c r="I823" i="27"/>
  <c r="M823" i="27"/>
  <c r="N823" i="27"/>
  <c r="O823" i="27"/>
  <c r="F824" i="27"/>
  <c r="G824" i="27"/>
  <c r="H824" i="27"/>
  <c r="I824" i="27"/>
  <c r="M824" i="27"/>
  <c r="N824" i="27"/>
  <c r="O824" i="27"/>
  <c r="F825" i="27"/>
  <c r="G825" i="27"/>
  <c r="H825" i="27"/>
  <c r="I825" i="27"/>
  <c r="M825" i="27"/>
  <c r="N825" i="27"/>
  <c r="O825" i="27"/>
  <c r="F826" i="27"/>
  <c r="G826" i="27"/>
  <c r="H826" i="27"/>
  <c r="I826" i="27"/>
  <c r="M826" i="27"/>
  <c r="N826" i="27"/>
  <c r="O826" i="27"/>
  <c r="F827" i="27"/>
  <c r="G827" i="27"/>
  <c r="H827" i="27"/>
  <c r="I827" i="27"/>
  <c r="M827" i="27"/>
  <c r="N827" i="27"/>
  <c r="O827" i="27"/>
  <c r="F828" i="27"/>
  <c r="G828" i="27"/>
  <c r="H828" i="27"/>
  <c r="I828" i="27"/>
  <c r="M828" i="27"/>
  <c r="N828" i="27"/>
  <c r="O828" i="27"/>
  <c r="F829" i="27"/>
  <c r="G829" i="27"/>
  <c r="H829" i="27"/>
  <c r="I829" i="27"/>
  <c r="M829" i="27"/>
  <c r="N829" i="27"/>
  <c r="O829" i="27"/>
  <c r="F830" i="27"/>
  <c r="G830" i="27"/>
  <c r="H830" i="27"/>
  <c r="I830" i="27"/>
  <c r="M830" i="27"/>
  <c r="N830" i="27"/>
  <c r="O830" i="27"/>
  <c r="F831" i="27"/>
  <c r="G831" i="27"/>
  <c r="H831" i="27"/>
  <c r="I831" i="27"/>
  <c r="M831" i="27"/>
  <c r="N831" i="27"/>
  <c r="O831" i="27"/>
  <c r="F832" i="27"/>
  <c r="G832" i="27"/>
  <c r="H832" i="27"/>
  <c r="I832" i="27"/>
  <c r="M832" i="27"/>
  <c r="N832" i="27"/>
  <c r="O832" i="27"/>
  <c r="F833" i="27"/>
  <c r="G833" i="27"/>
  <c r="H833" i="27"/>
  <c r="I833" i="27"/>
  <c r="M833" i="27"/>
  <c r="N833" i="27"/>
  <c r="O833" i="27"/>
  <c r="F834" i="27"/>
  <c r="G834" i="27"/>
  <c r="H834" i="27"/>
  <c r="I834" i="27"/>
  <c r="M834" i="27"/>
  <c r="N834" i="27"/>
  <c r="O834" i="27"/>
  <c r="F835" i="27"/>
  <c r="G835" i="27"/>
  <c r="H835" i="27"/>
  <c r="I835" i="27"/>
  <c r="M835" i="27"/>
  <c r="N835" i="27"/>
  <c r="O835" i="27"/>
  <c r="F836" i="27"/>
  <c r="G836" i="27"/>
  <c r="H836" i="27"/>
  <c r="I836" i="27"/>
  <c r="M836" i="27"/>
  <c r="N836" i="27"/>
  <c r="O836" i="27"/>
  <c r="F837" i="27"/>
  <c r="G837" i="27"/>
  <c r="H837" i="27"/>
  <c r="I837" i="27"/>
  <c r="M837" i="27"/>
  <c r="N837" i="27"/>
  <c r="O837" i="27"/>
  <c r="F838" i="27"/>
  <c r="G838" i="27"/>
  <c r="H838" i="27"/>
  <c r="I838" i="27"/>
  <c r="M838" i="27"/>
  <c r="N838" i="27"/>
  <c r="O838" i="27"/>
  <c r="F839" i="27"/>
  <c r="G839" i="27"/>
  <c r="H839" i="27"/>
  <c r="I839" i="27"/>
  <c r="M839" i="27"/>
  <c r="N839" i="27"/>
  <c r="O839" i="27"/>
  <c r="F840" i="27"/>
  <c r="G840" i="27"/>
  <c r="H840" i="27"/>
  <c r="I840" i="27"/>
  <c r="M840" i="27"/>
  <c r="N840" i="27"/>
  <c r="O840" i="27"/>
  <c r="F841" i="27"/>
  <c r="G841" i="27"/>
  <c r="H841" i="27"/>
  <c r="I841" i="27"/>
  <c r="M841" i="27"/>
  <c r="N841" i="27"/>
  <c r="O841" i="27"/>
  <c r="F842" i="27"/>
  <c r="G842" i="27"/>
  <c r="H842" i="27"/>
  <c r="I842" i="27"/>
  <c r="M842" i="27"/>
  <c r="N842" i="27"/>
  <c r="O842" i="27"/>
  <c r="F843" i="27"/>
  <c r="G843" i="27"/>
  <c r="H843" i="27"/>
  <c r="I843" i="27"/>
  <c r="M843" i="27"/>
  <c r="N843" i="27"/>
  <c r="O843" i="27"/>
  <c r="F844" i="27"/>
  <c r="G844" i="27"/>
  <c r="H844" i="27"/>
  <c r="I844" i="27"/>
  <c r="M844" i="27"/>
  <c r="N844" i="27"/>
  <c r="O844" i="27"/>
  <c r="F845" i="27"/>
  <c r="G845" i="27"/>
  <c r="H845" i="27"/>
  <c r="I845" i="27"/>
  <c r="M845" i="27"/>
  <c r="N845" i="27"/>
  <c r="O845" i="27"/>
  <c r="F846" i="27"/>
  <c r="G846" i="27"/>
  <c r="H846" i="27"/>
  <c r="I846" i="27"/>
  <c r="M846" i="27"/>
  <c r="N846" i="27"/>
  <c r="O846" i="27"/>
  <c r="F847" i="27"/>
  <c r="G847" i="27"/>
  <c r="H847" i="27"/>
  <c r="I847" i="27"/>
  <c r="M847" i="27"/>
  <c r="N847" i="27"/>
  <c r="O847" i="27"/>
  <c r="F848" i="27"/>
  <c r="G848" i="27"/>
  <c r="H848" i="27"/>
  <c r="I848" i="27"/>
  <c r="M848" i="27"/>
  <c r="N848" i="27"/>
  <c r="O848" i="27"/>
  <c r="F849" i="27"/>
  <c r="G849" i="27"/>
  <c r="H849" i="27"/>
  <c r="I849" i="27"/>
  <c r="M849" i="27"/>
  <c r="N849" i="27"/>
  <c r="O849" i="27"/>
  <c r="F850" i="27"/>
  <c r="G850" i="27"/>
  <c r="H850" i="27"/>
  <c r="I850" i="27"/>
  <c r="M850" i="27"/>
  <c r="N850" i="27"/>
  <c r="O850" i="27"/>
  <c r="F851" i="27"/>
  <c r="G851" i="27"/>
  <c r="H851" i="27"/>
  <c r="I851" i="27"/>
  <c r="M851" i="27"/>
  <c r="N851" i="27"/>
  <c r="O851" i="27"/>
  <c r="F852" i="27"/>
  <c r="G852" i="27"/>
  <c r="H852" i="27"/>
  <c r="I852" i="27"/>
  <c r="M852" i="27"/>
  <c r="N852" i="27"/>
  <c r="O852" i="27"/>
  <c r="F853" i="27"/>
  <c r="G853" i="27"/>
  <c r="H853" i="27"/>
  <c r="I853" i="27"/>
  <c r="M853" i="27"/>
  <c r="N853" i="27"/>
  <c r="O853" i="27"/>
  <c r="F854" i="27"/>
  <c r="G854" i="27"/>
  <c r="H854" i="27"/>
  <c r="I854" i="27"/>
  <c r="M854" i="27"/>
  <c r="N854" i="27"/>
  <c r="O854" i="27"/>
  <c r="F855" i="27"/>
  <c r="G855" i="27"/>
  <c r="H855" i="27"/>
  <c r="I855" i="27"/>
  <c r="M855" i="27"/>
  <c r="N855" i="27"/>
  <c r="O855" i="27"/>
  <c r="F856" i="27"/>
  <c r="G856" i="27"/>
  <c r="H856" i="27"/>
  <c r="I856" i="27"/>
  <c r="M856" i="27"/>
  <c r="N856" i="27"/>
  <c r="O856" i="27"/>
  <c r="F857" i="27"/>
  <c r="G857" i="27"/>
  <c r="H857" i="27"/>
  <c r="I857" i="27"/>
  <c r="M857" i="27"/>
  <c r="N857" i="27"/>
  <c r="O857" i="27"/>
  <c r="F858" i="27"/>
  <c r="G858" i="27"/>
  <c r="H858" i="27"/>
  <c r="I858" i="27"/>
  <c r="M858" i="27"/>
  <c r="N858" i="27"/>
  <c r="O858" i="27"/>
  <c r="F859" i="27"/>
  <c r="G859" i="27"/>
  <c r="H859" i="27"/>
  <c r="I859" i="27"/>
  <c r="M859" i="27"/>
  <c r="N859" i="27"/>
  <c r="O859" i="27"/>
  <c r="F860" i="27"/>
  <c r="G860" i="27"/>
  <c r="H860" i="27"/>
  <c r="I860" i="27"/>
  <c r="M860" i="27"/>
  <c r="N860" i="27"/>
  <c r="O860" i="27"/>
  <c r="F861" i="27"/>
  <c r="G861" i="27"/>
  <c r="H861" i="27"/>
  <c r="I861" i="27"/>
  <c r="M861" i="27"/>
  <c r="N861" i="27"/>
  <c r="O861" i="27"/>
  <c r="F862" i="27"/>
  <c r="G862" i="27"/>
  <c r="H862" i="27"/>
  <c r="I862" i="27"/>
  <c r="M862" i="27"/>
  <c r="N862" i="27"/>
  <c r="O862" i="27"/>
  <c r="F863" i="27"/>
  <c r="G863" i="27"/>
  <c r="H863" i="27"/>
  <c r="I863" i="27"/>
  <c r="M863" i="27"/>
  <c r="N863" i="27"/>
  <c r="O863" i="27"/>
  <c r="F864" i="27"/>
  <c r="G864" i="27"/>
  <c r="H864" i="27"/>
  <c r="I864" i="27"/>
  <c r="M864" i="27"/>
  <c r="N864" i="27"/>
  <c r="O864" i="27"/>
  <c r="F865" i="27"/>
  <c r="G865" i="27"/>
  <c r="H865" i="27"/>
  <c r="I865" i="27"/>
  <c r="M865" i="27"/>
  <c r="N865" i="27"/>
  <c r="O865" i="27"/>
  <c r="F866" i="27"/>
  <c r="G866" i="27"/>
  <c r="H866" i="27"/>
  <c r="I866" i="27"/>
  <c r="M866" i="27"/>
  <c r="N866" i="27"/>
  <c r="O866" i="27"/>
  <c r="F867" i="27"/>
  <c r="G867" i="27"/>
  <c r="H867" i="27"/>
  <c r="I867" i="27"/>
  <c r="M867" i="27"/>
  <c r="N867" i="27"/>
  <c r="O867" i="27"/>
  <c r="F868" i="27"/>
  <c r="G868" i="27"/>
  <c r="H868" i="27"/>
  <c r="I868" i="27"/>
  <c r="M868" i="27"/>
  <c r="N868" i="27"/>
  <c r="O868" i="27"/>
  <c r="F869" i="27"/>
  <c r="G869" i="27"/>
  <c r="H869" i="27"/>
  <c r="I869" i="27"/>
  <c r="M869" i="27"/>
  <c r="N869" i="27"/>
  <c r="O869" i="27"/>
  <c r="F870" i="27"/>
  <c r="G870" i="27"/>
  <c r="H870" i="27"/>
  <c r="I870" i="27"/>
  <c r="M870" i="27"/>
  <c r="N870" i="27"/>
  <c r="O870" i="27"/>
  <c r="F871" i="27"/>
  <c r="G871" i="27"/>
  <c r="H871" i="27"/>
  <c r="I871" i="27"/>
  <c r="M871" i="27"/>
  <c r="N871" i="27"/>
  <c r="O871" i="27"/>
  <c r="F872" i="27"/>
  <c r="G872" i="27"/>
  <c r="H872" i="27"/>
  <c r="I872" i="27"/>
  <c r="M872" i="27"/>
  <c r="N872" i="27"/>
  <c r="O872" i="27"/>
  <c r="F873" i="27"/>
  <c r="G873" i="27"/>
  <c r="H873" i="27"/>
  <c r="I873" i="27"/>
  <c r="M873" i="27"/>
  <c r="N873" i="27"/>
  <c r="O873" i="27"/>
  <c r="F874" i="27"/>
  <c r="G874" i="27"/>
  <c r="H874" i="27"/>
  <c r="I874" i="27"/>
  <c r="M874" i="27"/>
  <c r="N874" i="27"/>
  <c r="O874" i="27"/>
  <c r="F875" i="27"/>
  <c r="G875" i="27"/>
  <c r="H875" i="27"/>
  <c r="I875" i="27"/>
  <c r="M875" i="27"/>
  <c r="N875" i="27"/>
  <c r="O875" i="27"/>
  <c r="F876" i="27"/>
  <c r="G876" i="27"/>
  <c r="H876" i="27"/>
  <c r="I876" i="27"/>
  <c r="M876" i="27"/>
  <c r="N876" i="27"/>
  <c r="O876" i="27"/>
  <c r="F877" i="27"/>
  <c r="G877" i="27"/>
  <c r="H877" i="27"/>
  <c r="I877" i="27"/>
  <c r="M877" i="27"/>
  <c r="N877" i="27"/>
  <c r="O877" i="27"/>
  <c r="F878" i="27"/>
  <c r="G878" i="27"/>
  <c r="H878" i="27"/>
  <c r="I878" i="27"/>
  <c r="M878" i="27"/>
  <c r="N878" i="27"/>
  <c r="O878" i="27"/>
  <c r="F879" i="27"/>
  <c r="G879" i="27"/>
  <c r="H879" i="27"/>
  <c r="I879" i="27"/>
  <c r="M879" i="27"/>
  <c r="N879" i="27"/>
  <c r="O879" i="27"/>
  <c r="F880" i="27"/>
  <c r="G880" i="27"/>
  <c r="H880" i="27"/>
  <c r="I880" i="27"/>
  <c r="M880" i="27"/>
  <c r="N880" i="27"/>
  <c r="O880" i="27"/>
  <c r="F881" i="27"/>
  <c r="G881" i="27"/>
  <c r="H881" i="27"/>
  <c r="I881" i="27"/>
  <c r="M881" i="27"/>
  <c r="N881" i="27"/>
  <c r="O881" i="27"/>
  <c r="F882" i="27"/>
  <c r="G882" i="27"/>
  <c r="H882" i="27"/>
  <c r="I882" i="27"/>
  <c r="M882" i="27"/>
  <c r="N882" i="27"/>
  <c r="O882" i="27"/>
  <c r="F883" i="27"/>
  <c r="G883" i="27"/>
  <c r="H883" i="27"/>
  <c r="I883" i="27"/>
  <c r="M883" i="27"/>
  <c r="N883" i="27"/>
  <c r="O883" i="27"/>
  <c r="F884" i="27"/>
  <c r="G884" i="27"/>
  <c r="H884" i="27"/>
  <c r="I884" i="27"/>
  <c r="M884" i="27"/>
  <c r="N884" i="27"/>
  <c r="O884" i="27"/>
  <c r="F885" i="27"/>
  <c r="G885" i="27"/>
  <c r="H885" i="27"/>
  <c r="I885" i="27"/>
  <c r="M885" i="27"/>
  <c r="N885" i="27"/>
  <c r="O885" i="27"/>
  <c r="F886" i="27"/>
  <c r="G886" i="27"/>
  <c r="H886" i="27"/>
  <c r="I886" i="27"/>
  <c r="M886" i="27"/>
  <c r="N886" i="27"/>
  <c r="O886" i="27"/>
  <c r="F887" i="27"/>
  <c r="G887" i="27"/>
  <c r="H887" i="27"/>
  <c r="I887" i="27"/>
  <c r="M887" i="27"/>
  <c r="N887" i="27"/>
  <c r="O887" i="27"/>
  <c r="F888" i="27"/>
  <c r="G888" i="27"/>
  <c r="H888" i="27"/>
  <c r="I888" i="27"/>
  <c r="M888" i="27"/>
  <c r="N888" i="27"/>
  <c r="O888" i="27"/>
  <c r="F889" i="27"/>
  <c r="G889" i="27"/>
  <c r="H889" i="27"/>
  <c r="I889" i="27"/>
  <c r="M889" i="27"/>
  <c r="N889" i="27"/>
  <c r="O889" i="27"/>
  <c r="F890" i="27"/>
  <c r="G890" i="27"/>
  <c r="H890" i="27"/>
  <c r="I890" i="27"/>
  <c r="M890" i="27"/>
  <c r="N890" i="27"/>
  <c r="O890" i="27"/>
  <c r="F891" i="27"/>
  <c r="G891" i="27"/>
  <c r="H891" i="27"/>
  <c r="I891" i="27"/>
  <c r="M891" i="27"/>
  <c r="N891" i="27"/>
  <c r="O891" i="27"/>
  <c r="F892" i="27"/>
  <c r="G892" i="27"/>
  <c r="H892" i="27"/>
  <c r="I892" i="27"/>
  <c r="M892" i="27"/>
  <c r="N892" i="27"/>
  <c r="O892" i="27"/>
  <c r="F893" i="27"/>
  <c r="G893" i="27"/>
  <c r="H893" i="27"/>
  <c r="I893" i="27"/>
  <c r="M893" i="27"/>
  <c r="N893" i="27"/>
  <c r="O893" i="27"/>
  <c r="F894" i="27"/>
  <c r="G894" i="27"/>
  <c r="H894" i="27"/>
  <c r="I894" i="27"/>
  <c r="M894" i="27"/>
  <c r="N894" i="27"/>
  <c r="O894" i="27"/>
  <c r="F895" i="27"/>
  <c r="G895" i="27"/>
  <c r="H895" i="27"/>
  <c r="I895" i="27"/>
  <c r="M895" i="27"/>
  <c r="N895" i="27"/>
  <c r="O895" i="27"/>
  <c r="F896" i="27"/>
  <c r="G896" i="27"/>
  <c r="H896" i="27"/>
  <c r="I896" i="27"/>
  <c r="M896" i="27"/>
  <c r="N896" i="27"/>
  <c r="O896" i="27"/>
  <c r="F897" i="27"/>
  <c r="G897" i="27"/>
  <c r="H897" i="27"/>
  <c r="I897" i="27"/>
  <c r="M897" i="27"/>
  <c r="N897" i="27"/>
  <c r="O897" i="27"/>
  <c r="F898" i="27"/>
  <c r="G898" i="27"/>
  <c r="H898" i="27"/>
  <c r="I898" i="27"/>
  <c r="M898" i="27"/>
  <c r="N898" i="27"/>
  <c r="O898" i="27"/>
  <c r="F899" i="27"/>
  <c r="G899" i="27"/>
  <c r="H899" i="27"/>
  <c r="I899" i="27"/>
  <c r="M899" i="27"/>
  <c r="N899" i="27"/>
  <c r="O899" i="27"/>
  <c r="F900" i="27"/>
  <c r="G900" i="27"/>
  <c r="H900" i="27"/>
  <c r="I900" i="27"/>
  <c r="M900" i="27"/>
  <c r="N900" i="27"/>
  <c r="O900" i="27"/>
  <c r="F901" i="27"/>
  <c r="G901" i="27"/>
  <c r="H901" i="27"/>
  <c r="I901" i="27"/>
  <c r="M901" i="27"/>
  <c r="N901" i="27"/>
  <c r="O901" i="27"/>
  <c r="F902" i="27"/>
  <c r="G902" i="27"/>
  <c r="H902" i="27"/>
  <c r="I902" i="27"/>
  <c r="M902" i="27"/>
  <c r="N902" i="27"/>
  <c r="O902" i="27"/>
  <c r="F903" i="27"/>
  <c r="G903" i="27"/>
  <c r="H903" i="27"/>
  <c r="I903" i="27"/>
  <c r="M903" i="27"/>
  <c r="N903" i="27"/>
  <c r="O903" i="27"/>
  <c r="F904" i="27"/>
  <c r="G904" i="27"/>
  <c r="H904" i="27"/>
  <c r="I904" i="27"/>
  <c r="M904" i="27"/>
  <c r="N904" i="27"/>
  <c r="O904" i="27"/>
  <c r="F905" i="27"/>
  <c r="G905" i="27"/>
  <c r="H905" i="27"/>
  <c r="I905" i="27"/>
  <c r="M905" i="27"/>
  <c r="N905" i="27"/>
  <c r="O905" i="27"/>
  <c r="F906" i="27"/>
  <c r="G906" i="27"/>
  <c r="H906" i="27"/>
  <c r="I906" i="27"/>
  <c r="M906" i="27"/>
  <c r="N906" i="27"/>
  <c r="O906" i="27"/>
  <c r="F907" i="27"/>
  <c r="G907" i="27"/>
  <c r="H907" i="27"/>
  <c r="I907" i="27"/>
  <c r="M907" i="27"/>
  <c r="N907" i="27"/>
  <c r="O907" i="27"/>
  <c r="F908" i="27"/>
  <c r="G908" i="27"/>
  <c r="H908" i="27"/>
  <c r="I908" i="27"/>
  <c r="M908" i="27"/>
  <c r="N908" i="27"/>
  <c r="O908" i="27"/>
  <c r="F909" i="27"/>
  <c r="G909" i="27"/>
  <c r="H909" i="27"/>
  <c r="I909" i="27"/>
  <c r="M909" i="27"/>
  <c r="N909" i="27"/>
  <c r="O909" i="27"/>
  <c r="F910" i="27"/>
  <c r="G910" i="27"/>
  <c r="H910" i="27"/>
  <c r="I910" i="27"/>
  <c r="M910" i="27"/>
  <c r="N910" i="27"/>
  <c r="O910" i="27"/>
  <c r="F911" i="27"/>
  <c r="G911" i="27"/>
  <c r="H911" i="27"/>
  <c r="I911" i="27"/>
  <c r="M911" i="27"/>
  <c r="N911" i="27"/>
  <c r="O911" i="27"/>
  <c r="F912" i="27"/>
  <c r="G912" i="27"/>
  <c r="H912" i="27"/>
  <c r="I912" i="27"/>
  <c r="M912" i="27"/>
  <c r="N912" i="27"/>
  <c r="O912" i="27"/>
  <c r="F913" i="27"/>
  <c r="G913" i="27"/>
  <c r="H913" i="27"/>
  <c r="I913" i="27"/>
  <c r="M913" i="27"/>
  <c r="N913" i="27"/>
  <c r="O913" i="27"/>
  <c r="F914" i="27"/>
  <c r="G914" i="27"/>
  <c r="H914" i="27"/>
  <c r="I914" i="27"/>
  <c r="M914" i="27"/>
  <c r="N914" i="27"/>
  <c r="O914" i="27"/>
  <c r="F915" i="27"/>
  <c r="G915" i="27"/>
  <c r="H915" i="27"/>
  <c r="I915" i="27"/>
  <c r="M915" i="27"/>
  <c r="N915" i="27"/>
  <c r="O915" i="27"/>
  <c r="F916" i="27"/>
  <c r="G916" i="27"/>
  <c r="H916" i="27"/>
  <c r="I916" i="27"/>
  <c r="M916" i="27"/>
  <c r="N916" i="27"/>
  <c r="O916" i="27"/>
  <c r="F917" i="27"/>
  <c r="G917" i="27"/>
  <c r="H917" i="27"/>
  <c r="I917" i="27"/>
  <c r="M917" i="27"/>
  <c r="N917" i="27"/>
  <c r="O917" i="27"/>
  <c r="F918" i="27"/>
  <c r="G918" i="27"/>
  <c r="H918" i="27"/>
  <c r="I918" i="27"/>
  <c r="M918" i="27"/>
  <c r="N918" i="27"/>
  <c r="O918" i="27"/>
  <c r="F919" i="27"/>
  <c r="G919" i="27"/>
  <c r="H919" i="27"/>
  <c r="I919" i="27"/>
  <c r="M919" i="27"/>
  <c r="N919" i="27"/>
  <c r="O919" i="27"/>
  <c r="F920" i="27"/>
  <c r="G920" i="27"/>
  <c r="H920" i="27"/>
  <c r="I920" i="27"/>
  <c r="M920" i="27"/>
  <c r="N920" i="27"/>
  <c r="O920" i="27"/>
  <c r="F921" i="27"/>
  <c r="G921" i="27"/>
  <c r="H921" i="27"/>
  <c r="I921" i="27"/>
  <c r="M921" i="27"/>
  <c r="N921" i="27"/>
  <c r="O921" i="27"/>
  <c r="G822" i="27"/>
  <c r="H822" i="27"/>
  <c r="I822" i="27"/>
  <c r="M822" i="27"/>
  <c r="N822" i="27"/>
  <c r="O822" i="27"/>
  <c r="F822" i="27"/>
  <c r="CF101" i="1"/>
  <c r="J921" i="27" s="1"/>
  <c r="CG101" i="1"/>
  <c r="K921" i="27" s="1"/>
  <c r="CH101" i="1"/>
  <c r="L921" i="27" s="1"/>
  <c r="CL101" i="1"/>
  <c r="P921" i="27" s="1"/>
  <c r="F423" i="27"/>
  <c r="G423" i="27"/>
  <c r="H423" i="27"/>
  <c r="I423" i="27"/>
  <c r="M423" i="27"/>
  <c r="N423" i="27"/>
  <c r="O423" i="27"/>
  <c r="F424" i="27"/>
  <c r="G424" i="27"/>
  <c r="H424" i="27"/>
  <c r="I424" i="27"/>
  <c r="M424" i="27"/>
  <c r="N424" i="27"/>
  <c r="O424" i="27"/>
  <c r="F425" i="27"/>
  <c r="G425" i="27"/>
  <c r="H425" i="27"/>
  <c r="I425" i="27"/>
  <c r="M425" i="27"/>
  <c r="N425" i="27"/>
  <c r="O425" i="27"/>
  <c r="F426" i="27"/>
  <c r="G426" i="27"/>
  <c r="H426" i="27"/>
  <c r="I426" i="27"/>
  <c r="M426" i="27"/>
  <c r="N426" i="27"/>
  <c r="O426" i="27"/>
  <c r="F427" i="27"/>
  <c r="G427" i="27"/>
  <c r="H427" i="27"/>
  <c r="I427" i="27"/>
  <c r="M427" i="27"/>
  <c r="N427" i="27"/>
  <c r="O427" i="27"/>
  <c r="F428" i="27"/>
  <c r="G428" i="27"/>
  <c r="H428" i="27"/>
  <c r="I428" i="27"/>
  <c r="M428" i="27"/>
  <c r="N428" i="27"/>
  <c r="O428" i="27"/>
  <c r="F429" i="27"/>
  <c r="G429" i="27"/>
  <c r="H429" i="27"/>
  <c r="I429" i="27"/>
  <c r="M429" i="27"/>
  <c r="N429" i="27"/>
  <c r="O429" i="27"/>
  <c r="F430" i="27"/>
  <c r="G430" i="27"/>
  <c r="H430" i="27"/>
  <c r="I430" i="27"/>
  <c r="M430" i="27"/>
  <c r="N430" i="27"/>
  <c r="O430" i="27"/>
  <c r="F431" i="27"/>
  <c r="G431" i="27"/>
  <c r="H431" i="27"/>
  <c r="I431" i="27"/>
  <c r="M431" i="27"/>
  <c r="N431" i="27"/>
  <c r="O431" i="27"/>
  <c r="F432" i="27"/>
  <c r="G432" i="27"/>
  <c r="H432" i="27"/>
  <c r="I432" i="27"/>
  <c r="M432" i="27"/>
  <c r="N432" i="27"/>
  <c r="O432" i="27"/>
  <c r="F433" i="27"/>
  <c r="G433" i="27"/>
  <c r="H433" i="27"/>
  <c r="I433" i="27"/>
  <c r="M433" i="27"/>
  <c r="N433" i="27"/>
  <c r="O433" i="27"/>
  <c r="F434" i="27"/>
  <c r="G434" i="27"/>
  <c r="H434" i="27"/>
  <c r="I434" i="27"/>
  <c r="M434" i="27"/>
  <c r="N434" i="27"/>
  <c r="O434" i="27"/>
  <c r="F435" i="27"/>
  <c r="G435" i="27"/>
  <c r="H435" i="27"/>
  <c r="I435" i="27"/>
  <c r="M435" i="27"/>
  <c r="N435" i="27"/>
  <c r="O435" i="27"/>
  <c r="F436" i="27"/>
  <c r="G436" i="27"/>
  <c r="H436" i="27"/>
  <c r="I436" i="27"/>
  <c r="M436" i="27"/>
  <c r="N436" i="27"/>
  <c r="O436" i="27"/>
  <c r="F437" i="27"/>
  <c r="G437" i="27"/>
  <c r="H437" i="27"/>
  <c r="I437" i="27"/>
  <c r="M437" i="27"/>
  <c r="N437" i="27"/>
  <c r="O437" i="27"/>
  <c r="F438" i="27"/>
  <c r="G438" i="27"/>
  <c r="H438" i="27"/>
  <c r="I438" i="27"/>
  <c r="M438" i="27"/>
  <c r="N438" i="27"/>
  <c r="O438" i="27"/>
  <c r="F439" i="27"/>
  <c r="G439" i="27"/>
  <c r="H439" i="27"/>
  <c r="I439" i="27"/>
  <c r="M439" i="27"/>
  <c r="N439" i="27"/>
  <c r="O439" i="27"/>
  <c r="F440" i="27"/>
  <c r="G440" i="27"/>
  <c r="H440" i="27"/>
  <c r="I440" i="27"/>
  <c r="M440" i="27"/>
  <c r="N440" i="27"/>
  <c r="O440" i="27"/>
  <c r="F441" i="27"/>
  <c r="G441" i="27"/>
  <c r="H441" i="27"/>
  <c r="I441" i="27"/>
  <c r="M441" i="27"/>
  <c r="N441" i="27"/>
  <c r="O441" i="27"/>
  <c r="F442" i="27"/>
  <c r="G442" i="27"/>
  <c r="H442" i="27"/>
  <c r="I442" i="27"/>
  <c r="M442" i="27"/>
  <c r="N442" i="27"/>
  <c r="O442" i="27"/>
  <c r="F443" i="27"/>
  <c r="G443" i="27"/>
  <c r="H443" i="27"/>
  <c r="I443" i="27"/>
  <c r="M443" i="27"/>
  <c r="N443" i="27"/>
  <c r="O443" i="27"/>
  <c r="F444" i="27"/>
  <c r="G444" i="27"/>
  <c r="H444" i="27"/>
  <c r="I444" i="27"/>
  <c r="M444" i="27"/>
  <c r="N444" i="27"/>
  <c r="O444" i="27"/>
  <c r="F445" i="27"/>
  <c r="G445" i="27"/>
  <c r="H445" i="27"/>
  <c r="I445" i="27"/>
  <c r="M445" i="27"/>
  <c r="N445" i="27"/>
  <c r="O445" i="27"/>
  <c r="F446" i="27"/>
  <c r="G446" i="27"/>
  <c r="H446" i="27"/>
  <c r="I446" i="27"/>
  <c r="M446" i="27"/>
  <c r="N446" i="27"/>
  <c r="O446" i="27"/>
  <c r="F447" i="27"/>
  <c r="G447" i="27"/>
  <c r="H447" i="27"/>
  <c r="I447" i="27"/>
  <c r="M447" i="27"/>
  <c r="N447" i="27"/>
  <c r="O447" i="27"/>
  <c r="F448" i="27"/>
  <c r="G448" i="27"/>
  <c r="H448" i="27"/>
  <c r="I448" i="27"/>
  <c r="M448" i="27"/>
  <c r="N448" i="27"/>
  <c r="O448" i="27"/>
  <c r="F449" i="27"/>
  <c r="G449" i="27"/>
  <c r="H449" i="27"/>
  <c r="I449" i="27"/>
  <c r="M449" i="27"/>
  <c r="N449" i="27"/>
  <c r="O449" i="27"/>
  <c r="F450" i="27"/>
  <c r="G450" i="27"/>
  <c r="H450" i="27"/>
  <c r="I450" i="27"/>
  <c r="M450" i="27"/>
  <c r="N450" i="27"/>
  <c r="O450" i="27"/>
  <c r="F451" i="27"/>
  <c r="G451" i="27"/>
  <c r="H451" i="27"/>
  <c r="I451" i="27"/>
  <c r="M451" i="27"/>
  <c r="N451" i="27"/>
  <c r="O451" i="27"/>
  <c r="F452" i="27"/>
  <c r="G452" i="27"/>
  <c r="H452" i="27"/>
  <c r="I452" i="27"/>
  <c r="M452" i="27"/>
  <c r="N452" i="27"/>
  <c r="O452" i="27"/>
  <c r="F453" i="27"/>
  <c r="G453" i="27"/>
  <c r="H453" i="27"/>
  <c r="I453" i="27"/>
  <c r="M453" i="27"/>
  <c r="N453" i="27"/>
  <c r="O453" i="27"/>
  <c r="F454" i="27"/>
  <c r="G454" i="27"/>
  <c r="H454" i="27"/>
  <c r="I454" i="27"/>
  <c r="M454" i="27"/>
  <c r="N454" i="27"/>
  <c r="O454" i="27"/>
  <c r="F455" i="27"/>
  <c r="G455" i="27"/>
  <c r="H455" i="27"/>
  <c r="I455" i="27"/>
  <c r="M455" i="27"/>
  <c r="N455" i="27"/>
  <c r="O455" i="27"/>
  <c r="F456" i="27"/>
  <c r="G456" i="27"/>
  <c r="H456" i="27"/>
  <c r="I456" i="27"/>
  <c r="M456" i="27"/>
  <c r="N456" i="27"/>
  <c r="O456" i="27"/>
  <c r="F457" i="27"/>
  <c r="G457" i="27"/>
  <c r="H457" i="27"/>
  <c r="I457" i="27"/>
  <c r="M457" i="27"/>
  <c r="N457" i="27"/>
  <c r="O457" i="27"/>
  <c r="F458" i="27"/>
  <c r="G458" i="27"/>
  <c r="H458" i="27"/>
  <c r="I458" i="27"/>
  <c r="M458" i="27"/>
  <c r="N458" i="27"/>
  <c r="O458" i="27"/>
  <c r="F459" i="27"/>
  <c r="G459" i="27"/>
  <c r="H459" i="27"/>
  <c r="I459" i="27"/>
  <c r="M459" i="27"/>
  <c r="N459" i="27"/>
  <c r="O459" i="27"/>
  <c r="F460" i="27"/>
  <c r="G460" i="27"/>
  <c r="H460" i="27"/>
  <c r="I460" i="27"/>
  <c r="M460" i="27"/>
  <c r="N460" i="27"/>
  <c r="O460" i="27"/>
  <c r="F461" i="27"/>
  <c r="G461" i="27"/>
  <c r="H461" i="27"/>
  <c r="I461" i="27"/>
  <c r="M461" i="27"/>
  <c r="N461" i="27"/>
  <c r="O461" i="27"/>
  <c r="F462" i="27"/>
  <c r="G462" i="27"/>
  <c r="H462" i="27"/>
  <c r="I462" i="27"/>
  <c r="M462" i="27"/>
  <c r="N462" i="27"/>
  <c r="O462" i="27"/>
  <c r="F463" i="27"/>
  <c r="G463" i="27"/>
  <c r="H463" i="27"/>
  <c r="I463" i="27"/>
  <c r="M463" i="27"/>
  <c r="N463" i="27"/>
  <c r="O463" i="27"/>
  <c r="F464" i="27"/>
  <c r="G464" i="27"/>
  <c r="H464" i="27"/>
  <c r="I464" i="27"/>
  <c r="M464" i="27"/>
  <c r="N464" i="27"/>
  <c r="O464" i="27"/>
  <c r="F465" i="27"/>
  <c r="G465" i="27"/>
  <c r="H465" i="27"/>
  <c r="I465" i="27"/>
  <c r="M465" i="27"/>
  <c r="N465" i="27"/>
  <c r="O465" i="27"/>
  <c r="F466" i="27"/>
  <c r="G466" i="27"/>
  <c r="H466" i="27"/>
  <c r="I466" i="27"/>
  <c r="M466" i="27"/>
  <c r="N466" i="27"/>
  <c r="O466" i="27"/>
  <c r="F467" i="27"/>
  <c r="G467" i="27"/>
  <c r="H467" i="27"/>
  <c r="I467" i="27"/>
  <c r="M467" i="27"/>
  <c r="N467" i="27"/>
  <c r="O467" i="27"/>
  <c r="F468" i="27"/>
  <c r="G468" i="27"/>
  <c r="H468" i="27"/>
  <c r="I468" i="27"/>
  <c r="M468" i="27"/>
  <c r="N468" i="27"/>
  <c r="O468" i="27"/>
  <c r="F469" i="27"/>
  <c r="G469" i="27"/>
  <c r="H469" i="27"/>
  <c r="I469" i="27"/>
  <c r="M469" i="27"/>
  <c r="N469" i="27"/>
  <c r="O469" i="27"/>
  <c r="F470" i="27"/>
  <c r="G470" i="27"/>
  <c r="H470" i="27"/>
  <c r="I470" i="27"/>
  <c r="M470" i="27"/>
  <c r="N470" i="27"/>
  <c r="O470" i="27"/>
  <c r="F471" i="27"/>
  <c r="G471" i="27"/>
  <c r="H471" i="27"/>
  <c r="I471" i="27"/>
  <c r="M471" i="27"/>
  <c r="N471" i="27"/>
  <c r="O471" i="27"/>
  <c r="F472" i="27"/>
  <c r="G472" i="27"/>
  <c r="H472" i="27"/>
  <c r="I472" i="27"/>
  <c r="M472" i="27"/>
  <c r="N472" i="27"/>
  <c r="O472" i="27"/>
  <c r="F473" i="27"/>
  <c r="G473" i="27"/>
  <c r="H473" i="27"/>
  <c r="I473" i="27"/>
  <c r="M473" i="27"/>
  <c r="N473" i="27"/>
  <c r="O473" i="27"/>
  <c r="F474" i="27"/>
  <c r="G474" i="27"/>
  <c r="H474" i="27"/>
  <c r="I474" i="27"/>
  <c r="M474" i="27"/>
  <c r="N474" i="27"/>
  <c r="O474" i="27"/>
  <c r="F475" i="27"/>
  <c r="G475" i="27"/>
  <c r="H475" i="27"/>
  <c r="I475" i="27"/>
  <c r="M475" i="27"/>
  <c r="N475" i="27"/>
  <c r="O475" i="27"/>
  <c r="F476" i="27"/>
  <c r="G476" i="27"/>
  <c r="H476" i="27"/>
  <c r="I476" i="27"/>
  <c r="M476" i="27"/>
  <c r="N476" i="27"/>
  <c r="O476" i="27"/>
  <c r="F477" i="27"/>
  <c r="G477" i="27"/>
  <c r="H477" i="27"/>
  <c r="I477" i="27"/>
  <c r="M477" i="27"/>
  <c r="N477" i="27"/>
  <c r="O477" i="27"/>
  <c r="F478" i="27"/>
  <c r="G478" i="27"/>
  <c r="H478" i="27"/>
  <c r="I478" i="27"/>
  <c r="M478" i="27"/>
  <c r="N478" i="27"/>
  <c r="O478" i="27"/>
  <c r="F479" i="27"/>
  <c r="G479" i="27"/>
  <c r="H479" i="27"/>
  <c r="I479" i="27"/>
  <c r="M479" i="27"/>
  <c r="N479" i="27"/>
  <c r="O479" i="27"/>
  <c r="F480" i="27"/>
  <c r="G480" i="27"/>
  <c r="H480" i="27"/>
  <c r="I480" i="27"/>
  <c r="M480" i="27"/>
  <c r="N480" i="27"/>
  <c r="O480" i="27"/>
  <c r="F481" i="27"/>
  <c r="G481" i="27"/>
  <c r="H481" i="27"/>
  <c r="I481" i="27"/>
  <c r="M481" i="27"/>
  <c r="N481" i="27"/>
  <c r="O481" i="27"/>
  <c r="F482" i="27"/>
  <c r="G482" i="27"/>
  <c r="H482" i="27"/>
  <c r="I482" i="27"/>
  <c r="M482" i="27"/>
  <c r="N482" i="27"/>
  <c r="O482" i="27"/>
  <c r="F483" i="27"/>
  <c r="G483" i="27"/>
  <c r="H483" i="27"/>
  <c r="I483" i="27"/>
  <c r="M483" i="27"/>
  <c r="N483" i="27"/>
  <c r="O483" i="27"/>
  <c r="F484" i="27"/>
  <c r="G484" i="27"/>
  <c r="H484" i="27"/>
  <c r="I484" i="27"/>
  <c r="M484" i="27"/>
  <c r="N484" i="27"/>
  <c r="O484" i="27"/>
  <c r="F485" i="27"/>
  <c r="G485" i="27"/>
  <c r="H485" i="27"/>
  <c r="I485" i="27"/>
  <c r="M485" i="27"/>
  <c r="N485" i="27"/>
  <c r="O485" i="27"/>
  <c r="F486" i="27"/>
  <c r="G486" i="27"/>
  <c r="H486" i="27"/>
  <c r="I486" i="27"/>
  <c r="M486" i="27"/>
  <c r="N486" i="27"/>
  <c r="O486" i="27"/>
  <c r="F487" i="27"/>
  <c r="G487" i="27"/>
  <c r="H487" i="27"/>
  <c r="I487" i="27"/>
  <c r="M487" i="27"/>
  <c r="N487" i="27"/>
  <c r="O487" i="27"/>
  <c r="F488" i="27"/>
  <c r="G488" i="27"/>
  <c r="H488" i="27"/>
  <c r="I488" i="27"/>
  <c r="M488" i="27"/>
  <c r="N488" i="27"/>
  <c r="O488" i="27"/>
  <c r="F489" i="27"/>
  <c r="G489" i="27"/>
  <c r="H489" i="27"/>
  <c r="I489" i="27"/>
  <c r="M489" i="27"/>
  <c r="N489" i="27"/>
  <c r="O489" i="27"/>
  <c r="F490" i="27"/>
  <c r="G490" i="27"/>
  <c r="H490" i="27"/>
  <c r="I490" i="27"/>
  <c r="M490" i="27"/>
  <c r="N490" i="27"/>
  <c r="O490" i="27"/>
  <c r="F491" i="27"/>
  <c r="G491" i="27"/>
  <c r="H491" i="27"/>
  <c r="I491" i="27"/>
  <c r="M491" i="27"/>
  <c r="N491" i="27"/>
  <c r="O491" i="27"/>
  <c r="F492" i="27"/>
  <c r="G492" i="27"/>
  <c r="H492" i="27"/>
  <c r="I492" i="27"/>
  <c r="M492" i="27"/>
  <c r="N492" i="27"/>
  <c r="O492" i="27"/>
  <c r="F493" i="27"/>
  <c r="G493" i="27"/>
  <c r="H493" i="27"/>
  <c r="I493" i="27"/>
  <c r="M493" i="27"/>
  <c r="N493" i="27"/>
  <c r="O493" i="27"/>
  <c r="F494" i="27"/>
  <c r="G494" i="27"/>
  <c r="H494" i="27"/>
  <c r="I494" i="27"/>
  <c r="M494" i="27"/>
  <c r="N494" i="27"/>
  <c r="O494" i="27"/>
  <c r="F495" i="27"/>
  <c r="G495" i="27"/>
  <c r="H495" i="27"/>
  <c r="I495" i="27"/>
  <c r="M495" i="27"/>
  <c r="N495" i="27"/>
  <c r="O495" i="27"/>
  <c r="F496" i="27"/>
  <c r="G496" i="27"/>
  <c r="H496" i="27"/>
  <c r="I496" i="27"/>
  <c r="M496" i="27"/>
  <c r="N496" i="27"/>
  <c r="O496" i="27"/>
  <c r="F497" i="27"/>
  <c r="G497" i="27"/>
  <c r="H497" i="27"/>
  <c r="I497" i="27"/>
  <c r="M497" i="27"/>
  <c r="N497" i="27"/>
  <c r="O497" i="27"/>
  <c r="F498" i="27"/>
  <c r="G498" i="27"/>
  <c r="H498" i="27"/>
  <c r="I498" i="27"/>
  <c r="M498" i="27"/>
  <c r="N498" i="27"/>
  <c r="O498" i="27"/>
  <c r="F499" i="27"/>
  <c r="G499" i="27"/>
  <c r="H499" i="27"/>
  <c r="I499" i="27"/>
  <c r="M499" i="27"/>
  <c r="N499" i="27"/>
  <c r="O499" i="27"/>
  <c r="F500" i="27"/>
  <c r="G500" i="27"/>
  <c r="H500" i="27"/>
  <c r="I500" i="27"/>
  <c r="M500" i="27"/>
  <c r="N500" i="27"/>
  <c r="O500" i="27"/>
  <c r="F501" i="27"/>
  <c r="G501" i="27"/>
  <c r="H501" i="27"/>
  <c r="I501" i="27"/>
  <c r="M501" i="27"/>
  <c r="N501" i="27"/>
  <c r="O501" i="27"/>
  <c r="F502" i="27"/>
  <c r="G502" i="27"/>
  <c r="H502" i="27"/>
  <c r="I502" i="27"/>
  <c r="M502" i="27"/>
  <c r="N502" i="27"/>
  <c r="O502" i="27"/>
  <c r="F503" i="27"/>
  <c r="G503" i="27"/>
  <c r="H503" i="27"/>
  <c r="I503" i="27"/>
  <c r="M503" i="27"/>
  <c r="N503" i="27"/>
  <c r="O503" i="27"/>
  <c r="F504" i="27"/>
  <c r="G504" i="27"/>
  <c r="H504" i="27"/>
  <c r="I504" i="27"/>
  <c r="M504" i="27"/>
  <c r="N504" i="27"/>
  <c r="O504" i="27"/>
  <c r="F505" i="27"/>
  <c r="G505" i="27"/>
  <c r="H505" i="27"/>
  <c r="I505" i="27"/>
  <c r="M505" i="27"/>
  <c r="N505" i="27"/>
  <c r="O505" i="27"/>
  <c r="F506" i="27"/>
  <c r="G506" i="27"/>
  <c r="H506" i="27"/>
  <c r="I506" i="27"/>
  <c r="M506" i="27"/>
  <c r="N506" i="27"/>
  <c r="O506" i="27"/>
  <c r="F507" i="27"/>
  <c r="G507" i="27"/>
  <c r="H507" i="27"/>
  <c r="I507" i="27"/>
  <c r="M507" i="27"/>
  <c r="N507" i="27"/>
  <c r="O507" i="27"/>
  <c r="F508" i="27"/>
  <c r="G508" i="27"/>
  <c r="H508" i="27"/>
  <c r="I508" i="27"/>
  <c r="M508" i="27"/>
  <c r="N508" i="27"/>
  <c r="O508" i="27"/>
  <c r="F509" i="27"/>
  <c r="G509" i="27"/>
  <c r="H509" i="27"/>
  <c r="I509" i="27"/>
  <c r="M509" i="27"/>
  <c r="N509" i="27"/>
  <c r="O509" i="27"/>
  <c r="F510" i="27"/>
  <c r="G510" i="27"/>
  <c r="H510" i="27"/>
  <c r="I510" i="27"/>
  <c r="M510" i="27"/>
  <c r="N510" i="27"/>
  <c r="O510" i="27"/>
  <c r="F511" i="27"/>
  <c r="G511" i="27"/>
  <c r="H511" i="27"/>
  <c r="I511" i="27"/>
  <c r="M511" i="27"/>
  <c r="N511" i="27"/>
  <c r="O511" i="27"/>
  <c r="F512" i="27"/>
  <c r="G512" i="27"/>
  <c r="H512" i="27"/>
  <c r="I512" i="27"/>
  <c r="M512" i="27"/>
  <c r="N512" i="27"/>
  <c r="O512" i="27"/>
  <c r="F513" i="27"/>
  <c r="G513" i="27"/>
  <c r="H513" i="27"/>
  <c r="I513" i="27"/>
  <c r="M513" i="27"/>
  <c r="N513" i="27"/>
  <c r="O513" i="27"/>
  <c r="F514" i="27"/>
  <c r="G514" i="27"/>
  <c r="H514" i="27"/>
  <c r="I514" i="27"/>
  <c r="M514" i="27"/>
  <c r="N514" i="27"/>
  <c r="O514" i="27"/>
  <c r="F515" i="27"/>
  <c r="G515" i="27"/>
  <c r="H515" i="27"/>
  <c r="I515" i="27"/>
  <c r="M515" i="27"/>
  <c r="N515" i="27"/>
  <c r="O515" i="27"/>
  <c r="F516" i="27"/>
  <c r="G516" i="27"/>
  <c r="H516" i="27"/>
  <c r="I516" i="27"/>
  <c r="M516" i="27"/>
  <c r="N516" i="27"/>
  <c r="O516" i="27"/>
  <c r="F517" i="27"/>
  <c r="G517" i="27"/>
  <c r="H517" i="27"/>
  <c r="I517" i="27"/>
  <c r="M517" i="27"/>
  <c r="N517" i="27"/>
  <c r="O517" i="27"/>
  <c r="F518" i="27"/>
  <c r="G518" i="27"/>
  <c r="H518" i="27"/>
  <c r="I518" i="27"/>
  <c r="M518" i="27"/>
  <c r="N518" i="27"/>
  <c r="O518" i="27"/>
  <c r="F519" i="27"/>
  <c r="G519" i="27"/>
  <c r="H519" i="27"/>
  <c r="I519" i="27"/>
  <c r="M519" i="27"/>
  <c r="N519" i="27"/>
  <c r="O519" i="27"/>
  <c r="F520" i="27"/>
  <c r="G520" i="27"/>
  <c r="H520" i="27"/>
  <c r="I520" i="27"/>
  <c r="M520" i="27"/>
  <c r="N520" i="27"/>
  <c r="O520" i="27"/>
  <c r="F521" i="27"/>
  <c r="G521" i="27"/>
  <c r="H521" i="27"/>
  <c r="I521" i="27"/>
  <c r="M521" i="27"/>
  <c r="N521" i="27"/>
  <c r="O521" i="27"/>
  <c r="F522" i="27"/>
  <c r="G522" i="27"/>
  <c r="H522" i="27"/>
  <c r="I522" i="27"/>
  <c r="M522" i="27"/>
  <c r="N522" i="27"/>
  <c r="O522" i="27"/>
  <c r="F523" i="27"/>
  <c r="G523" i="27"/>
  <c r="H523" i="27"/>
  <c r="I523" i="27"/>
  <c r="M523" i="27"/>
  <c r="N523" i="27"/>
  <c r="O523" i="27"/>
  <c r="F524" i="27"/>
  <c r="G524" i="27"/>
  <c r="H524" i="27"/>
  <c r="I524" i="27"/>
  <c r="M524" i="27"/>
  <c r="N524" i="27"/>
  <c r="O524" i="27"/>
  <c r="F525" i="27"/>
  <c r="G525" i="27"/>
  <c r="H525" i="27"/>
  <c r="I525" i="27"/>
  <c r="M525" i="27"/>
  <c r="N525" i="27"/>
  <c r="O525" i="27"/>
  <c r="F526" i="27"/>
  <c r="G526" i="27"/>
  <c r="H526" i="27"/>
  <c r="I526" i="27"/>
  <c r="M526" i="27"/>
  <c r="N526" i="27"/>
  <c r="O526" i="27"/>
  <c r="F527" i="27"/>
  <c r="G527" i="27"/>
  <c r="H527" i="27"/>
  <c r="I527" i="27"/>
  <c r="M527" i="27"/>
  <c r="N527" i="27"/>
  <c r="O527" i="27"/>
  <c r="F528" i="27"/>
  <c r="G528" i="27"/>
  <c r="H528" i="27"/>
  <c r="I528" i="27"/>
  <c r="M528" i="27"/>
  <c r="N528" i="27"/>
  <c r="O528" i="27"/>
  <c r="F529" i="27"/>
  <c r="G529" i="27"/>
  <c r="H529" i="27"/>
  <c r="I529" i="27"/>
  <c r="M529" i="27"/>
  <c r="N529" i="27"/>
  <c r="O529" i="27"/>
  <c r="F530" i="27"/>
  <c r="G530" i="27"/>
  <c r="H530" i="27"/>
  <c r="I530" i="27"/>
  <c r="M530" i="27"/>
  <c r="N530" i="27"/>
  <c r="O530" i="27"/>
  <c r="F531" i="27"/>
  <c r="G531" i="27"/>
  <c r="H531" i="27"/>
  <c r="I531" i="27"/>
  <c r="M531" i="27"/>
  <c r="N531" i="27"/>
  <c r="O531" i="27"/>
  <c r="F532" i="27"/>
  <c r="G532" i="27"/>
  <c r="H532" i="27"/>
  <c r="I532" i="27"/>
  <c r="M532" i="27"/>
  <c r="N532" i="27"/>
  <c r="O532" i="27"/>
  <c r="F533" i="27"/>
  <c r="G533" i="27"/>
  <c r="H533" i="27"/>
  <c r="I533" i="27"/>
  <c r="M533" i="27"/>
  <c r="N533" i="27"/>
  <c r="O533" i="27"/>
  <c r="F534" i="27"/>
  <c r="G534" i="27"/>
  <c r="H534" i="27"/>
  <c r="I534" i="27"/>
  <c r="M534" i="27"/>
  <c r="N534" i="27"/>
  <c r="O534" i="27"/>
  <c r="F535" i="27"/>
  <c r="G535" i="27"/>
  <c r="H535" i="27"/>
  <c r="I535" i="27"/>
  <c r="M535" i="27"/>
  <c r="N535" i="27"/>
  <c r="O535" i="27"/>
  <c r="F536" i="27"/>
  <c r="G536" i="27"/>
  <c r="H536" i="27"/>
  <c r="I536" i="27"/>
  <c r="M536" i="27"/>
  <c r="N536" i="27"/>
  <c r="O536" i="27"/>
  <c r="F537" i="27"/>
  <c r="G537" i="27"/>
  <c r="H537" i="27"/>
  <c r="I537" i="27"/>
  <c r="M537" i="27"/>
  <c r="N537" i="27"/>
  <c r="O537" i="27"/>
  <c r="F538" i="27"/>
  <c r="G538" i="27"/>
  <c r="H538" i="27"/>
  <c r="I538" i="27"/>
  <c r="M538" i="27"/>
  <c r="N538" i="27"/>
  <c r="O538" i="27"/>
  <c r="F539" i="27"/>
  <c r="G539" i="27"/>
  <c r="H539" i="27"/>
  <c r="I539" i="27"/>
  <c r="M539" i="27"/>
  <c r="N539" i="27"/>
  <c r="O539" i="27"/>
  <c r="F540" i="27"/>
  <c r="G540" i="27"/>
  <c r="H540" i="27"/>
  <c r="I540" i="27"/>
  <c r="M540" i="27"/>
  <c r="N540" i="27"/>
  <c r="O540" i="27"/>
  <c r="F541" i="27"/>
  <c r="G541" i="27"/>
  <c r="H541" i="27"/>
  <c r="I541" i="27"/>
  <c r="M541" i="27"/>
  <c r="N541" i="27"/>
  <c r="O541" i="27"/>
  <c r="F542" i="27"/>
  <c r="G542" i="27"/>
  <c r="H542" i="27"/>
  <c r="I542" i="27"/>
  <c r="M542" i="27"/>
  <c r="N542" i="27"/>
  <c r="O542" i="27"/>
  <c r="F543" i="27"/>
  <c r="G543" i="27"/>
  <c r="H543" i="27"/>
  <c r="I543" i="27"/>
  <c r="M543" i="27"/>
  <c r="N543" i="27"/>
  <c r="O543" i="27"/>
  <c r="F544" i="27"/>
  <c r="G544" i="27"/>
  <c r="H544" i="27"/>
  <c r="I544" i="27"/>
  <c r="M544" i="27"/>
  <c r="N544" i="27"/>
  <c r="O544" i="27"/>
  <c r="F545" i="27"/>
  <c r="G545" i="27"/>
  <c r="H545" i="27"/>
  <c r="I545" i="27"/>
  <c r="M545" i="27"/>
  <c r="N545" i="27"/>
  <c r="O545" i="27"/>
  <c r="F546" i="27"/>
  <c r="G546" i="27"/>
  <c r="H546" i="27"/>
  <c r="I546" i="27"/>
  <c r="M546" i="27"/>
  <c r="N546" i="27"/>
  <c r="O546" i="27"/>
  <c r="F547" i="27"/>
  <c r="G547" i="27"/>
  <c r="H547" i="27"/>
  <c r="I547" i="27"/>
  <c r="M547" i="27"/>
  <c r="N547" i="27"/>
  <c r="O547" i="27"/>
  <c r="F548" i="27"/>
  <c r="G548" i="27"/>
  <c r="H548" i="27"/>
  <c r="I548" i="27"/>
  <c r="M548" i="27"/>
  <c r="N548" i="27"/>
  <c r="O548" i="27"/>
  <c r="F549" i="27"/>
  <c r="G549" i="27"/>
  <c r="H549" i="27"/>
  <c r="I549" i="27"/>
  <c r="M549" i="27"/>
  <c r="N549" i="27"/>
  <c r="O549" i="27"/>
  <c r="F550" i="27"/>
  <c r="G550" i="27"/>
  <c r="H550" i="27"/>
  <c r="I550" i="27"/>
  <c r="M550" i="27"/>
  <c r="N550" i="27"/>
  <c r="O550" i="27"/>
  <c r="F551" i="27"/>
  <c r="G551" i="27"/>
  <c r="H551" i="27"/>
  <c r="I551" i="27"/>
  <c r="M551" i="27"/>
  <c r="N551" i="27"/>
  <c r="O551" i="27"/>
  <c r="F552" i="27"/>
  <c r="G552" i="27"/>
  <c r="H552" i="27"/>
  <c r="I552" i="27"/>
  <c r="M552" i="27"/>
  <c r="N552" i="27"/>
  <c r="O552" i="27"/>
  <c r="F553" i="27"/>
  <c r="G553" i="27"/>
  <c r="H553" i="27"/>
  <c r="I553" i="27"/>
  <c r="M553" i="27"/>
  <c r="N553" i="27"/>
  <c r="O553" i="27"/>
  <c r="F554" i="27"/>
  <c r="G554" i="27"/>
  <c r="H554" i="27"/>
  <c r="I554" i="27"/>
  <c r="M554" i="27"/>
  <c r="N554" i="27"/>
  <c r="O554" i="27"/>
  <c r="F555" i="27"/>
  <c r="G555" i="27"/>
  <c r="H555" i="27"/>
  <c r="I555" i="27"/>
  <c r="M555" i="27"/>
  <c r="N555" i="27"/>
  <c r="O555" i="27"/>
  <c r="F556" i="27"/>
  <c r="G556" i="27"/>
  <c r="H556" i="27"/>
  <c r="I556" i="27"/>
  <c r="M556" i="27"/>
  <c r="N556" i="27"/>
  <c r="O556" i="27"/>
  <c r="F557" i="27"/>
  <c r="G557" i="27"/>
  <c r="H557" i="27"/>
  <c r="I557" i="27"/>
  <c r="M557" i="27"/>
  <c r="N557" i="27"/>
  <c r="O557" i="27"/>
  <c r="F558" i="27"/>
  <c r="G558" i="27"/>
  <c r="H558" i="27"/>
  <c r="I558" i="27"/>
  <c r="M558" i="27"/>
  <c r="N558" i="27"/>
  <c r="O558" i="27"/>
  <c r="F559" i="27"/>
  <c r="G559" i="27"/>
  <c r="H559" i="27"/>
  <c r="I559" i="27"/>
  <c r="M559" i="27"/>
  <c r="N559" i="27"/>
  <c r="O559" i="27"/>
  <c r="F560" i="27"/>
  <c r="G560" i="27"/>
  <c r="H560" i="27"/>
  <c r="I560" i="27"/>
  <c r="M560" i="27"/>
  <c r="N560" i="27"/>
  <c r="O560" i="27"/>
  <c r="F561" i="27"/>
  <c r="G561" i="27"/>
  <c r="H561" i="27"/>
  <c r="I561" i="27"/>
  <c r="M561" i="27"/>
  <c r="N561" i="27"/>
  <c r="O561" i="27"/>
  <c r="F562" i="27"/>
  <c r="G562" i="27"/>
  <c r="H562" i="27"/>
  <c r="I562" i="27"/>
  <c r="M562" i="27"/>
  <c r="N562" i="27"/>
  <c r="O562" i="27"/>
  <c r="F563" i="27"/>
  <c r="G563" i="27"/>
  <c r="H563" i="27"/>
  <c r="I563" i="27"/>
  <c r="M563" i="27"/>
  <c r="N563" i="27"/>
  <c r="O563" i="27"/>
  <c r="F564" i="27"/>
  <c r="G564" i="27"/>
  <c r="H564" i="27"/>
  <c r="I564" i="27"/>
  <c r="M564" i="27"/>
  <c r="N564" i="27"/>
  <c r="O564" i="27"/>
  <c r="F565" i="27"/>
  <c r="G565" i="27"/>
  <c r="H565" i="27"/>
  <c r="I565" i="27"/>
  <c r="M565" i="27"/>
  <c r="N565" i="27"/>
  <c r="O565" i="27"/>
  <c r="F566" i="27"/>
  <c r="G566" i="27"/>
  <c r="H566" i="27"/>
  <c r="I566" i="27"/>
  <c r="M566" i="27"/>
  <c r="N566" i="27"/>
  <c r="O566" i="27"/>
  <c r="F567" i="27"/>
  <c r="G567" i="27"/>
  <c r="H567" i="27"/>
  <c r="I567" i="27"/>
  <c r="M567" i="27"/>
  <c r="N567" i="27"/>
  <c r="O567" i="27"/>
  <c r="F568" i="27"/>
  <c r="G568" i="27"/>
  <c r="H568" i="27"/>
  <c r="I568" i="27"/>
  <c r="M568" i="27"/>
  <c r="N568" i="27"/>
  <c r="O568" i="27"/>
  <c r="F569" i="27"/>
  <c r="G569" i="27"/>
  <c r="H569" i="27"/>
  <c r="I569" i="27"/>
  <c r="M569" i="27"/>
  <c r="N569" i="27"/>
  <c r="O569" i="27"/>
  <c r="F570" i="27"/>
  <c r="G570" i="27"/>
  <c r="H570" i="27"/>
  <c r="I570" i="27"/>
  <c r="M570" i="27"/>
  <c r="N570" i="27"/>
  <c r="O570" i="27"/>
  <c r="F571" i="27"/>
  <c r="G571" i="27"/>
  <c r="H571" i="27"/>
  <c r="I571" i="27"/>
  <c r="M571" i="27"/>
  <c r="N571" i="27"/>
  <c r="O571" i="27"/>
  <c r="F572" i="27"/>
  <c r="G572" i="27"/>
  <c r="H572" i="27"/>
  <c r="I572" i="27"/>
  <c r="M572" i="27"/>
  <c r="N572" i="27"/>
  <c r="O572" i="27"/>
  <c r="F573" i="27"/>
  <c r="G573" i="27"/>
  <c r="H573" i="27"/>
  <c r="I573" i="27"/>
  <c r="M573" i="27"/>
  <c r="N573" i="27"/>
  <c r="O573" i="27"/>
  <c r="F574" i="27"/>
  <c r="G574" i="27"/>
  <c r="H574" i="27"/>
  <c r="I574" i="27"/>
  <c r="M574" i="27"/>
  <c r="N574" i="27"/>
  <c r="O574" i="27"/>
  <c r="F575" i="27"/>
  <c r="G575" i="27"/>
  <c r="H575" i="27"/>
  <c r="I575" i="27"/>
  <c r="M575" i="27"/>
  <c r="N575" i="27"/>
  <c r="O575" i="27"/>
  <c r="F576" i="27"/>
  <c r="G576" i="27"/>
  <c r="H576" i="27"/>
  <c r="I576" i="27"/>
  <c r="M576" i="27"/>
  <c r="N576" i="27"/>
  <c r="O576" i="27"/>
  <c r="F577" i="27"/>
  <c r="G577" i="27"/>
  <c r="H577" i="27"/>
  <c r="I577" i="27"/>
  <c r="M577" i="27"/>
  <c r="N577" i="27"/>
  <c r="O577" i="27"/>
  <c r="F578" i="27"/>
  <c r="G578" i="27"/>
  <c r="H578" i="27"/>
  <c r="I578" i="27"/>
  <c r="M578" i="27"/>
  <c r="N578" i="27"/>
  <c r="O578" i="27"/>
  <c r="F579" i="27"/>
  <c r="G579" i="27"/>
  <c r="H579" i="27"/>
  <c r="I579" i="27"/>
  <c r="M579" i="27"/>
  <c r="N579" i="27"/>
  <c r="O579" i="27"/>
  <c r="F580" i="27"/>
  <c r="G580" i="27"/>
  <c r="H580" i="27"/>
  <c r="I580" i="27"/>
  <c r="M580" i="27"/>
  <c r="N580" i="27"/>
  <c r="O580" i="27"/>
  <c r="F581" i="27"/>
  <c r="G581" i="27"/>
  <c r="H581" i="27"/>
  <c r="I581" i="27"/>
  <c r="M581" i="27"/>
  <c r="N581" i="27"/>
  <c r="O581" i="27"/>
  <c r="F582" i="27"/>
  <c r="G582" i="27"/>
  <c r="H582" i="27"/>
  <c r="I582" i="27"/>
  <c r="M582" i="27"/>
  <c r="N582" i="27"/>
  <c r="O582" i="27"/>
  <c r="F583" i="27"/>
  <c r="G583" i="27"/>
  <c r="H583" i="27"/>
  <c r="I583" i="27"/>
  <c r="M583" i="27"/>
  <c r="N583" i="27"/>
  <c r="O583" i="27"/>
  <c r="F584" i="27"/>
  <c r="G584" i="27"/>
  <c r="H584" i="27"/>
  <c r="I584" i="27"/>
  <c r="M584" i="27"/>
  <c r="N584" i="27"/>
  <c r="O584" i="27"/>
  <c r="F585" i="27"/>
  <c r="G585" i="27"/>
  <c r="H585" i="27"/>
  <c r="I585" i="27"/>
  <c r="M585" i="27"/>
  <c r="N585" i="27"/>
  <c r="O585" i="27"/>
  <c r="F586" i="27"/>
  <c r="G586" i="27"/>
  <c r="H586" i="27"/>
  <c r="I586" i="27"/>
  <c r="M586" i="27"/>
  <c r="N586" i="27"/>
  <c r="O586" i="27"/>
  <c r="F587" i="27"/>
  <c r="G587" i="27"/>
  <c r="H587" i="27"/>
  <c r="I587" i="27"/>
  <c r="M587" i="27"/>
  <c r="N587" i="27"/>
  <c r="O587" i="27"/>
  <c r="F588" i="27"/>
  <c r="G588" i="27"/>
  <c r="H588" i="27"/>
  <c r="I588" i="27"/>
  <c r="M588" i="27"/>
  <c r="N588" i="27"/>
  <c r="O588" i="27"/>
  <c r="F589" i="27"/>
  <c r="G589" i="27"/>
  <c r="H589" i="27"/>
  <c r="I589" i="27"/>
  <c r="M589" i="27"/>
  <c r="N589" i="27"/>
  <c r="O589" i="27"/>
  <c r="F590" i="27"/>
  <c r="G590" i="27"/>
  <c r="H590" i="27"/>
  <c r="I590" i="27"/>
  <c r="M590" i="27"/>
  <c r="N590" i="27"/>
  <c r="O590" i="27"/>
  <c r="F591" i="27"/>
  <c r="G591" i="27"/>
  <c r="H591" i="27"/>
  <c r="I591" i="27"/>
  <c r="M591" i="27"/>
  <c r="N591" i="27"/>
  <c r="O591" i="27"/>
  <c r="F592" i="27"/>
  <c r="G592" i="27"/>
  <c r="H592" i="27"/>
  <c r="I592" i="27"/>
  <c r="M592" i="27"/>
  <c r="N592" i="27"/>
  <c r="O592" i="27"/>
  <c r="F593" i="27"/>
  <c r="G593" i="27"/>
  <c r="H593" i="27"/>
  <c r="I593" i="27"/>
  <c r="M593" i="27"/>
  <c r="N593" i="27"/>
  <c r="O593" i="27"/>
  <c r="F594" i="27"/>
  <c r="G594" i="27"/>
  <c r="H594" i="27"/>
  <c r="I594" i="27"/>
  <c r="M594" i="27"/>
  <c r="N594" i="27"/>
  <c r="O594" i="27"/>
  <c r="F595" i="27"/>
  <c r="G595" i="27"/>
  <c r="H595" i="27"/>
  <c r="I595" i="27"/>
  <c r="M595" i="27"/>
  <c r="N595" i="27"/>
  <c r="O595" i="27"/>
  <c r="F596" i="27"/>
  <c r="G596" i="27"/>
  <c r="H596" i="27"/>
  <c r="I596" i="27"/>
  <c r="M596" i="27"/>
  <c r="N596" i="27"/>
  <c r="O596" i="27"/>
  <c r="F597" i="27"/>
  <c r="G597" i="27"/>
  <c r="H597" i="27"/>
  <c r="I597" i="27"/>
  <c r="M597" i="27"/>
  <c r="N597" i="27"/>
  <c r="O597" i="27"/>
  <c r="F598" i="27"/>
  <c r="G598" i="27"/>
  <c r="H598" i="27"/>
  <c r="I598" i="27"/>
  <c r="M598" i="27"/>
  <c r="N598" i="27"/>
  <c r="O598" i="27"/>
  <c r="F599" i="27"/>
  <c r="G599" i="27"/>
  <c r="H599" i="27"/>
  <c r="I599" i="27"/>
  <c r="M599" i="27"/>
  <c r="N599" i="27"/>
  <c r="O599" i="27"/>
  <c r="F600" i="27"/>
  <c r="G600" i="27"/>
  <c r="H600" i="27"/>
  <c r="I600" i="27"/>
  <c r="M600" i="27"/>
  <c r="N600" i="27"/>
  <c r="O600" i="27"/>
  <c r="F601" i="27"/>
  <c r="G601" i="27"/>
  <c r="H601" i="27"/>
  <c r="I601" i="27"/>
  <c r="M601" i="27"/>
  <c r="N601" i="27"/>
  <c r="O601" i="27"/>
  <c r="F602" i="27"/>
  <c r="G602" i="27"/>
  <c r="H602" i="27"/>
  <c r="I602" i="27"/>
  <c r="M602" i="27"/>
  <c r="N602" i="27"/>
  <c r="O602" i="27"/>
  <c r="F603" i="27"/>
  <c r="G603" i="27"/>
  <c r="H603" i="27"/>
  <c r="I603" i="27"/>
  <c r="M603" i="27"/>
  <c r="N603" i="27"/>
  <c r="O603" i="27"/>
  <c r="F604" i="27"/>
  <c r="G604" i="27"/>
  <c r="H604" i="27"/>
  <c r="I604" i="27"/>
  <c r="M604" i="27"/>
  <c r="N604" i="27"/>
  <c r="O604" i="27"/>
  <c r="F605" i="27"/>
  <c r="G605" i="27"/>
  <c r="H605" i="27"/>
  <c r="I605" i="27"/>
  <c r="M605" i="27"/>
  <c r="N605" i="27"/>
  <c r="O605" i="27"/>
  <c r="F606" i="27"/>
  <c r="G606" i="27"/>
  <c r="H606" i="27"/>
  <c r="I606" i="27"/>
  <c r="M606" i="27"/>
  <c r="N606" i="27"/>
  <c r="O606" i="27"/>
  <c r="F607" i="27"/>
  <c r="G607" i="27"/>
  <c r="H607" i="27"/>
  <c r="I607" i="27"/>
  <c r="M607" i="27"/>
  <c r="N607" i="27"/>
  <c r="O607" i="27"/>
  <c r="F608" i="27"/>
  <c r="G608" i="27"/>
  <c r="H608" i="27"/>
  <c r="I608" i="27"/>
  <c r="M608" i="27"/>
  <c r="N608" i="27"/>
  <c r="O608" i="27"/>
  <c r="F609" i="27"/>
  <c r="G609" i="27"/>
  <c r="H609" i="27"/>
  <c r="I609" i="27"/>
  <c r="M609" i="27"/>
  <c r="N609" i="27"/>
  <c r="O609" i="27"/>
  <c r="F610" i="27"/>
  <c r="G610" i="27"/>
  <c r="H610" i="27"/>
  <c r="I610" i="27"/>
  <c r="M610" i="27"/>
  <c r="N610" i="27"/>
  <c r="O610" i="27"/>
  <c r="F611" i="27"/>
  <c r="G611" i="27"/>
  <c r="H611" i="27"/>
  <c r="I611" i="27"/>
  <c r="M611" i="27"/>
  <c r="N611" i="27"/>
  <c r="O611" i="27"/>
  <c r="F612" i="27"/>
  <c r="G612" i="27"/>
  <c r="H612" i="27"/>
  <c r="I612" i="27"/>
  <c r="M612" i="27"/>
  <c r="N612" i="27"/>
  <c r="O612" i="27"/>
  <c r="F613" i="27"/>
  <c r="G613" i="27"/>
  <c r="H613" i="27"/>
  <c r="I613" i="27"/>
  <c r="M613" i="27"/>
  <c r="N613" i="27"/>
  <c r="O613" i="27"/>
  <c r="F614" i="27"/>
  <c r="G614" i="27"/>
  <c r="H614" i="27"/>
  <c r="I614" i="27"/>
  <c r="M614" i="27"/>
  <c r="N614" i="27"/>
  <c r="O614" i="27"/>
  <c r="F615" i="27"/>
  <c r="G615" i="27"/>
  <c r="H615" i="27"/>
  <c r="I615" i="27"/>
  <c r="M615" i="27"/>
  <c r="N615" i="27"/>
  <c r="O615" i="27"/>
  <c r="F616" i="27"/>
  <c r="G616" i="27"/>
  <c r="H616" i="27"/>
  <c r="I616" i="27"/>
  <c r="M616" i="27"/>
  <c r="N616" i="27"/>
  <c r="O616" i="27"/>
  <c r="F617" i="27"/>
  <c r="G617" i="27"/>
  <c r="H617" i="27"/>
  <c r="I617" i="27"/>
  <c r="M617" i="27"/>
  <c r="N617" i="27"/>
  <c r="O617" i="27"/>
  <c r="F618" i="27"/>
  <c r="G618" i="27"/>
  <c r="H618" i="27"/>
  <c r="I618" i="27"/>
  <c r="M618" i="27"/>
  <c r="N618" i="27"/>
  <c r="O618" i="27"/>
  <c r="F619" i="27"/>
  <c r="G619" i="27"/>
  <c r="H619" i="27"/>
  <c r="I619" i="27"/>
  <c r="M619" i="27"/>
  <c r="N619" i="27"/>
  <c r="O619" i="27"/>
  <c r="F620" i="27"/>
  <c r="G620" i="27"/>
  <c r="H620" i="27"/>
  <c r="I620" i="27"/>
  <c r="M620" i="27"/>
  <c r="N620" i="27"/>
  <c r="O620" i="27"/>
  <c r="F621" i="27"/>
  <c r="G621" i="27"/>
  <c r="H621" i="27"/>
  <c r="I621" i="27"/>
  <c r="M621" i="27"/>
  <c r="N621" i="27"/>
  <c r="O621" i="27"/>
  <c r="F622" i="27"/>
  <c r="G622" i="27"/>
  <c r="H622" i="27"/>
  <c r="I622" i="27"/>
  <c r="M622" i="27"/>
  <c r="N622" i="27"/>
  <c r="O622" i="27"/>
  <c r="F623" i="27"/>
  <c r="G623" i="27"/>
  <c r="H623" i="27"/>
  <c r="I623" i="27"/>
  <c r="M623" i="27"/>
  <c r="N623" i="27"/>
  <c r="O623" i="27"/>
  <c r="F624" i="27"/>
  <c r="G624" i="27"/>
  <c r="H624" i="27"/>
  <c r="I624" i="27"/>
  <c r="M624" i="27"/>
  <c r="N624" i="27"/>
  <c r="O624" i="27"/>
  <c r="F625" i="27"/>
  <c r="G625" i="27"/>
  <c r="H625" i="27"/>
  <c r="I625" i="27"/>
  <c r="M625" i="27"/>
  <c r="N625" i="27"/>
  <c r="O625" i="27"/>
  <c r="F626" i="27"/>
  <c r="G626" i="27"/>
  <c r="H626" i="27"/>
  <c r="I626" i="27"/>
  <c r="M626" i="27"/>
  <c r="N626" i="27"/>
  <c r="O626" i="27"/>
  <c r="F627" i="27"/>
  <c r="G627" i="27"/>
  <c r="H627" i="27"/>
  <c r="I627" i="27"/>
  <c r="M627" i="27"/>
  <c r="N627" i="27"/>
  <c r="O627" i="27"/>
  <c r="F628" i="27"/>
  <c r="G628" i="27"/>
  <c r="H628" i="27"/>
  <c r="I628" i="27"/>
  <c r="M628" i="27"/>
  <c r="N628" i="27"/>
  <c r="O628" i="27"/>
  <c r="F629" i="27"/>
  <c r="G629" i="27"/>
  <c r="H629" i="27"/>
  <c r="I629" i="27"/>
  <c r="M629" i="27"/>
  <c r="N629" i="27"/>
  <c r="O629" i="27"/>
  <c r="F630" i="27"/>
  <c r="G630" i="27"/>
  <c r="H630" i="27"/>
  <c r="I630" i="27"/>
  <c r="M630" i="27"/>
  <c r="N630" i="27"/>
  <c r="O630" i="27"/>
  <c r="F631" i="27"/>
  <c r="G631" i="27"/>
  <c r="H631" i="27"/>
  <c r="I631" i="27"/>
  <c r="M631" i="27"/>
  <c r="N631" i="27"/>
  <c r="O631" i="27"/>
  <c r="F632" i="27"/>
  <c r="G632" i="27"/>
  <c r="H632" i="27"/>
  <c r="I632" i="27"/>
  <c r="M632" i="27"/>
  <c r="N632" i="27"/>
  <c r="O632" i="27"/>
  <c r="F633" i="27"/>
  <c r="G633" i="27"/>
  <c r="H633" i="27"/>
  <c r="I633" i="27"/>
  <c r="M633" i="27"/>
  <c r="N633" i="27"/>
  <c r="O633" i="27"/>
  <c r="F634" i="27"/>
  <c r="G634" i="27"/>
  <c r="H634" i="27"/>
  <c r="I634" i="27"/>
  <c r="M634" i="27"/>
  <c r="N634" i="27"/>
  <c r="O634" i="27"/>
  <c r="F635" i="27"/>
  <c r="G635" i="27"/>
  <c r="H635" i="27"/>
  <c r="I635" i="27"/>
  <c r="M635" i="27"/>
  <c r="N635" i="27"/>
  <c r="O635" i="27"/>
  <c r="F636" i="27"/>
  <c r="G636" i="27"/>
  <c r="H636" i="27"/>
  <c r="I636" i="27"/>
  <c r="M636" i="27"/>
  <c r="N636" i="27"/>
  <c r="O636" i="27"/>
  <c r="F637" i="27"/>
  <c r="G637" i="27"/>
  <c r="H637" i="27"/>
  <c r="I637" i="27"/>
  <c r="M637" i="27"/>
  <c r="N637" i="27"/>
  <c r="O637" i="27"/>
  <c r="F638" i="27"/>
  <c r="G638" i="27"/>
  <c r="H638" i="27"/>
  <c r="I638" i="27"/>
  <c r="M638" i="27"/>
  <c r="N638" i="27"/>
  <c r="O638" i="27"/>
  <c r="F639" i="27"/>
  <c r="G639" i="27"/>
  <c r="H639" i="27"/>
  <c r="I639" i="27"/>
  <c r="M639" i="27"/>
  <c r="N639" i="27"/>
  <c r="O639" i="27"/>
  <c r="F640" i="27"/>
  <c r="G640" i="27"/>
  <c r="H640" i="27"/>
  <c r="I640" i="27"/>
  <c r="M640" i="27"/>
  <c r="N640" i="27"/>
  <c r="O640" i="27"/>
  <c r="F641" i="27"/>
  <c r="G641" i="27"/>
  <c r="H641" i="27"/>
  <c r="I641" i="27"/>
  <c r="M641" i="27"/>
  <c r="N641" i="27"/>
  <c r="O641" i="27"/>
  <c r="F642" i="27"/>
  <c r="G642" i="27"/>
  <c r="H642" i="27"/>
  <c r="I642" i="27"/>
  <c r="M642" i="27"/>
  <c r="N642" i="27"/>
  <c r="O642" i="27"/>
  <c r="F643" i="27"/>
  <c r="G643" i="27"/>
  <c r="H643" i="27"/>
  <c r="I643" i="27"/>
  <c r="M643" i="27"/>
  <c r="N643" i="27"/>
  <c r="O643" i="27"/>
  <c r="F644" i="27"/>
  <c r="G644" i="27"/>
  <c r="H644" i="27"/>
  <c r="I644" i="27"/>
  <c r="M644" i="27"/>
  <c r="N644" i="27"/>
  <c r="O644" i="27"/>
  <c r="F645" i="27"/>
  <c r="G645" i="27"/>
  <c r="H645" i="27"/>
  <c r="I645" i="27"/>
  <c r="M645" i="27"/>
  <c r="N645" i="27"/>
  <c r="O645" i="27"/>
  <c r="F646" i="27"/>
  <c r="G646" i="27"/>
  <c r="H646" i="27"/>
  <c r="I646" i="27"/>
  <c r="M646" i="27"/>
  <c r="N646" i="27"/>
  <c r="O646" i="27"/>
  <c r="F647" i="27"/>
  <c r="G647" i="27"/>
  <c r="H647" i="27"/>
  <c r="I647" i="27"/>
  <c r="M647" i="27"/>
  <c r="N647" i="27"/>
  <c r="O647" i="27"/>
  <c r="F648" i="27"/>
  <c r="G648" i="27"/>
  <c r="H648" i="27"/>
  <c r="I648" i="27"/>
  <c r="M648" i="27"/>
  <c r="N648" i="27"/>
  <c r="O648" i="27"/>
  <c r="F649" i="27"/>
  <c r="G649" i="27"/>
  <c r="H649" i="27"/>
  <c r="I649" i="27"/>
  <c r="M649" i="27"/>
  <c r="N649" i="27"/>
  <c r="O649" i="27"/>
  <c r="F650" i="27"/>
  <c r="G650" i="27"/>
  <c r="H650" i="27"/>
  <c r="I650" i="27"/>
  <c r="M650" i="27"/>
  <c r="N650" i="27"/>
  <c r="O650" i="27"/>
  <c r="F651" i="27"/>
  <c r="G651" i="27"/>
  <c r="H651" i="27"/>
  <c r="I651" i="27"/>
  <c r="M651" i="27"/>
  <c r="N651" i="27"/>
  <c r="O651" i="27"/>
  <c r="F652" i="27"/>
  <c r="G652" i="27"/>
  <c r="H652" i="27"/>
  <c r="I652" i="27"/>
  <c r="M652" i="27"/>
  <c r="N652" i="27"/>
  <c r="O652" i="27"/>
  <c r="F653" i="27"/>
  <c r="G653" i="27"/>
  <c r="H653" i="27"/>
  <c r="I653" i="27"/>
  <c r="M653" i="27"/>
  <c r="N653" i="27"/>
  <c r="O653" i="27"/>
  <c r="F654" i="27"/>
  <c r="G654" i="27"/>
  <c r="H654" i="27"/>
  <c r="I654" i="27"/>
  <c r="M654" i="27"/>
  <c r="N654" i="27"/>
  <c r="O654" i="27"/>
  <c r="F655" i="27"/>
  <c r="G655" i="27"/>
  <c r="H655" i="27"/>
  <c r="I655" i="27"/>
  <c r="M655" i="27"/>
  <c r="N655" i="27"/>
  <c r="O655" i="27"/>
  <c r="F656" i="27"/>
  <c r="G656" i="27"/>
  <c r="H656" i="27"/>
  <c r="I656" i="27"/>
  <c r="M656" i="27"/>
  <c r="N656" i="27"/>
  <c r="O656" i="27"/>
  <c r="F657" i="27"/>
  <c r="G657" i="27"/>
  <c r="H657" i="27"/>
  <c r="I657" i="27"/>
  <c r="M657" i="27"/>
  <c r="N657" i="27"/>
  <c r="O657" i="27"/>
  <c r="F658" i="27"/>
  <c r="G658" i="27"/>
  <c r="H658" i="27"/>
  <c r="I658" i="27"/>
  <c r="M658" i="27"/>
  <c r="N658" i="27"/>
  <c r="O658" i="27"/>
  <c r="F659" i="27"/>
  <c r="G659" i="27"/>
  <c r="H659" i="27"/>
  <c r="I659" i="27"/>
  <c r="M659" i="27"/>
  <c r="N659" i="27"/>
  <c r="O659" i="27"/>
  <c r="F660" i="27"/>
  <c r="G660" i="27"/>
  <c r="H660" i="27"/>
  <c r="I660" i="27"/>
  <c r="M660" i="27"/>
  <c r="N660" i="27"/>
  <c r="O660" i="27"/>
  <c r="F661" i="27"/>
  <c r="G661" i="27"/>
  <c r="H661" i="27"/>
  <c r="I661" i="27"/>
  <c r="M661" i="27"/>
  <c r="N661" i="27"/>
  <c r="O661" i="27"/>
  <c r="F662" i="27"/>
  <c r="G662" i="27"/>
  <c r="H662" i="27"/>
  <c r="I662" i="27"/>
  <c r="M662" i="27"/>
  <c r="N662" i="27"/>
  <c r="O662" i="27"/>
  <c r="F663" i="27"/>
  <c r="G663" i="27"/>
  <c r="H663" i="27"/>
  <c r="I663" i="27"/>
  <c r="M663" i="27"/>
  <c r="N663" i="27"/>
  <c r="O663" i="27"/>
  <c r="F664" i="27"/>
  <c r="G664" i="27"/>
  <c r="H664" i="27"/>
  <c r="I664" i="27"/>
  <c r="M664" i="27"/>
  <c r="N664" i="27"/>
  <c r="O664" i="27"/>
  <c r="F665" i="27"/>
  <c r="G665" i="27"/>
  <c r="H665" i="27"/>
  <c r="I665" i="27"/>
  <c r="M665" i="27"/>
  <c r="N665" i="27"/>
  <c r="O665" i="27"/>
  <c r="F666" i="27"/>
  <c r="G666" i="27"/>
  <c r="H666" i="27"/>
  <c r="I666" i="27"/>
  <c r="M666" i="27"/>
  <c r="N666" i="27"/>
  <c r="O666" i="27"/>
  <c r="F667" i="27"/>
  <c r="G667" i="27"/>
  <c r="H667" i="27"/>
  <c r="I667" i="27"/>
  <c r="M667" i="27"/>
  <c r="N667" i="27"/>
  <c r="O667" i="27"/>
  <c r="F668" i="27"/>
  <c r="G668" i="27"/>
  <c r="H668" i="27"/>
  <c r="I668" i="27"/>
  <c r="M668" i="27"/>
  <c r="N668" i="27"/>
  <c r="O668" i="27"/>
  <c r="F669" i="27"/>
  <c r="G669" i="27"/>
  <c r="H669" i="27"/>
  <c r="I669" i="27"/>
  <c r="M669" i="27"/>
  <c r="N669" i="27"/>
  <c r="O669" i="27"/>
  <c r="F670" i="27"/>
  <c r="G670" i="27"/>
  <c r="H670" i="27"/>
  <c r="I670" i="27"/>
  <c r="M670" i="27"/>
  <c r="N670" i="27"/>
  <c r="O670" i="27"/>
  <c r="F671" i="27"/>
  <c r="G671" i="27"/>
  <c r="H671" i="27"/>
  <c r="I671" i="27"/>
  <c r="M671" i="27"/>
  <c r="N671" i="27"/>
  <c r="O671" i="27"/>
  <c r="F672" i="27"/>
  <c r="G672" i="27"/>
  <c r="H672" i="27"/>
  <c r="I672" i="27"/>
  <c r="M672" i="27"/>
  <c r="N672" i="27"/>
  <c r="O672" i="27"/>
  <c r="F673" i="27"/>
  <c r="G673" i="27"/>
  <c r="H673" i="27"/>
  <c r="I673" i="27"/>
  <c r="M673" i="27"/>
  <c r="N673" i="27"/>
  <c r="O673" i="27"/>
  <c r="F674" i="27"/>
  <c r="G674" i="27"/>
  <c r="H674" i="27"/>
  <c r="I674" i="27"/>
  <c r="M674" i="27"/>
  <c r="N674" i="27"/>
  <c r="O674" i="27"/>
  <c r="F675" i="27"/>
  <c r="G675" i="27"/>
  <c r="H675" i="27"/>
  <c r="I675" i="27"/>
  <c r="M675" i="27"/>
  <c r="N675" i="27"/>
  <c r="O675" i="27"/>
  <c r="F676" i="27"/>
  <c r="G676" i="27"/>
  <c r="H676" i="27"/>
  <c r="I676" i="27"/>
  <c r="M676" i="27"/>
  <c r="N676" i="27"/>
  <c r="O676" i="27"/>
  <c r="F677" i="27"/>
  <c r="G677" i="27"/>
  <c r="H677" i="27"/>
  <c r="I677" i="27"/>
  <c r="M677" i="27"/>
  <c r="N677" i="27"/>
  <c r="O677" i="27"/>
  <c r="F678" i="27"/>
  <c r="G678" i="27"/>
  <c r="H678" i="27"/>
  <c r="I678" i="27"/>
  <c r="M678" i="27"/>
  <c r="N678" i="27"/>
  <c r="O678" i="27"/>
  <c r="F679" i="27"/>
  <c r="G679" i="27"/>
  <c r="H679" i="27"/>
  <c r="I679" i="27"/>
  <c r="M679" i="27"/>
  <c r="N679" i="27"/>
  <c r="O679" i="27"/>
  <c r="F680" i="27"/>
  <c r="G680" i="27"/>
  <c r="H680" i="27"/>
  <c r="I680" i="27"/>
  <c r="M680" i="27"/>
  <c r="N680" i="27"/>
  <c r="O680" i="27"/>
  <c r="F681" i="27"/>
  <c r="G681" i="27"/>
  <c r="H681" i="27"/>
  <c r="I681" i="27"/>
  <c r="M681" i="27"/>
  <c r="N681" i="27"/>
  <c r="O681" i="27"/>
  <c r="F682" i="27"/>
  <c r="G682" i="27"/>
  <c r="H682" i="27"/>
  <c r="I682" i="27"/>
  <c r="M682" i="27"/>
  <c r="N682" i="27"/>
  <c r="O682" i="27"/>
  <c r="F683" i="27"/>
  <c r="G683" i="27"/>
  <c r="H683" i="27"/>
  <c r="I683" i="27"/>
  <c r="M683" i="27"/>
  <c r="N683" i="27"/>
  <c r="O683" i="27"/>
  <c r="F684" i="27"/>
  <c r="G684" i="27"/>
  <c r="H684" i="27"/>
  <c r="I684" i="27"/>
  <c r="M684" i="27"/>
  <c r="N684" i="27"/>
  <c r="O684" i="27"/>
  <c r="F685" i="27"/>
  <c r="G685" i="27"/>
  <c r="H685" i="27"/>
  <c r="I685" i="27"/>
  <c r="M685" i="27"/>
  <c r="N685" i="27"/>
  <c r="O685" i="27"/>
  <c r="F686" i="27"/>
  <c r="G686" i="27"/>
  <c r="H686" i="27"/>
  <c r="I686" i="27"/>
  <c r="M686" i="27"/>
  <c r="N686" i="27"/>
  <c r="O686" i="27"/>
  <c r="F687" i="27"/>
  <c r="G687" i="27"/>
  <c r="H687" i="27"/>
  <c r="I687" i="27"/>
  <c r="M687" i="27"/>
  <c r="N687" i="27"/>
  <c r="O687" i="27"/>
  <c r="F688" i="27"/>
  <c r="G688" i="27"/>
  <c r="H688" i="27"/>
  <c r="I688" i="27"/>
  <c r="M688" i="27"/>
  <c r="N688" i="27"/>
  <c r="O688" i="27"/>
  <c r="F689" i="27"/>
  <c r="G689" i="27"/>
  <c r="H689" i="27"/>
  <c r="I689" i="27"/>
  <c r="M689" i="27"/>
  <c r="N689" i="27"/>
  <c r="O689" i="27"/>
  <c r="F690" i="27"/>
  <c r="G690" i="27"/>
  <c r="H690" i="27"/>
  <c r="I690" i="27"/>
  <c r="M690" i="27"/>
  <c r="N690" i="27"/>
  <c r="O690" i="27"/>
  <c r="F691" i="27"/>
  <c r="G691" i="27"/>
  <c r="H691" i="27"/>
  <c r="I691" i="27"/>
  <c r="M691" i="27"/>
  <c r="N691" i="27"/>
  <c r="O691" i="27"/>
  <c r="F692" i="27"/>
  <c r="G692" i="27"/>
  <c r="H692" i="27"/>
  <c r="I692" i="27"/>
  <c r="M692" i="27"/>
  <c r="N692" i="27"/>
  <c r="O692" i="27"/>
  <c r="F693" i="27"/>
  <c r="G693" i="27"/>
  <c r="H693" i="27"/>
  <c r="I693" i="27"/>
  <c r="M693" i="27"/>
  <c r="N693" i="27"/>
  <c r="O693" i="27"/>
  <c r="F694" i="27"/>
  <c r="G694" i="27"/>
  <c r="H694" i="27"/>
  <c r="I694" i="27"/>
  <c r="M694" i="27"/>
  <c r="N694" i="27"/>
  <c r="O694" i="27"/>
  <c r="F695" i="27"/>
  <c r="G695" i="27"/>
  <c r="H695" i="27"/>
  <c r="I695" i="27"/>
  <c r="M695" i="27"/>
  <c r="N695" i="27"/>
  <c r="O695" i="27"/>
  <c r="F696" i="27"/>
  <c r="G696" i="27"/>
  <c r="H696" i="27"/>
  <c r="I696" i="27"/>
  <c r="M696" i="27"/>
  <c r="N696" i="27"/>
  <c r="O696" i="27"/>
  <c r="F697" i="27"/>
  <c r="G697" i="27"/>
  <c r="H697" i="27"/>
  <c r="I697" i="27"/>
  <c r="M697" i="27"/>
  <c r="N697" i="27"/>
  <c r="O697" i="27"/>
  <c r="F698" i="27"/>
  <c r="G698" i="27"/>
  <c r="H698" i="27"/>
  <c r="I698" i="27"/>
  <c r="M698" i="27"/>
  <c r="N698" i="27"/>
  <c r="O698" i="27"/>
  <c r="F699" i="27"/>
  <c r="G699" i="27"/>
  <c r="H699" i="27"/>
  <c r="I699" i="27"/>
  <c r="M699" i="27"/>
  <c r="N699" i="27"/>
  <c r="O699" i="27"/>
  <c r="F700" i="27"/>
  <c r="G700" i="27"/>
  <c r="H700" i="27"/>
  <c r="I700" i="27"/>
  <c r="M700" i="27"/>
  <c r="N700" i="27"/>
  <c r="O700" i="27"/>
  <c r="F701" i="27"/>
  <c r="G701" i="27"/>
  <c r="H701" i="27"/>
  <c r="I701" i="27"/>
  <c r="M701" i="27"/>
  <c r="N701" i="27"/>
  <c r="O701" i="27"/>
  <c r="F702" i="27"/>
  <c r="G702" i="27"/>
  <c r="H702" i="27"/>
  <c r="I702" i="27"/>
  <c r="M702" i="27"/>
  <c r="N702" i="27"/>
  <c r="O702" i="27"/>
  <c r="F703" i="27"/>
  <c r="G703" i="27"/>
  <c r="H703" i="27"/>
  <c r="I703" i="27"/>
  <c r="M703" i="27"/>
  <c r="N703" i="27"/>
  <c r="O703" i="27"/>
  <c r="F704" i="27"/>
  <c r="G704" i="27"/>
  <c r="H704" i="27"/>
  <c r="I704" i="27"/>
  <c r="M704" i="27"/>
  <c r="N704" i="27"/>
  <c r="O704" i="27"/>
  <c r="F705" i="27"/>
  <c r="G705" i="27"/>
  <c r="H705" i="27"/>
  <c r="I705" i="27"/>
  <c r="M705" i="27"/>
  <c r="N705" i="27"/>
  <c r="O705" i="27"/>
  <c r="F706" i="27"/>
  <c r="G706" i="27"/>
  <c r="H706" i="27"/>
  <c r="I706" i="27"/>
  <c r="M706" i="27"/>
  <c r="N706" i="27"/>
  <c r="O706" i="27"/>
  <c r="F707" i="27"/>
  <c r="G707" i="27"/>
  <c r="H707" i="27"/>
  <c r="I707" i="27"/>
  <c r="M707" i="27"/>
  <c r="N707" i="27"/>
  <c r="O707" i="27"/>
  <c r="F708" i="27"/>
  <c r="G708" i="27"/>
  <c r="H708" i="27"/>
  <c r="I708" i="27"/>
  <c r="M708" i="27"/>
  <c r="N708" i="27"/>
  <c r="O708" i="27"/>
  <c r="F709" i="27"/>
  <c r="G709" i="27"/>
  <c r="H709" i="27"/>
  <c r="I709" i="27"/>
  <c r="M709" i="27"/>
  <c r="N709" i="27"/>
  <c r="O709" i="27"/>
  <c r="F710" i="27"/>
  <c r="G710" i="27"/>
  <c r="H710" i="27"/>
  <c r="I710" i="27"/>
  <c r="M710" i="27"/>
  <c r="N710" i="27"/>
  <c r="O710" i="27"/>
  <c r="F711" i="27"/>
  <c r="G711" i="27"/>
  <c r="H711" i="27"/>
  <c r="I711" i="27"/>
  <c r="M711" i="27"/>
  <c r="N711" i="27"/>
  <c r="O711" i="27"/>
  <c r="F712" i="27"/>
  <c r="G712" i="27"/>
  <c r="H712" i="27"/>
  <c r="I712" i="27"/>
  <c r="M712" i="27"/>
  <c r="N712" i="27"/>
  <c r="O712" i="27"/>
  <c r="F713" i="27"/>
  <c r="G713" i="27"/>
  <c r="H713" i="27"/>
  <c r="I713" i="27"/>
  <c r="M713" i="27"/>
  <c r="N713" i="27"/>
  <c r="O713" i="27"/>
  <c r="F714" i="27"/>
  <c r="G714" i="27"/>
  <c r="H714" i="27"/>
  <c r="I714" i="27"/>
  <c r="M714" i="27"/>
  <c r="N714" i="27"/>
  <c r="O714" i="27"/>
  <c r="F715" i="27"/>
  <c r="G715" i="27"/>
  <c r="H715" i="27"/>
  <c r="I715" i="27"/>
  <c r="M715" i="27"/>
  <c r="N715" i="27"/>
  <c r="O715" i="27"/>
  <c r="F716" i="27"/>
  <c r="G716" i="27"/>
  <c r="H716" i="27"/>
  <c r="I716" i="27"/>
  <c r="M716" i="27"/>
  <c r="N716" i="27"/>
  <c r="O716" i="27"/>
  <c r="F717" i="27"/>
  <c r="G717" i="27"/>
  <c r="H717" i="27"/>
  <c r="I717" i="27"/>
  <c r="M717" i="27"/>
  <c r="N717" i="27"/>
  <c r="O717" i="27"/>
  <c r="F718" i="27"/>
  <c r="G718" i="27"/>
  <c r="H718" i="27"/>
  <c r="I718" i="27"/>
  <c r="M718" i="27"/>
  <c r="N718" i="27"/>
  <c r="O718" i="27"/>
  <c r="F719" i="27"/>
  <c r="G719" i="27"/>
  <c r="H719" i="27"/>
  <c r="I719" i="27"/>
  <c r="M719" i="27"/>
  <c r="N719" i="27"/>
  <c r="O719" i="27"/>
  <c r="F720" i="27"/>
  <c r="G720" i="27"/>
  <c r="H720" i="27"/>
  <c r="I720" i="27"/>
  <c r="M720" i="27"/>
  <c r="N720" i="27"/>
  <c r="O720" i="27"/>
  <c r="F721" i="27"/>
  <c r="G721" i="27"/>
  <c r="H721" i="27"/>
  <c r="I721" i="27"/>
  <c r="M721" i="27"/>
  <c r="N721" i="27"/>
  <c r="O721" i="27"/>
  <c r="F722" i="27"/>
  <c r="G722" i="27"/>
  <c r="H722" i="27"/>
  <c r="I722" i="27"/>
  <c r="M722" i="27"/>
  <c r="N722" i="27"/>
  <c r="O722" i="27"/>
  <c r="F723" i="27"/>
  <c r="G723" i="27"/>
  <c r="H723" i="27"/>
  <c r="I723" i="27"/>
  <c r="M723" i="27"/>
  <c r="N723" i="27"/>
  <c r="O723" i="27"/>
  <c r="F724" i="27"/>
  <c r="G724" i="27"/>
  <c r="H724" i="27"/>
  <c r="I724" i="27"/>
  <c r="M724" i="27"/>
  <c r="N724" i="27"/>
  <c r="O724" i="27"/>
  <c r="F725" i="27"/>
  <c r="G725" i="27"/>
  <c r="H725" i="27"/>
  <c r="I725" i="27"/>
  <c r="M725" i="27"/>
  <c r="N725" i="27"/>
  <c r="O725" i="27"/>
  <c r="F726" i="27"/>
  <c r="G726" i="27"/>
  <c r="H726" i="27"/>
  <c r="I726" i="27"/>
  <c r="M726" i="27"/>
  <c r="N726" i="27"/>
  <c r="O726" i="27"/>
  <c r="F727" i="27"/>
  <c r="G727" i="27"/>
  <c r="H727" i="27"/>
  <c r="I727" i="27"/>
  <c r="M727" i="27"/>
  <c r="N727" i="27"/>
  <c r="O727" i="27"/>
  <c r="F728" i="27"/>
  <c r="G728" i="27"/>
  <c r="H728" i="27"/>
  <c r="I728" i="27"/>
  <c r="M728" i="27"/>
  <c r="N728" i="27"/>
  <c r="O728" i="27"/>
  <c r="F729" i="27"/>
  <c r="G729" i="27"/>
  <c r="H729" i="27"/>
  <c r="I729" i="27"/>
  <c r="M729" i="27"/>
  <c r="N729" i="27"/>
  <c r="O729" i="27"/>
  <c r="F730" i="27"/>
  <c r="G730" i="27"/>
  <c r="H730" i="27"/>
  <c r="I730" i="27"/>
  <c r="M730" i="27"/>
  <c r="N730" i="27"/>
  <c r="O730" i="27"/>
  <c r="F731" i="27"/>
  <c r="G731" i="27"/>
  <c r="H731" i="27"/>
  <c r="I731" i="27"/>
  <c r="M731" i="27"/>
  <c r="N731" i="27"/>
  <c r="O731" i="27"/>
  <c r="F732" i="27"/>
  <c r="G732" i="27"/>
  <c r="H732" i="27"/>
  <c r="I732" i="27"/>
  <c r="M732" i="27"/>
  <c r="N732" i="27"/>
  <c r="O732" i="27"/>
  <c r="F733" i="27"/>
  <c r="G733" i="27"/>
  <c r="H733" i="27"/>
  <c r="I733" i="27"/>
  <c r="M733" i="27"/>
  <c r="N733" i="27"/>
  <c r="O733" i="27"/>
  <c r="F734" i="27"/>
  <c r="G734" i="27"/>
  <c r="H734" i="27"/>
  <c r="I734" i="27"/>
  <c r="M734" i="27"/>
  <c r="N734" i="27"/>
  <c r="O734" i="27"/>
  <c r="F735" i="27"/>
  <c r="G735" i="27"/>
  <c r="H735" i="27"/>
  <c r="I735" i="27"/>
  <c r="M735" i="27"/>
  <c r="N735" i="27"/>
  <c r="O735" i="27"/>
  <c r="F736" i="27"/>
  <c r="G736" i="27"/>
  <c r="H736" i="27"/>
  <c r="I736" i="27"/>
  <c r="M736" i="27"/>
  <c r="N736" i="27"/>
  <c r="O736" i="27"/>
  <c r="F737" i="27"/>
  <c r="G737" i="27"/>
  <c r="H737" i="27"/>
  <c r="I737" i="27"/>
  <c r="M737" i="27"/>
  <c r="N737" i="27"/>
  <c r="O737" i="27"/>
  <c r="F738" i="27"/>
  <c r="G738" i="27"/>
  <c r="H738" i="27"/>
  <c r="I738" i="27"/>
  <c r="M738" i="27"/>
  <c r="N738" i="27"/>
  <c r="O738" i="27"/>
  <c r="F739" i="27"/>
  <c r="G739" i="27"/>
  <c r="H739" i="27"/>
  <c r="I739" i="27"/>
  <c r="M739" i="27"/>
  <c r="N739" i="27"/>
  <c r="O739" i="27"/>
  <c r="F740" i="27"/>
  <c r="G740" i="27"/>
  <c r="H740" i="27"/>
  <c r="I740" i="27"/>
  <c r="M740" i="27"/>
  <c r="N740" i="27"/>
  <c r="O740" i="27"/>
  <c r="F741" i="27"/>
  <c r="G741" i="27"/>
  <c r="H741" i="27"/>
  <c r="I741" i="27"/>
  <c r="M741" i="27"/>
  <c r="N741" i="27"/>
  <c r="O741" i="27"/>
  <c r="F742" i="27"/>
  <c r="G742" i="27"/>
  <c r="H742" i="27"/>
  <c r="I742" i="27"/>
  <c r="M742" i="27"/>
  <c r="N742" i="27"/>
  <c r="O742" i="27"/>
  <c r="F743" i="27"/>
  <c r="G743" i="27"/>
  <c r="H743" i="27"/>
  <c r="I743" i="27"/>
  <c r="M743" i="27"/>
  <c r="N743" i="27"/>
  <c r="O743" i="27"/>
  <c r="F744" i="27"/>
  <c r="G744" i="27"/>
  <c r="H744" i="27"/>
  <c r="I744" i="27"/>
  <c r="M744" i="27"/>
  <c r="N744" i="27"/>
  <c r="O744" i="27"/>
  <c r="F745" i="27"/>
  <c r="G745" i="27"/>
  <c r="H745" i="27"/>
  <c r="I745" i="27"/>
  <c r="M745" i="27"/>
  <c r="N745" i="27"/>
  <c r="O745" i="27"/>
  <c r="F746" i="27"/>
  <c r="G746" i="27"/>
  <c r="H746" i="27"/>
  <c r="I746" i="27"/>
  <c r="M746" i="27"/>
  <c r="N746" i="27"/>
  <c r="O746" i="27"/>
  <c r="F747" i="27"/>
  <c r="G747" i="27"/>
  <c r="H747" i="27"/>
  <c r="I747" i="27"/>
  <c r="M747" i="27"/>
  <c r="N747" i="27"/>
  <c r="O747" i="27"/>
  <c r="F748" i="27"/>
  <c r="G748" i="27"/>
  <c r="H748" i="27"/>
  <c r="I748" i="27"/>
  <c r="M748" i="27"/>
  <c r="N748" i="27"/>
  <c r="O748" i="27"/>
  <c r="F749" i="27"/>
  <c r="G749" i="27"/>
  <c r="H749" i="27"/>
  <c r="I749" i="27"/>
  <c r="M749" i="27"/>
  <c r="N749" i="27"/>
  <c r="O749" i="27"/>
  <c r="F750" i="27"/>
  <c r="G750" i="27"/>
  <c r="H750" i="27"/>
  <c r="I750" i="27"/>
  <c r="M750" i="27"/>
  <c r="N750" i="27"/>
  <c r="O750" i="27"/>
  <c r="F751" i="27"/>
  <c r="G751" i="27"/>
  <c r="H751" i="27"/>
  <c r="I751" i="27"/>
  <c r="M751" i="27"/>
  <c r="N751" i="27"/>
  <c r="O751" i="27"/>
  <c r="F752" i="27"/>
  <c r="G752" i="27"/>
  <c r="H752" i="27"/>
  <c r="I752" i="27"/>
  <c r="M752" i="27"/>
  <c r="N752" i="27"/>
  <c r="O752" i="27"/>
  <c r="F753" i="27"/>
  <c r="G753" i="27"/>
  <c r="H753" i="27"/>
  <c r="I753" i="27"/>
  <c r="M753" i="27"/>
  <c r="N753" i="27"/>
  <c r="O753" i="27"/>
  <c r="F754" i="27"/>
  <c r="G754" i="27"/>
  <c r="H754" i="27"/>
  <c r="I754" i="27"/>
  <c r="M754" i="27"/>
  <c r="N754" i="27"/>
  <c r="O754" i="27"/>
  <c r="F755" i="27"/>
  <c r="G755" i="27"/>
  <c r="H755" i="27"/>
  <c r="I755" i="27"/>
  <c r="M755" i="27"/>
  <c r="N755" i="27"/>
  <c r="O755" i="27"/>
  <c r="F756" i="27"/>
  <c r="G756" i="27"/>
  <c r="H756" i="27"/>
  <c r="I756" i="27"/>
  <c r="M756" i="27"/>
  <c r="N756" i="27"/>
  <c r="O756" i="27"/>
  <c r="F757" i="27"/>
  <c r="G757" i="27"/>
  <c r="H757" i="27"/>
  <c r="I757" i="27"/>
  <c r="M757" i="27"/>
  <c r="N757" i="27"/>
  <c r="O757" i="27"/>
  <c r="F758" i="27"/>
  <c r="G758" i="27"/>
  <c r="H758" i="27"/>
  <c r="I758" i="27"/>
  <c r="M758" i="27"/>
  <c r="N758" i="27"/>
  <c r="O758" i="27"/>
  <c r="F759" i="27"/>
  <c r="G759" i="27"/>
  <c r="H759" i="27"/>
  <c r="I759" i="27"/>
  <c r="M759" i="27"/>
  <c r="N759" i="27"/>
  <c r="O759" i="27"/>
  <c r="F760" i="27"/>
  <c r="G760" i="27"/>
  <c r="H760" i="27"/>
  <c r="I760" i="27"/>
  <c r="M760" i="27"/>
  <c r="N760" i="27"/>
  <c r="O760" i="27"/>
  <c r="F761" i="27"/>
  <c r="G761" i="27"/>
  <c r="H761" i="27"/>
  <c r="I761" i="27"/>
  <c r="M761" i="27"/>
  <c r="N761" i="27"/>
  <c r="O761" i="27"/>
  <c r="F762" i="27"/>
  <c r="G762" i="27"/>
  <c r="H762" i="27"/>
  <c r="I762" i="27"/>
  <c r="M762" i="27"/>
  <c r="N762" i="27"/>
  <c r="O762" i="27"/>
  <c r="F763" i="27"/>
  <c r="G763" i="27"/>
  <c r="H763" i="27"/>
  <c r="I763" i="27"/>
  <c r="M763" i="27"/>
  <c r="N763" i="27"/>
  <c r="O763" i="27"/>
  <c r="F764" i="27"/>
  <c r="G764" i="27"/>
  <c r="H764" i="27"/>
  <c r="I764" i="27"/>
  <c r="M764" i="27"/>
  <c r="N764" i="27"/>
  <c r="O764" i="27"/>
  <c r="F765" i="27"/>
  <c r="G765" i="27"/>
  <c r="H765" i="27"/>
  <c r="I765" i="27"/>
  <c r="M765" i="27"/>
  <c r="N765" i="27"/>
  <c r="O765" i="27"/>
  <c r="F766" i="27"/>
  <c r="G766" i="27"/>
  <c r="H766" i="27"/>
  <c r="I766" i="27"/>
  <c r="M766" i="27"/>
  <c r="N766" i="27"/>
  <c r="O766" i="27"/>
  <c r="F767" i="27"/>
  <c r="G767" i="27"/>
  <c r="H767" i="27"/>
  <c r="I767" i="27"/>
  <c r="M767" i="27"/>
  <c r="N767" i="27"/>
  <c r="O767" i="27"/>
  <c r="F768" i="27"/>
  <c r="G768" i="27"/>
  <c r="H768" i="27"/>
  <c r="I768" i="27"/>
  <c r="M768" i="27"/>
  <c r="N768" i="27"/>
  <c r="O768" i="27"/>
  <c r="F769" i="27"/>
  <c r="G769" i="27"/>
  <c r="H769" i="27"/>
  <c r="I769" i="27"/>
  <c r="M769" i="27"/>
  <c r="N769" i="27"/>
  <c r="O769" i="27"/>
  <c r="F770" i="27"/>
  <c r="G770" i="27"/>
  <c r="H770" i="27"/>
  <c r="I770" i="27"/>
  <c r="M770" i="27"/>
  <c r="N770" i="27"/>
  <c r="O770" i="27"/>
  <c r="F771" i="27"/>
  <c r="G771" i="27"/>
  <c r="H771" i="27"/>
  <c r="I771" i="27"/>
  <c r="M771" i="27"/>
  <c r="N771" i="27"/>
  <c r="O771" i="27"/>
  <c r="F772" i="27"/>
  <c r="G772" i="27"/>
  <c r="H772" i="27"/>
  <c r="I772" i="27"/>
  <c r="M772" i="27"/>
  <c r="N772" i="27"/>
  <c r="O772" i="27"/>
  <c r="F773" i="27"/>
  <c r="G773" i="27"/>
  <c r="H773" i="27"/>
  <c r="I773" i="27"/>
  <c r="M773" i="27"/>
  <c r="N773" i="27"/>
  <c r="O773" i="27"/>
  <c r="F774" i="27"/>
  <c r="G774" i="27"/>
  <c r="H774" i="27"/>
  <c r="I774" i="27"/>
  <c r="M774" i="27"/>
  <c r="N774" i="27"/>
  <c r="O774" i="27"/>
  <c r="F775" i="27"/>
  <c r="G775" i="27"/>
  <c r="H775" i="27"/>
  <c r="I775" i="27"/>
  <c r="M775" i="27"/>
  <c r="N775" i="27"/>
  <c r="O775" i="27"/>
  <c r="F776" i="27"/>
  <c r="G776" i="27"/>
  <c r="H776" i="27"/>
  <c r="I776" i="27"/>
  <c r="M776" i="27"/>
  <c r="N776" i="27"/>
  <c r="O776" i="27"/>
  <c r="F777" i="27"/>
  <c r="G777" i="27"/>
  <c r="H777" i="27"/>
  <c r="I777" i="27"/>
  <c r="M777" i="27"/>
  <c r="N777" i="27"/>
  <c r="O777" i="27"/>
  <c r="F778" i="27"/>
  <c r="G778" i="27"/>
  <c r="H778" i="27"/>
  <c r="I778" i="27"/>
  <c r="M778" i="27"/>
  <c r="N778" i="27"/>
  <c r="O778" i="27"/>
  <c r="F779" i="27"/>
  <c r="G779" i="27"/>
  <c r="H779" i="27"/>
  <c r="I779" i="27"/>
  <c r="M779" i="27"/>
  <c r="N779" i="27"/>
  <c r="O779" i="27"/>
  <c r="F780" i="27"/>
  <c r="G780" i="27"/>
  <c r="H780" i="27"/>
  <c r="I780" i="27"/>
  <c r="M780" i="27"/>
  <c r="N780" i="27"/>
  <c r="O780" i="27"/>
  <c r="F781" i="27"/>
  <c r="G781" i="27"/>
  <c r="H781" i="27"/>
  <c r="I781" i="27"/>
  <c r="M781" i="27"/>
  <c r="N781" i="27"/>
  <c r="O781" i="27"/>
  <c r="F782" i="27"/>
  <c r="G782" i="27"/>
  <c r="H782" i="27"/>
  <c r="I782" i="27"/>
  <c r="M782" i="27"/>
  <c r="N782" i="27"/>
  <c r="O782" i="27"/>
  <c r="F783" i="27"/>
  <c r="G783" i="27"/>
  <c r="H783" i="27"/>
  <c r="I783" i="27"/>
  <c r="M783" i="27"/>
  <c r="N783" i="27"/>
  <c r="O783" i="27"/>
  <c r="F784" i="27"/>
  <c r="G784" i="27"/>
  <c r="H784" i="27"/>
  <c r="I784" i="27"/>
  <c r="M784" i="27"/>
  <c r="N784" i="27"/>
  <c r="O784" i="27"/>
  <c r="F785" i="27"/>
  <c r="G785" i="27"/>
  <c r="H785" i="27"/>
  <c r="I785" i="27"/>
  <c r="M785" i="27"/>
  <c r="N785" i="27"/>
  <c r="O785" i="27"/>
  <c r="F786" i="27"/>
  <c r="G786" i="27"/>
  <c r="H786" i="27"/>
  <c r="I786" i="27"/>
  <c r="M786" i="27"/>
  <c r="N786" i="27"/>
  <c r="O786" i="27"/>
  <c r="F787" i="27"/>
  <c r="G787" i="27"/>
  <c r="H787" i="27"/>
  <c r="I787" i="27"/>
  <c r="M787" i="27"/>
  <c r="N787" i="27"/>
  <c r="O787" i="27"/>
  <c r="F788" i="27"/>
  <c r="G788" i="27"/>
  <c r="H788" i="27"/>
  <c r="I788" i="27"/>
  <c r="M788" i="27"/>
  <c r="N788" i="27"/>
  <c r="O788" i="27"/>
  <c r="F789" i="27"/>
  <c r="G789" i="27"/>
  <c r="H789" i="27"/>
  <c r="I789" i="27"/>
  <c r="M789" i="27"/>
  <c r="N789" i="27"/>
  <c r="O789" i="27"/>
  <c r="F790" i="27"/>
  <c r="G790" i="27"/>
  <c r="H790" i="27"/>
  <c r="I790" i="27"/>
  <c r="M790" i="27"/>
  <c r="N790" i="27"/>
  <c r="O790" i="27"/>
  <c r="F791" i="27"/>
  <c r="G791" i="27"/>
  <c r="H791" i="27"/>
  <c r="I791" i="27"/>
  <c r="M791" i="27"/>
  <c r="N791" i="27"/>
  <c r="O791" i="27"/>
  <c r="F792" i="27"/>
  <c r="G792" i="27"/>
  <c r="H792" i="27"/>
  <c r="I792" i="27"/>
  <c r="M792" i="27"/>
  <c r="N792" i="27"/>
  <c r="O792" i="27"/>
  <c r="F793" i="27"/>
  <c r="G793" i="27"/>
  <c r="H793" i="27"/>
  <c r="I793" i="27"/>
  <c r="M793" i="27"/>
  <c r="N793" i="27"/>
  <c r="O793" i="27"/>
  <c r="F794" i="27"/>
  <c r="G794" i="27"/>
  <c r="H794" i="27"/>
  <c r="I794" i="27"/>
  <c r="M794" i="27"/>
  <c r="N794" i="27"/>
  <c r="O794" i="27"/>
  <c r="F795" i="27"/>
  <c r="G795" i="27"/>
  <c r="H795" i="27"/>
  <c r="I795" i="27"/>
  <c r="M795" i="27"/>
  <c r="N795" i="27"/>
  <c r="O795" i="27"/>
  <c r="F796" i="27"/>
  <c r="G796" i="27"/>
  <c r="H796" i="27"/>
  <c r="I796" i="27"/>
  <c r="M796" i="27"/>
  <c r="N796" i="27"/>
  <c r="O796" i="27"/>
  <c r="F797" i="27"/>
  <c r="G797" i="27"/>
  <c r="H797" i="27"/>
  <c r="I797" i="27"/>
  <c r="M797" i="27"/>
  <c r="N797" i="27"/>
  <c r="O797" i="27"/>
  <c r="F798" i="27"/>
  <c r="G798" i="27"/>
  <c r="H798" i="27"/>
  <c r="I798" i="27"/>
  <c r="M798" i="27"/>
  <c r="N798" i="27"/>
  <c r="O798" i="27"/>
  <c r="F799" i="27"/>
  <c r="G799" i="27"/>
  <c r="H799" i="27"/>
  <c r="I799" i="27"/>
  <c r="M799" i="27"/>
  <c r="N799" i="27"/>
  <c r="O799" i="27"/>
  <c r="F800" i="27"/>
  <c r="G800" i="27"/>
  <c r="H800" i="27"/>
  <c r="I800" i="27"/>
  <c r="M800" i="27"/>
  <c r="N800" i="27"/>
  <c r="O800" i="27"/>
  <c r="F801" i="27"/>
  <c r="G801" i="27"/>
  <c r="H801" i="27"/>
  <c r="I801" i="27"/>
  <c r="M801" i="27"/>
  <c r="N801" i="27"/>
  <c r="O801" i="27"/>
  <c r="F802" i="27"/>
  <c r="G802" i="27"/>
  <c r="H802" i="27"/>
  <c r="I802" i="27"/>
  <c r="M802" i="27"/>
  <c r="N802" i="27"/>
  <c r="O802" i="27"/>
  <c r="F803" i="27"/>
  <c r="G803" i="27"/>
  <c r="H803" i="27"/>
  <c r="I803" i="27"/>
  <c r="M803" i="27"/>
  <c r="N803" i="27"/>
  <c r="O803" i="27"/>
  <c r="F804" i="27"/>
  <c r="G804" i="27"/>
  <c r="H804" i="27"/>
  <c r="I804" i="27"/>
  <c r="M804" i="27"/>
  <c r="N804" i="27"/>
  <c r="O804" i="27"/>
  <c r="F805" i="27"/>
  <c r="G805" i="27"/>
  <c r="H805" i="27"/>
  <c r="I805" i="27"/>
  <c r="M805" i="27"/>
  <c r="N805" i="27"/>
  <c r="O805" i="27"/>
  <c r="F806" i="27"/>
  <c r="G806" i="27"/>
  <c r="H806" i="27"/>
  <c r="I806" i="27"/>
  <c r="M806" i="27"/>
  <c r="N806" i="27"/>
  <c r="O806" i="27"/>
  <c r="F807" i="27"/>
  <c r="G807" i="27"/>
  <c r="H807" i="27"/>
  <c r="I807" i="27"/>
  <c r="M807" i="27"/>
  <c r="N807" i="27"/>
  <c r="O807" i="27"/>
  <c r="F808" i="27"/>
  <c r="G808" i="27"/>
  <c r="H808" i="27"/>
  <c r="I808" i="27"/>
  <c r="M808" i="27"/>
  <c r="N808" i="27"/>
  <c r="O808" i="27"/>
  <c r="F809" i="27"/>
  <c r="G809" i="27"/>
  <c r="H809" i="27"/>
  <c r="I809" i="27"/>
  <c r="M809" i="27"/>
  <c r="N809" i="27"/>
  <c r="O809" i="27"/>
  <c r="F810" i="27"/>
  <c r="G810" i="27"/>
  <c r="H810" i="27"/>
  <c r="I810" i="27"/>
  <c r="M810" i="27"/>
  <c r="N810" i="27"/>
  <c r="O810" i="27"/>
  <c r="F811" i="27"/>
  <c r="G811" i="27"/>
  <c r="H811" i="27"/>
  <c r="I811" i="27"/>
  <c r="M811" i="27"/>
  <c r="N811" i="27"/>
  <c r="O811" i="27"/>
  <c r="F812" i="27"/>
  <c r="G812" i="27"/>
  <c r="H812" i="27"/>
  <c r="I812" i="27"/>
  <c r="M812" i="27"/>
  <c r="N812" i="27"/>
  <c r="O812" i="27"/>
  <c r="F813" i="27"/>
  <c r="G813" i="27"/>
  <c r="H813" i="27"/>
  <c r="I813" i="27"/>
  <c r="M813" i="27"/>
  <c r="N813" i="27"/>
  <c r="O813" i="27"/>
  <c r="F814" i="27"/>
  <c r="G814" i="27"/>
  <c r="H814" i="27"/>
  <c r="I814" i="27"/>
  <c r="M814" i="27"/>
  <c r="N814" i="27"/>
  <c r="O814" i="27"/>
  <c r="F815" i="27"/>
  <c r="G815" i="27"/>
  <c r="H815" i="27"/>
  <c r="I815" i="27"/>
  <c r="M815" i="27"/>
  <c r="N815" i="27"/>
  <c r="O815" i="27"/>
  <c r="F816" i="27"/>
  <c r="G816" i="27"/>
  <c r="H816" i="27"/>
  <c r="I816" i="27"/>
  <c r="M816" i="27"/>
  <c r="N816" i="27"/>
  <c r="O816" i="27"/>
  <c r="F817" i="27"/>
  <c r="G817" i="27"/>
  <c r="H817" i="27"/>
  <c r="I817" i="27"/>
  <c r="M817" i="27"/>
  <c r="N817" i="27"/>
  <c r="O817" i="27"/>
  <c r="F818" i="27"/>
  <c r="G818" i="27"/>
  <c r="H818" i="27"/>
  <c r="I818" i="27"/>
  <c r="M818" i="27"/>
  <c r="N818" i="27"/>
  <c r="O818" i="27"/>
  <c r="F819" i="27"/>
  <c r="G819" i="27"/>
  <c r="H819" i="27"/>
  <c r="I819" i="27"/>
  <c r="M819" i="27"/>
  <c r="N819" i="27"/>
  <c r="O819" i="27"/>
  <c r="F820" i="27"/>
  <c r="G820" i="27"/>
  <c r="H820" i="27"/>
  <c r="I820" i="27"/>
  <c r="M820" i="27"/>
  <c r="N820" i="27"/>
  <c r="O820" i="27"/>
  <c r="F821" i="27"/>
  <c r="G821" i="27"/>
  <c r="H821" i="27"/>
  <c r="I821" i="27"/>
  <c r="M821" i="27"/>
  <c r="N821" i="27"/>
  <c r="O821" i="27"/>
  <c r="G422" i="27"/>
  <c r="H422" i="27"/>
  <c r="I422" i="27"/>
  <c r="M422" i="27"/>
  <c r="N422" i="27"/>
  <c r="O422" i="27"/>
  <c r="F422" i="27"/>
  <c r="F373" i="27"/>
  <c r="G373" i="27"/>
  <c r="H373" i="27"/>
  <c r="I373" i="27"/>
  <c r="M373" i="27"/>
  <c r="N373" i="27"/>
  <c r="O373" i="27"/>
  <c r="F374" i="27"/>
  <c r="G374" i="27"/>
  <c r="H374" i="27"/>
  <c r="I374" i="27"/>
  <c r="M374" i="27"/>
  <c r="N374" i="27"/>
  <c r="O374" i="27"/>
  <c r="F375" i="27"/>
  <c r="G375" i="27"/>
  <c r="H375" i="27"/>
  <c r="I375" i="27"/>
  <c r="M375" i="27"/>
  <c r="N375" i="27"/>
  <c r="O375" i="27"/>
  <c r="F376" i="27"/>
  <c r="G376" i="27"/>
  <c r="H376" i="27"/>
  <c r="I376" i="27"/>
  <c r="M376" i="27"/>
  <c r="N376" i="27"/>
  <c r="O376" i="27"/>
  <c r="F377" i="27"/>
  <c r="G377" i="27"/>
  <c r="H377" i="27"/>
  <c r="I377" i="27"/>
  <c r="M377" i="27"/>
  <c r="N377" i="27"/>
  <c r="O377" i="27"/>
  <c r="F378" i="27"/>
  <c r="G378" i="27"/>
  <c r="H378" i="27"/>
  <c r="I378" i="27"/>
  <c r="M378" i="27"/>
  <c r="N378" i="27"/>
  <c r="O378" i="27"/>
  <c r="F379" i="27"/>
  <c r="G379" i="27"/>
  <c r="H379" i="27"/>
  <c r="I379" i="27"/>
  <c r="M379" i="27"/>
  <c r="N379" i="27"/>
  <c r="O379" i="27"/>
  <c r="F380" i="27"/>
  <c r="G380" i="27"/>
  <c r="H380" i="27"/>
  <c r="I380" i="27"/>
  <c r="M380" i="27"/>
  <c r="N380" i="27"/>
  <c r="O380" i="27"/>
  <c r="F381" i="27"/>
  <c r="G381" i="27"/>
  <c r="H381" i="27"/>
  <c r="I381" i="27"/>
  <c r="M381" i="27"/>
  <c r="N381" i="27"/>
  <c r="O381" i="27"/>
  <c r="F382" i="27"/>
  <c r="G382" i="27"/>
  <c r="H382" i="27"/>
  <c r="I382" i="27"/>
  <c r="M382" i="27"/>
  <c r="N382" i="27"/>
  <c r="O382" i="27"/>
  <c r="F383" i="27"/>
  <c r="G383" i="27"/>
  <c r="H383" i="27"/>
  <c r="I383" i="27"/>
  <c r="M383" i="27"/>
  <c r="N383" i="27"/>
  <c r="O383" i="27"/>
  <c r="F384" i="27"/>
  <c r="G384" i="27"/>
  <c r="H384" i="27"/>
  <c r="I384" i="27"/>
  <c r="M384" i="27"/>
  <c r="N384" i="27"/>
  <c r="O384" i="27"/>
  <c r="F385" i="27"/>
  <c r="G385" i="27"/>
  <c r="H385" i="27"/>
  <c r="I385" i="27"/>
  <c r="M385" i="27"/>
  <c r="N385" i="27"/>
  <c r="O385" i="27"/>
  <c r="F386" i="27"/>
  <c r="G386" i="27"/>
  <c r="H386" i="27"/>
  <c r="I386" i="27"/>
  <c r="M386" i="27"/>
  <c r="N386" i="27"/>
  <c r="O386" i="27"/>
  <c r="F387" i="27"/>
  <c r="G387" i="27"/>
  <c r="H387" i="27"/>
  <c r="I387" i="27"/>
  <c r="M387" i="27"/>
  <c r="N387" i="27"/>
  <c r="O387" i="27"/>
  <c r="F388" i="27"/>
  <c r="G388" i="27"/>
  <c r="H388" i="27"/>
  <c r="I388" i="27"/>
  <c r="M388" i="27"/>
  <c r="N388" i="27"/>
  <c r="O388" i="27"/>
  <c r="F389" i="27"/>
  <c r="G389" i="27"/>
  <c r="H389" i="27"/>
  <c r="I389" i="27"/>
  <c r="M389" i="27"/>
  <c r="N389" i="27"/>
  <c r="O389" i="27"/>
  <c r="F390" i="27"/>
  <c r="G390" i="27"/>
  <c r="H390" i="27"/>
  <c r="I390" i="27"/>
  <c r="M390" i="27"/>
  <c r="N390" i="27"/>
  <c r="O390" i="27"/>
  <c r="F391" i="27"/>
  <c r="G391" i="27"/>
  <c r="H391" i="27"/>
  <c r="I391" i="27"/>
  <c r="M391" i="27"/>
  <c r="N391" i="27"/>
  <c r="O391" i="27"/>
  <c r="F392" i="27"/>
  <c r="G392" i="27"/>
  <c r="H392" i="27"/>
  <c r="I392" i="27"/>
  <c r="M392" i="27"/>
  <c r="N392" i="27"/>
  <c r="O392" i="27"/>
  <c r="F393" i="27"/>
  <c r="G393" i="27"/>
  <c r="H393" i="27"/>
  <c r="I393" i="27"/>
  <c r="M393" i="27"/>
  <c r="N393" i="27"/>
  <c r="O393" i="27"/>
  <c r="F394" i="27"/>
  <c r="G394" i="27"/>
  <c r="H394" i="27"/>
  <c r="I394" i="27"/>
  <c r="M394" i="27"/>
  <c r="N394" i="27"/>
  <c r="O394" i="27"/>
  <c r="F395" i="27"/>
  <c r="G395" i="27"/>
  <c r="H395" i="27"/>
  <c r="I395" i="27"/>
  <c r="M395" i="27"/>
  <c r="N395" i="27"/>
  <c r="O395" i="27"/>
  <c r="F396" i="27"/>
  <c r="G396" i="27"/>
  <c r="H396" i="27"/>
  <c r="I396" i="27"/>
  <c r="M396" i="27"/>
  <c r="N396" i="27"/>
  <c r="O396" i="27"/>
  <c r="F397" i="27"/>
  <c r="G397" i="27"/>
  <c r="H397" i="27"/>
  <c r="I397" i="27"/>
  <c r="M397" i="27"/>
  <c r="N397" i="27"/>
  <c r="O397" i="27"/>
  <c r="F398" i="27"/>
  <c r="G398" i="27"/>
  <c r="H398" i="27"/>
  <c r="I398" i="27"/>
  <c r="M398" i="27"/>
  <c r="N398" i="27"/>
  <c r="O398" i="27"/>
  <c r="F399" i="27"/>
  <c r="G399" i="27"/>
  <c r="H399" i="27"/>
  <c r="I399" i="27"/>
  <c r="M399" i="27"/>
  <c r="N399" i="27"/>
  <c r="O399" i="27"/>
  <c r="F400" i="27"/>
  <c r="G400" i="27"/>
  <c r="H400" i="27"/>
  <c r="I400" i="27"/>
  <c r="M400" i="27"/>
  <c r="N400" i="27"/>
  <c r="O400" i="27"/>
  <c r="F401" i="27"/>
  <c r="G401" i="27"/>
  <c r="H401" i="27"/>
  <c r="I401" i="27"/>
  <c r="M401" i="27"/>
  <c r="N401" i="27"/>
  <c r="O401" i="27"/>
  <c r="F402" i="27"/>
  <c r="G402" i="27"/>
  <c r="H402" i="27"/>
  <c r="I402" i="27"/>
  <c r="M402" i="27"/>
  <c r="N402" i="27"/>
  <c r="O402" i="27"/>
  <c r="F403" i="27"/>
  <c r="G403" i="27"/>
  <c r="H403" i="27"/>
  <c r="I403" i="27"/>
  <c r="M403" i="27"/>
  <c r="N403" i="27"/>
  <c r="O403" i="27"/>
  <c r="F404" i="27"/>
  <c r="G404" i="27"/>
  <c r="H404" i="27"/>
  <c r="I404" i="27"/>
  <c r="M404" i="27"/>
  <c r="N404" i="27"/>
  <c r="O404" i="27"/>
  <c r="F405" i="27"/>
  <c r="G405" i="27"/>
  <c r="H405" i="27"/>
  <c r="I405" i="27"/>
  <c r="M405" i="27"/>
  <c r="N405" i="27"/>
  <c r="O405" i="27"/>
  <c r="F406" i="27"/>
  <c r="G406" i="27"/>
  <c r="H406" i="27"/>
  <c r="I406" i="27"/>
  <c r="M406" i="27"/>
  <c r="N406" i="27"/>
  <c r="O406" i="27"/>
  <c r="F407" i="27"/>
  <c r="G407" i="27"/>
  <c r="H407" i="27"/>
  <c r="I407" i="27"/>
  <c r="M407" i="27"/>
  <c r="N407" i="27"/>
  <c r="O407" i="27"/>
  <c r="F408" i="27"/>
  <c r="G408" i="27"/>
  <c r="H408" i="27"/>
  <c r="I408" i="27"/>
  <c r="M408" i="27"/>
  <c r="N408" i="27"/>
  <c r="O408" i="27"/>
  <c r="F409" i="27"/>
  <c r="G409" i="27"/>
  <c r="H409" i="27"/>
  <c r="I409" i="27"/>
  <c r="M409" i="27"/>
  <c r="N409" i="27"/>
  <c r="O409" i="27"/>
  <c r="F410" i="27"/>
  <c r="G410" i="27"/>
  <c r="H410" i="27"/>
  <c r="I410" i="27"/>
  <c r="M410" i="27"/>
  <c r="N410" i="27"/>
  <c r="O410" i="27"/>
  <c r="F411" i="27"/>
  <c r="G411" i="27"/>
  <c r="H411" i="27"/>
  <c r="I411" i="27"/>
  <c r="M411" i="27"/>
  <c r="N411" i="27"/>
  <c r="O411" i="27"/>
  <c r="F412" i="27"/>
  <c r="G412" i="27"/>
  <c r="H412" i="27"/>
  <c r="I412" i="27"/>
  <c r="M412" i="27"/>
  <c r="N412" i="27"/>
  <c r="O412" i="27"/>
  <c r="F413" i="27"/>
  <c r="G413" i="27"/>
  <c r="H413" i="27"/>
  <c r="I413" i="27"/>
  <c r="M413" i="27"/>
  <c r="N413" i="27"/>
  <c r="O413" i="27"/>
  <c r="F414" i="27"/>
  <c r="G414" i="27"/>
  <c r="H414" i="27"/>
  <c r="I414" i="27"/>
  <c r="M414" i="27"/>
  <c r="N414" i="27"/>
  <c r="O414" i="27"/>
  <c r="F415" i="27"/>
  <c r="G415" i="27"/>
  <c r="H415" i="27"/>
  <c r="I415" i="27"/>
  <c r="M415" i="27"/>
  <c r="N415" i="27"/>
  <c r="O415" i="27"/>
  <c r="F416" i="27"/>
  <c r="G416" i="27"/>
  <c r="H416" i="27"/>
  <c r="I416" i="27"/>
  <c r="M416" i="27"/>
  <c r="N416" i="27"/>
  <c r="O416" i="27"/>
  <c r="F417" i="27"/>
  <c r="G417" i="27"/>
  <c r="H417" i="27"/>
  <c r="I417" i="27"/>
  <c r="M417" i="27"/>
  <c r="N417" i="27"/>
  <c r="O417" i="27"/>
  <c r="F418" i="27"/>
  <c r="G418" i="27"/>
  <c r="H418" i="27"/>
  <c r="I418" i="27"/>
  <c r="M418" i="27"/>
  <c r="N418" i="27"/>
  <c r="O418" i="27"/>
  <c r="F419" i="27"/>
  <c r="G419" i="27"/>
  <c r="H419" i="27"/>
  <c r="I419" i="27"/>
  <c r="M419" i="27"/>
  <c r="N419" i="27"/>
  <c r="O419" i="27"/>
  <c r="F420" i="27"/>
  <c r="G420" i="27"/>
  <c r="H420" i="27"/>
  <c r="I420" i="27"/>
  <c r="M420" i="27"/>
  <c r="N420" i="27"/>
  <c r="O420" i="27"/>
  <c r="F421" i="27"/>
  <c r="G421" i="27"/>
  <c r="H421" i="27"/>
  <c r="I421" i="27"/>
  <c r="M421" i="27"/>
  <c r="N421" i="27"/>
  <c r="O421" i="27"/>
  <c r="G372" i="27"/>
  <c r="H372" i="27"/>
  <c r="I372" i="27"/>
  <c r="M372" i="27"/>
  <c r="N372" i="27"/>
  <c r="O372" i="27"/>
  <c r="F372" i="27"/>
  <c r="CE51" i="34"/>
  <c r="J421" i="27" s="1"/>
  <c r="CF51" i="34"/>
  <c r="K421" i="27" s="1"/>
  <c r="CG51" i="34"/>
  <c r="L421" i="27" s="1"/>
  <c r="CK51" i="34"/>
  <c r="P421" i="27" s="1"/>
  <c r="E51" i="34"/>
  <c r="M323" i="27"/>
  <c r="N323" i="27"/>
  <c r="O323" i="27"/>
  <c r="M324" i="27"/>
  <c r="N324" i="27"/>
  <c r="O324" i="27"/>
  <c r="M325" i="27"/>
  <c r="N325" i="27"/>
  <c r="O325" i="27"/>
  <c r="M326" i="27"/>
  <c r="N326" i="27"/>
  <c r="O326" i="27"/>
  <c r="M327" i="27"/>
  <c r="N327" i="27"/>
  <c r="O327" i="27"/>
  <c r="M328" i="27"/>
  <c r="N328" i="27"/>
  <c r="O328" i="27"/>
  <c r="M329" i="27"/>
  <c r="N329" i="27"/>
  <c r="O329" i="27"/>
  <c r="M330" i="27"/>
  <c r="N330" i="27"/>
  <c r="O330" i="27"/>
  <c r="M331" i="27"/>
  <c r="N331" i="27"/>
  <c r="O331" i="27"/>
  <c r="M332" i="27"/>
  <c r="N332" i="27"/>
  <c r="O332" i="27"/>
  <c r="M333" i="27"/>
  <c r="N333" i="27"/>
  <c r="O333" i="27"/>
  <c r="M334" i="27"/>
  <c r="N334" i="27"/>
  <c r="O334" i="27"/>
  <c r="M335" i="27"/>
  <c r="N335" i="27"/>
  <c r="O335" i="27"/>
  <c r="M336" i="27"/>
  <c r="N336" i="27"/>
  <c r="O336" i="27"/>
  <c r="M337" i="27"/>
  <c r="N337" i="27"/>
  <c r="O337" i="27"/>
  <c r="M338" i="27"/>
  <c r="N338" i="27"/>
  <c r="O338" i="27"/>
  <c r="M339" i="27"/>
  <c r="N339" i="27"/>
  <c r="O339" i="27"/>
  <c r="M340" i="27"/>
  <c r="N340" i="27"/>
  <c r="O340" i="27"/>
  <c r="M341" i="27"/>
  <c r="N341" i="27"/>
  <c r="O341" i="27"/>
  <c r="M342" i="27"/>
  <c r="N342" i="27"/>
  <c r="O342" i="27"/>
  <c r="M343" i="27"/>
  <c r="N343" i="27"/>
  <c r="O343" i="27"/>
  <c r="M344" i="27"/>
  <c r="N344" i="27"/>
  <c r="O344" i="27"/>
  <c r="M345" i="27"/>
  <c r="N345" i="27"/>
  <c r="O345" i="27"/>
  <c r="M346" i="27"/>
  <c r="N346" i="27"/>
  <c r="O346" i="27"/>
  <c r="M347" i="27"/>
  <c r="N347" i="27"/>
  <c r="O347" i="27"/>
  <c r="M348" i="27"/>
  <c r="N348" i="27"/>
  <c r="O348" i="27"/>
  <c r="M349" i="27"/>
  <c r="N349" i="27"/>
  <c r="O349" i="27"/>
  <c r="M350" i="27"/>
  <c r="N350" i="27"/>
  <c r="O350" i="27"/>
  <c r="M351" i="27"/>
  <c r="N351" i="27"/>
  <c r="O351" i="27"/>
  <c r="M352" i="27"/>
  <c r="N352" i="27"/>
  <c r="O352" i="27"/>
  <c r="M353" i="27"/>
  <c r="N353" i="27"/>
  <c r="O353" i="27"/>
  <c r="M354" i="27"/>
  <c r="N354" i="27"/>
  <c r="O354" i="27"/>
  <c r="M355" i="27"/>
  <c r="N355" i="27"/>
  <c r="O355" i="27"/>
  <c r="M356" i="27"/>
  <c r="N356" i="27"/>
  <c r="O356" i="27"/>
  <c r="M357" i="27"/>
  <c r="N357" i="27"/>
  <c r="O357" i="27"/>
  <c r="M358" i="27"/>
  <c r="N358" i="27"/>
  <c r="O358" i="27"/>
  <c r="M359" i="27"/>
  <c r="N359" i="27"/>
  <c r="O359" i="27"/>
  <c r="M360" i="27"/>
  <c r="N360" i="27"/>
  <c r="O360" i="27"/>
  <c r="M361" i="27"/>
  <c r="N361" i="27"/>
  <c r="O361" i="27"/>
  <c r="M362" i="27"/>
  <c r="N362" i="27"/>
  <c r="O362" i="27"/>
  <c r="M363" i="27"/>
  <c r="N363" i="27"/>
  <c r="O363" i="27"/>
  <c r="M364" i="27"/>
  <c r="N364" i="27"/>
  <c r="O364" i="27"/>
  <c r="M365" i="27"/>
  <c r="N365" i="27"/>
  <c r="O365" i="27"/>
  <c r="M366" i="27"/>
  <c r="N366" i="27"/>
  <c r="O366" i="27"/>
  <c r="M367" i="27"/>
  <c r="N367" i="27"/>
  <c r="O367" i="27"/>
  <c r="M368" i="27"/>
  <c r="N368" i="27"/>
  <c r="O368" i="27"/>
  <c r="M369" i="27"/>
  <c r="N369" i="27"/>
  <c r="O369" i="27"/>
  <c r="M370" i="27"/>
  <c r="N370" i="27"/>
  <c r="O370" i="27"/>
  <c r="M371" i="27"/>
  <c r="N371" i="27"/>
  <c r="O371" i="27"/>
  <c r="N322" i="27"/>
  <c r="O322" i="27"/>
  <c r="M273" i="27"/>
  <c r="N273" i="27"/>
  <c r="O273" i="27"/>
  <c r="M274" i="27"/>
  <c r="N274" i="27"/>
  <c r="O274" i="27"/>
  <c r="M275" i="27"/>
  <c r="N275" i="27"/>
  <c r="O275" i="27"/>
  <c r="M276" i="27"/>
  <c r="N276" i="27"/>
  <c r="O276" i="27"/>
  <c r="M277" i="27"/>
  <c r="N277" i="27"/>
  <c r="O277" i="27"/>
  <c r="M278" i="27"/>
  <c r="N278" i="27"/>
  <c r="O278" i="27"/>
  <c r="M279" i="27"/>
  <c r="N279" i="27"/>
  <c r="O279" i="27"/>
  <c r="M280" i="27"/>
  <c r="N280" i="27"/>
  <c r="O280" i="27"/>
  <c r="M281" i="27"/>
  <c r="N281" i="27"/>
  <c r="O281" i="27"/>
  <c r="M282" i="27"/>
  <c r="N282" i="27"/>
  <c r="O282" i="27"/>
  <c r="M283" i="27"/>
  <c r="N283" i="27"/>
  <c r="O283" i="27"/>
  <c r="M284" i="27"/>
  <c r="N284" i="27"/>
  <c r="O284" i="27"/>
  <c r="M285" i="27"/>
  <c r="N285" i="27"/>
  <c r="O285" i="27"/>
  <c r="M286" i="27"/>
  <c r="N286" i="27"/>
  <c r="O286" i="27"/>
  <c r="M287" i="27"/>
  <c r="N287" i="27"/>
  <c r="O287" i="27"/>
  <c r="M288" i="27"/>
  <c r="N288" i="27"/>
  <c r="O288" i="27"/>
  <c r="M289" i="27"/>
  <c r="N289" i="27"/>
  <c r="O289" i="27"/>
  <c r="M290" i="27"/>
  <c r="N290" i="27"/>
  <c r="O290" i="27"/>
  <c r="M291" i="27"/>
  <c r="N291" i="27"/>
  <c r="O291" i="27"/>
  <c r="M292" i="27"/>
  <c r="N292" i="27"/>
  <c r="O292" i="27"/>
  <c r="M293" i="27"/>
  <c r="N293" i="27"/>
  <c r="O293" i="27"/>
  <c r="M294" i="27"/>
  <c r="N294" i="27"/>
  <c r="O294" i="27"/>
  <c r="M295" i="27"/>
  <c r="N295" i="27"/>
  <c r="O295" i="27"/>
  <c r="M296" i="27"/>
  <c r="N296" i="27"/>
  <c r="O296" i="27"/>
  <c r="M297" i="27"/>
  <c r="N297" i="27"/>
  <c r="O297" i="27"/>
  <c r="M298" i="27"/>
  <c r="N298" i="27"/>
  <c r="O298" i="27"/>
  <c r="M299" i="27"/>
  <c r="N299" i="27"/>
  <c r="O299" i="27"/>
  <c r="M300" i="27"/>
  <c r="N300" i="27"/>
  <c r="O300" i="27"/>
  <c r="M301" i="27"/>
  <c r="N301" i="27"/>
  <c r="O301" i="27"/>
  <c r="M302" i="27"/>
  <c r="N302" i="27"/>
  <c r="O302" i="27"/>
  <c r="M303" i="27"/>
  <c r="N303" i="27"/>
  <c r="O303" i="27"/>
  <c r="M304" i="27"/>
  <c r="N304" i="27"/>
  <c r="O304" i="27"/>
  <c r="M305" i="27"/>
  <c r="N305" i="27"/>
  <c r="O305" i="27"/>
  <c r="M306" i="27"/>
  <c r="N306" i="27"/>
  <c r="O306" i="27"/>
  <c r="M307" i="27"/>
  <c r="N307" i="27"/>
  <c r="O307" i="27"/>
  <c r="M308" i="27"/>
  <c r="N308" i="27"/>
  <c r="O308" i="27"/>
  <c r="M309" i="27"/>
  <c r="N309" i="27"/>
  <c r="O309" i="27"/>
  <c r="M310" i="27"/>
  <c r="N310" i="27"/>
  <c r="O310" i="27"/>
  <c r="M311" i="27"/>
  <c r="N311" i="27"/>
  <c r="O311" i="27"/>
  <c r="M312" i="27"/>
  <c r="N312" i="27"/>
  <c r="O312" i="27"/>
  <c r="M313" i="27"/>
  <c r="N313" i="27"/>
  <c r="O313" i="27"/>
  <c r="M314" i="27"/>
  <c r="N314" i="27"/>
  <c r="O314" i="27"/>
  <c r="M315" i="27"/>
  <c r="N315" i="27"/>
  <c r="O315" i="27"/>
  <c r="M316" i="27"/>
  <c r="N316" i="27"/>
  <c r="O316" i="27"/>
  <c r="M317" i="27"/>
  <c r="N317" i="27"/>
  <c r="O317" i="27"/>
  <c r="M318" i="27"/>
  <c r="N318" i="27"/>
  <c r="O318" i="27"/>
  <c r="M319" i="27"/>
  <c r="N319" i="27"/>
  <c r="O319" i="27"/>
  <c r="M320" i="27"/>
  <c r="N320" i="27"/>
  <c r="O320" i="27"/>
  <c r="M321" i="27"/>
  <c r="N321" i="27"/>
  <c r="O321" i="27"/>
  <c r="N272" i="27"/>
  <c r="O272" i="27"/>
  <c r="M213" i="27"/>
  <c r="N213" i="27"/>
  <c r="O213" i="27"/>
  <c r="M214" i="27"/>
  <c r="N214" i="27"/>
  <c r="O214" i="27"/>
  <c r="M215" i="27"/>
  <c r="N215" i="27"/>
  <c r="O215" i="27"/>
  <c r="M216" i="27"/>
  <c r="N216" i="27"/>
  <c r="O216" i="27"/>
  <c r="M217" i="27"/>
  <c r="N217" i="27"/>
  <c r="O217" i="27"/>
  <c r="M218" i="27"/>
  <c r="N218" i="27"/>
  <c r="O218" i="27"/>
  <c r="M219" i="27"/>
  <c r="N219" i="27"/>
  <c r="O219" i="27"/>
  <c r="M220" i="27"/>
  <c r="N220" i="27"/>
  <c r="O220" i="27"/>
  <c r="M221" i="27"/>
  <c r="N221" i="27"/>
  <c r="O221" i="27"/>
  <c r="M222" i="27"/>
  <c r="N222" i="27"/>
  <c r="O222" i="27"/>
  <c r="M223" i="27"/>
  <c r="N223" i="27"/>
  <c r="O223" i="27"/>
  <c r="M224" i="27"/>
  <c r="N224" i="27"/>
  <c r="O224" i="27"/>
  <c r="M225" i="27"/>
  <c r="N225" i="27"/>
  <c r="O225" i="27"/>
  <c r="M226" i="27"/>
  <c r="N226" i="27"/>
  <c r="O226" i="27"/>
  <c r="M227" i="27"/>
  <c r="N227" i="27"/>
  <c r="O227" i="27"/>
  <c r="M228" i="27"/>
  <c r="N228" i="27"/>
  <c r="O228" i="27"/>
  <c r="M229" i="27"/>
  <c r="N229" i="27"/>
  <c r="O229" i="27"/>
  <c r="M230" i="27"/>
  <c r="N230" i="27"/>
  <c r="O230" i="27"/>
  <c r="M231" i="27"/>
  <c r="N231" i="27"/>
  <c r="O231" i="27"/>
  <c r="M232" i="27"/>
  <c r="N232" i="27"/>
  <c r="O232" i="27"/>
  <c r="M233" i="27"/>
  <c r="N233" i="27"/>
  <c r="O233" i="27"/>
  <c r="M234" i="27"/>
  <c r="N234" i="27"/>
  <c r="O234" i="27"/>
  <c r="M235" i="27"/>
  <c r="N235" i="27"/>
  <c r="O235" i="27"/>
  <c r="M236" i="27"/>
  <c r="N236" i="27"/>
  <c r="O236" i="27"/>
  <c r="M237" i="27"/>
  <c r="N237" i="27"/>
  <c r="O237" i="27"/>
  <c r="M238" i="27"/>
  <c r="N238" i="27"/>
  <c r="O238" i="27"/>
  <c r="M239" i="27"/>
  <c r="N239" i="27"/>
  <c r="O239" i="27"/>
  <c r="M240" i="27"/>
  <c r="N240" i="27"/>
  <c r="O240" i="27"/>
  <c r="M241" i="27"/>
  <c r="N241" i="27"/>
  <c r="O241" i="27"/>
  <c r="M242" i="27"/>
  <c r="N242" i="27"/>
  <c r="O242" i="27"/>
  <c r="M243" i="27"/>
  <c r="N243" i="27"/>
  <c r="O243" i="27"/>
  <c r="M244" i="27"/>
  <c r="N244" i="27"/>
  <c r="O244" i="27"/>
  <c r="M245" i="27"/>
  <c r="N245" i="27"/>
  <c r="O245" i="27"/>
  <c r="M246" i="27"/>
  <c r="N246" i="27"/>
  <c r="O246" i="27"/>
  <c r="M247" i="27"/>
  <c r="N247" i="27"/>
  <c r="O247" i="27"/>
  <c r="M248" i="27"/>
  <c r="N248" i="27"/>
  <c r="O248" i="27"/>
  <c r="M249" i="27"/>
  <c r="N249" i="27"/>
  <c r="O249" i="27"/>
  <c r="M250" i="27"/>
  <c r="N250" i="27"/>
  <c r="O250" i="27"/>
  <c r="M251" i="27"/>
  <c r="N251" i="27"/>
  <c r="O251" i="27"/>
  <c r="M252" i="27"/>
  <c r="N252" i="27"/>
  <c r="O252" i="27"/>
  <c r="M253" i="27"/>
  <c r="N253" i="27"/>
  <c r="O253" i="27"/>
  <c r="M254" i="27"/>
  <c r="N254" i="27"/>
  <c r="O254" i="27"/>
  <c r="M255" i="27"/>
  <c r="N255" i="27"/>
  <c r="O255" i="27"/>
  <c r="M256" i="27"/>
  <c r="N256" i="27"/>
  <c r="O256" i="27"/>
  <c r="M257" i="27"/>
  <c r="N257" i="27"/>
  <c r="O257" i="27"/>
  <c r="M258" i="27"/>
  <c r="N258" i="27"/>
  <c r="O258" i="27"/>
  <c r="M259" i="27"/>
  <c r="N259" i="27"/>
  <c r="O259" i="27"/>
  <c r="M260" i="27"/>
  <c r="N260" i="27"/>
  <c r="O260" i="27"/>
  <c r="M261" i="27"/>
  <c r="N261" i="27"/>
  <c r="O261" i="27"/>
  <c r="M262" i="27"/>
  <c r="N262" i="27"/>
  <c r="O262" i="27"/>
  <c r="M263" i="27"/>
  <c r="N263" i="27"/>
  <c r="O263" i="27"/>
  <c r="M264" i="27"/>
  <c r="N264" i="27"/>
  <c r="O264" i="27"/>
  <c r="M265" i="27"/>
  <c r="N265" i="27"/>
  <c r="O265" i="27"/>
  <c r="M266" i="27"/>
  <c r="N266" i="27"/>
  <c r="O266" i="27"/>
  <c r="M267" i="27"/>
  <c r="N267" i="27"/>
  <c r="O267" i="27"/>
  <c r="M268" i="27"/>
  <c r="N268" i="27"/>
  <c r="O268" i="27"/>
  <c r="M269" i="27"/>
  <c r="N269" i="27"/>
  <c r="O269" i="27"/>
  <c r="M270" i="27"/>
  <c r="N270" i="27"/>
  <c r="O270" i="27"/>
  <c r="M271" i="27"/>
  <c r="N271" i="27"/>
  <c r="O271" i="27"/>
  <c r="N212" i="27"/>
  <c r="O212" i="27"/>
  <c r="O103" i="27"/>
  <c r="O104" i="27"/>
  <c r="O105" i="27"/>
  <c r="O106" i="27"/>
  <c r="O107" i="27"/>
  <c r="O108" i="27"/>
  <c r="O109" i="27"/>
  <c r="O110" i="27"/>
  <c r="O111" i="27"/>
  <c r="O112" i="27"/>
  <c r="O113" i="27"/>
  <c r="O114" i="27"/>
  <c r="O115" i="27"/>
  <c r="O116" i="27"/>
  <c r="O117" i="27"/>
  <c r="O118" i="27"/>
  <c r="O119" i="27"/>
  <c r="O120" i="27"/>
  <c r="O121" i="27"/>
  <c r="O122" i="27"/>
  <c r="O123" i="27"/>
  <c r="O124" i="27"/>
  <c r="O125" i="27"/>
  <c r="O126" i="27"/>
  <c r="O127" i="27"/>
  <c r="O128" i="27"/>
  <c r="O129" i="27"/>
  <c r="O130" i="27"/>
  <c r="O131" i="27"/>
  <c r="O132" i="27"/>
  <c r="O133" i="27"/>
  <c r="O134" i="27"/>
  <c r="O135" i="27"/>
  <c r="O136" i="27"/>
  <c r="O137" i="27"/>
  <c r="O138" i="27"/>
  <c r="O139" i="27"/>
  <c r="O140" i="27"/>
  <c r="O141" i="27"/>
  <c r="O142" i="27"/>
  <c r="O143" i="27"/>
  <c r="O144" i="27"/>
  <c r="O145" i="27"/>
  <c r="O146" i="27"/>
  <c r="O147" i="27"/>
  <c r="O148" i="27"/>
  <c r="O149" i="27"/>
  <c r="O150" i="27"/>
  <c r="O151" i="27"/>
  <c r="O152" i="27"/>
  <c r="O153" i="27"/>
  <c r="O154" i="27"/>
  <c r="O155" i="27"/>
  <c r="O156" i="27"/>
  <c r="O157" i="27"/>
  <c r="O158" i="27"/>
  <c r="O159" i="27"/>
  <c r="O160" i="27"/>
  <c r="O161" i="27"/>
  <c r="O162" i="27"/>
  <c r="O163" i="27"/>
  <c r="O164" i="27"/>
  <c r="O165" i="27"/>
  <c r="O166" i="27"/>
  <c r="O167" i="27"/>
  <c r="O168" i="27"/>
  <c r="O169" i="27"/>
  <c r="O170" i="27"/>
  <c r="O171" i="27"/>
  <c r="O172" i="27"/>
  <c r="O173" i="27"/>
  <c r="O174" i="27"/>
  <c r="O175" i="27"/>
  <c r="O176" i="27"/>
  <c r="O177" i="27"/>
  <c r="O178" i="27"/>
  <c r="O179" i="27"/>
  <c r="O180" i="27"/>
  <c r="O181" i="27"/>
  <c r="O182" i="27"/>
  <c r="O183" i="27"/>
  <c r="O184" i="27"/>
  <c r="O185" i="27"/>
  <c r="O186" i="27"/>
  <c r="O187" i="27"/>
  <c r="O188" i="27"/>
  <c r="O189" i="27"/>
  <c r="O190" i="27"/>
  <c r="O191" i="27"/>
  <c r="O192" i="27"/>
  <c r="O193" i="27"/>
  <c r="O194" i="27"/>
  <c r="O195" i="27"/>
  <c r="O196" i="27"/>
  <c r="O197" i="27"/>
  <c r="O198" i="27"/>
  <c r="O199" i="27"/>
  <c r="O200" i="27"/>
  <c r="O201" i="27"/>
  <c r="O202" i="27"/>
  <c r="O203" i="27"/>
  <c r="O204" i="27"/>
  <c r="O205" i="27"/>
  <c r="O206" i="27"/>
  <c r="O207" i="27"/>
  <c r="O208" i="27"/>
  <c r="O209" i="27"/>
  <c r="O210" i="27"/>
  <c r="O211" i="27"/>
  <c r="N2" i="27"/>
  <c r="O2" i="27"/>
  <c r="F323" i="27"/>
  <c r="G323" i="27"/>
  <c r="H323" i="27"/>
  <c r="I323" i="27"/>
  <c r="F324" i="27"/>
  <c r="G324" i="27"/>
  <c r="H324" i="27"/>
  <c r="I324" i="27"/>
  <c r="F325" i="27"/>
  <c r="G325" i="27"/>
  <c r="H325" i="27"/>
  <c r="I325" i="27"/>
  <c r="F326" i="27"/>
  <c r="G326" i="27"/>
  <c r="H326" i="27"/>
  <c r="I326" i="27"/>
  <c r="F327" i="27"/>
  <c r="G327" i="27"/>
  <c r="H327" i="27"/>
  <c r="I327" i="27"/>
  <c r="F328" i="27"/>
  <c r="G328" i="27"/>
  <c r="H328" i="27"/>
  <c r="I328" i="27"/>
  <c r="F329" i="27"/>
  <c r="G329" i="27"/>
  <c r="H329" i="27"/>
  <c r="I329" i="27"/>
  <c r="F330" i="27"/>
  <c r="G330" i="27"/>
  <c r="H330" i="27"/>
  <c r="I330" i="27"/>
  <c r="F331" i="27"/>
  <c r="G331" i="27"/>
  <c r="H331" i="27"/>
  <c r="I331" i="27"/>
  <c r="F332" i="27"/>
  <c r="G332" i="27"/>
  <c r="H332" i="27"/>
  <c r="I332" i="27"/>
  <c r="F333" i="27"/>
  <c r="G333" i="27"/>
  <c r="H333" i="27"/>
  <c r="I333" i="27"/>
  <c r="F334" i="27"/>
  <c r="G334" i="27"/>
  <c r="H334" i="27"/>
  <c r="I334" i="27"/>
  <c r="F335" i="27"/>
  <c r="G335" i="27"/>
  <c r="H335" i="27"/>
  <c r="I335" i="27"/>
  <c r="F336" i="27"/>
  <c r="G336" i="27"/>
  <c r="H336" i="27"/>
  <c r="I336" i="27"/>
  <c r="F337" i="27"/>
  <c r="G337" i="27"/>
  <c r="H337" i="27"/>
  <c r="I337" i="27"/>
  <c r="F338" i="27"/>
  <c r="G338" i="27"/>
  <c r="H338" i="27"/>
  <c r="I338" i="27"/>
  <c r="F339" i="27"/>
  <c r="G339" i="27"/>
  <c r="H339" i="27"/>
  <c r="I339" i="27"/>
  <c r="F340" i="27"/>
  <c r="G340" i="27"/>
  <c r="H340" i="27"/>
  <c r="I340" i="27"/>
  <c r="F341" i="27"/>
  <c r="G341" i="27"/>
  <c r="H341" i="27"/>
  <c r="I341" i="27"/>
  <c r="F342" i="27"/>
  <c r="G342" i="27"/>
  <c r="H342" i="27"/>
  <c r="I342" i="27"/>
  <c r="F343" i="27"/>
  <c r="G343" i="27"/>
  <c r="H343" i="27"/>
  <c r="I343" i="27"/>
  <c r="F344" i="27"/>
  <c r="G344" i="27"/>
  <c r="H344" i="27"/>
  <c r="I344" i="27"/>
  <c r="F345" i="27"/>
  <c r="G345" i="27"/>
  <c r="H345" i="27"/>
  <c r="I345" i="27"/>
  <c r="F346" i="27"/>
  <c r="G346" i="27"/>
  <c r="H346" i="27"/>
  <c r="I346" i="27"/>
  <c r="F347" i="27"/>
  <c r="G347" i="27"/>
  <c r="H347" i="27"/>
  <c r="I347" i="27"/>
  <c r="F348" i="27"/>
  <c r="G348" i="27"/>
  <c r="H348" i="27"/>
  <c r="I348" i="27"/>
  <c r="F349" i="27"/>
  <c r="G349" i="27"/>
  <c r="H349" i="27"/>
  <c r="I349" i="27"/>
  <c r="F350" i="27"/>
  <c r="G350" i="27"/>
  <c r="H350" i="27"/>
  <c r="I350" i="27"/>
  <c r="F351" i="27"/>
  <c r="G351" i="27"/>
  <c r="H351" i="27"/>
  <c r="I351" i="27"/>
  <c r="F352" i="27"/>
  <c r="G352" i="27"/>
  <c r="H352" i="27"/>
  <c r="I352" i="27"/>
  <c r="F353" i="27"/>
  <c r="G353" i="27"/>
  <c r="H353" i="27"/>
  <c r="I353" i="27"/>
  <c r="F354" i="27"/>
  <c r="G354" i="27"/>
  <c r="H354" i="27"/>
  <c r="I354" i="27"/>
  <c r="F355" i="27"/>
  <c r="G355" i="27"/>
  <c r="H355" i="27"/>
  <c r="I355" i="27"/>
  <c r="F356" i="27"/>
  <c r="G356" i="27"/>
  <c r="H356" i="27"/>
  <c r="I356" i="27"/>
  <c r="F357" i="27"/>
  <c r="G357" i="27"/>
  <c r="H357" i="27"/>
  <c r="I357" i="27"/>
  <c r="F358" i="27"/>
  <c r="G358" i="27"/>
  <c r="H358" i="27"/>
  <c r="I358" i="27"/>
  <c r="F359" i="27"/>
  <c r="G359" i="27"/>
  <c r="H359" i="27"/>
  <c r="I359" i="27"/>
  <c r="F360" i="27"/>
  <c r="G360" i="27"/>
  <c r="H360" i="27"/>
  <c r="I360" i="27"/>
  <c r="F361" i="27"/>
  <c r="G361" i="27"/>
  <c r="H361" i="27"/>
  <c r="I361" i="27"/>
  <c r="F362" i="27"/>
  <c r="G362" i="27"/>
  <c r="H362" i="27"/>
  <c r="I362" i="27"/>
  <c r="F363" i="27"/>
  <c r="G363" i="27"/>
  <c r="H363" i="27"/>
  <c r="I363" i="27"/>
  <c r="F364" i="27"/>
  <c r="G364" i="27"/>
  <c r="H364" i="27"/>
  <c r="I364" i="27"/>
  <c r="F365" i="27"/>
  <c r="G365" i="27"/>
  <c r="H365" i="27"/>
  <c r="I365" i="27"/>
  <c r="F366" i="27"/>
  <c r="G366" i="27"/>
  <c r="H366" i="27"/>
  <c r="I366" i="27"/>
  <c r="F367" i="27"/>
  <c r="G367" i="27"/>
  <c r="H367" i="27"/>
  <c r="I367" i="27"/>
  <c r="F368" i="27"/>
  <c r="G368" i="27"/>
  <c r="H368" i="27"/>
  <c r="I368" i="27"/>
  <c r="F369" i="27"/>
  <c r="G369" i="27"/>
  <c r="H369" i="27"/>
  <c r="I369" i="27"/>
  <c r="F370" i="27"/>
  <c r="G370" i="27"/>
  <c r="H370" i="27"/>
  <c r="I370" i="27"/>
  <c r="F371" i="27"/>
  <c r="G371" i="27"/>
  <c r="H371" i="27"/>
  <c r="I371" i="27"/>
  <c r="G322" i="27"/>
  <c r="H322" i="27"/>
  <c r="I322" i="27"/>
  <c r="M322" i="27"/>
  <c r="F322" i="27"/>
  <c r="CE51" i="37"/>
  <c r="J371" i="27" s="1"/>
  <c r="CF51" i="37"/>
  <c r="K371" i="27" s="1"/>
  <c r="CG51" i="37"/>
  <c r="L371" i="27" s="1"/>
  <c r="CK51" i="37"/>
  <c r="P371" i="27" s="1"/>
  <c r="F273" i="27"/>
  <c r="G273" i="27"/>
  <c r="H273" i="27"/>
  <c r="I273" i="27"/>
  <c r="F274" i="27"/>
  <c r="G274" i="27"/>
  <c r="H274" i="27"/>
  <c r="I274" i="27"/>
  <c r="F275" i="27"/>
  <c r="G275" i="27"/>
  <c r="H275" i="27"/>
  <c r="I275" i="27"/>
  <c r="F276" i="27"/>
  <c r="G276" i="27"/>
  <c r="H276" i="27"/>
  <c r="I276" i="27"/>
  <c r="F277" i="27"/>
  <c r="G277" i="27"/>
  <c r="H277" i="27"/>
  <c r="I277" i="27"/>
  <c r="F278" i="27"/>
  <c r="G278" i="27"/>
  <c r="H278" i="27"/>
  <c r="I278" i="27"/>
  <c r="F279" i="27"/>
  <c r="G279" i="27"/>
  <c r="H279" i="27"/>
  <c r="I279" i="27"/>
  <c r="F280" i="27"/>
  <c r="G280" i="27"/>
  <c r="H280" i="27"/>
  <c r="I280" i="27"/>
  <c r="F281" i="27"/>
  <c r="G281" i="27"/>
  <c r="H281" i="27"/>
  <c r="I281" i="27"/>
  <c r="F282" i="27"/>
  <c r="G282" i="27"/>
  <c r="H282" i="27"/>
  <c r="I282" i="27"/>
  <c r="F283" i="27"/>
  <c r="G283" i="27"/>
  <c r="H283" i="27"/>
  <c r="I283" i="27"/>
  <c r="F284" i="27"/>
  <c r="G284" i="27"/>
  <c r="H284" i="27"/>
  <c r="I284" i="27"/>
  <c r="F285" i="27"/>
  <c r="G285" i="27"/>
  <c r="H285" i="27"/>
  <c r="I285" i="27"/>
  <c r="F286" i="27"/>
  <c r="G286" i="27"/>
  <c r="H286" i="27"/>
  <c r="I286" i="27"/>
  <c r="F287" i="27"/>
  <c r="G287" i="27"/>
  <c r="H287" i="27"/>
  <c r="I287" i="27"/>
  <c r="F288" i="27"/>
  <c r="G288" i="27"/>
  <c r="H288" i="27"/>
  <c r="I288" i="27"/>
  <c r="F289" i="27"/>
  <c r="G289" i="27"/>
  <c r="H289" i="27"/>
  <c r="I289" i="27"/>
  <c r="F290" i="27"/>
  <c r="G290" i="27"/>
  <c r="H290" i="27"/>
  <c r="I290" i="27"/>
  <c r="F291" i="27"/>
  <c r="G291" i="27"/>
  <c r="H291" i="27"/>
  <c r="I291" i="27"/>
  <c r="F292" i="27"/>
  <c r="G292" i="27"/>
  <c r="H292" i="27"/>
  <c r="I292" i="27"/>
  <c r="F293" i="27"/>
  <c r="G293" i="27"/>
  <c r="H293" i="27"/>
  <c r="I293" i="27"/>
  <c r="F294" i="27"/>
  <c r="G294" i="27"/>
  <c r="H294" i="27"/>
  <c r="I294" i="27"/>
  <c r="F295" i="27"/>
  <c r="G295" i="27"/>
  <c r="H295" i="27"/>
  <c r="I295" i="27"/>
  <c r="F296" i="27"/>
  <c r="G296" i="27"/>
  <c r="H296" i="27"/>
  <c r="I296" i="27"/>
  <c r="F297" i="27"/>
  <c r="G297" i="27"/>
  <c r="H297" i="27"/>
  <c r="I297" i="27"/>
  <c r="F298" i="27"/>
  <c r="G298" i="27"/>
  <c r="H298" i="27"/>
  <c r="I298" i="27"/>
  <c r="F299" i="27"/>
  <c r="G299" i="27"/>
  <c r="H299" i="27"/>
  <c r="I299" i="27"/>
  <c r="F300" i="27"/>
  <c r="G300" i="27"/>
  <c r="H300" i="27"/>
  <c r="I300" i="27"/>
  <c r="F301" i="27"/>
  <c r="G301" i="27"/>
  <c r="H301" i="27"/>
  <c r="I301" i="27"/>
  <c r="F302" i="27"/>
  <c r="G302" i="27"/>
  <c r="H302" i="27"/>
  <c r="I302" i="27"/>
  <c r="F303" i="27"/>
  <c r="G303" i="27"/>
  <c r="H303" i="27"/>
  <c r="I303" i="27"/>
  <c r="F304" i="27"/>
  <c r="G304" i="27"/>
  <c r="H304" i="27"/>
  <c r="I304" i="27"/>
  <c r="F305" i="27"/>
  <c r="G305" i="27"/>
  <c r="H305" i="27"/>
  <c r="I305" i="27"/>
  <c r="F306" i="27"/>
  <c r="G306" i="27"/>
  <c r="H306" i="27"/>
  <c r="I306" i="27"/>
  <c r="F307" i="27"/>
  <c r="G307" i="27"/>
  <c r="H307" i="27"/>
  <c r="I307" i="27"/>
  <c r="F308" i="27"/>
  <c r="G308" i="27"/>
  <c r="H308" i="27"/>
  <c r="I308" i="27"/>
  <c r="F309" i="27"/>
  <c r="G309" i="27"/>
  <c r="H309" i="27"/>
  <c r="I309" i="27"/>
  <c r="F310" i="27"/>
  <c r="G310" i="27"/>
  <c r="H310" i="27"/>
  <c r="I310" i="27"/>
  <c r="F311" i="27"/>
  <c r="G311" i="27"/>
  <c r="H311" i="27"/>
  <c r="I311" i="27"/>
  <c r="F312" i="27"/>
  <c r="G312" i="27"/>
  <c r="H312" i="27"/>
  <c r="I312" i="27"/>
  <c r="F313" i="27"/>
  <c r="G313" i="27"/>
  <c r="H313" i="27"/>
  <c r="I313" i="27"/>
  <c r="F314" i="27"/>
  <c r="G314" i="27"/>
  <c r="H314" i="27"/>
  <c r="I314" i="27"/>
  <c r="F315" i="27"/>
  <c r="G315" i="27"/>
  <c r="H315" i="27"/>
  <c r="I315" i="27"/>
  <c r="F316" i="27"/>
  <c r="G316" i="27"/>
  <c r="H316" i="27"/>
  <c r="I316" i="27"/>
  <c r="F317" i="27"/>
  <c r="G317" i="27"/>
  <c r="H317" i="27"/>
  <c r="I317" i="27"/>
  <c r="F318" i="27"/>
  <c r="G318" i="27"/>
  <c r="H318" i="27"/>
  <c r="I318" i="27"/>
  <c r="F319" i="27"/>
  <c r="G319" i="27"/>
  <c r="H319" i="27"/>
  <c r="I319" i="27"/>
  <c r="F320" i="27"/>
  <c r="G320" i="27"/>
  <c r="H320" i="27"/>
  <c r="I320" i="27"/>
  <c r="F321" i="27"/>
  <c r="G321" i="27"/>
  <c r="H321" i="27"/>
  <c r="I321" i="27"/>
  <c r="G272" i="27"/>
  <c r="H272" i="27"/>
  <c r="I272" i="27"/>
  <c r="M272" i="27"/>
  <c r="F272" i="27"/>
  <c r="CF35" i="24"/>
  <c r="J305" i="27" s="1"/>
  <c r="CF36" i="24"/>
  <c r="J306" i="27" s="1"/>
  <c r="CF37" i="24"/>
  <c r="J307" i="27" s="1"/>
  <c r="CF38" i="24"/>
  <c r="J308" i="27" s="1"/>
  <c r="CF39" i="24"/>
  <c r="J309" i="27" s="1"/>
  <c r="CF40" i="24"/>
  <c r="J310" i="27" s="1"/>
  <c r="CF41" i="24"/>
  <c r="J311" i="27" s="1"/>
  <c r="CF42" i="24"/>
  <c r="J312" i="27" s="1"/>
  <c r="CF43" i="24"/>
  <c r="J313" i="27" s="1"/>
  <c r="CF44" i="24"/>
  <c r="J314" i="27" s="1"/>
  <c r="CF45" i="24"/>
  <c r="J315" i="27" s="1"/>
  <c r="CF46" i="24"/>
  <c r="J316" i="27" s="1"/>
  <c r="CF47" i="24"/>
  <c r="J317" i="27" s="1"/>
  <c r="CF48" i="24"/>
  <c r="J318" i="27" s="1"/>
  <c r="CF49" i="24"/>
  <c r="J319" i="27" s="1"/>
  <c r="CF50" i="24"/>
  <c r="J320" i="27" s="1"/>
  <c r="CF51" i="24"/>
  <c r="J321" i="27" s="1"/>
  <c r="CG35" i="24"/>
  <c r="K305" i="27" s="1"/>
  <c r="CG36" i="24"/>
  <c r="K306" i="27" s="1"/>
  <c r="CG37" i="24"/>
  <c r="K307" i="27" s="1"/>
  <c r="CG38" i="24"/>
  <c r="K308" i="27" s="1"/>
  <c r="CG39" i="24"/>
  <c r="K309" i="27" s="1"/>
  <c r="CG40" i="24"/>
  <c r="K310" i="27" s="1"/>
  <c r="CG41" i="24"/>
  <c r="K311" i="27" s="1"/>
  <c r="CG42" i="24"/>
  <c r="K312" i="27" s="1"/>
  <c r="CG43" i="24"/>
  <c r="K313" i="27" s="1"/>
  <c r="CG44" i="24"/>
  <c r="K314" i="27" s="1"/>
  <c r="CG45" i="24"/>
  <c r="K315" i="27" s="1"/>
  <c r="CG46" i="24"/>
  <c r="K316" i="27" s="1"/>
  <c r="CG47" i="24"/>
  <c r="K317" i="27" s="1"/>
  <c r="CG48" i="24"/>
  <c r="K318" i="27" s="1"/>
  <c r="CG49" i="24"/>
  <c r="K319" i="27" s="1"/>
  <c r="CG50" i="24"/>
  <c r="K320" i="27" s="1"/>
  <c r="CG51" i="24"/>
  <c r="K321" i="27" s="1"/>
  <c r="CH35" i="24"/>
  <c r="L305" i="27" s="1"/>
  <c r="CH36" i="24"/>
  <c r="L306" i="27" s="1"/>
  <c r="CH37" i="24"/>
  <c r="L307" i="27" s="1"/>
  <c r="CH38" i="24"/>
  <c r="L308" i="27" s="1"/>
  <c r="CH39" i="24"/>
  <c r="L309" i="27" s="1"/>
  <c r="CH40" i="24"/>
  <c r="L310" i="27" s="1"/>
  <c r="CH41" i="24"/>
  <c r="L311" i="27" s="1"/>
  <c r="CH42" i="24"/>
  <c r="L312" i="27" s="1"/>
  <c r="CH43" i="24"/>
  <c r="L313" i="27" s="1"/>
  <c r="CH44" i="24"/>
  <c r="L314" i="27" s="1"/>
  <c r="CH45" i="24"/>
  <c r="L315" i="27" s="1"/>
  <c r="CH46" i="24"/>
  <c r="L316" i="27" s="1"/>
  <c r="CH47" i="24"/>
  <c r="L317" i="27" s="1"/>
  <c r="CH48" i="24"/>
  <c r="L318" i="27" s="1"/>
  <c r="CH49" i="24"/>
  <c r="L319" i="27" s="1"/>
  <c r="CH50" i="24"/>
  <c r="L320" i="27" s="1"/>
  <c r="CH51" i="24"/>
  <c r="L321" i="27" s="1"/>
  <c r="CL35" i="24"/>
  <c r="P305" i="27" s="1"/>
  <c r="CL36" i="24"/>
  <c r="P306" i="27" s="1"/>
  <c r="CL37" i="24"/>
  <c r="P307" i="27" s="1"/>
  <c r="CL38" i="24"/>
  <c r="P308" i="27" s="1"/>
  <c r="CL39" i="24"/>
  <c r="P309" i="27" s="1"/>
  <c r="CL40" i="24"/>
  <c r="P310" i="27" s="1"/>
  <c r="CL41" i="24"/>
  <c r="P311" i="27" s="1"/>
  <c r="CL42" i="24"/>
  <c r="P312" i="27" s="1"/>
  <c r="CL43" i="24"/>
  <c r="P313" i="27" s="1"/>
  <c r="CL44" i="24"/>
  <c r="P314" i="27" s="1"/>
  <c r="CL45" i="24"/>
  <c r="P315" i="27" s="1"/>
  <c r="CL46" i="24"/>
  <c r="P316" i="27" s="1"/>
  <c r="CL47" i="24"/>
  <c r="P317" i="27" s="1"/>
  <c r="CL48" i="24"/>
  <c r="P318" i="27" s="1"/>
  <c r="CL49" i="24"/>
  <c r="P319" i="27" s="1"/>
  <c r="CL50" i="24"/>
  <c r="P320" i="27" s="1"/>
  <c r="CL51" i="24"/>
  <c r="P321" i="27" s="1"/>
  <c r="F213" i="27"/>
  <c r="G213" i="27"/>
  <c r="H213" i="27"/>
  <c r="I213" i="27"/>
  <c r="F214" i="27"/>
  <c r="G214" i="27"/>
  <c r="H214" i="27"/>
  <c r="I214" i="27"/>
  <c r="F215" i="27"/>
  <c r="G215" i="27"/>
  <c r="H215" i="27"/>
  <c r="I215" i="27"/>
  <c r="F216" i="27"/>
  <c r="G216" i="27"/>
  <c r="H216" i="27"/>
  <c r="I216" i="27"/>
  <c r="F217" i="27"/>
  <c r="G217" i="27"/>
  <c r="H217" i="27"/>
  <c r="I217" i="27"/>
  <c r="F218" i="27"/>
  <c r="G218" i="27"/>
  <c r="H218" i="27"/>
  <c r="I218" i="27"/>
  <c r="F219" i="27"/>
  <c r="G219" i="27"/>
  <c r="H219" i="27"/>
  <c r="I219" i="27"/>
  <c r="F220" i="27"/>
  <c r="G220" i="27"/>
  <c r="H220" i="27"/>
  <c r="I220" i="27"/>
  <c r="F221" i="27"/>
  <c r="G221" i="27"/>
  <c r="H221" i="27"/>
  <c r="I221" i="27"/>
  <c r="F222" i="27"/>
  <c r="G222" i="27"/>
  <c r="H222" i="27"/>
  <c r="I222" i="27"/>
  <c r="F223" i="27"/>
  <c r="G223" i="27"/>
  <c r="H223" i="27"/>
  <c r="I223" i="27"/>
  <c r="F224" i="27"/>
  <c r="G224" i="27"/>
  <c r="H224" i="27"/>
  <c r="I224" i="27"/>
  <c r="F225" i="27"/>
  <c r="G225" i="27"/>
  <c r="H225" i="27"/>
  <c r="I225" i="27"/>
  <c r="F226" i="27"/>
  <c r="G226" i="27"/>
  <c r="H226" i="27"/>
  <c r="I226" i="27"/>
  <c r="F227" i="27"/>
  <c r="G227" i="27"/>
  <c r="H227" i="27"/>
  <c r="I227" i="27"/>
  <c r="F228" i="27"/>
  <c r="G228" i="27"/>
  <c r="H228" i="27"/>
  <c r="I228" i="27"/>
  <c r="F229" i="27"/>
  <c r="G229" i="27"/>
  <c r="H229" i="27"/>
  <c r="I229" i="27"/>
  <c r="F230" i="27"/>
  <c r="G230" i="27"/>
  <c r="H230" i="27"/>
  <c r="I230" i="27"/>
  <c r="F231" i="27"/>
  <c r="G231" i="27"/>
  <c r="H231" i="27"/>
  <c r="I231" i="27"/>
  <c r="F232" i="27"/>
  <c r="G232" i="27"/>
  <c r="H232" i="27"/>
  <c r="I232" i="27"/>
  <c r="F233" i="27"/>
  <c r="G233" i="27"/>
  <c r="H233" i="27"/>
  <c r="I233" i="27"/>
  <c r="F234" i="27"/>
  <c r="G234" i="27"/>
  <c r="H234" i="27"/>
  <c r="I234" i="27"/>
  <c r="F235" i="27"/>
  <c r="G235" i="27"/>
  <c r="H235" i="27"/>
  <c r="I235" i="27"/>
  <c r="F236" i="27"/>
  <c r="G236" i="27"/>
  <c r="H236" i="27"/>
  <c r="I236" i="27"/>
  <c r="F237" i="27"/>
  <c r="G237" i="27"/>
  <c r="H237" i="27"/>
  <c r="I237" i="27"/>
  <c r="F238" i="27"/>
  <c r="G238" i="27"/>
  <c r="H238" i="27"/>
  <c r="I238" i="27"/>
  <c r="F239" i="27"/>
  <c r="G239" i="27"/>
  <c r="H239" i="27"/>
  <c r="I239" i="27"/>
  <c r="F240" i="27"/>
  <c r="G240" i="27"/>
  <c r="H240" i="27"/>
  <c r="I240" i="27"/>
  <c r="F241" i="27"/>
  <c r="G241" i="27"/>
  <c r="H241" i="27"/>
  <c r="I241" i="27"/>
  <c r="F242" i="27"/>
  <c r="G242" i="27"/>
  <c r="H242" i="27"/>
  <c r="I242" i="27"/>
  <c r="F243" i="27"/>
  <c r="G243" i="27"/>
  <c r="H243" i="27"/>
  <c r="I243" i="27"/>
  <c r="F244" i="27"/>
  <c r="G244" i="27"/>
  <c r="H244" i="27"/>
  <c r="I244" i="27"/>
  <c r="F245" i="27"/>
  <c r="G245" i="27"/>
  <c r="H245" i="27"/>
  <c r="I245" i="27"/>
  <c r="F246" i="27"/>
  <c r="G246" i="27"/>
  <c r="H246" i="27"/>
  <c r="I246" i="27"/>
  <c r="F247" i="27"/>
  <c r="G247" i="27"/>
  <c r="H247" i="27"/>
  <c r="I247" i="27"/>
  <c r="F248" i="27"/>
  <c r="G248" i="27"/>
  <c r="H248" i="27"/>
  <c r="I248" i="27"/>
  <c r="F249" i="27"/>
  <c r="G249" i="27"/>
  <c r="H249" i="27"/>
  <c r="I249" i="27"/>
  <c r="F250" i="27"/>
  <c r="G250" i="27"/>
  <c r="H250" i="27"/>
  <c r="I250" i="27"/>
  <c r="F251" i="27"/>
  <c r="G251" i="27"/>
  <c r="H251" i="27"/>
  <c r="I251" i="27"/>
  <c r="F252" i="27"/>
  <c r="G252" i="27"/>
  <c r="H252" i="27"/>
  <c r="I252" i="27"/>
  <c r="F253" i="27"/>
  <c r="G253" i="27"/>
  <c r="H253" i="27"/>
  <c r="I253" i="27"/>
  <c r="F254" i="27"/>
  <c r="G254" i="27"/>
  <c r="H254" i="27"/>
  <c r="I254" i="27"/>
  <c r="F255" i="27"/>
  <c r="G255" i="27"/>
  <c r="H255" i="27"/>
  <c r="I255" i="27"/>
  <c r="F256" i="27"/>
  <c r="G256" i="27"/>
  <c r="H256" i="27"/>
  <c r="I256" i="27"/>
  <c r="F257" i="27"/>
  <c r="G257" i="27"/>
  <c r="H257" i="27"/>
  <c r="I257" i="27"/>
  <c r="F258" i="27"/>
  <c r="G258" i="27"/>
  <c r="H258" i="27"/>
  <c r="I258" i="27"/>
  <c r="F259" i="27"/>
  <c r="G259" i="27"/>
  <c r="H259" i="27"/>
  <c r="I259" i="27"/>
  <c r="F260" i="27"/>
  <c r="G260" i="27"/>
  <c r="H260" i="27"/>
  <c r="I260" i="27"/>
  <c r="F261" i="27"/>
  <c r="G261" i="27"/>
  <c r="H261" i="27"/>
  <c r="I261" i="27"/>
  <c r="F262" i="27"/>
  <c r="G262" i="27"/>
  <c r="H262" i="27"/>
  <c r="I262" i="27"/>
  <c r="F263" i="27"/>
  <c r="G263" i="27"/>
  <c r="H263" i="27"/>
  <c r="I263" i="27"/>
  <c r="F264" i="27"/>
  <c r="G264" i="27"/>
  <c r="H264" i="27"/>
  <c r="I264" i="27"/>
  <c r="F265" i="27"/>
  <c r="G265" i="27"/>
  <c r="H265" i="27"/>
  <c r="I265" i="27"/>
  <c r="F266" i="27"/>
  <c r="G266" i="27"/>
  <c r="H266" i="27"/>
  <c r="I266" i="27"/>
  <c r="F267" i="27"/>
  <c r="G267" i="27"/>
  <c r="H267" i="27"/>
  <c r="I267" i="27"/>
  <c r="F268" i="27"/>
  <c r="G268" i="27"/>
  <c r="H268" i="27"/>
  <c r="I268" i="27"/>
  <c r="F269" i="27"/>
  <c r="G269" i="27"/>
  <c r="H269" i="27"/>
  <c r="I269" i="27"/>
  <c r="F270" i="27"/>
  <c r="G270" i="27"/>
  <c r="H270" i="27"/>
  <c r="I270" i="27"/>
  <c r="F271" i="27"/>
  <c r="G271" i="27"/>
  <c r="H271" i="27"/>
  <c r="I271" i="27"/>
  <c r="G212" i="27"/>
  <c r="H212" i="27"/>
  <c r="I212" i="27"/>
  <c r="M212" i="27"/>
  <c r="F212" i="27"/>
  <c r="CE61" i="35"/>
  <c r="J271" i="27" s="1"/>
  <c r="CF61" i="35"/>
  <c r="K271" i="27" s="1"/>
  <c r="CG61" i="35"/>
  <c r="L271" i="27" s="1"/>
  <c r="CK61" i="35"/>
  <c r="P271" i="27" s="1"/>
  <c r="F103" i="27"/>
  <c r="G103" i="27"/>
  <c r="H103" i="27"/>
  <c r="I103" i="27"/>
  <c r="M103" i="27"/>
  <c r="N103" i="27"/>
  <c r="F104" i="27"/>
  <c r="G104" i="27"/>
  <c r="H104" i="27"/>
  <c r="I104" i="27"/>
  <c r="M104" i="27"/>
  <c r="N104" i="27"/>
  <c r="F105" i="27"/>
  <c r="G105" i="27"/>
  <c r="H105" i="27"/>
  <c r="I105" i="27"/>
  <c r="M105" i="27"/>
  <c r="N105" i="27"/>
  <c r="F106" i="27"/>
  <c r="G106" i="27"/>
  <c r="H106" i="27"/>
  <c r="I106" i="27"/>
  <c r="M106" i="27"/>
  <c r="N106" i="27"/>
  <c r="F107" i="27"/>
  <c r="G107" i="27"/>
  <c r="H107" i="27"/>
  <c r="I107" i="27"/>
  <c r="M107" i="27"/>
  <c r="N107" i="27"/>
  <c r="F108" i="27"/>
  <c r="G108" i="27"/>
  <c r="H108" i="27"/>
  <c r="I108" i="27"/>
  <c r="M108" i="27"/>
  <c r="N108" i="27"/>
  <c r="F109" i="27"/>
  <c r="G109" i="27"/>
  <c r="H109" i="27"/>
  <c r="I109" i="27"/>
  <c r="M109" i="27"/>
  <c r="N109" i="27"/>
  <c r="F110" i="27"/>
  <c r="G110" i="27"/>
  <c r="H110" i="27"/>
  <c r="I110" i="27"/>
  <c r="M110" i="27"/>
  <c r="N110" i="27"/>
  <c r="F111" i="27"/>
  <c r="G111" i="27"/>
  <c r="H111" i="27"/>
  <c r="I111" i="27"/>
  <c r="M111" i="27"/>
  <c r="N111" i="27"/>
  <c r="F112" i="27"/>
  <c r="G112" i="27"/>
  <c r="H112" i="27"/>
  <c r="I112" i="27"/>
  <c r="M112" i="27"/>
  <c r="N112" i="27"/>
  <c r="F113" i="27"/>
  <c r="G113" i="27"/>
  <c r="H113" i="27"/>
  <c r="I113" i="27"/>
  <c r="M113" i="27"/>
  <c r="N113" i="27"/>
  <c r="F114" i="27"/>
  <c r="G114" i="27"/>
  <c r="H114" i="27"/>
  <c r="I114" i="27"/>
  <c r="M114" i="27"/>
  <c r="N114" i="27"/>
  <c r="F115" i="27"/>
  <c r="G115" i="27"/>
  <c r="H115" i="27"/>
  <c r="I115" i="27"/>
  <c r="M115" i="27"/>
  <c r="N115" i="27"/>
  <c r="F116" i="27"/>
  <c r="G116" i="27"/>
  <c r="H116" i="27"/>
  <c r="I116" i="27"/>
  <c r="M116" i="27"/>
  <c r="N116" i="27"/>
  <c r="F117" i="27"/>
  <c r="G117" i="27"/>
  <c r="H117" i="27"/>
  <c r="I117" i="27"/>
  <c r="M117" i="27"/>
  <c r="N117" i="27"/>
  <c r="F118" i="27"/>
  <c r="G118" i="27"/>
  <c r="H118" i="27"/>
  <c r="I118" i="27"/>
  <c r="M118" i="27"/>
  <c r="N118" i="27"/>
  <c r="F119" i="27"/>
  <c r="G119" i="27"/>
  <c r="H119" i="27"/>
  <c r="I119" i="27"/>
  <c r="M119" i="27"/>
  <c r="N119" i="27"/>
  <c r="F120" i="27"/>
  <c r="G120" i="27"/>
  <c r="H120" i="27"/>
  <c r="I120" i="27"/>
  <c r="M120" i="27"/>
  <c r="N120" i="27"/>
  <c r="F121" i="27"/>
  <c r="G121" i="27"/>
  <c r="H121" i="27"/>
  <c r="I121" i="27"/>
  <c r="M121" i="27"/>
  <c r="N121" i="27"/>
  <c r="F122" i="27"/>
  <c r="G122" i="27"/>
  <c r="H122" i="27"/>
  <c r="I122" i="27"/>
  <c r="M122" i="27"/>
  <c r="N122" i="27"/>
  <c r="F123" i="27"/>
  <c r="G123" i="27"/>
  <c r="H123" i="27"/>
  <c r="I123" i="27"/>
  <c r="M123" i="27"/>
  <c r="N123" i="27"/>
  <c r="F124" i="27"/>
  <c r="G124" i="27"/>
  <c r="H124" i="27"/>
  <c r="I124" i="27"/>
  <c r="M124" i="27"/>
  <c r="N124" i="27"/>
  <c r="F125" i="27"/>
  <c r="G125" i="27"/>
  <c r="H125" i="27"/>
  <c r="I125" i="27"/>
  <c r="M125" i="27"/>
  <c r="N125" i="27"/>
  <c r="F126" i="27"/>
  <c r="G126" i="27"/>
  <c r="H126" i="27"/>
  <c r="I126" i="27"/>
  <c r="M126" i="27"/>
  <c r="N126" i="27"/>
  <c r="F127" i="27"/>
  <c r="G127" i="27"/>
  <c r="H127" i="27"/>
  <c r="I127" i="27"/>
  <c r="M127" i="27"/>
  <c r="N127" i="27"/>
  <c r="F128" i="27"/>
  <c r="G128" i="27"/>
  <c r="H128" i="27"/>
  <c r="I128" i="27"/>
  <c r="M128" i="27"/>
  <c r="N128" i="27"/>
  <c r="F129" i="27"/>
  <c r="G129" i="27"/>
  <c r="H129" i="27"/>
  <c r="I129" i="27"/>
  <c r="M129" i="27"/>
  <c r="N129" i="27"/>
  <c r="F130" i="27"/>
  <c r="G130" i="27"/>
  <c r="H130" i="27"/>
  <c r="I130" i="27"/>
  <c r="M130" i="27"/>
  <c r="N130" i="27"/>
  <c r="F131" i="27"/>
  <c r="G131" i="27"/>
  <c r="H131" i="27"/>
  <c r="I131" i="27"/>
  <c r="M131" i="27"/>
  <c r="N131" i="27"/>
  <c r="F132" i="27"/>
  <c r="G132" i="27"/>
  <c r="H132" i="27"/>
  <c r="I132" i="27"/>
  <c r="M132" i="27"/>
  <c r="N132" i="27"/>
  <c r="F133" i="27"/>
  <c r="G133" i="27"/>
  <c r="H133" i="27"/>
  <c r="I133" i="27"/>
  <c r="M133" i="27"/>
  <c r="N133" i="27"/>
  <c r="F134" i="27"/>
  <c r="G134" i="27"/>
  <c r="H134" i="27"/>
  <c r="I134" i="27"/>
  <c r="M134" i="27"/>
  <c r="N134" i="27"/>
  <c r="F135" i="27"/>
  <c r="G135" i="27"/>
  <c r="H135" i="27"/>
  <c r="I135" i="27"/>
  <c r="M135" i="27"/>
  <c r="N135" i="27"/>
  <c r="F136" i="27"/>
  <c r="G136" i="27"/>
  <c r="H136" i="27"/>
  <c r="I136" i="27"/>
  <c r="M136" i="27"/>
  <c r="N136" i="27"/>
  <c r="F137" i="27"/>
  <c r="G137" i="27"/>
  <c r="H137" i="27"/>
  <c r="I137" i="27"/>
  <c r="M137" i="27"/>
  <c r="N137" i="27"/>
  <c r="F138" i="27"/>
  <c r="G138" i="27"/>
  <c r="H138" i="27"/>
  <c r="I138" i="27"/>
  <c r="M138" i="27"/>
  <c r="N138" i="27"/>
  <c r="F139" i="27"/>
  <c r="G139" i="27"/>
  <c r="H139" i="27"/>
  <c r="I139" i="27"/>
  <c r="M139" i="27"/>
  <c r="N139" i="27"/>
  <c r="F140" i="27"/>
  <c r="G140" i="27"/>
  <c r="H140" i="27"/>
  <c r="I140" i="27"/>
  <c r="M140" i="27"/>
  <c r="N140" i="27"/>
  <c r="F141" i="27"/>
  <c r="G141" i="27"/>
  <c r="H141" i="27"/>
  <c r="I141" i="27"/>
  <c r="M141" i="27"/>
  <c r="N141" i="27"/>
  <c r="F142" i="27"/>
  <c r="G142" i="27"/>
  <c r="H142" i="27"/>
  <c r="I142" i="27"/>
  <c r="M142" i="27"/>
  <c r="N142" i="27"/>
  <c r="F143" i="27"/>
  <c r="G143" i="27"/>
  <c r="H143" i="27"/>
  <c r="I143" i="27"/>
  <c r="M143" i="27"/>
  <c r="N143" i="27"/>
  <c r="F144" i="27"/>
  <c r="G144" i="27"/>
  <c r="H144" i="27"/>
  <c r="I144" i="27"/>
  <c r="M144" i="27"/>
  <c r="N144" i="27"/>
  <c r="F145" i="27"/>
  <c r="G145" i="27"/>
  <c r="H145" i="27"/>
  <c r="I145" i="27"/>
  <c r="M145" i="27"/>
  <c r="N145" i="27"/>
  <c r="F146" i="27"/>
  <c r="G146" i="27"/>
  <c r="H146" i="27"/>
  <c r="I146" i="27"/>
  <c r="M146" i="27"/>
  <c r="N146" i="27"/>
  <c r="F147" i="27"/>
  <c r="G147" i="27"/>
  <c r="H147" i="27"/>
  <c r="I147" i="27"/>
  <c r="M147" i="27"/>
  <c r="N147" i="27"/>
  <c r="F148" i="27"/>
  <c r="G148" i="27"/>
  <c r="H148" i="27"/>
  <c r="I148" i="27"/>
  <c r="M148" i="27"/>
  <c r="N148" i="27"/>
  <c r="F149" i="27"/>
  <c r="G149" i="27"/>
  <c r="H149" i="27"/>
  <c r="I149" i="27"/>
  <c r="M149" i="27"/>
  <c r="N149" i="27"/>
  <c r="F150" i="27"/>
  <c r="G150" i="27"/>
  <c r="H150" i="27"/>
  <c r="I150" i="27"/>
  <c r="M150" i="27"/>
  <c r="N150" i="27"/>
  <c r="F151" i="27"/>
  <c r="G151" i="27"/>
  <c r="H151" i="27"/>
  <c r="I151" i="27"/>
  <c r="M151" i="27"/>
  <c r="N151" i="27"/>
  <c r="F152" i="27"/>
  <c r="G152" i="27"/>
  <c r="H152" i="27"/>
  <c r="I152" i="27"/>
  <c r="M152" i="27"/>
  <c r="N152" i="27"/>
  <c r="F153" i="27"/>
  <c r="G153" i="27"/>
  <c r="H153" i="27"/>
  <c r="I153" i="27"/>
  <c r="M153" i="27"/>
  <c r="N153" i="27"/>
  <c r="F154" i="27"/>
  <c r="G154" i="27"/>
  <c r="H154" i="27"/>
  <c r="I154" i="27"/>
  <c r="M154" i="27"/>
  <c r="N154" i="27"/>
  <c r="F155" i="27"/>
  <c r="G155" i="27"/>
  <c r="H155" i="27"/>
  <c r="I155" i="27"/>
  <c r="M155" i="27"/>
  <c r="N155" i="27"/>
  <c r="F156" i="27"/>
  <c r="G156" i="27"/>
  <c r="H156" i="27"/>
  <c r="I156" i="27"/>
  <c r="M156" i="27"/>
  <c r="N156" i="27"/>
  <c r="F157" i="27"/>
  <c r="G157" i="27"/>
  <c r="H157" i="27"/>
  <c r="I157" i="27"/>
  <c r="M157" i="27"/>
  <c r="N157" i="27"/>
  <c r="F158" i="27"/>
  <c r="G158" i="27"/>
  <c r="H158" i="27"/>
  <c r="I158" i="27"/>
  <c r="M158" i="27"/>
  <c r="N158" i="27"/>
  <c r="F159" i="27"/>
  <c r="G159" i="27"/>
  <c r="H159" i="27"/>
  <c r="I159" i="27"/>
  <c r="M159" i="27"/>
  <c r="N159" i="27"/>
  <c r="F160" i="27"/>
  <c r="G160" i="27"/>
  <c r="H160" i="27"/>
  <c r="I160" i="27"/>
  <c r="M160" i="27"/>
  <c r="N160" i="27"/>
  <c r="F161" i="27"/>
  <c r="G161" i="27"/>
  <c r="H161" i="27"/>
  <c r="I161" i="27"/>
  <c r="M161" i="27"/>
  <c r="N161" i="27"/>
  <c r="F162" i="27"/>
  <c r="G162" i="27"/>
  <c r="H162" i="27"/>
  <c r="I162" i="27"/>
  <c r="M162" i="27"/>
  <c r="N162" i="27"/>
  <c r="F163" i="27"/>
  <c r="G163" i="27"/>
  <c r="H163" i="27"/>
  <c r="I163" i="27"/>
  <c r="M163" i="27"/>
  <c r="N163" i="27"/>
  <c r="F164" i="27"/>
  <c r="G164" i="27"/>
  <c r="H164" i="27"/>
  <c r="I164" i="27"/>
  <c r="M164" i="27"/>
  <c r="N164" i="27"/>
  <c r="F165" i="27"/>
  <c r="G165" i="27"/>
  <c r="H165" i="27"/>
  <c r="I165" i="27"/>
  <c r="M165" i="27"/>
  <c r="N165" i="27"/>
  <c r="F166" i="27"/>
  <c r="G166" i="27"/>
  <c r="H166" i="27"/>
  <c r="I166" i="27"/>
  <c r="M166" i="27"/>
  <c r="N166" i="27"/>
  <c r="F167" i="27"/>
  <c r="G167" i="27"/>
  <c r="H167" i="27"/>
  <c r="I167" i="27"/>
  <c r="M167" i="27"/>
  <c r="N167" i="27"/>
  <c r="F168" i="27"/>
  <c r="G168" i="27"/>
  <c r="H168" i="27"/>
  <c r="I168" i="27"/>
  <c r="M168" i="27"/>
  <c r="N168" i="27"/>
  <c r="F169" i="27"/>
  <c r="G169" i="27"/>
  <c r="H169" i="27"/>
  <c r="I169" i="27"/>
  <c r="M169" i="27"/>
  <c r="N169" i="27"/>
  <c r="F170" i="27"/>
  <c r="G170" i="27"/>
  <c r="H170" i="27"/>
  <c r="I170" i="27"/>
  <c r="M170" i="27"/>
  <c r="N170" i="27"/>
  <c r="F171" i="27"/>
  <c r="G171" i="27"/>
  <c r="H171" i="27"/>
  <c r="I171" i="27"/>
  <c r="M171" i="27"/>
  <c r="N171" i="27"/>
  <c r="F172" i="27"/>
  <c r="G172" i="27"/>
  <c r="H172" i="27"/>
  <c r="I172" i="27"/>
  <c r="M172" i="27"/>
  <c r="N172" i="27"/>
  <c r="F173" i="27"/>
  <c r="G173" i="27"/>
  <c r="H173" i="27"/>
  <c r="I173" i="27"/>
  <c r="M173" i="27"/>
  <c r="N173" i="27"/>
  <c r="F174" i="27"/>
  <c r="G174" i="27"/>
  <c r="H174" i="27"/>
  <c r="I174" i="27"/>
  <c r="M174" i="27"/>
  <c r="N174" i="27"/>
  <c r="F175" i="27"/>
  <c r="G175" i="27"/>
  <c r="H175" i="27"/>
  <c r="I175" i="27"/>
  <c r="M175" i="27"/>
  <c r="N175" i="27"/>
  <c r="F176" i="27"/>
  <c r="G176" i="27"/>
  <c r="H176" i="27"/>
  <c r="I176" i="27"/>
  <c r="M176" i="27"/>
  <c r="N176" i="27"/>
  <c r="F177" i="27"/>
  <c r="G177" i="27"/>
  <c r="H177" i="27"/>
  <c r="I177" i="27"/>
  <c r="M177" i="27"/>
  <c r="N177" i="27"/>
  <c r="F178" i="27"/>
  <c r="G178" i="27"/>
  <c r="H178" i="27"/>
  <c r="I178" i="27"/>
  <c r="M178" i="27"/>
  <c r="N178" i="27"/>
  <c r="F179" i="27"/>
  <c r="G179" i="27"/>
  <c r="H179" i="27"/>
  <c r="I179" i="27"/>
  <c r="M179" i="27"/>
  <c r="N179" i="27"/>
  <c r="F180" i="27"/>
  <c r="G180" i="27"/>
  <c r="H180" i="27"/>
  <c r="I180" i="27"/>
  <c r="M180" i="27"/>
  <c r="N180" i="27"/>
  <c r="F181" i="27"/>
  <c r="G181" i="27"/>
  <c r="H181" i="27"/>
  <c r="I181" i="27"/>
  <c r="M181" i="27"/>
  <c r="N181" i="27"/>
  <c r="F182" i="27"/>
  <c r="G182" i="27"/>
  <c r="H182" i="27"/>
  <c r="I182" i="27"/>
  <c r="M182" i="27"/>
  <c r="N182" i="27"/>
  <c r="F183" i="27"/>
  <c r="G183" i="27"/>
  <c r="H183" i="27"/>
  <c r="I183" i="27"/>
  <c r="M183" i="27"/>
  <c r="N183" i="27"/>
  <c r="F184" i="27"/>
  <c r="G184" i="27"/>
  <c r="H184" i="27"/>
  <c r="I184" i="27"/>
  <c r="M184" i="27"/>
  <c r="N184" i="27"/>
  <c r="F185" i="27"/>
  <c r="G185" i="27"/>
  <c r="H185" i="27"/>
  <c r="I185" i="27"/>
  <c r="M185" i="27"/>
  <c r="N185" i="27"/>
  <c r="F186" i="27"/>
  <c r="G186" i="27"/>
  <c r="H186" i="27"/>
  <c r="I186" i="27"/>
  <c r="M186" i="27"/>
  <c r="N186" i="27"/>
  <c r="F187" i="27"/>
  <c r="G187" i="27"/>
  <c r="H187" i="27"/>
  <c r="I187" i="27"/>
  <c r="M187" i="27"/>
  <c r="N187" i="27"/>
  <c r="F188" i="27"/>
  <c r="G188" i="27"/>
  <c r="H188" i="27"/>
  <c r="I188" i="27"/>
  <c r="M188" i="27"/>
  <c r="N188" i="27"/>
  <c r="F189" i="27"/>
  <c r="G189" i="27"/>
  <c r="H189" i="27"/>
  <c r="I189" i="27"/>
  <c r="M189" i="27"/>
  <c r="N189" i="27"/>
  <c r="F190" i="27"/>
  <c r="G190" i="27"/>
  <c r="H190" i="27"/>
  <c r="I190" i="27"/>
  <c r="M190" i="27"/>
  <c r="N190" i="27"/>
  <c r="F191" i="27"/>
  <c r="G191" i="27"/>
  <c r="H191" i="27"/>
  <c r="I191" i="27"/>
  <c r="M191" i="27"/>
  <c r="N191" i="27"/>
  <c r="F192" i="27"/>
  <c r="G192" i="27"/>
  <c r="H192" i="27"/>
  <c r="I192" i="27"/>
  <c r="M192" i="27"/>
  <c r="N192" i="27"/>
  <c r="F193" i="27"/>
  <c r="G193" i="27"/>
  <c r="H193" i="27"/>
  <c r="I193" i="27"/>
  <c r="M193" i="27"/>
  <c r="N193" i="27"/>
  <c r="F194" i="27"/>
  <c r="G194" i="27"/>
  <c r="H194" i="27"/>
  <c r="I194" i="27"/>
  <c r="M194" i="27"/>
  <c r="N194" i="27"/>
  <c r="F195" i="27"/>
  <c r="G195" i="27"/>
  <c r="H195" i="27"/>
  <c r="I195" i="27"/>
  <c r="M195" i="27"/>
  <c r="N195" i="27"/>
  <c r="F196" i="27"/>
  <c r="G196" i="27"/>
  <c r="H196" i="27"/>
  <c r="I196" i="27"/>
  <c r="M196" i="27"/>
  <c r="N196" i="27"/>
  <c r="F197" i="27"/>
  <c r="G197" i="27"/>
  <c r="H197" i="27"/>
  <c r="I197" i="27"/>
  <c r="M197" i="27"/>
  <c r="N197" i="27"/>
  <c r="F198" i="27"/>
  <c r="G198" i="27"/>
  <c r="H198" i="27"/>
  <c r="I198" i="27"/>
  <c r="M198" i="27"/>
  <c r="N198" i="27"/>
  <c r="F199" i="27"/>
  <c r="G199" i="27"/>
  <c r="H199" i="27"/>
  <c r="I199" i="27"/>
  <c r="M199" i="27"/>
  <c r="N199" i="27"/>
  <c r="F200" i="27"/>
  <c r="G200" i="27"/>
  <c r="H200" i="27"/>
  <c r="I200" i="27"/>
  <c r="M200" i="27"/>
  <c r="N200" i="27"/>
  <c r="F201" i="27"/>
  <c r="G201" i="27"/>
  <c r="H201" i="27"/>
  <c r="I201" i="27"/>
  <c r="M201" i="27"/>
  <c r="N201" i="27"/>
  <c r="F202" i="27"/>
  <c r="G202" i="27"/>
  <c r="H202" i="27"/>
  <c r="I202" i="27"/>
  <c r="M202" i="27"/>
  <c r="N202" i="27"/>
  <c r="F203" i="27"/>
  <c r="G203" i="27"/>
  <c r="H203" i="27"/>
  <c r="I203" i="27"/>
  <c r="M203" i="27"/>
  <c r="N203" i="27"/>
  <c r="F204" i="27"/>
  <c r="G204" i="27"/>
  <c r="H204" i="27"/>
  <c r="I204" i="27"/>
  <c r="M204" i="27"/>
  <c r="N204" i="27"/>
  <c r="F205" i="27"/>
  <c r="G205" i="27"/>
  <c r="H205" i="27"/>
  <c r="I205" i="27"/>
  <c r="M205" i="27"/>
  <c r="N205" i="27"/>
  <c r="F206" i="27"/>
  <c r="G206" i="27"/>
  <c r="H206" i="27"/>
  <c r="I206" i="27"/>
  <c r="M206" i="27"/>
  <c r="N206" i="27"/>
  <c r="F207" i="27"/>
  <c r="G207" i="27"/>
  <c r="H207" i="27"/>
  <c r="I207" i="27"/>
  <c r="M207" i="27"/>
  <c r="N207" i="27"/>
  <c r="F208" i="27"/>
  <c r="G208" i="27"/>
  <c r="H208" i="27"/>
  <c r="I208" i="27"/>
  <c r="M208" i="27"/>
  <c r="N208" i="27"/>
  <c r="F209" i="27"/>
  <c r="G209" i="27"/>
  <c r="H209" i="27"/>
  <c r="I209" i="27"/>
  <c r="M209" i="27"/>
  <c r="N209" i="27"/>
  <c r="F210" i="27"/>
  <c r="G210" i="27"/>
  <c r="H210" i="27"/>
  <c r="I210" i="27"/>
  <c r="M210" i="27"/>
  <c r="N210" i="27"/>
  <c r="F211" i="27"/>
  <c r="G211" i="27"/>
  <c r="H211" i="27"/>
  <c r="I211" i="27"/>
  <c r="M211" i="27"/>
  <c r="N211" i="27"/>
  <c r="G102" i="27"/>
  <c r="H102" i="27"/>
  <c r="I102" i="27"/>
  <c r="M102" i="27"/>
  <c r="N102" i="27"/>
  <c r="O102" i="27"/>
  <c r="F102" i="27"/>
  <c r="F101" i="27"/>
  <c r="H101" i="27"/>
  <c r="I101" i="27"/>
  <c r="M101" i="27"/>
  <c r="N101" i="27"/>
  <c r="O101" i="27"/>
  <c r="R3" i="27"/>
  <c r="R4" i="27" s="1"/>
  <c r="R5" i="27" s="1"/>
  <c r="R6" i="27" s="1"/>
  <c r="R7" i="27" s="1"/>
  <c r="R8" i="27" s="1"/>
  <c r="R9" i="27" s="1"/>
  <c r="R10" i="27" s="1"/>
  <c r="R11" i="27" s="1"/>
  <c r="R12" i="27" s="1"/>
  <c r="R13" i="27" s="1"/>
  <c r="R14" i="27" s="1"/>
  <c r="R15" i="27" s="1"/>
  <c r="R16" i="27" s="1"/>
  <c r="R17" i="27" s="1"/>
  <c r="R18" i="27" s="1"/>
  <c r="R19" i="27" s="1"/>
  <c r="R20" i="27" s="1"/>
  <c r="R21" i="27" s="1"/>
  <c r="R22" i="27" s="1"/>
  <c r="R23" i="27" s="1"/>
  <c r="R24" i="27" s="1"/>
  <c r="R25" i="27" s="1"/>
  <c r="R26" i="27" s="1"/>
  <c r="R27" i="27" s="1"/>
  <c r="R28" i="27" s="1"/>
  <c r="R29" i="27" s="1"/>
  <c r="R30" i="27" s="1"/>
  <c r="R31" i="27" s="1"/>
  <c r="R32" i="27" s="1"/>
  <c r="R33" i="27" s="1"/>
  <c r="R34" i="27" s="1"/>
  <c r="R35" i="27" s="1"/>
  <c r="R36" i="27" s="1"/>
  <c r="R37" i="27" s="1"/>
  <c r="R38" i="27" s="1"/>
  <c r="R39" i="27" s="1"/>
  <c r="R40" i="27" s="1"/>
  <c r="R41" i="27" s="1"/>
  <c r="R42" i="27" s="1"/>
  <c r="R43" i="27" s="1"/>
  <c r="R44" i="27" s="1"/>
  <c r="R45" i="27" s="1"/>
  <c r="R46" i="27" s="1"/>
  <c r="R47" i="27" s="1"/>
  <c r="R48" i="27" s="1"/>
  <c r="R49" i="27" s="1"/>
  <c r="R50" i="27" s="1"/>
  <c r="R51" i="27" s="1"/>
  <c r="R52" i="27" s="1"/>
  <c r="R53" i="27" s="1"/>
  <c r="R54" i="27" s="1"/>
  <c r="R55" i="27" s="1"/>
  <c r="R56" i="27" s="1"/>
  <c r="R57" i="27" s="1"/>
  <c r="R58" i="27" s="1"/>
  <c r="R59" i="27" s="1"/>
  <c r="R60" i="27" s="1"/>
  <c r="R61" i="27" s="1"/>
  <c r="R62" i="27" s="1"/>
  <c r="R63" i="27" s="1"/>
  <c r="R64" i="27" s="1"/>
  <c r="R65" i="27" s="1"/>
  <c r="R66" i="27" s="1"/>
  <c r="R67" i="27" s="1"/>
  <c r="R68" i="27" s="1"/>
  <c r="R69" i="27" s="1"/>
  <c r="R70" i="27" s="1"/>
  <c r="R71" i="27" s="1"/>
  <c r="R72" i="27" s="1"/>
  <c r="R73" i="27" s="1"/>
  <c r="R74" i="27" s="1"/>
  <c r="R75" i="27" s="1"/>
  <c r="R76" i="27" s="1"/>
  <c r="R77" i="27" s="1"/>
  <c r="R78" i="27" s="1"/>
  <c r="R79" i="27" s="1"/>
  <c r="R80" i="27" s="1"/>
  <c r="R81" i="27" s="1"/>
  <c r="R82" i="27" s="1"/>
  <c r="R83" i="27" s="1"/>
  <c r="R84" i="27" s="1"/>
  <c r="R85" i="27" s="1"/>
  <c r="R86" i="27" s="1"/>
  <c r="R87" i="27" s="1"/>
  <c r="R88" i="27" s="1"/>
  <c r="R89" i="27" s="1"/>
  <c r="R90" i="27" s="1"/>
  <c r="R91" i="27" s="1"/>
  <c r="R92" i="27" s="1"/>
  <c r="R93" i="27" s="1"/>
  <c r="R94" i="27" s="1"/>
  <c r="R95" i="27" s="1"/>
  <c r="R96" i="27" s="1"/>
  <c r="R97" i="27" s="1"/>
  <c r="R98" i="27" s="1"/>
  <c r="R99" i="27" s="1"/>
  <c r="R100" i="27" s="1"/>
  <c r="R101" i="27" s="1"/>
  <c r="R102" i="27" s="1"/>
  <c r="R103" i="27" s="1"/>
  <c r="R104" i="27" s="1"/>
  <c r="R105" i="27" s="1"/>
  <c r="R106" i="27" s="1"/>
  <c r="R107" i="27" s="1"/>
  <c r="R108" i="27" s="1"/>
  <c r="R109" i="27" s="1"/>
  <c r="R110" i="27" s="1"/>
  <c r="R111" i="27" s="1"/>
  <c r="R112" i="27" s="1"/>
  <c r="R113" i="27" s="1"/>
  <c r="R114" i="27" s="1"/>
  <c r="R115" i="27" s="1"/>
  <c r="R116" i="27" s="1"/>
  <c r="R117" i="27" s="1"/>
  <c r="R118" i="27" s="1"/>
  <c r="R119" i="27" s="1"/>
  <c r="R120" i="27" s="1"/>
  <c r="R121" i="27" s="1"/>
  <c r="R122" i="27" s="1"/>
  <c r="R123" i="27" s="1"/>
  <c r="R124" i="27" s="1"/>
  <c r="R125" i="27" s="1"/>
  <c r="R126" i="27" s="1"/>
  <c r="R127" i="27" s="1"/>
  <c r="R128" i="27" s="1"/>
  <c r="R129" i="27" s="1"/>
  <c r="R130" i="27" s="1"/>
  <c r="R131" i="27" s="1"/>
  <c r="R132" i="27" s="1"/>
  <c r="R133" i="27" s="1"/>
  <c r="R134" i="27" s="1"/>
  <c r="R135" i="27" s="1"/>
  <c r="R136" i="27" s="1"/>
  <c r="R137" i="27" s="1"/>
  <c r="R138" i="27" s="1"/>
  <c r="R139" i="27" s="1"/>
  <c r="R140" i="27" s="1"/>
  <c r="R141" i="27" s="1"/>
  <c r="R142" i="27" s="1"/>
  <c r="R143" i="27" s="1"/>
  <c r="R144" i="27" s="1"/>
  <c r="R145" i="27" s="1"/>
  <c r="R146" i="27" s="1"/>
  <c r="R147" i="27" s="1"/>
  <c r="R148" i="27" s="1"/>
  <c r="R149" i="27" s="1"/>
  <c r="R150" i="27" s="1"/>
  <c r="R151" i="27" s="1"/>
  <c r="R152" i="27" s="1"/>
  <c r="R153" i="27" s="1"/>
  <c r="R154" i="27" s="1"/>
  <c r="R155" i="27" s="1"/>
  <c r="R156" i="27" s="1"/>
  <c r="R157" i="27" s="1"/>
  <c r="R158" i="27" s="1"/>
  <c r="R159" i="27" s="1"/>
  <c r="R160" i="27" s="1"/>
  <c r="R161" i="27" s="1"/>
  <c r="R162" i="27" s="1"/>
  <c r="R163" i="27" s="1"/>
  <c r="R164" i="27" s="1"/>
  <c r="R165" i="27" s="1"/>
  <c r="R166" i="27" s="1"/>
  <c r="R167" i="27" s="1"/>
  <c r="R168" i="27" s="1"/>
  <c r="R169" i="27" s="1"/>
  <c r="R170" i="27" s="1"/>
  <c r="R171" i="27" s="1"/>
  <c r="R172" i="27" s="1"/>
  <c r="R173" i="27" s="1"/>
  <c r="R174" i="27" s="1"/>
  <c r="R175" i="27" s="1"/>
  <c r="R176" i="27" s="1"/>
  <c r="R177" i="27" s="1"/>
  <c r="R178" i="27" s="1"/>
  <c r="R179" i="27" s="1"/>
  <c r="R180" i="27" s="1"/>
  <c r="R181" i="27" s="1"/>
  <c r="R182" i="27" s="1"/>
  <c r="R183" i="27" s="1"/>
  <c r="R184" i="27" s="1"/>
  <c r="R185" i="27" s="1"/>
  <c r="R186" i="27" s="1"/>
  <c r="R187" i="27" s="1"/>
  <c r="R188" i="27" s="1"/>
  <c r="R189" i="27" s="1"/>
  <c r="R190" i="27" s="1"/>
  <c r="R191" i="27" s="1"/>
  <c r="R192" i="27" s="1"/>
  <c r="R193" i="27" s="1"/>
  <c r="R194" i="27" s="1"/>
  <c r="R195" i="27" s="1"/>
  <c r="R196" i="27" s="1"/>
  <c r="R197" i="27" s="1"/>
  <c r="R198" i="27" s="1"/>
  <c r="R199" i="27" s="1"/>
  <c r="R200" i="27" s="1"/>
  <c r="R201" i="27" s="1"/>
  <c r="R202" i="27" s="1"/>
  <c r="R203" i="27" s="1"/>
  <c r="R204" i="27" s="1"/>
  <c r="R205" i="27" s="1"/>
  <c r="R206" i="27" s="1"/>
  <c r="R207" i="27" s="1"/>
  <c r="R208" i="27" s="1"/>
  <c r="R209" i="27" s="1"/>
  <c r="R210" i="27" s="1"/>
  <c r="R211" i="27" s="1"/>
  <c r="R212" i="27" s="1"/>
  <c r="R213" i="27" s="1"/>
  <c r="R214" i="27" s="1"/>
  <c r="R215" i="27" s="1"/>
  <c r="R216" i="27" s="1"/>
  <c r="R217" i="27" s="1"/>
  <c r="R218" i="27" s="1"/>
  <c r="R219" i="27" s="1"/>
  <c r="R220" i="27" s="1"/>
  <c r="R221" i="27" s="1"/>
  <c r="R222" i="27" s="1"/>
  <c r="R223" i="27" s="1"/>
  <c r="R224" i="27" s="1"/>
  <c r="R225" i="27" s="1"/>
  <c r="R226" i="27" s="1"/>
  <c r="R227" i="27" s="1"/>
  <c r="R228" i="27" s="1"/>
  <c r="R229" i="27" s="1"/>
  <c r="R230" i="27" s="1"/>
  <c r="R231" i="27" s="1"/>
  <c r="R232" i="27" s="1"/>
  <c r="R233" i="27" s="1"/>
  <c r="R234" i="27" s="1"/>
  <c r="R235" i="27" s="1"/>
  <c r="R236" i="27" s="1"/>
  <c r="R237" i="27" s="1"/>
  <c r="R238" i="27" s="1"/>
  <c r="R239" i="27" s="1"/>
  <c r="R240" i="27" s="1"/>
  <c r="R241" i="27" s="1"/>
  <c r="R242" i="27" s="1"/>
  <c r="R243" i="27" s="1"/>
  <c r="R244" i="27" s="1"/>
  <c r="R245" i="27" s="1"/>
  <c r="R246" i="27" s="1"/>
  <c r="R247" i="27" s="1"/>
  <c r="R248" i="27" s="1"/>
  <c r="R249" i="27" s="1"/>
  <c r="R250" i="27" s="1"/>
  <c r="R251" i="27" s="1"/>
  <c r="R252" i="27" s="1"/>
  <c r="R253" i="27" s="1"/>
  <c r="R254" i="27" s="1"/>
  <c r="R255" i="27" s="1"/>
  <c r="R256" i="27" s="1"/>
  <c r="R257" i="27" s="1"/>
  <c r="R258" i="27" s="1"/>
  <c r="R259" i="27" s="1"/>
  <c r="R260" i="27" s="1"/>
  <c r="R261" i="27" s="1"/>
  <c r="R262" i="27" s="1"/>
  <c r="R263" i="27" s="1"/>
  <c r="R264" i="27" s="1"/>
  <c r="R265" i="27" s="1"/>
  <c r="R266" i="27" s="1"/>
  <c r="R267" i="27" s="1"/>
  <c r="R268" i="27" s="1"/>
  <c r="R269" i="27" s="1"/>
  <c r="R270" i="27" s="1"/>
  <c r="R271" i="27" s="1"/>
  <c r="R272" i="27" s="1"/>
  <c r="R273" i="27" s="1"/>
  <c r="R274" i="27" s="1"/>
  <c r="R275" i="27" s="1"/>
  <c r="R276" i="27" s="1"/>
  <c r="R277" i="27" s="1"/>
  <c r="R278" i="27" s="1"/>
  <c r="R279" i="27" s="1"/>
  <c r="R280" i="27" s="1"/>
  <c r="R281" i="27" s="1"/>
  <c r="R282" i="27" s="1"/>
  <c r="R283" i="27" s="1"/>
  <c r="R284" i="27" s="1"/>
  <c r="R285" i="27" s="1"/>
  <c r="R286" i="27" s="1"/>
  <c r="R287" i="27" s="1"/>
  <c r="R288" i="27" s="1"/>
  <c r="R289" i="27" s="1"/>
  <c r="R290" i="27" s="1"/>
  <c r="R291" i="27" s="1"/>
  <c r="R292" i="27" s="1"/>
  <c r="R293" i="27" s="1"/>
  <c r="R294" i="27" s="1"/>
  <c r="R295" i="27" s="1"/>
  <c r="R296" i="27" s="1"/>
  <c r="R297" i="27" s="1"/>
  <c r="R298" i="27" s="1"/>
  <c r="R299" i="27" s="1"/>
  <c r="R300" i="27" s="1"/>
  <c r="R301" i="27" s="1"/>
  <c r="R302" i="27" s="1"/>
  <c r="R303" i="27" s="1"/>
  <c r="R304" i="27" s="1"/>
  <c r="R305" i="27" s="1"/>
  <c r="R306" i="27" s="1"/>
  <c r="R307" i="27" s="1"/>
  <c r="R308" i="27" s="1"/>
  <c r="R309" i="27" s="1"/>
  <c r="R310" i="27" s="1"/>
  <c r="R311" i="27" s="1"/>
  <c r="R312" i="27" s="1"/>
  <c r="R313" i="27" s="1"/>
  <c r="R314" i="27" s="1"/>
  <c r="R315" i="27" s="1"/>
  <c r="R316" i="27" s="1"/>
  <c r="R317" i="27" s="1"/>
  <c r="R318" i="27" s="1"/>
  <c r="R319" i="27" s="1"/>
  <c r="R320" i="27" s="1"/>
  <c r="R321" i="27" s="1"/>
  <c r="R322" i="27" s="1"/>
  <c r="R323" i="27" s="1"/>
  <c r="R324" i="27" s="1"/>
  <c r="R325" i="27" s="1"/>
  <c r="R326" i="27" s="1"/>
  <c r="R327" i="27" s="1"/>
  <c r="R328" i="27" s="1"/>
  <c r="R329" i="27" s="1"/>
  <c r="R330" i="27" s="1"/>
  <c r="R331" i="27" s="1"/>
  <c r="R332" i="27" s="1"/>
  <c r="R333" i="27" s="1"/>
  <c r="R334" i="27" s="1"/>
  <c r="R335" i="27" s="1"/>
  <c r="R336" i="27" s="1"/>
  <c r="R337" i="27" s="1"/>
  <c r="R338" i="27" s="1"/>
  <c r="R339" i="27" s="1"/>
  <c r="R340" i="27" s="1"/>
  <c r="R341" i="27" s="1"/>
  <c r="R342" i="27" s="1"/>
  <c r="R343" i="27" s="1"/>
  <c r="R344" i="27" s="1"/>
  <c r="R345" i="27" s="1"/>
  <c r="R346" i="27" s="1"/>
  <c r="R347" i="27" s="1"/>
  <c r="R348" i="27" s="1"/>
  <c r="R349" i="27" s="1"/>
  <c r="R350" i="27" s="1"/>
  <c r="R351" i="27" s="1"/>
  <c r="R352" i="27" s="1"/>
  <c r="R353" i="27" s="1"/>
  <c r="R354" i="27" s="1"/>
  <c r="R355" i="27" s="1"/>
  <c r="R356" i="27" s="1"/>
  <c r="R357" i="27" s="1"/>
  <c r="R358" i="27" s="1"/>
  <c r="R359" i="27" s="1"/>
  <c r="R360" i="27" s="1"/>
  <c r="R361" i="27" s="1"/>
  <c r="R362" i="27" s="1"/>
  <c r="R363" i="27" s="1"/>
  <c r="R364" i="27" s="1"/>
  <c r="R365" i="27" s="1"/>
  <c r="R366" i="27" s="1"/>
  <c r="R367" i="27" s="1"/>
  <c r="R368" i="27" s="1"/>
  <c r="R369" i="27" s="1"/>
  <c r="R370" i="27" s="1"/>
  <c r="R371" i="27" s="1"/>
  <c r="R372" i="27" s="1"/>
  <c r="R373" i="27" s="1"/>
  <c r="R374" i="27" s="1"/>
  <c r="R375" i="27" s="1"/>
  <c r="R376" i="27" s="1"/>
  <c r="R377" i="27" s="1"/>
  <c r="R378" i="27" s="1"/>
  <c r="R379" i="27" s="1"/>
  <c r="R380" i="27" s="1"/>
  <c r="R381" i="27" s="1"/>
  <c r="R382" i="27" s="1"/>
  <c r="R383" i="27" s="1"/>
  <c r="R384" i="27" s="1"/>
  <c r="R385" i="27" s="1"/>
  <c r="R386" i="27" s="1"/>
  <c r="R387" i="27" s="1"/>
  <c r="R388" i="27" s="1"/>
  <c r="R389" i="27" s="1"/>
  <c r="R390" i="27" s="1"/>
  <c r="R391" i="27" s="1"/>
  <c r="R392" i="27" s="1"/>
  <c r="R393" i="27" s="1"/>
  <c r="R394" i="27" s="1"/>
  <c r="R395" i="27" s="1"/>
  <c r="R396" i="27" s="1"/>
  <c r="R397" i="27" s="1"/>
  <c r="R398" i="27" s="1"/>
  <c r="R399" i="27" s="1"/>
  <c r="R400" i="27" s="1"/>
  <c r="R401" i="27" s="1"/>
  <c r="R402" i="27" s="1"/>
  <c r="R403" i="27" s="1"/>
  <c r="R404" i="27" s="1"/>
  <c r="R405" i="27" s="1"/>
  <c r="R406" i="27" s="1"/>
  <c r="R407" i="27" s="1"/>
  <c r="R408" i="27" s="1"/>
  <c r="R409" i="27" s="1"/>
  <c r="R410" i="27" s="1"/>
  <c r="R411" i="27" s="1"/>
  <c r="R412" i="27" s="1"/>
  <c r="R413" i="27" s="1"/>
  <c r="R414" i="27" s="1"/>
  <c r="R415" i="27" s="1"/>
  <c r="R416" i="27" s="1"/>
  <c r="R417" i="27" s="1"/>
  <c r="R418" i="27" s="1"/>
  <c r="R419" i="27" s="1"/>
  <c r="R420" i="27" s="1"/>
  <c r="R421" i="27" s="1"/>
  <c r="R422" i="27" s="1"/>
  <c r="R423" i="27" s="1"/>
  <c r="R424" i="27" s="1"/>
  <c r="R425" i="27" s="1"/>
  <c r="R426" i="27" s="1"/>
  <c r="R427" i="27" s="1"/>
  <c r="R428" i="27" s="1"/>
  <c r="R429" i="27" s="1"/>
  <c r="R430" i="27" s="1"/>
  <c r="R431" i="27" s="1"/>
  <c r="R432" i="27" s="1"/>
  <c r="R433" i="27" s="1"/>
  <c r="R434" i="27" s="1"/>
  <c r="R435" i="27" s="1"/>
  <c r="R436" i="27" s="1"/>
  <c r="R437" i="27" s="1"/>
  <c r="R438" i="27" s="1"/>
  <c r="R439" i="27" s="1"/>
  <c r="R440" i="27" s="1"/>
  <c r="R441" i="27" s="1"/>
  <c r="R442" i="27" s="1"/>
  <c r="R443" i="27" s="1"/>
  <c r="R444" i="27" s="1"/>
  <c r="R445" i="27" s="1"/>
  <c r="R446" i="27" s="1"/>
  <c r="R447" i="27" s="1"/>
  <c r="R448" i="27" s="1"/>
  <c r="R449" i="27" s="1"/>
  <c r="R450" i="27" s="1"/>
  <c r="R451" i="27" s="1"/>
  <c r="R452" i="27" s="1"/>
  <c r="R453" i="27" s="1"/>
  <c r="R454" i="27" s="1"/>
  <c r="R455" i="27" s="1"/>
  <c r="R456" i="27" s="1"/>
  <c r="R457" i="27" s="1"/>
  <c r="R458" i="27" s="1"/>
  <c r="R459" i="27" s="1"/>
  <c r="R460" i="27" s="1"/>
  <c r="R461" i="27" s="1"/>
  <c r="R462" i="27" s="1"/>
  <c r="R463" i="27" s="1"/>
  <c r="R464" i="27" s="1"/>
  <c r="R465" i="27" s="1"/>
  <c r="R466" i="27" s="1"/>
  <c r="R467" i="27" s="1"/>
  <c r="R468" i="27" s="1"/>
  <c r="R469" i="27" s="1"/>
  <c r="R470" i="27" s="1"/>
  <c r="R471" i="27" s="1"/>
  <c r="R472" i="27" s="1"/>
  <c r="R473" i="27" s="1"/>
  <c r="R474" i="27" s="1"/>
  <c r="R475" i="27" s="1"/>
  <c r="R476" i="27" s="1"/>
  <c r="R477" i="27" s="1"/>
  <c r="R478" i="27" s="1"/>
  <c r="R479" i="27" s="1"/>
  <c r="R480" i="27" s="1"/>
  <c r="R481" i="27" s="1"/>
  <c r="R482" i="27" s="1"/>
  <c r="R483" i="27" s="1"/>
  <c r="R484" i="27" s="1"/>
  <c r="R485" i="27" s="1"/>
  <c r="R486" i="27" s="1"/>
  <c r="R487" i="27" s="1"/>
  <c r="R488" i="27" s="1"/>
  <c r="R489" i="27" s="1"/>
  <c r="R490" i="27" s="1"/>
  <c r="R491" i="27" s="1"/>
  <c r="R492" i="27" s="1"/>
  <c r="R493" i="27" s="1"/>
  <c r="R494" i="27" s="1"/>
  <c r="R495" i="27" s="1"/>
  <c r="R496" i="27" s="1"/>
  <c r="R497" i="27" s="1"/>
  <c r="R498" i="27" s="1"/>
  <c r="R499" i="27" s="1"/>
  <c r="R500" i="27" s="1"/>
  <c r="R501" i="27" s="1"/>
  <c r="R502" i="27" s="1"/>
  <c r="R503" i="27" s="1"/>
  <c r="R504" i="27" s="1"/>
  <c r="R505" i="27" s="1"/>
  <c r="R506" i="27" s="1"/>
  <c r="R507" i="27" s="1"/>
  <c r="R508" i="27" s="1"/>
  <c r="R509" i="27" s="1"/>
  <c r="R510" i="27" s="1"/>
  <c r="R511" i="27" s="1"/>
  <c r="R512" i="27" s="1"/>
  <c r="R513" i="27" s="1"/>
  <c r="R514" i="27" s="1"/>
  <c r="R515" i="27" s="1"/>
  <c r="R516" i="27" s="1"/>
  <c r="R517" i="27" s="1"/>
  <c r="R518" i="27" s="1"/>
  <c r="R519" i="27" s="1"/>
  <c r="R520" i="27" s="1"/>
  <c r="R521" i="27" s="1"/>
  <c r="R522" i="27" s="1"/>
  <c r="R523" i="27" s="1"/>
  <c r="R524" i="27" s="1"/>
  <c r="R525" i="27" s="1"/>
  <c r="R526" i="27" s="1"/>
  <c r="R527" i="27" s="1"/>
  <c r="R528" i="27" s="1"/>
  <c r="R529" i="27" s="1"/>
  <c r="R530" i="27" s="1"/>
  <c r="R531" i="27" s="1"/>
  <c r="R532" i="27" s="1"/>
  <c r="R533" i="27" s="1"/>
  <c r="R534" i="27" s="1"/>
  <c r="R535" i="27" s="1"/>
  <c r="R536" i="27" s="1"/>
  <c r="R537" i="27" s="1"/>
  <c r="R538" i="27" s="1"/>
  <c r="R539" i="27" s="1"/>
  <c r="R540" i="27" s="1"/>
  <c r="R541" i="27" s="1"/>
  <c r="R542" i="27" s="1"/>
  <c r="R543" i="27" s="1"/>
  <c r="R544" i="27" s="1"/>
  <c r="R545" i="27" s="1"/>
  <c r="R546" i="27" s="1"/>
  <c r="R547" i="27" s="1"/>
  <c r="R548" i="27" s="1"/>
  <c r="R549" i="27" s="1"/>
  <c r="R550" i="27" s="1"/>
  <c r="R551" i="27" s="1"/>
  <c r="R552" i="27" s="1"/>
  <c r="R553" i="27" s="1"/>
  <c r="R554" i="27" s="1"/>
  <c r="R555" i="27" s="1"/>
  <c r="R556" i="27" s="1"/>
  <c r="R557" i="27" s="1"/>
  <c r="R558" i="27" s="1"/>
  <c r="R559" i="27" s="1"/>
  <c r="R560" i="27" s="1"/>
  <c r="R561" i="27" s="1"/>
  <c r="R562" i="27" s="1"/>
  <c r="R563" i="27" s="1"/>
  <c r="R564" i="27" s="1"/>
  <c r="R565" i="27" s="1"/>
  <c r="R566" i="27" s="1"/>
  <c r="R567" i="27" s="1"/>
  <c r="R568" i="27" s="1"/>
  <c r="R569" i="27" s="1"/>
  <c r="R570" i="27" s="1"/>
  <c r="R571" i="27" s="1"/>
  <c r="R572" i="27" s="1"/>
  <c r="R573" i="27" s="1"/>
  <c r="R574" i="27" s="1"/>
  <c r="R575" i="27" s="1"/>
  <c r="R576" i="27" s="1"/>
  <c r="R577" i="27" s="1"/>
  <c r="R578" i="27" s="1"/>
  <c r="R579" i="27" s="1"/>
  <c r="R580" i="27" s="1"/>
  <c r="R581" i="27" s="1"/>
  <c r="R582" i="27" s="1"/>
  <c r="R583" i="27" s="1"/>
  <c r="R584" i="27" s="1"/>
  <c r="R585" i="27" s="1"/>
  <c r="R586" i="27" s="1"/>
  <c r="R587" i="27" s="1"/>
  <c r="R588" i="27" s="1"/>
  <c r="R589" i="27" s="1"/>
  <c r="R590" i="27" s="1"/>
  <c r="R591" i="27" s="1"/>
  <c r="R592" i="27" s="1"/>
  <c r="R593" i="27" s="1"/>
  <c r="R594" i="27" s="1"/>
  <c r="R595" i="27" s="1"/>
  <c r="R596" i="27" s="1"/>
  <c r="R597" i="27" s="1"/>
  <c r="R598" i="27" s="1"/>
  <c r="R599" i="27" s="1"/>
  <c r="R600" i="27" s="1"/>
  <c r="R601" i="27" s="1"/>
  <c r="R602" i="27" s="1"/>
  <c r="R603" i="27" s="1"/>
  <c r="R604" i="27" s="1"/>
  <c r="R605" i="27" s="1"/>
  <c r="R606" i="27" s="1"/>
  <c r="R607" i="27" s="1"/>
  <c r="R608" i="27" s="1"/>
  <c r="R609" i="27" s="1"/>
  <c r="R610" i="27" s="1"/>
  <c r="R611" i="27" s="1"/>
  <c r="R612" i="27" s="1"/>
  <c r="R613" i="27" s="1"/>
  <c r="R614" i="27" s="1"/>
  <c r="R615" i="27" s="1"/>
  <c r="R616" i="27" s="1"/>
  <c r="R617" i="27" s="1"/>
  <c r="R618" i="27" s="1"/>
  <c r="R619" i="27" s="1"/>
  <c r="R620" i="27" s="1"/>
  <c r="R621" i="27" s="1"/>
  <c r="R622" i="27" s="1"/>
  <c r="R623" i="27" s="1"/>
  <c r="R624" i="27" s="1"/>
  <c r="R625" i="27" s="1"/>
  <c r="R626" i="27" s="1"/>
  <c r="R627" i="27" s="1"/>
  <c r="R628" i="27" s="1"/>
  <c r="R629" i="27" s="1"/>
  <c r="R630" i="27" s="1"/>
  <c r="R631" i="27" s="1"/>
  <c r="R632" i="27" s="1"/>
  <c r="R633" i="27" s="1"/>
  <c r="R634" i="27" s="1"/>
  <c r="R635" i="27" s="1"/>
  <c r="R636" i="27" s="1"/>
  <c r="R637" i="27" s="1"/>
  <c r="R638" i="27" s="1"/>
  <c r="R639" i="27" s="1"/>
  <c r="R640" i="27" s="1"/>
  <c r="R641" i="27" s="1"/>
  <c r="R642" i="27" s="1"/>
  <c r="R643" i="27" s="1"/>
  <c r="R644" i="27" s="1"/>
  <c r="R645" i="27" s="1"/>
  <c r="R646" i="27" s="1"/>
  <c r="R647" i="27" s="1"/>
  <c r="R648" i="27" s="1"/>
  <c r="R649" i="27" s="1"/>
  <c r="R650" i="27" s="1"/>
  <c r="R651" i="27" s="1"/>
  <c r="R652" i="27" s="1"/>
  <c r="R653" i="27" s="1"/>
  <c r="R654" i="27" s="1"/>
  <c r="R655" i="27" s="1"/>
  <c r="R656" i="27" s="1"/>
  <c r="R657" i="27" s="1"/>
  <c r="R658" i="27" s="1"/>
  <c r="R659" i="27" s="1"/>
  <c r="R660" i="27" s="1"/>
  <c r="R661" i="27" s="1"/>
  <c r="R662" i="27" s="1"/>
  <c r="R663" i="27" s="1"/>
  <c r="R664" i="27" s="1"/>
  <c r="R665" i="27" s="1"/>
  <c r="R666" i="27" s="1"/>
  <c r="R667" i="27" s="1"/>
  <c r="R668" i="27" s="1"/>
  <c r="R669" i="27" s="1"/>
  <c r="R670" i="27" s="1"/>
  <c r="R671" i="27" s="1"/>
  <c r="R672" i="27" s="1"/>
  <c r="R673" i="27" s="1"/>
  <c r="R674" i="27" s="1"/>
  <c r="R675" i="27" s="1"/>
  <c r="R676" i="27" s="1"/>
  <c r="R677" i="27" s="1"/>
  <c r="R678" i="27" s="1"/>
  <c r="R679" i="27" s="1"/>
  <c r="R680" i="27" s="1"/>
  <c r="R681" i="27" s="1"/>
  <c r="R682" i="27" s="1"/>
  <c r="R683" i="27" s="1"/>
  <c r="R684" i="27" s="1"/>
  <c r="R685" i="27" s="1"/>
  <c r="R686" i="27" s="1"/>
  <c r="R687" i="27" s="1"/>
  <c r="R688" i="27" s="1"/>
  <c r="R689" i="27" s="1"/>
  <c r="R690" i="27" s="1"/>
  <c r="R691" i="27" s="1"/>
  <c r="R692" i="27" s="1"/>
  <c r="R693" i="27" s="1"/>
  <c r="R694" i="27" s="1"/>
  <c r="R695" i="27" s="1"/>
  <c r="R696" i="27" s="1"/>
  <c r="R697" i="27" s="1"/>
  <c r="R698" i="27" s="1"/>
  <c r="R699" i="27" s="1"/>
  <c r="R700" i="27" s="1"/>
  <c r="R701" i="27" s="1"/>
  <c r="R702" i="27" s="1"/>
  <c r="R703" i="27" s="1"/>
  <c r="R704" i="27" s="1"/>
  <c r="R705" i="27" s="1"/>
  <c r="R706" i="27" s="1"/>
  <c r="R707" i="27" s="1"/>
  <c r="R708" i="27" s="1"/>
  <c r="R709" i="27" s="1"/>
  <c r="R710" i="27" s="1"/>
  <c r="R711" i="27" s="1"/>
  <c r="R712" i="27" s="1"/>
  <c r="R713" i="27" s="1"/>
  <c r="R714" i="27" s="1"/>
  <c r="R715" i="27" s="1"/>
  <c r="R716" i="27" s="1"/>
  <c r="R717" i="27" s="1"/>
  <c r="R718" i="27" s="1"/>
  <c r="R719" i="27" s="1"/>
  <c r="R720" i="27" s="1"/>
  <c r="R721" i="27" s="1"/>
  <c r="R722" i="27" s="1"/>
  <c r="R723" i="27" s="1"/>
  <c r="R724" i="27" s="1"/>
  <c r="R725" i="27" s="1"/>
  <c r="R726" i="27" s="1"/>
  <c r="R727" i="27" s="1"/>
  <c r="R728" i="27" s="1"/>
  <c r="R729" i="27" s="1"/>
  <c r="R730" i="27" s="1"/>
  <c r="R731" i="27" s="1"/>
  <c r="R732" i="27" s="1"/>
  <c r="R733" i="27" s="1"/>
  <c r="R734" i="27" s="1"/>
  <c r="R735" i="27" s="1"/>
  <c r="R736" i="27" s="1"/>
  <c r="R737" i="27" s="1"/>
  <c r="R738" i="27" s="1"/>
  <c r="R739" i="27" s="1"/>
  <c r="R740" i="27" s="1"/>
  <c r="R741" i="27" s="1"/>
  <c r="R742" i="27" s="1"/>
  <c r="R743" i="27" s="1"/>
  <c r="R744" i="27" s="1"/>
  <c r="R745" i="27" s="1"/>
  <c r="R746" i="27" s="1"/>
  <c r="R747" i="27" s="1"/>
  <c r="R748" i="27" s="1"/>
  <c r="R749" i="27" s="1"/>
  <c r="R750" i="27" s="1"/>
  <c r="R751" i="27" s="1"/>
  <c r="R752" i="27" s="1"/>
  <c r="R753" i="27" s="1"/>
  <c r="R754" i="27" s="1"/>
  <c r="R755" i="27" s="1"/>
  <c r="R756" i="27" s="1"/>
  <c r="R757" i="27" s="1"/>
  <c r="R758" i="27" s="1"/>
  <c r="R759" i="27" s="1"/>
  <c r="R760" i="27" s="1"/>
  <c r="R761" i="27" s="1"/>
  <c r="R762" i="27" s="1"/>
  <c r="R763" i="27" s="1"/>
  <c r="R764" i="27" s="1"/>
  <c r="R765" i="27" s="1"/>
  <c r="R766" i="27" s="1"/>
  <c r="R767" i="27" s="1"/>
  <c r="R768" i="27" s="1"/>
  <c r="R769" i="27" s="1"/>
  <c r="R770" i="27" s="1"/>
  <c r="R771" i="27" s="1"/>
  <c r="R772" i="27" s="1"/>
  <c r="R773" i="27" s="1"/>
  <c r="R774" i="27" s="1"/>
  <c r="R775" i="27" s="1"/>
  <c r="R776" i="27" s="1"/>
  <c r="R777" i="27" s="1"/>
  <c r="R778" i="27" s="1"/>
  <c r="R779" i="27" s="1"/>
  <c r="R780" i="27" s="1"/>
  <c r="R781" i="27" s="1"/>
  <c r="R782" i="27" s="1"/>
  <c r="R783" i="27" s="1"/>
  <c r="R784" i="27" s="1"/>
  <c r="R785" i="27" s="1"/>
  <c r="R786" i="27" s="1"/>
  <c r="R787" i="27" s="1"/>
  <c r="R788" i="27" s="1"/>
  <c r="R789" i="27" s="1"/>
  <c r="R790" i="27" s="1"/>
  <c r="R791" i="27" s="1"/>
  <c r="R792" i="27" s="1"/>
  <c r="R793" i="27" s="1"/>
  <c r="R794" i="27" s="1"/>
  <c r="R795" i="27" s="1"/>
  <c r="R796" i="27" s="1"/>
  <c r="R797" i="27" s="1"/>
  <c r="R798" i="27" s="1"/>
  <c r="R799" i="27" s="1"/>
  <c r="R800" i="27" s="1"/>
  <c r="R801" i="27" s="1"/>
  <c r="R802" i="27" s="1"/>
  <c r="R803" i="27" s="1"/>
  <c r="R804" i="27" s="1"/>
  <c r="R805" i="27" s="1"/>
  <c r="R806" i="27" s="1"/>
  <c r="R807" i="27" s="1"/>
  <c r="R808" i="27" s="1"/>
  <c r="R809" i="27" s="1"/>
  <c r="R810" i="27" s="1"/>
  <c r="R811" i="27" s="1"/>
  <c r="R812" i="27" s="1"/>
  <c r="R813" i="27" s="1"/>
  <c r="R814" i="27" s="1"/>
  <c r="R815" i="27" s="1"/>
  <c r="R816" i="27" s="1"/>
  <c r="R817" i="27" s="1"/>
  <c r="R818" i="27" s="1"/>
  <c r="R819" i="27" s="1"/>
  <c r="R820" i="27" s="1"/>
  <c r="R821" i="27" s="1"/>
  <c r="R822" i="27" s="1"/>
  <c r="R823" i="27" s="1"/>
  <c r="R824" i="27" s="1"/>
  <c r="R825" i="27" s="1"/>
  <c r="R826" i="27" s="1"/>
  <c r="R827" i="27" s="1"/>
  <c r="R828" i="27" s="1"/>
  <c r="R829" i="27" s="1"/>
  <c r="R830" i="27" s="1"/>
  <c r="R831" i="27" s="1"/>
  <c r="R832" i="27" s="1"/>
  <c r="R833" i="27" s="1"/>
  <c r="R834" i="27" s="1"/>
  <c r="R835" i="27" s="1"/>
  <c r="R836" i="27" s="1"/>
  <c r="R837" i="27" s="1"/>
  <c r="R838" i="27" s="1"/>
  <c r="R839" i="27" s="1"/>
  <c r="R840" i="27" s="1"/>
  <c r="R841" i="27" s="1"/>
  <c r="R842" i="27" s="1"/>
  <c r="R843" i="27" s="1"/>
  <c r="R844" i="27" s="1"/>
  <c r="R845" i="27" s="1"/>
  <c r="R846" i="27" s="1"/>
  <c r="R847" i="27" s="1"/>
  <c r="R848" i="27" s="1"/>
  <c r="R849" i="27" s="1"/>
  <c r="R850" i="27" s="1"/>
  <c r="R851" i="27" s="1"/>
  <c r="R852" i="27" s="1"/>
  <c r="R853" i="27" s="1"/>
  <c r="R854" i="27" s="1"/>
  <c r="R855" i="27" s="1"/>
  <c r="R856" i="27" s="1"/>
  <c r="R857" i="27" s="1"/>
  <c r="R858" i="27" s="1"/>
  <c r="R859" i="27" s="1"/>
  <c r="R860" i="27" s="1"/>
  <c r="R861" i="27" s="1"/>
  <c r="R862" i="27" s="1"/>
  <c r="R863" i="27" s="1"/>
  <c r="R864" i="27" s="1"/>
  <c r="R865" i="27" s="1"/>
  <c r="R866" i="27" s="1"/>
  <c r="R867" i="27" s="1"/>
  <c r="R868" i="27" s="1"/>
  <c r="R869" i="27" s="1"/>
  <c r="R870" i="27" s="1"/>
  <c r="R871" i="27" s="1"/>
  <c r="R872" i="27" s="1"/>
  <c r="R873" i="27" s="1"/>
  <c r="R874" i="27" s="1"/>
  <c r="R875" i="27" s="1"/>
  <c r="R876" i="27" s="1"/>
  <c r="R877" i="27" s="1"/>
  <c r="R878" i="27" s="1"/>
  <c r="R879" i="27" s="1"/>
  <c r="R880" i="27" s="1"/>
  <c r="R881" i="27" s="1"/>
  <c r="R882" i="27" s="1"/>
  <c r="R883" i="27" s="1"/>
  <c r="R884" i="27" s="1"/>
  <c r="R885" i="27" s="1"/>
  <c r="R886" i="27" s="1"/>
  <c r="R887" i="27" s="1"/>
  <c r="R888" i="27" s="1"/>
  <c r="R889" i="27" s="1"/>
  <c r="R890" i="27" s="1"/>
  <c r="R891" i="27" s="1"/>
  <c r="R892" i="27" s="1"/>
  <c r="R893" i="27" s="1"/>
  <c r="R894" i="27" s="1"/>
  <c r="R895" i="27" s="1"/>
  <c r="R896" i="27" s="1"/>
  <c r="R897" i="27" s="1"/>
  <c r="R898" i="27" s="1"/>
  <c r="R899" i="27" s="1"/>
  <c r="R900" i="27" s="1"/>
  <c r="R901" i="27" s="1"/>
  <c r="R902" i="27" s="1"/>
  <c r="R903" i="27" s="1"/>
  <c r="R904" i="27" s="1"/>
  <c r="R905" i="27" s="1"/>
  <c r="R906" i="27" s="1"/>
  <c r="R907" i="27" s="1"/>
  <c r="R908" i="27" s="1"/>
  <c r="R909" i="27" s="1"/>
  <c r="R910" i="27" s="1"/>
  <c r="R911" i="27" s="1"/>
  <c r="R912" i="27" s="1"/>
  <c r="R913" i="27" s="1"/>
  <c r="R914" i="27" s="1"/>
  <c r="R915" i="27" s="1"/>
  <c r="R916" i="27" s="1"/>
  <c r="R917" i="27" s="1"/>
  <c r="R918" i="27" s="1"/>
  <c r="R919" i="27" s="1"/>
  <c r="R920" i="27" s="1"/>
  <c r="R921" i="27" s="1"/>
  <c r="R922" i="27" s="1"/>
  <c r="R923" i="27" s="1"/>
  <c r="R924" i="27" s="1"/>
  <c r="R925" i="27" s="1"/>
  <c r="R926" i="27" s="1"/>
  <c r="R927" i="27" s="1"/>
  <c r="R928" i="27" s="1"/>
  <c r="R929" i="27" s="1"/>
  <c r="R930" i="27" s="1"/>
  <c r="R931" i="27" s="1"/>
  <c r="R932" i="27" s="1"/>
  <c r="R933" i="27" s="1"/>
  <c r="R934" i="27" s="1"/>
  <c r="R935" i="27" s="1"/>
  <c r="R936" i="27" s="1"/>
  <c r="R937" i="27" s="1"/>
  <c r="R938" i="27" s="1"/>
  <c r="R939" i="27" s="1"/>
  <c r="R940" i="27" s="1"/>
  <c r="R941" i="27" s="1"/>
  <c r="R942" i="27" s="1"/>
  <c r="R943" i="27" s="1"/>
  <c r="R944" i="27" s="1"/>
  <c r="R945" i="27" s="1"/>
  <c r="R946" i="27" s="1"/>
  <c r="R947" i="27" s="1"/>
  <c r="R948" i="27" s="1"/>
  <c r="R949" i="27" s="1"/>
  <c r="R950" i="27" s="1"/>
  <c r="R951" i="27" s="1"/>
  <c r="R952" i="27" s="1"/>
  <c r="R953" i="27" s="1"/>
  <c r="R954" i="27" s="1"/>
  <c r="R955" i="27" s="1"/>
  <c r="R956" i="27" s="1"/>
  <c r="R957" i="27" s="1"/>
  <c r="R958" i="27" s="1"/>
  <c r="R959" i="27" s="1"/>
  <c r="R960" i="27" s="1"/>
  <c r="R961" i="27" s="1"/>
  <c r="R962" i="27" s="1"/>
  <c r="R963" i="27" s="1"/>
  <c r="R964" i="27" s="1"/>
  <c r="R965" i="27" s="1"/>
  <c r="R966" i="27" s="1"/>
  <c r="R967" i="27" s="1"/>
  <c r="R968" i="27" s="1"/>
  <c r="R969" i="27" s="1"/>
  <c r="R970" i="27" s="1"/>
  <c r="R971" i="27" s="1"/>
  <c r="R972" i="27" s="1"/>
  <c r="R973" i="27" s="1"/>
  <c r="R974" i="27" s="1"/>
  <c r="R975" i="27" s="1"/>
  <c r="R976" i="27" s="1"/>
  <c r="R977" i="27" s="1"/>
  <c r="R978" i="27" s="1"/>
  <c r="R979" i="27" s="1"/>
  <c r="R980" i="27" s="1"/>
  <c r="R981" i="27" s="1"/>
  <c r="R982" i="27" s="1"/>
  <c r="R983" i="27" s="1"/>
  <c r="R984" i="27" s="1"/>
  <c r="R985" i="27" s="1"/>
  <c r="R986" i="27" s="1"/>
  <c r="R987" i="27" s="1"/>
  <c r="R988" i="27" s="1"/>
  <c r="R989" i="27" s="1"/>
  <c r="R990" i="27" s="1"/>
  <c r="R991" i="27" s="1"/>
  <c r="R992" i="27" s="1"/>
  <c r="R993" i="27" s="1"/>
  <c r="R994" i="27" s="1"/>
  <c r="R995" i="27" s="1"/>
  <c r="R996" i="27" s="1"/>
  <c r="R997" i="27" s="1"/>
  <c r="R998" i="27" s="1"/>
  <c r="R999" i="27" s="1"/>
  <c r="R1000" i="27" s="1"/>
  <c r="R1001" i="27" s="1"/>
  <c r="R1002" i="27" s="1"/>
  <c r="R1003" i="27" s="1"/>
  <c r="R1004" i="27" s="1"/>
  <c r="R1005" i="27" s="1"/>
  <c r="R1006" i="27" s="1"/>
  <c r="R1007" i="27" s="1"/>
  <c r="R1008" i="27" s="1"/>
  <c r="R1009" i="27" s="1"/>
  <c r="R1010" i="27" s="1"/>
  <c r="R1011" i="27" s="1"/>
  <c r="R1012" i="27" s="1"/>
  <c r="R1013" i="27" s="1"/>
  <c r="R1014" i="27" s="1"/>
  <c r="R1015" i="27" s="1"/>
  <c r="R1016" i="27" s="1"/>
  <c r="R1017" i="27" s="1"/>
  <c r="R1018" i="27" s="1"/>
  <c r="R1019" i="27" s="1"/>
  <c r="R1020" i="27" s="1"/>
  <c r="R1021" i="27" s="1"/>
  <c r="R1022" i="27" s="1"/>
  <c r="R1023" i="27" s="1"/>
  <c r="R1024" i="27" s="1"/>
  <c r="R1025" i="27" s="1"/>
  <c r="R1026" i="27" s="1"/>
  <c r="R1027" i="27" s="1"/>
  <c r="R1028" i="27" s="1"/>
  <c r="R1029" i="27" s="1"/>
  <c r="R1030" i="27" s="1"/>
  <c r="R1031" i="27" s="1"/>
  <c r="R1032" i="27" s="1"/>
  <c r="R1033" i="27" s="1"/>
  <c r="R1034" i="27" s="1"/>
  <c r="R1035" i="27" s="1"/>
  <c r="R1036" i="27" s="1"/>
  <c r="R1037" i="27" s="1"/>
  <c r="R1038" i="27" s="1"/>
  <c r="R1039" i="27" s="1"/>
  <c r="R1040" i="27" s="1"/>
  <c r="R1041" i="27" s="1"/>
  <c r="R1042" i="27" s="1"/>
  <c r="R1043" i="27" s="1"/>
  <c r="R1044" i="27" s="1"/>
  <c r="R1045" i="27" s="1"/>
  <c r="R1046" i="27" s="1"/>
  <c r="R1047" i="27" s="1"/>
  <c r="R1048" i="27" s="1"/>
  <c r="R1049" i="27" s="1"/>
  <c r="R1050" i="27" s="1"/>
  <c r="R1051" i="27" s="1"/>
  <c r="R1052" i="27" s="1"/>
  <c r="R1053" i="27" s="1"/>
  <c r="R1054" i="27" s="1"/>
  <c r="R1055" i="27" s="1"/>
  <c r="R1056" i="27" s="1"/>
  <c r="R1057" i="27" s="1"/>
  <c r="R1058" i="27" s="1"/>
  <c r="R1059" i="27" s="1"/>
  <c r="R1060" i="27" s="1"/>
  <c r="R1061" i="27" s="1"/>
  <c r="R1062" i="27" s="1"/>
  <c r="R1063" i="27" s="1"/>
  <c r="R1064" i="27" s="1"/>
  <c r="R1065" i="27" s="1"/>
  <c r="R1066" i="27" s="1"/>
  <c r="R1067" i="27" s="1"/>
  <c r="R1068" i="27" s="1"/>
  <c r="R1069" i="27" s="1"/>
  <c r="R1070" i="27" s="1"/>
  <c r="R1071" i="27" s="1"/>
  <c r="R1072" i="27" s="1"/>
  <c r="R1073" i="27" s="1"/>
  <c r="R1074" i="27" s="1"/>
  <c r="R1075" i="27" s="1"/>
  <c r="R1076" i="27" s="1"/>
  <c r="R1077" i="27" s="1"/>
  <c r="R1078" i="27" s="1"/>
  <c r="R1079" i="27" s="1"/>
  <c r="R1080" i="27" s="1"/>
  <c r="R1081" i="27" s="1"/>
  <c r="R1082" i="27" s="1"/>
  <c r="R1083" i="27" s="1"/>
  <c r="R1084" i="27" s="1"/>
  <c r="R1085" i="27" s="1"/>
  <c r="R1086" i="27" s="1"/>
  <c r="R1087" i="27" s="1"/>
  <c r="R1088" i="27" s="1"/>
  <c r="R1089" i="27" s="1"/>
  <c r="R1090" i="27" s="1"/>
  <c r="R1091" i="27" s="1"/>
  <c r="R1092" i="27" s="1"/>
  <c r="R1093" i="27" s="1"/>
  <c r="R1094" i="27" s="1"/>
  <c r="R1095" i="27" s="1"/>
  <c r="R1096" i="27" s="1"/>
  <c r="R1097" i="27" s="1"/>
  <c r="R1098" i="27" s="1"/>
  <c r="R1099" i="27" s="1"/>
  <c r="R1100" i="27" s="1"/>
  <c r="R1101" i="27" s="1"/>
  <c r="R1102" i="27" s="1"/>
  <c r="R1103" i="27" s="1"/>
  <c r="R1104" i="27" s="1"/>
  <c r="R1105" i="27" s="1"/>
  <c r="R1106" i="27" s="1"/>
  <c r="R1107" i="27" s="1"/>
  <c r="R1108" i="27" s="1"/>
  <c r="R1109" i="27" s="1"/>
  <c r="R1110" i="27" s="1"/>
  <c r="R1111" i="27" s="1"/>
  <c r="R1112" i="27" s="1"/>
  <c r="R1113" i="27" s="1"/>
  <c r="R1114" i="27" s="1"/>
  <c r="R1115" i="27" s="1"/>
  <c r="R1116" i="27" s="1"/>
  <c r="R1117" i="27" s="1"/>
  <c r="R1118" i="27" s="1"/>
  <c r="R1119" i="27" s="1"/>
  <c r="R1120" i="27" s="1"/>
  <c r="R1121" i="27" s="1"/>
  <c r="R1122" i="27" s="1"/>
  <c r="R1123" i="27" s="1"/>
  <c r="R1124" i="27" s="1"/>
  <c r="R1125" i="27" s="1"/>
  <c r="R1126" i="27" s="1"/>
  <c r="R1127" i="27" s="1"/>
  <c r="R1128" i="27" s="1"/>
  <c r="R1129" i="27" s="1"/>
  <c r="R1130" i="27" s="1"/>
  <c r="R1131" i="27" s="1"/>
  <c r="R1132" i="27" s="1"/>
  <c r="R1133" i="27" s="1"/>
  <c r="R1134" i="27" s="1"/>
  <c r="R1135" i="27" s="1"/>
  <c r="R1136" i="27" s="1"/>
  <c r="R1137" i="27" s="1"/>
  <c r="R1138" i="27" s="1"/>
  <c r="R1139" i="27" s="1"/>
  <c r="R1140" i="27" s="1"/>
  <c r="R1141" i="27" s="1"/>
  <c r="R1142" i="27" s="1"/>
  <c r="R1143" i="27" s="1"/>
  <c r="R1144" i="27" s="1"/>
  <c r="R1145" i="27" s="1"/>
  <c r="R1146" i="27" s="1"/>
  <c r="R1147" i="27" s="1"/>
  <c r="R1148" i="27" s="1"/>
  <c r="R1149" i="27" s="1"/>
  <c r="R1150" i="27" s="1"/>
  <c r="R1151" i="27" s="1"/>
  <c r="R1152" i="27" s="1"/>
  <c r="R1153" i="27" s="1"/>
  <c r="R1154" i="27" s="1"/>
  <c r="R1155" i="27" s="1"/>
  <c r="R1156" i="27" s="1"/>
  <c r="R1157" i="27" s="1"/>
  <c r="R1158" i="27" s="1"/>
  <c r="R1159" i="27" s="1"/>
  <c r="R1160" i="27" s="1"/>
  <c r="R1161" i="27" s="1"/>
  <c r="R1162" i="27" s="1"/>
  <c r="R1163" i="27" s="1"/>
  <c r="R1164" i="27" s="1"/>
  <c r="R1165" i="27" s="1"/>
  <c r="R1166" i="27" s="1"/>
  <c r="R1167" i="27" s="1"/>
  <c r="R1168" i="27" s="1"/>
  <c r="R1169" i="27" s="1"/>
  <c r="R1170" i="27" s="1"/>
  <c r="R1171" i="27" s="1"/>
  <c r="R1172" i="27" s="1"/>
  <c r="R1173" i="27" s="1"/>
  <c r="R1174" i="27" s="1"/>
  <c r="R1175" i="27" s="1"/>
  <c r="R1176" i="27" s="1"/>
  <c r="R1177" i="27" s="1"/>
  <c r="R1178" i="27" s="1"/>
  <c r="R1179" i="27" s="1"/>
  <c r="R1180" i="27" s="1"/>
  <c r="R1181" i="27" s="1"/>
  <c r="R1182" i="27" s="1"/>
  <c r="R1183" i="27" s="1"/>
  <c r="R1184" i="27" s="1"/>
  <c r="R1185" i="27" s="1"/>
  <c r="R1186" i="27" s="1"/>
  <c r="R1187" i="27" s="1"/>
  <c r="R1188" i="27" s="1"/>
  <c r="R1189" i="27" s="1"/>
  <c r="R1190" i="27" s="1"/>
  <c r="R1191" i="27" s="1"/>
  <c r="R1192" i="27" s="1"/>
  <c r="R1193" i="27" s="1"/>
  <c r="R1194" i="27" s="1"/>
  <c r="R1195" i="27" s="1"/>
  <c r="R1196" i="27" s="1"/>
  <c r="R1197" i="27" s="1"/>
  <c r="R1198" i="27" s="1"/>
  <c r="R1199" i="27" s="1"/>
  <c r="R1200" i="27" s="1"/>
  <c r="R1201" i="27" s="1"/>
  <c r="R1202" i="27" s="1"/>
  <c r="R1203" i="27" s="1"/>
  <c r="R1204" i="27" s="1"/>
  <c r="R1205" i="27" s="1"/>
  <c r="R1206" i="27" s="1"/>
  <c r="R1207" i="27" s="1"/>
  <c r="R1208" i="27" s="1"/>
  <c r="R1209" i="27" s="1"/>
  <c r="R1210" i="27" s="1"/>
  <c r="R1211" i="27" s="1"/>
  <c r="R1212" i="27" s="1"/>
  <c r="R1213" i="27" s="1"/>
  <c r="R1214" i="27" s="1"/>
  <c r="R1215" i="27" s="1"/>
  <c r="R1216" i="27" s="1"/>
  <c r="R1217" i="27" s="1"/>
  <c r="R1218" i="27" s="1"/>
  <c r="R1219" i="27" s="1"/>
  <c r="R1220" i="27" s="1"/>
  <c r="R1221" i="27" s="1"/>
  <c r="R1222" i="27" s="1"/>
  <c r="R1223" i="27" s="1"/>
  <c r="R1224" i="27" s="1"/>
  <c r="R1225" i="27" s="1"/>
  <c r="R1226" i="27" s="1"/>
  <c r="R1227" i="27" s="1"/>
  <c r="R1228" i="27" s="1"/>
  <c r="R1229" i="27" s="1"/>
  <c r="R1230" i="27" s="1"/>
  <c r="R1231" i="27" s="1"/>
  <c r="R1232" i="27" s="1"/>
  <c r="R1233" i="27" s="1"/>
  <c r="R1234" i="27" s="1"/>
  <c r="R1235" i="27" s="1"/>
  <c r="R1236" i="27" s="1"/>
  <c r="R1237" i="27" s="1"/>
  <c r="R1238" i="27" s="1"/>
  <c r="R1239" i="27" s="1"/>
  <c r="R1240" i="27" s="1"/>
  <c r="R1241" i="27" s="1"/>
  <c r="R1242" i="27" s="1"/>
  <c r="R1243" i="27" s="1"/>
  <c r="R1244" i="27" s="1"/>
  <c r="R1245" i="27" s="1"/>
  <c r="R1246" i="27" s="1"/>
  <c r="R1247" i="27" s="1"/>
  <c r="R1248" i="27" s="1"/>
  <c r="R1249" i="27" s="1"/>
  <c r="R1250" i="27" s="1"/>
  <c r="R1251" i="27" s="1"/>
  <c r="R1252" i="27" s="1"/>
  <c r="R1253" i="27" s="1"/>
  <c r="R1254" i="27" s="1"/>
  <c r="R1255" i="27" s="1"/>
  <c r="R1256" i="27" s="1"/>
  <c r="R1257" i="27" s="1"/>
  <c r="R1258" i="27" s="1"/>
  <c r="R1259" i="27" s="1"/>
  <c r="R1260" i="27" s="1"/>
  <c r="R1261" i="27" s="1"/>
  <c r="R1262" i="27" s="1"/>
  <c r="R1263" i="27" s="1"/>
  <c r="R1264" i="27" s="1"/>
  <c r="R1265" i="27" s="1"/>
  <c r="R1266" i="27" s="1"/>
  <c r="R1267" i="27" s="1"/>
  <c r="R1268" i="27" s="1"/>
  <c r="R1269" i="27" s="1"/>
  <c r="R1270" i="27" s="1"/>
  <c r="R1271" i="27" s="1"/>
  <c r="R1272" i="27" s="1"/>
  <c r="R1273" i="27" s="1"/>
  <c r="R1274" i="27" s="1"/>
  <c r="R1275" i="27" s="1"/>
  <c r="R1276" i="27" s="1"/>
  <c r="R1277" i="27" s="1"/>
  <c r="R1278" i="27" s="1"/>
  <c r="R1279" i="27" s="1"/>
  <c r="R1280" i="27" s="1"/>
  <c r="R1281" i="27" s="1"/>
  <c r="R1282" i="27" s="1"/>
  <c r="R1283" i="27" s="1"/>
  <c r="R1284" i="27" s="1"/>
  <c r="R1285" i="27" s="1"/>
  <c r="R1286" i="27" s="1"/>
  <c r="R1287" i="27" s="1"/>
  <c r="R1288" i="27" s="1"/>
  <c r="R1289" i="27" s="1"/>
  <c r="R1290" i="27" s="1"/>
  <c r="R1291" i="27" s="1"/>
  <c r="R1292" i="27" s="1"/>
  <c r="R1293" i="27" s="1"/>
  <c r="R1294" i="27" s="1"/>
  <c r="R1295" i="27" s="1"/>
  <c r="R1296" i="27" s="1"/>
  <c r="R1297" i="27" s="1"/>
  <c r="R1298" i="27" s="1"/>
  <c r="R1299" i="27" s="1"/>
  <c r="R1300" i="27" s="1"/>
  <c r="R1301" i="27" s="1"/>
  <c r="R1302" i="27" s="1"/>
  <c r="R1303" i="27" s="1"/>
  <c r="R1304" i="27" s="1"/>
  <c r="R1305" i="27" s="1"/>
  <c r="R1306" i="27" s="1"/>
  <c r="R1307" i="27" s="1"/>
  <c r="R1308" i="27" s="1"/>
  <c r="R1309" i="27" s="1"/>
  <c r="R1310" i="27" s="1"/>
  <c r="R1311" i="27" s="1"/>
  <c r="R1312" i="27" s="1"/>
  <c r="R1313" i="27" s="1"/>
  <c r="R1314" i="27" s="1"/>
  <c r="R1315" i="27" s="1"/>
  <c r="R1316" i="27" s="1"/>
  <c r="R1317" i="27" s="1"/>
  <c r="R1318" i="27" s="1"/>
  <c r="R1319" i="27" s="1"/>
  <c r="R1320" i="27" s="1"/>
  <c r="R1321" i="27" s="1"/>
  <c r="R1322" i="27" s="1"/>
  <c r="R1323" i="27" s="1"/>
  <c r="R1324" i="27" s="1"/>
  <c r="R1325" i="27" s="1"/>
  <c r="R1326" i="27" s="1"/>
  <c r="R1327" i="27" s="1"/>
  <c r="R1328" i="27" s="1"/>
  <c r="R1329" i="27" s="1"/>
  <c r="R1330" i="27" s="1"/>
  <c r="R1331" i="27" s="1"/>
  <c r="R1332" i="27" s="1"/>
  <c r="R1333" i="27" s="1"/>
  <c r="R1334" i="27" s="1"/>
  <c r="R1335" i="27" s="1"/>
  <c r="R1336" i="27" s="1"/>
  <c r="R1337" i="27" s="1"/>
  <c r="R1338" i="27" s="1"/>
  <c r="R1339" i="27" s="1"/>
  <c r="R1340" i="27" s="1"/>
  <c r="R1341" i="27" s="1"/>
  <c r="R1342" i="27" s="1"/>
  <c r="R1343" i="27" s="1"/>
  <c r="R1344" i="27" s="1"/>
  <c r="R1345" i="27" s="1"/>
  <c r="R1346" i="27" s="1"/>
  <c r="R1347" i="27" s="1"/>
  <c r="R1348" i="27" s="1"/>
  <c r="R1349" i="27" s="1"/>
  <c r="R1350" i="27" s="1"/>
  <c r="R1351" i="27" s="1"/>
  <c r="R1352" i="27" s="1"/>
  <c r="R1353" i="27" s="1"/>
  <c r="R1354" i="27" s="1"/>
  <c r="R1355" i="27" s="1"/>
  <c r="R1356" i="27" s="1"/>
  <c r="R1357" i="27" s="1"/>
  <c r="R1358" i="27" s="1"/>
  <c r="R1359" i="27" s="1"/>
  <c r="R1360" i="27" s="1"/>
  <c r="R1361" i="27" s="1"/>
  <c r="R1362" i="27" s="1"/>
  <c r="R1363" i="27" s="1"/>
  <c r="R1364" i="27" s="1"/>
  <c r="R1365" i="27" s="1"/>
  <c r="R1366" i="27" s="1"/>
  <c r="R1367" i="27" s="1"/>
  <c r="R1368" i="27" s="1"/>
  <c r="R1369" i="27" s="1"/>
  <c r="R1370" i="27" s="1"/>
  <c r="R1371" i="27" s="1"/>
  <c r="R1372" i="27" s="1"/>
  <c r="R1373" i="27" s="1"/>
  <c r="R1374" i="27" s="1"/>
  <c r="R1375" i="27" s="1"/>
  <c r="R1376" i="27" s="1"/>
  <c r="R1377" i="27" s="1"/>
  <c r="R1378" i="27" s="1"/>
  <c r="R1379" i="27" s="1"/>
  <c r="R1380" i="27" s="1"/>
  <c r="R1381" i="27" s="1"/>
  <c r="R1382" i="27" s="1"/>
  <c r="R1383" i="27" s="1"/>
  <c r="R1384" i="27" s="1"/>
  <c r="R1385" i="27" s="1"/>
  <c r="R1386" i="27" s="1"/>
  <c r="R1387" i="27" s="1"/>
  <c r="R1388" i="27" s="1"/>
  <c r="R1389" i="27" s="1"/>
  <c r="R1390" i="27" s="1"/>
  <c r="R1391" i="27" s="1"/>
  <c r="R1392" i="27" s="1"/>
  <c r="R1393" i="27" s="1"/>
  <c r="R1394" i="27" s="1"/>
  <c r="R1395" i="27" s="1"/>
  <c r="R1396" i="27" s="1"/>
  <c r="R1397" i="27" s="1"/>
  <c r="R1398" i="27" s="1"/>
  <c r="R1399" i="27" s="1"/>
  <c r="R1400" i="27" s="1"/>
  <c r="R1401" i="27" s="1"/>
  <c r="R1402" i="27" s="1"/>
  <c r="R1403" i="27" s="1"/>
  <c r="R1404" i="27" s="1"/>
  <c r="R1405" i="27" s="1"/>
  <c r="R1406" i="27" s="1"/>
  <c r="R1407" i="27" s="1"/>
  <c r="R1408" i="27" s="1"/>
  <c r="R1409" i="27" s="1"/>
  <c r="R1410" i="27" s="1"/>
  <c r="R1411" i="27" s="1"/>
  <c r="R1412" i="27" s="1"/>
  <c r="R1413" i="27" s="1"/>
  <c r="R1414" i="27" s="1"/>
  <c r="R1415" i="27" s="1"/>
  <c r="R1416" i="27" s="1"/>
  <c r="R1417" i="27" s="1"/>
  <c r="R1418" i="27" s="1"/>
  <c r="R1419" i="27" s="1"/>
  <c r="R1420" i="27" s="1"/>
  <c r="R1421" i="27" s="1"/>
  <c r="R1422" i="27" s="1"/>
  <c r="R1423" i="27" s="1"/>
  <c r="R1424" i="27" s="1"/>
  <c r="R1425" i="27" s="1"/>
  <c r="R1426" i="27" s="1"/>
  <c r="R1427" i="27" s="1"/>
  <c r="R1428" i="27" s="1"/>
  <c r="R1429" i="27" s="1"/>
  <c r="R1430" i="27" s="1"/>
  <c r="R1431" i="27" s="1"/>
  <c r="R1432" i="27" s="1"/>
  <c r="R1433" i="27" s="1"/>
  <c r="R1434" i="27" s="1"/>
  <c r="R1435" i="27" s="1"/>
  <c r="R1436" i="27" s="1"/>
  <c r="R1437" i="27" s="1"/>
  <c r="R1438" i="27" s="1"/>
  <c r="R1439" i="27" s="1"/>
  <c r="R1440" i="27" s="1"/>
  <c r="R1441" i="27" s="1"/>
  <c r="R1442" i="27" s="1"/>
  <c r="R1443" i="27" s="1"/>
  <c r="R1444" i="27" s="1"/>
  <c r="R1445" i="27" s="1"/>
  <c r="R1446" i="27" s="1"/>
  <c r="R1447" i="27" s="1"/>
  <c r="R1448" i="27" s="1"/>
  <c r="R1449" i="27" s="1"/>
  <c r="R1450" i="27" s="1"/>
  <c r="R1451" i="27" s="1"/>
  <c r="R1452" i="27" s="1"/>
  <c r="R1453" i="27" s="1"/>
  <c r="R1454" i="27" s="1"/>
  <c r="R1455" i="27" s="1"/>
  <c r="R1456" i="27" s="1"/>
  <c r="R1457" i="27" s="1"/>
  <c r="R1458" i="27" s="1"/>
  <c r="R1459" i="27" s="1"/>
  <c r="R1460" i="27" s="1"/>
  <c r="R1461" i="27" s="1"/>
  <c r="R1462" i="27" s="1"/>
  <c r="R1463" i="27" s="1"/>
  <c r="R1464" i="27" s="1"/>
  <c r="R1465" i="27" s="1"/>
  <c r="R1466" i="27" s="1"/>
  <c r="R1467" i="27" s="1"/>
  <c r="R1468" i="27" s="1"/>
  <c r="R1469" i="27" s="1"/>
  <c r="R1470" i="27" s="1"/>
  <c r="R1471" i="27" s="1"/>
  <c r="R1472" i="27" s="1"/>
  <c r="R1473" i="27" s="1"/>
  <c r="R1474" i="27" s="1"/>
  <c r="R1475" i="27" s="1"/>
  <c r="R1476" i="27" s="1"/>
  <c r="R1477" i="27" s="1"/>
  <c r="R1478" i="27" s="1"/>
  <c r="R1479" i="27" s="1"/>
  <c r="R1480" i="27" s="1"/>
  <c r="R1481" i="27" s="1"/>
  <c r="R1482" i="27" s="1"/>
  <c r="R1483" i="27" s="1"/>
  <c r="R1484" i="27" s="1"/>
  <c r="R1485" i="27" s="1"/>
  <c r="R1486" i="27" s="1"/>
  <c r="R1487" i="27" s="1"/>
  <c r="R1488" i="27" s="1"/>
  <c r="R1489" i="27" s="1"/>
  <c r="R1490" i="27" s="1"/>
  <c r="R1491" i="27" s="1"/>
  <c r="R1492" i="27" s="1"/>
  <c r="R1493" i="27" s="1"/>
  <c r="R1494" i="27" s="1"/>
  <c r="R1495" i="27" s="1"/>
  <c r="R1496" i="27" s="1"/>
  <c r="R1497" i="27" s="1"/>
  <c r="R1498" i="27" s="1"/>
  <c r="R1499" i="27" s="1"/>
  <c r="R1500" i="27" s="1"/>
  <c r="R1501" i="27" s="1"/>
  <c r="R1502" i="27" s="1"/>
  <c r="R1503" i="27" s="1"/>
  <c r="R1504" i="27" s="1"/>
  <c r="R1505" i="27" s="1"/>
  <c r="R1506" i="27" s="1"/>
  <c r="R1507" i="27" s="1"/>
  <c r="R1508" i="27" s="1"/>
  <c r="R1509" i="27" s="1"/>
  <c r="R1510" i="27" s="1"/>
  <c r="R1511" i="27" s="1"/>
  <c r="R1512" i="27" s="1"/>
  <c r="R1513" i="27" s="1"/>
  <c r="R1514" i="27" s="1"/>
  <c r="R1515" i="27" s="1"/>
  <c r="R1516" i="27" s="1"/>
  <c r="R1517" i="27" s="1"/>
  <c r="R1518" i="27" s="1"/>
  <c r="R1519" i="27" s="1"/>
  <c r="R1520" i="27" s="1"/>
  <c r="R1521" i="27" s="1"/>
  <c r="R1522" i="27" s="1"/>
  <c r="R1523" i="27" s="1"/>
  <c r="R1524" i="27" s="1"/>
  <c r="R1525" i="27" s="1"/>
  <c r="R1526" i="27" s="1"/>
  <c r="R1527" i="27" s="1"/>
  <c r="R1528" i="27" s="1"/>
  <c r="R1529" i="27" s="1"/>
  <c r="R1530" i="27" s="1"/>
  <c r="R1531" i="27" s="1"/>
  <c r="R1532" i="27" s="1"/>
  <c r="R1533" i="27" s="1"/>
  <c r="R1534" i="27" s="1"/>
  <c r="R1535" i="27" s="1"/>
  <c r="R1536" i="27" s="1"/>
  <c r="R1537" i="27" s="1"/>
  <c r="R1538" i="27" s="1"/>
  <c r="R1539" i="27" s="1"/>
  <c r="R1540" i="27" s="1"/>
  <c r="R1541" i="27" s="1"/>
  <c r="R1542" i="27" s="1"/>
  <c r="R1543" i="27" s="1"/>
  <c r="R1544" i="27" s="1"/>
  <c r="R1545" i="27" s="1"/>
  <c r="R1546" i="27" s="1"/>
  <c r="R1547" i="27" s="1"/>
  <c r="R1548" i="27" s="1"/>
  <c r="R1549" i="27" s="1"/>
  <c r="R1550" i="27" s="1"/>
  <c r="R1551" i="27" s="1"/>
  <c r="R1552" i="27" s="1"/>
  <c r="R1553" i="27" s="1"/>
  <c r="R1554" i="27" s="1"/>
  <c r="R1555" i="27" s="1"/>
  <c r="R1556" i="27" s="1"/>
  <c r="R1557" i="27" s="1"/>
  <c r="R1558" i="27" s="1"/>
  <c r="R1559" i="27" s="1"/>
  <c r="R1560" i="27" s="1"/>
  <c r="R1561" i="27" s="1"/>
  <c r="R1562" i="27" s="1"/>
  <c r="R1563" i="27" s="1"/>
  <c r="R1564" i="27" s="1"/>
  <c r="R1565" i="27" s="1"/>
  <c r="R1566" i="27" s="1"/>
  <c r="R1567" i="27" s="1"/>
  <c r="R1568" i="27" s="1"/>
  <c r="R1569" i="27" s="1"/>
  <c r="R1570" i="27" s="1"/>
  <c r="R1571" i="27" s="1"/>
  <c r="R1572" i="27" s="1"/>
  <c r="R1573" i="27" s="1"/>
  <c r="R1574" i="27" s="1"/>
  <c r="R1575" i="27" s="1"/>
  <c r="R1576" i="27" s="1"/>
  <c r="R1577" i="27" s="1"/>
  <c r="R1578" i="27" s="1"/>
  <c r="R1579" i="27" s="1"/>
  <c r="R1580" i="27" s="1"/>
  <c r="R1581" i="27" s="1"/>
  <c r="R1582" i="27" s="1"/>
  <c r="R1583" i="27" s="1"/>
  <c r="R1584" i="27" s="1"/>
  <c r="R1585" i="27" s="1"/>
  <c r="R1586" i="27" s="1"/>
  <c r="R1587" i="27" s="1"/>
  <c r="R1588" i="27" s="1"/>
  <c r="R1589" i="27" s="1"/>
  <c r="R1590" i="27" s="1"/>
  <c r="R1591" i="27" s="1"/>
  <c r="R1592" i="27" s="1"/>
  <c r="R1593" i="27" s="1"/>
  <c r="R1594" i="27" s="1"/>
  <c r="R1595" i="27" s="1"/>
  <c r="R1596" i="27" s="1"/>
  <c r="R1597" i="27" s="1"/>
  <c r="R1598" i="27" s="1"/>
  <c r="R1599" i="27" s="1"/>
  <c r="R1600" i="27" s="1"/>
  <c r="R1601" i="27" s="1"/>
  <c r="R1602" i="27" s="1"/>
  <c r="R1603" i="27" s="1"/>
  <c r="R1604" i="27" s="1"/>
  <c r="R1605" i="27" s="1"/>
  <c r="R1606" i="27" s="1"/>
  <c r="R1607" i="27" s="1"/>
  <c r="R1608" i="27" s="1"/>
  <c r="R1609" i="27" s="1"/>
  <c r="R1610" i="27" s="1"/>
  <c r="R1611" i="27" s="1"/>
  <c r="R1612" i="27" s="1"/>
  <c r="R1613" i="27" s="1"/>
  <c r="R1614" i="27" s="1"/>
  <c r="R1615" i="27" s="1"/>
  <c r="R1616" i="27" s="1"/>
  <c r="R1617" i="27" s="1"/>
  <c r="R1618" i="27" s="1"/>
  <c r="R1619" i="27" s="1"/>
  <c r="R1620" i="27" s="1"/>
  <c r="R1621" i="27" s="1"/>
  <c r="R1622" i="27" s="1"/>
  <c r="R1623" i="27" s="1"/>
  <c r="R1624" i="27" s="1"/>
  <c r="R1625" i="27" s="1"/>
  <c r="R1626" i="27" s="1"/>
  <c r="R1627" i="27" s="1"/>
  <c r="R1628" i="27" s="1"/>
  <c r="R1629" i="27" s="1"/>
  <c r="R1630" i="27" s="1"/>
  <c r="R1631" i="27" s="1"/>
  <c r="R1632" i="27" s="1"/>
  <c r="R1633" i="27" s="1"/>
  <c r="R1634" i="27" s="1"/>
  <c r="R1635" i="27" s="1"/>
  <c r="R1636" i="27" s="1"/>
  <c r="R1637" i="27" s="1"/>
  <c r="R1638" i="27" s="1"/>
  <c r="R1639" i="27" s="1"/>
  <c r="R1640" i="27" s="1"/>
  <c r="R1641" i="27" s="1"/>
  <c r="R1642" i="27" s="1"/>
  <c r="R1643" i="27" s="1"/>
  <c r="R1644" i="27" s="1"/>
  <c r="R1645" i="27" s="1"/>
  <c r="R1646" i="27" s="1"/>
  <c r="R1647" i="27" s="1"/>
  <c r="R1648" i="27" s="1"/>
  <c r="R1649" i="27" s="1"/>
  <c r="R1650" i="27" s="1"/>
  <c r="R1651" i="27" s="1"/>
  <c r="R1652" i="27" s="1"/>
  <c r="R1653" i="27" s="1"/>
  <c r="R1654" i="27" s="1"/>
  <c r="R1655" i="27" s="1"/>
  <c r="R1656" i="27" s="1"/>
  <c r="R1657" i="27" s="1"/>
  <c r="R1658" i="27" s="1"/>
  <c r="R1659" i="27" s="1"/>
  <c r="R1660" i="27" s="1"/>
  <c r="R1661" i="27" s="1"/>
  <c r="R1662" i="27" s="1"/>
  <c r="R1663" i="27" s="1"/>
  <c r="R1664" i="27" s="1"/>
  <c r="R1665" i="27" s="1"/>
  <c r="R1666" i="27" s="1"/>
  <c r="R1667" i="27" s="1"/>
  <c r="R1668" i="27" s="1"/>
  <c r="R1669" i="27" s="1"/>
  <c r="R1670" i="27" s="1"/>
  <c r="R1671" i="27" s="1"/>
  <c r="R1672" i="27" s="1"/>
  <c r="R1673" i="27" s="1"/>
  <c r="R1674" i="27" s="1"/>
  <c r="R1675" i="27" s="1"/>
  <c r="R1676" i="27" s="1"/>
  <c r="R1677" i="27" s="1"/>
  <c r="R1678" i="27" s="1"/>
  <c r="R1679" i="27" s="1"/>
  <c r="R1680" i="27" s="1"/>
  <c r="R1681" i="27" s="1"/>
  <c r="R1682" i="27" s="1"/>
  <c r="R1683" i="27" s="1"/>
  <c r="R1684" i="27" s="1"/>
  <c r="R1685" i="27" s="1"/>
  <c r="R1686" i="27" s="1"/>
  <c r="R1687" i="27" s="1"/>
  <c r="R1688" i="27" s="1"/>
  <c r="R1689" i="27" s="1"/>
  <c r="R1690" i="27" s="1"/>
  <c r="R1691" i="27" s="1"/>
  <c r="R1692" i="27" s="1"/>
  <c r="R1693" i="27" s="1"/>
  <c r="R1694" i="27" s="1"/>
  <c r="R1695" i="27" s="1"/>
  <c r="R1696" i="27" s="1"/>
  <c r="R1697" i="27" s="1"/>
  <c r="R1698" i="27" s="1"/>
  <c r="R1699" i="27" s="1"/>
  <c r="R1700" i="27" s="1"/>
  <c r="R1701" i="27" s="1"/>
  <c r="R1702" i="27" s="1"/>
  <c r="R1703" i="27" s="1"/>
  <c r="R1704" i="27" s="1"/>
  <c r="R1705" i="27" s="1"/>
  <c r="R1706" i="27" s="1"/>
  <c r="R1707" i="27" s="1"/>
  <c r="R1708" i="27" s="1"/>
  <c r="R1709" i="27" s="1"/>
  <c r="R1710" i="27" s="1"/>
  <c r="R1711" i="27" s="1"/>
  <c r="R1712" i="27" s="1"/>
  <c r="R1713" i="27" s="1"/>
  <c r="R1714" i="27" s="1"/>
  <c r="R1715" i="27" s="1"/>
  <c r="R1716" i="27" s="1"/>
  <c r="R1717" i="27" s="1"/>
  <c r="R1718" i="27" s="1"/>
  <c r="R1719" i="27" s="1"/>
  <c r="R1720" i="27" s="1"/>
  <c r="R1721" i="27" s="1"/>
  <c r="R1722" i="27" s="1"/>
  <c r="R1723" i="27" s="1"/>
  <c r="R1724" i="27" s="1"/>
  <c r="R1725" i="27" s="1"/>
  <c r="R1726" i="27" s="1"/>
  <c r="R1727" i="27" s="1"/>
  <c r="R1728" i="27" s="1"/>
  <c r="R1729" i="27" s="1"/>
  <c r="R1730" i="27" s="1"/>
  <c r="R1731" i="27" s="1"/>
  <c r="R1732" i="27" s="1"/>
  <c r="R1733" i="27" s="1"/>
  <c r="R1734" i="27" s="1"/>
  <c r="R1735" i="27" s="1"/>
  <c r="R1736" i="27" s="1"/>
  <c r="R1737" i="27" s="1"/>
  <c r="R1738" i="27" s="1"/>
  <c r="R1739" i="27" s="1"/>
  <c r="R1740" i="27" s="1"/>
  <c r="R1741" i="27" s="1"/>
  <c r="R1742" i="27" s="1"/>
  <c r="R1743" i="27" s="1"/>
  <c r="R1744" i="27" s="1"/>
  <c r="R1745" i="27" s="1"/>
  <c r="R1746" i="27" s="1"/>
  <c r="R1747" i="27" s="1"/>
  <c r="R1748" i="27" s="1"/>
  <c r="R1749" i="27" s="1"/>
  <c r="R1750" i="27" s="1"/>
  <c r="R1751" i="27" s="1"/>
  <c r="R1752" i="27" s="1"/>
  <c r="R1753" i="27" s="1"/>
  <c r="R1754" i="27" s="1"/>
  <c r="R1755" i="27" s="1"/>
  <c r="R1756" i="27" s="1"/>
  <c r="R1757" i="27" s="1"/>
  <c r="R1758" i="27" s="1"/>
  <c r="R1759" i="27" s="1"/>
  <c r="R1760" i="27" s="1"/>
  <c r="R1761" i="27" s="1"/>
  <c r="R1762" i="27" s="1"/>
  <c r="R1763" i="27" s="1"/>
  <c r="R1764" i="27" s="1"/>
  <c r="R1765" i="27" s="1"/>
  <c r="R1766" i="27" s="1"/>
  <c r="R1767" i="27" s="1"/>
  <c r="R1768" i="27" s="1"/>
  <c r="R1769" i="27" s="1"/>
  <c r="R1770" i="27" s="1"/>
  <c r="R1771" i="27" s="1"/>
  <c r="R1772" i="27" s="1"/>
  <c r="R1773" i="27" s="1"/>
  <c r="R1774" i="27" s="1"/>
  <c r="R1775" i="27" s="1"/>
  <c r="R1776" i="27" s="1"/>
  <c r="R1777" i="27" s="1"/>
  <c r="R1778" i="27" s="1"/>
  <c r="R1779" i="27" s="1"/>
  <c r="R1780" i="27" s="1"/>
  <c r="R1781" i="27" s="1"/>
  <c r="R1782" i="27" s="1"/>
  <c r="R1783" i="27" s="1"/>
  <c r="R1784" i="27" s="1"/>
  <c r="R1785" i="27" s="1"/>
  <c r="R1786" i="27" s="1"/>
  <c r="R1787" i="27" s="1"/>
  <c r="R1788" i="27" s="1"/>
  <c r="R1789" i="27" s="1"/>
  <c r="R1790" i="27" s="1"/>
  <c r="R1791" i="27" s="1"/>
  <c r="R1792" i="27" s="1"/>
  <c r="R1793" i="27" s="1"/>
  <c r="R1794" i="27" s="1"/>
  <c r="R1795" i="27" s="1"/>
  <c r="R1796" i="27" s="1"/>
  <c r="R1797" i="27" s="1"/>
  <c r="R1798" i="27" s="1"/>
  <c r="R1799" i="27" s="1"/>
  <c r="R1800" i="27" s="1"/>
  <c r="R1801" i="27" s="1"/>
  <c r="R1802" i="27" s="1"/>
  <c r="R1803" i="27" s="1"/>
  <c r="R1804" i="27" s="1"/>
  <c r="R1805" i="27" s="1"/>
  <c r="R1806" i="27" s="1"/>
  <c r="R1807" i="27" s="1"/>
  <c r="R1808" i="27" s="1"/>
  <c r="R1809" i="27" s="1"/>
  <c r="R1810" i="27" s="1"/>
  <c r="R1811" i="27" s="1"/>
  <c r="R1812" i="27" s="1"/>
  <c r="R1813" i="27" s="1"/>
  <c r="R1814" i="27" s="1"/>
  <c r="R1815" i="27" s="1"/>
  <c r="R1816" i="27" s="1"/>
  <c r="R1817" i="27" s="1"/>
  <c r="R1818" i="27" s="1"/>
  <c r="R1819" i="27" s="1"/>
  <c r="R1820" i="27" s="1"/>
  <c r="R1821" i="27" s="1"/>
  <c r="R1822" i="27" s="1"/>
  <c r="R1823" i="27" s="1"/>
  <c r="R1824" i="27" s="1"/>
  <c r="R1825" i="27" s="1"/>
  <c r="R1826" i="27" s="1"/>
  <c r="R1827" i="27" s="1"/>
  <c r="R1828" i="27" s="1"/>
  <c r="R1829" i="27" s="1"/>
  <c r="R1830" i="27" s="1"/>
  <c r="R1831" i="27" s="1"/>
  <c r="R1832" i="27" s="1"/>
  <c r="R1833" i="27" s="1"/>
  <c r="R1834" i="27" s="1"/>
  <c r="R1835" i="27" s="1"/>
  <c r="R1836" i="27" s="1"/>
  <c r="R1837" i="27" s="1"/>
  <c r="R1838" i="27" s="1"/>
  <c r="R1839" i="27" s="1"/>
  <c r="R1840" i="27" s="1"/>
  <c r="R1841" i="27" s="1"/>
  <c r="R1842" i="27" s="1"/>
  <c r="R1843" i="27" s="1"/>
  <c r="R1844" i="27" s="1"/>
  <c r="R1845" i="27" s="1"/>
  <c r="R1846" i="27" s="1"/>
  <c r="R1847" i="27" s="1"/>
  <c r="R1848" i="27" s="1"/>
  <c r="R1849" i="27" s="1"/>
  <c r="R1850" i="27" s="1"/>
  <c r="R1851" i="27" s="1"/>
  <c r="R1852" i="27" s="1"/>
  <c r="R1853" i="27" s="1"/>
  <c r="R1854" i="27" s="1"/>
  <c r="R1855" i="27" s="1"/>
  <c r="R1856" i="27" s="1"/>
  <c r="R1857" i="27" s="1"/>
  <c r="R1858" i="27" s="1"/>
  <c r="R1859" i="27" s="1"/>
  <c r="R1860" i="27" s="1"/>
  <c r="R1861" i="27" s="1"/>
  <c r="R1862" i="27" s="1"/>
  <c r="R1863" i="27" s="1"/>
  <c r="R1864" i="27" s="1"/>
  <c r="R1865" i="27" s="1"/>
  <c r="R1866" i="27" s="1"/>
  <c r="R1867" i="27" s="1"/>
  <c r="R1868" i="27" s="1"/>
  <c r="R1869" i="27" s="1"/>
  <c r="R1870" i="27" s="1"/>
  <c r="R1871" i="27" s="1"/>
  <c r="R1872" i="27" s="1"/>
  <c r="R1873" i="27" s="1"/>
  <c r="R1874" i="27" s="1"/>
  <c r="R1875" i="27" s="1"/>
  <c r="R1876" i="27" s="1"/>
  <c r="R1877" i="27" s="1"/>
  <c r="R1878" i="27" s="1"/>
  <c r="R1879" i="27" s="1"/>
  <c r="R1880" i="27" s="1"/>
  <c r="R1881" i="27" s="1"/>
  <c r="R1882" i="27" s="1"/>
  <c r="R1883" i="27" s="1"/>
  <c r="R1884" i="27" s="1"/>
  <c r="R1885" i="27" s="1"/>
  <c r="R1886" i="27" s="1"/>
  <c r="R1887" i="27" s="1"/>
  <c r="R1888" i="27" s="1"/>
  <c r="R1889" i="27" s="1"/>
  <c r="R1890" i="27" s="1"/>
  <c r="R1891" i="27" s="1"/>
  <c r="R1892" i="27" s="1"/>
  <c r="R1893" i="27" s="1"/>
  <c r="R1894" i="27" s="1"/>
  <c r="R1895" i="27" s="1"/>
  <c r="R1896" i="27" s="1"/>
  <c r="R1897" i="27" s="1"/>
  <c r="R1898" i="27" s="1"/>
  <c r="R1899" i="27" s="1"/>
  <c r="R1900" i="27" s="1"/>
  <c r="R1901" i="27" s="1"/>
  <c r="R1902" i="27" s="1"/>
  <c r="R1903" i="27" s="1"/>
  <c r="R1904" i="27" s="1"/>
  <c r="R1905" i="27" s="1"/>
  <c r="R1906" i="27" s="1"/>
  <c r="R1907" i="27" s="1"/>
  <c r="R1908" i="27" s="1"/>
  <c r="R1909" i="27" s="1"/>
  <c r="R1910" i="27" s="1"/>
  <c r="R1911" i="27" s="1"/>
  <c r="R1912" i="27" s="1"/>
  <c r="R1913" i="27" s="1"/>
  <c r="R1914" i="27" s="1"/>
  <c r="R1915" i="27" s="1"/>
  <c r="R1916" i="27" s="1"/>
  <c r="R1917" i="27" s="1"/>
  <c r="R1918" i="27" s="1"/>
  <c r="R1919" i="27" s="1"/>
  <c r="R1920" i="27" s="1"/>
  <c r="R1921" i="27" s="1"/>
  <c r="R1922" i="27" s="1"/>
  <c r="R1923" i="27" s="1"/>
  <c r="R1924" i="27" s="1"/>
  <c r="R1925" i="27" s="1"/>
  <c r="R1926" i="27" s="1"/>
  <c r="R1927" i="27" s="1"/>
  <c r="R1928" i="27" s="1"/>
  <c r="R1929" i="27" s="1"/>
  <c r="R1930" i="27" s="1"/>
  <c r="R1931" i="27" s="1"/>
  <c r="R1932" i="27" s="1"/>
  <c r="R1933" i="27" s="1"/>
  <c r="R1934" i="27" s="1"/>
  <c r="R1935" i="27" s="1"/>
  <c r="R1936" i="27" s="1"/>
  <c r="R1937" i="27" s="1"/>
  <c r="R1938" i="27" s="1"/>
  <c r="R1939" i="27" s="1"/>
  <c r="R1940" i="27" s="1"/>
  <c r="R1941" i="27" s="1"/>
  <c r="R1942" i="27" s="1"/>
  <c r="R1943" i="27" s="1"/>
  <c r="R1944" i="27" s="1"/>
  <c r="R1945" i="27" s="1"/>
  <c r="R1946" i="27" s="1"/>
  <c r="R1947" i="27" s="1"/>
  <c r="R1948" i="27" s="1"/>
  <c r="R1949" i="27" s="1"/>
  <c r="R1950" i="27" s="1"/>
  <c r="R1951" i="27" s="1"/>
  <c r="R1952" i="27" s="1"/>
  <c r="R1953" i="27" s="1"/>
  <c r="R1954" i="27" s="1"/>
  <c r="R1955" i="27" s="1"/>
  <c r="R1956" i="27" s="1"/>
  <c r="R1957" i="27" s="1"/>
  <c r="R1958" i="27" s="1"/>
  <c r="R1959" i="27" s="1"/>
  <c r="R1960" i="27" s="1"/>
  <c r="R1961" i="27" s="1"/>
  <c r="R1962" i="27" s="1"/>
  <c r="R1963" i="27" s="1"/>
  <c r="R1964" i="27" s="1"/>
  <c r="R1965" i="27" s="1"/>
  <c r="R1966" i="27" s="1"/>
  <c r="R1967" i="27" s="1"/>
  <c r="R1968" i="27" s="1"/>
  <c r="R1969" i="27" s="1"/>
  <c r="R1970" i="27" s="1"/>
  <c r="R1971" i="27" s="1"/>
  <c r="R1972" i="27" s="1"/>
  <c r="R1973" i="27" s="1"/>
  <c r="R1974" i="27" s="1"/>
  <c r="R1975" i="27" s="1"/>
  <c r="R1976" i="27" s="1"/>
  <c r="R1977" i="27" s="1"/>
  <c r="R1978" i="27" s="1"/>
  <c r="R1979" i="27" s="1"/>
  <c r="R1980" i="27" s="1"/>
  <c r="R1981" i="27" s="1"/>
  <c r="R1982" i="27" s="1"/>
  <c r="R1983" i="27" s="1"/>
  <c r="R1984" i="27" s="1"/>
  <c r="R1985" i="27" s="1"/>
  <c r="R1986" i="27" s="1"/>
  <c r="R1987" i="27" s="1"/>
  <c r="R1988" i="27" s="1"/>
  <c r="R1989" i="27" s="1"/>
  <c r="R1990" i="27" s="1"/>
  <c r="R1991" i="27" s="1"/>
  <c r="R1992" i="27" s="1"/>
  <c r="R1993" i="27" s="1"/>
  <c r="R1994" i="27" s="1"/>
  <c r="R1995" i="27" s="1"/>
  <c r="R1996" i="27" s="1"/>
  <c r="R1997" i="27" s="1"/>
  <c r="R1998" i="27" s="1"/>
  <c r="R1999" i="27" s="1"/>
  <c r="R2000" i="27" s="1"/>
  <c r="R2001" i="27" s="1"/>
  <c r="R2002" i="27" s="1"/>
  <c r="R2003" i="27" s="1"/>
  <c r="R2004" i="27" s="1"/>
  <c r="R2005" i="27" s="1"/>
  <c r="R2006" i="27" s="1"/>
  <c r="R2007" i="27" s="1"/>
  <c r="R2008" i="27" s="1"/>
  <c r="R2009" i="27" s="1"/>
  <c r="R2010" i="27" s="1"/>
  <c r="R2011" i="27" s="1"/>
  <c r="R2012" i="27" s="1"/>
  <c r="R2013" i="27" s="1"/>
  <c r="R2014" i="27" s="1"/>
  <c r="R2015" i="27" s="1"/>
  <c r="R2016" i="27" s="1"/>
  <c r="R2017" i="27" s="1"/>
  <c r="R2018" i="27" s="1"/>
  <c r="R2019" i="27" s="1"/>
  <c r="R2020" i="27" s="1"/>
  <c r="R2021" i="27" s="1"/>
  <c r="R2022" i="27" s="1"/>
  <c r="R2023" i="27" s="1"/>
  <c r="R2024" i="27" s="1"/>
  <c r="R2025" i="27" s="1"/>
  <c r="R2026" i="27" s="1"/>
  <c r="R2027" i="27" s="1"/>
  <c r="R2028" i="27" s="1"/>
  <c r="R2029" i="27" s="1"/>
  <c r="R2030" i="27" s="1"/>
  <c r="R2031" i="27" s="1"/>
  <c r="R2032" i="27" s="1"/>
  <c r="R2033" i="27" s="1"/>
  <c r="R2034" i="27" s="1"/>
  <c r="R2035" i="27" s="1"/>
  <c r="R2036" i="27" s="1"/>
  <c r="R2037" i="27" s="1"/>
  <c r="R2038" i="27" s="1"/>
  <c r="R2039" i="27" s="1"/>
  <c r="R2040" i="27" s="1"/>
  <c r="R2041" i="27" s="1"/>
  <c r="R2042" i="27" s="1"/>
  <c r="R2043" i="27" s="1"/>
  <c r="R2044" i="27" s="1"/>
  <c r="R2045" i="27" s="1"/>
  <c r="R2046" i="27" s="1"/>
  <c r="R2047" i="27" s="1"/>
  <c r="R2048" i="27" s="1"/>
  <c r="R2049" i="27" s="1"/>
  <c r="R2050" i="27" s="1"/>
  <c r="R2051" i="27" s="1"/>
  <c r="R2052" i="27" s="1"/>
  <c r="R2053" i="27" s="1"/>
  <c r="R2054" i="27" s="1"/>
  <c r="R2055" i="27" s="1"/>
  <c r="R2056" i="27" s="1"/>
  <c r="R2057" i="27" s="1"/>
  <c r="R2058" i="27" s="1"/>
  <c r="R2059" i="27" s="1"/>
  <c r="R2060" i="27" s="1"/>
  <c r="R2061" i="27" s="1"/>
  <c r="R2062" i="27" s="1"/>
  <c r="R2063" i="27" s="1"/>
  <c r="R2064" i="27" s="1"/>
  <c r="R2065" i="27" s="1"/>
  <c r="R2066" i="27" s="1"/>
  <c r="R2067" i="27" s="1"/>
  <c r="R2068" i="27" s="1"/>
  <c r="R2069" i="27" s="1"/>
  <c r="R2070" i="27" s="1"/>
  <c r="R2071" i="27" s="1"/>
  <c r="Q2072" i="27" s="1"/>
  <c r="Q2073" i="27" s="1"/>
  <c r="Q2074" i="27" s="1"/>
  <c r="Q2075" i="27" s="1"/>
  <c r="Q2076" i="27" s="1"/>
  <c r="Q2077" i="27" s="1"/>
  <c r="Q2078" i="27" s="1"/>
  <c r="Q2079" i="27" s="1"/>
  <c r="Q2080" i="27" s="1"/>
  <c r="Q2081" i="27" s="1"/>
  <c r="Q2082" i="27" s="1"/>
  <c r="Q2083" i="27" s="1"/>
  <c r="Q2084" i="27" s="1"/>
  <c r="Q2085" i="27" s="1"/>
  <c r="Q2086" i="27" s="1"/>
  <c r="Q2087" i="27" s="1"/>
  <c r="Q2088" i="27" s="1"/>
  <c r="Q2089" i="27" s="1"/>
  <c r="Q2090" i="27" s="1"/>
  <c r="Q2091" i="27" s="1"/>
  <c r="Q2092" i="27" s="1"/>
  <c r="Q2093" i="27" s="1"/>
  <c r="Q2094" i="27" s="1"/>
  <c r="Q2095" i="27" s="1"/>
  <c r="Q2096" i="27" s="1"/>
  <c r="Q2097" i="27" s="1"/>
  <c r="Q2098" i="27" s="1"/>
  <c r="Q2099" i="27" s="1"/>
  <c r="Q2100" i="27" s="1"/>
  <c r="Q2101" i="27" s="1"/>
  <c r="Q2102" i="27" s="1"/>
  <c r="Q2103" i="27" s="1"/>
  <c r="Q2104" i="27" s="1"/>
  <c r="Q2105" i="27" s="1"/>
  <c r="Q2106" i="27" s="1"/>
  <c r="Q2107" i="27" s="1"/>
  <c r="Q2108" i="27" s="1"/>
  <c r="Q2109" i="27" s="1"/>
  <c r="Q2110" i="27" s="1"/>
  <c r="Q2111" i="27" s="1"/>
  <c r="Q2112" i="27" s="1"/>
  <c r="Q2113" i="27" s="1"/>
  <c r="Q2114" i="27" s="1"/>
  <c r="CE111" i="38"/>
  <c r="J211" i="27" s="1"/>
  <c r="CF111" i="38"/>
  <c r="K211" i="27" s="1"/>
  <c r="CG111" i="38"/>
  <c r="L211" i="27" s="1"/>
  <c r="CK111" i="38"/>
  <c r="P211" i="27" s="1"/>
  <c r="CC42" i="2"/>
  <c r="G42" i="27" s="1"/>
  <c r="CC43" i="2"/>
  <c r="G43" i="27" s="1"/>
  <c r="CC44" i="2"/>
  <c r="G44" i="27" s="1"/>
  <c r="CC45" i="2"/>
  <c r="G45" i="27" s="1"/>
  <c r="CC46" i="2"/>
  <c r="G46" i="27" s="1"/>
  <c r="CC47" i="2"/>
  <c r="G47" i="27" s="1"/>
  <c r="CC48" i="2"/>
  <c r="G48" i="27" s="1"/>
  <c r="CC49" i="2"/>
  <c r="G49" i="27" s="1"/>
  <c r="CC50" i="2"/>
  <c r="G50" i="27" s="1"/>
  <c r="CC51" i="2"/>
  <c r="G51" i="27" s="1"/>
  <c r="CC52" i="2"/>
  <c r="G52" i="27" s="1"/>
  <c r="CC53" i="2"/>
  <c r="G53" i="27" s="1"/>
  <c r="CC54" i="2"/>
  <c r="G54" i="27" s="1"/>
  <c r="CC55" i="2"/>
  <c r="G55" i="27" s="1"/>
  <c r="CC56" i="2"/>
  <c r="G56" i="27" s="1"/>
  <c r="CC57" i="2"/>
  <c r="G57" i="27" s="1"/>
  <c r="CC58" i="2"/>
  <c r="G58" i="27" s="1"/>
  <c r="CC59" i="2"/>
  <c r="G59" i="27" s="1"/>
  <c r="CC60" i="2"/>
  <c r="G60" i="27" s="1"/>
  <c r="CC61" i="2"/>
  <c r="G61" i="27" s="1"/>
  <c r="CC62" i="2"/>
  <c r="G62" i="27" s="1"/>
  <c r="CC63" i="2"/>
  <c r="G63" i="27" s="1"/>
  <c r="CC64" i="2"/>
  <c r="G64" i="27" s="1"/>
  <c r="CC65" i="2"/>
  <c r="G65" i="27" s="1"/>
  <c r="CC66" i="2"/>
  <c r="G66" i="27" s="1"/>
  <c r="CC67" i="2"/>
  <c r="G67" i="27" s="1"/>
  <c r="CC68" i="2"/>
  <c r="G68" i="27" s="1"/>
  <c r="CC69" i="2"/>
  <c r="G69" i="27" s="1"/>
  <c r="CC70" i="2"/>
  <c r="G70" i="27" s="1"/>
  <c r="CC71" i="2"/>
  <c r="G71" i="27" s="1"/>
  <c r="CC72" i="2"/>
  <c r="G72" i="27" s="1"/>
  <c r="CC73" i="2"/>
  <c r="G73" i="27" s="1"/>
  <c r="CC74" i="2"/>
  <c r="G74" i="27" s="1"/>
  <c r="CC75" i="2"/>
  <c r="G75" i="27" s="1"/>
  <c r="CC76" i="2"/>
  <c r="G76" i="27" s="1"/>
  <c r="CC77" i="2"/>
  <c r="G77" i="27" s="1"/>
  <c r="CC78" i="2"/>
  <c r="G78" i="27" s="1"/>
  <c r="CC79" i="2"/>
  <c r="G79" i="27" s="1"/>
  <c r="CC80" i="2"/>
  <c r="G80" i="27" s="1"/>
  <c r="CC81" i="2"/>
  <c r="G81" i="27" s="1"/>
  <c r="CC82" i="2"/>
  <c r="G82" i="27" s="1"/>
  <c r="CC83" i="2"/>
  <c r="G83" i="27" s="1"/>
  <c r="CC84" i="2"/>
  <c r="G84" i="27" s="1"/>
  <c r="CC85" i="2"/>
  <c r="G85" i="27" s="1"/>
  <c r="CC86" i="2"/>
  <c r="G86" i="27" s="1"/>
  <c r="CC87" i="2"/>
  <c r="G87" i="27" s="1"/>
  <c r="CC88" i="2"/>
  <c r="G88" i="27" s="1"/>
  <c r="CC89" i="2"/>
  <c r="G89" i="27" s="1"/>
  <c r="CC90" i="2"/>
  <c r="G90" i="27" s="1"/>
  <c r="CC91" i="2"/>
  <c r="G91" i="27" s="1"/>
  <c r="CC92" i="2"/>
  <c r="G92" i="27" s="1"/>
  <c r="CC93" i="2"/>
  <c r="G93" i="27" s="1"/>
  <c r="CC94" i="2"/>
  <c r="G94" i="27" s="1"/>
  <c r="CC95" i="2"/>
  <c r="G95" i="27" s="1"/>
  <c r="CC96" i="2"/>
  <c r="G96" i="27" s="1"/>
  <c r="CC97" i="2"/>
  <c r="G97" i="27" s="1"/>
  <c r="CC98" i="2"/>
  <c r="G98" i="27" s="1"/>
  <c r="CC99" i="2"/>
  <c r="G99" i="27" s="1"/>
  <c r="CC100" i="2"/>
  <c r="G100" i="27" s="1"/>
  <c r="CC101" i="2"/>
  <c r="G101" i="27" s="1"/>
  <c r="F3" i="27"/>
  <c r="H3" i="27"/>
  <c r="I3" i="27"/>
  <c r="M3" i="27"/>
  <c r="N3" i="27"/>
  <c r="O3" i="27"/>
  <c r="F4" i="27"/>
  <c r="H4" i="27"/>
  <c r="I4" i="27"/>
  <c r="M4" i="27"/>
  <c r="N4" i="27"/>
  <c r="O4" i="27"/>
  <c r="F5" i="27"/>
  <c r="H5" i="27"/>
  <c r="I5" i="27"/>
  <c r="M5" i="27"/>
  <c r="N5" i="27"/>
  <c r="O5" i="27"/>
  <c r="F6" i="27"/>
  <c r="H6" i="27"/>
  <c r="I6" i="27"/>
  <c r="M6" i="27"/>
  <c r="N6" i="27"/>
  <c r="O6" i="27"/>
  <c r="F7" i="27"/>
  <c r="H7" i="27"/>
  <c r="I7" i="27"/>
  <c r="M7" i="27"/>
  <c r="N7" i="27"/>
  <c r="O7" i="27"/>
  <c r="F8" i="27"/>
  <c r="H8" i="27"/>
  <c r="I8" i="27"/>
  <c r="M8" i="27"/>
  <c r="N8" i="27"/>
  <c r="O8" i="27"/>
  <c r="F9" i="27"/>
  <c r="H9" i="27"/>
  <c r="I9" i="27"/>
  <c r="M9" i="27"/>
  <c r="N9" i="27"/>
  <c r="O9" i="27"/>
  <c r="F10" i="27"/>
  <c r="H10" i="27"/>
  <c r="I10" i="27"/>
  <c r="M10" i="27"/>
  <c r="N10" i="27"/>
  <c r="O10" i="27"/>
  <c r="F11" i="27"/>
  <c r="H11" i="27"/>
  <c r="I11" i="27"/>
  <c r="M11" i="27"/>
  <c r="N11" i="27"/>
  <c r="O11" i="27"/>
  <c r="F12" i="27"/>
  <c r="H12" i="27"/>
  <c r="I12" i="27"/>
  <c r="M12" i="27"/>
  <c r="N12" i="27"/>
  <c r="O12" i="27"/>
  <c r="F13" i="27"/>
  <c r="H13" i="27"/>
  <c r="I13" i="27"/>
  <c r="M13" i="27"/>
  <c r="N13" i="27"/>
  <c r="O13" i="27"/>
  <c r="F14" i="27"/>
  <c r="H14" i="27"/>
  <c r="I14" i="27"/>
  <c r="M14" i="27"/>
  <c r="N14" i="27"/>
  <c r="O14" i="27"/>
  <c r="F15" i="27"/>
  <c r="H15" i="27"/>
  <c r="I15" i="27"/>
  <c r="M15" i="27"/>
  <c r="N15" i="27"/>
  <c r="O15" i="27"/>
  <c r="F16" i="27"/>
  <c r="H16" i="27"/>
  <c r="I16" i="27"/>
  <c r="M16" i="27"/>
  <c r="N16" i="27"/>
  <c r="O16" i="27"/>
  <c r="F17" i="27"/>
  <c r="H17" i="27"/>
  <c r="I17" i="27"/>
  <c r="M17" i="27"/>
  <c r="N17" i="27"/>
  <c r="O17" i="27"/>
  <c r="F18" i="27"/>
  <c r="H18" i="27"/>
  <c r="I18" i="27"/>
  <c r="M18" i="27"/>
  <c r="N18" i="27"/>
  <c r="O18" i="27"/>
  <c r="F19" i="27"/>
  <c r="H19" i="27"/>
  <c r="I19" i="27"/>
  <c r="M19" i="27"/>
  <c r="N19" i="27"/>
  <c r="O19" i="27"/>
  <c r="F20" i="27"/>
  <c r="H20" i="27"/>
  <c r="I20" i="27"/>
  <c r="M20" i="27"/>
  <c r="N20" i="27"/>
  <c r="O20" i="27"/>
  <c r="F21" i="27"/>
  <c r="H21" i="27"/>
  <c r="I21" i="27"/>
  <c r="M21" i="27"/>
  <c r="N21" i="27"/>
  <c r="O21" i="27"/>
  <c r="F22" i="27"/>
  <c r="H22" i="27"/>
  <c r="I22" i="27"/>
  <c r="M22" i="27"/>
  <c r="N22" i="27"/>
  <c r="O22" i="27"/>
  <c r="F23" i="27"/>
  <c r="H23" i="27"/>
  <c r="I23" i="27"/>
  <c r="M23" i="27"/>
  <c r="N23" i="27"/>
  <c r="O23" i="27"/>
  <c r="F24" i="27"/>
  <c r="H24" i="27"/>
  <c r="I24" i="27"/>
  <c r="M24" i="27"/>
  <c r="N24" i="27"/>
  <c r="O24" i="27"/>
  <c r="F25" i="27"/>
  <c r="H25" i="27"/>
  <c r="I25" i="27"/>
  <c r="M25" i="27"/>
  <c r="N25" i="27"/>
  <c r="O25" i="27"/>
  <c r="F26" i="27"/>
  <c r="H26" i="27"/>
  <c r="I26" i="27"/>
  <c r="M26" i="27"/>
  <c r="N26" i="27"/>
  <c r="O26" i="27"/>
  <c r="F27" i="27"/>
  <c r="H27" i="27"/>
  <c r="I27" i="27"/>
  <c r="M27" i="27"/>
  <c r="N27" i="27"/>
  <c r="O27" i="27"/>
  <c r="F28" i="27"/>
  <c r="H28" i="27"/>
  <c r="I28" i="27"/>
  <c r="M28" i="27"/>
  <c r="N28" i="27"/>
  <c r="O28" i="27"/>
  <c r="F29" i="27"/>
  <c r="H29" i="27"/>
  <c r="I29" i="27"/>
  <c r="M29" i="27"/>
  <c r="N29" i="27"/>
  <c r="O29" i="27"/>
  <c r="F30" i="27"/>
  <c r="H30" i="27"/>
  <c r="I30" i="27"/>
  <c r="M30" i="27"/>
  <c r="N30" i="27"/>
  <c r="O30" i="27"/>
  <c r="F31" i="27"/>
  <c r="H31" i="27"/>
  <c r="I31" i="27"/>
  <c r="M31" i="27"/>
  <c r="N31" i="27"/>
  <c r="O31" i="27"/>
  <c r="F32" i="27"/>
  <c r="H32" i="27"/>
  <c r="I32" i="27"/>
  <c r="M32" i="27"/>
  <c r="N32" i="27"/>
  <c r="O32" i="27"/>
  <c r="F33" i="27"/>
  <c r="H33" i="27"/>
  <c r="I33" i="27"/>
  <c r="M33" i="27"/>
  <c r="N33" i="27"/>
  <c r="O33" i="27"/>
  <c r="F34" i="27"/>
  <c r="H34" i="27"/>
  <c r="I34" i="27"/>
  <c r="M34" i="27"/>
  <c r="N34" i="27"/>
  <c r="O34" i="27"/>
  <c r="F35" i="27"/>
  <c r="H35" i="27"/>
  <c r="I35" i="27"/>
  <c r="M35" i="27"/>
  <c r="N35" i="27"/>
  <c r="O35" i="27"/>
  <c r="F36" i="27"/>
  <c r="H36" i="27"/>
  <c r="I36" i="27"/>
  <c r="M36" i="27"/>
  <c r="N36" i="27"/>
  <c r="O36" i="27"/>
  <c r="F37" i="27"/>
  <c r="H37" i="27"/>
  <c r="I37" i="27"/>
  <c r="M37" i="27"/>
  <c r="N37" i="27"/>
  <c r="O37" i="27"/>
  <c r="F38" i="27"/>
  <c r="H38" i="27"/>
  <c r="I38" i="27"/>
  <c r="M38" i="27"/>
  <c r="N38" i="27"/>
  <c r="O38" i="27"/>
  <c r="F39" i="27"/>
  <c r="H39" i="27"/>
  <c r="I39" i="27"/>
  <c r="M39" i="27"/>
  <c r="N39" i="27"/>
  <c r="O39" i="27"/>
  <c r="F40" i="27"/>
  <c r="H40" i="27"/>
  <c r="I40" i="27"/>
  <c r="M40" i="27"/>
  <c r="N40" i="27"/>
  <c r="O40" i="27"/>
  <c r="F41" i="27"/>
  <c r="H41" i="27"/>
  <c r="I41" i="27"/>
  <c r="M41" i="27"/>
  <c r="N41" i="27"/>
  <c r="O41" i="27"/>
  <c r="F42" i="27"/>
  <c r="H42" i="27"/>
  <c r="I42" i="27"/>
  <c r="M42" i="27"/>
  <c r="N42" i="27"/>
  <c r="O42" i="27"/>
  <c r="F43" i="27"/>
  <c r="H43" i="27"/>
  <c r="I43" i="27"/>
  <c r="M43" i="27"/>
  <c r="N43" i="27"/>
  <c r="O43" i="27"/>
  <c r="F44" i="27"/>
  <c r="H44" i="27"/>
  <c r="I44" i="27"/>
  <c r="M44" i="27"/>
  <c r="N44" i="27"/>
  <c r="O44" i="27"/>
  <c r="F45" i="27"/>
  <c r="H45" i="27"/>
  <c r="I45" i="27"/>
  <c r="M45" i="27"/>
  <c r="N45" i="27"/>
  <c r="O45" i="27"/>
  <c r="F46" i="27"/>
  <c r="H46" i="27"/>
  <c r="I46" i="27"/>
  <c r="M46" i="27"/>
  <c r="N46" i="27"/>
  <c r="O46" i="27"/>
  <c r="F47" i="27"/>
  <c r="H47" i="27"/>
  <c r="I47" i="27"/>
  <c r="M47" i="27"/>
  <c r="N47" i="27"/>
  <c r="O47" i="27"/>
  <c r="F48" i="27"/>
  <c r="H48" i="27"/>
  <c r="I48" i="27"/>
  <c r="M48" i="27"/>
  <c r="N48" i="27"/>
  <c r="O48" i="27"/>
  <c r="F49" i="27"/>
  <c r="H49" i="27"/>
  <c r="I49" i="27"/>
  <c r="M49" i="27"/>
  <c r="N49" i="27"/>
  <c r="O49" i="27"/>
  <c r="F50" i="27"/>
  <c r="H50" i="27"/>
  <c r="I50" i="27"/>
  <c r="M50" i="27"/>
  <c r="N50" i="27"/>
  <c r="O50" i="27"/>
  <c r="F51" i="27"/>
  <c r="H51" i="27"/>
  <c r="I51" i="27"/>
  <c r="M51" i="27"/>
  <c r="N51" i="27"/>
  <c r="O51" i="27"/>
  <c r="F52" i="27"/>
  <c r="H52" i="27"/>
  <c r="I52" i="27"/>
  <c r="M52" i="27"/>
  <c r="N52" i="27"/>
  <c r="O52" i="27"/>
  <c r="F53" i="27"/>
  <c r="H53" i="27"/>
  <c r="I53" i="27"/>
  <c r="M53" i="27"/>
  <c r="N53" i="27"/>
  <c r="O53" i="27"/>
  <c r="F54" i="27"/>
  <c r="H54" i="27"/>
  <c r="I54" i="27"/>
  <c r="M54" i="27"/>
  <c r="N54" i="27"/>
  <c r="O54" i="27"/>
  <c r="F55" i="27"/>
  <c r="H55" i="27"/>
  <c r="I55" i="27"/>
  <c r="M55" i="27"/>
  <c r="N55" i="27"/>
  <c r="O55" i="27"/>
  <c r="F56" i="27"/>
  <c r="H56" i="27"/>
  <c r="I56" i="27"/>
  <c r="M56" i="27"/>
  <c r="N56" i="27"/>
  <c r="O56" i="27"/>
  <c r="F57" i="27"/>
  <c r="H57" i="27"/>
  <c r="I57" i="27"/>
  <c r="M57" i="27"/>
  <c r="N57" i="27"/>
  <c r="O57" i="27"/>
  <c r="F58" i="27"/>
  <c r="H58" i="27"/>
  <c r="I58" i="27"/>
  <c r="M58" i="27"/>
  <c r="N58" i="27"/>
  <c r="O58" i="27"/>
  <c r="F59" i="27"/>
  <c r="H59" i="27"/>
  <c r="I59" i="27"/>
  <c r="M59" i="27"/>
  <c r="N59" i="27"/>
  <c r="O59" i="27"/>
  <c r="F60" i="27"/>
  <c r="H60" i="27"/>
  <c r="I60" i="27"/>
  <c r="M60" i="27"/>
  <c r="N60" i="27"/>
  <c r="O60" i="27"/>
  <c r="F61" i="27"/>
  <c r="H61" i="27"/>
  <c r="I61" i="27"/>
  <c r="M61" i="27"/>
  <c r="N61" i="27"/>
  <c r="O61" i="27"/>
  <c r="F62" i="27"/>
  <c r="H62" i="27"/>
  <c r="I62" i="27"/>
  <c r="M62" i="27"/>
  <c r="N62" i="27"/>
  <c r="O62" i="27"/>
  <c r="F63" i="27"/>
  <c r="H63" i="27"/>
  <c r="I63" i="27"/>
  <c r="M63" i="27"/>
  <c r="N63" i="27"/>
  <c r="O63" i="27"/>
  <c r="F64" i="27"/>
  <c r="H64" i="27"/>
  <c r="I64" i="27"/>
  <c r="M64" i="27"/>
  <c r="N64" i="27"/>
  <c r="O64" i="27"/>
  <c r="F65" i="27"/>
  <c r="H65" i="27"/>
  <c r="I65" i="27"/>
  <c r="M65" i="27"/>
  <c r="N65" i="27"/>
  <c r="O65" i="27"/>
  <c r="F66" i="27"/>
  <c r="H66" i="27"/>
  <c r="I66" i="27"/>
  <c r="M66" i="27"/>
  <c r="N66" i="27"/>
  <c r="O66" i="27"/>
  <c r="F67" i="27"/>
  <c r="H67" i="27"/>
  <c r="I67" i="27"/>
  <c r="M67" i="27"/>
  <c r="N67" i="27"/>
  <c r="O67" i="27"/>
  <c r="F68" i="27"/>
  <c r="H68" i="27"/>
  <c r="I68" i="27"/>
  <c r="M68" i="27"/>
  <c r="N68" i="27"/>
  <c r="O68" i="27"/>
  <c r="F69" i="27"/>
  <c r="H69" i="27"/>
  <c r="I69" i="27"/>
  <c r="M69" i="27"/>
  <c r="N69" i="27"/>
  <c r="O69" i="27"/>
  <c r="F70" i="27"/>
  <c r="H70" i="27"/>
  <c r="I70" i="27"/>
  <c r="M70" i="27"/>
  <c r="N70" i="27"/>
  <c r="O70" i="27"/>
  <c r="F71" i="27"/>
  <c r="H71" i="27"/>
  <c r="I71" i="27"/>
  <c r="M71" i="27"/>
  <c r="N71" i="27"/>
  <c r="O71" i="27"/>
  <c r="F72" i="27"/>
  <c r="H72" i="27"/>
  <c r="I72" i="27"/>
  <c r="M72" i="27"/>
  <c r="N72" i="27"/>
  <c r="O72" i="27"/>
  <c r="F73" i="27"/>
  <c r="H73" i="27"/>
  <c r="I73" i="27"/>
  <c r="M73" i="27"/>
  <c r="N73" i="27"/>
  <c r="O73" i="27"/>
  <c r="F74" i="27"/>
  <c r="H74" i="27"/>
  <c r="I74" i="27"/>
  <c r="M74" i="27"/>
  <c r="N74" i="27"/>
  <c r="O74" i="27"/>
  <c r="F75" i="27"/>
  <c r="H75" i="27"/>
  <c r="I75" i="27"/>
  <c r="M75" i="27"/>
  <c r="N75" i="27"/>
  <c r="O75" i="27"/>
  <c r="F76" i="27"/>
  <c r="H76" i="27"/>
  <c r="I76" i="27"/>
  <c r="M76" i="27"/>
  <c r="N76" i="27"/>
  <c r="O76" i="27"/>
  <c r="F77" i="27"/>
  <c r="H77" i="27"/>
  <c r="I77" i="27"/>
  <c r="M77" i="27"/>
  <c r="N77" i="27"/>
  <c r="O77" i="27"/>
  <c r="F78" i="27"/>
  <c r="H78" i="27"/>
  <c r="I78" i="27"/>
  <c r="M78" i="27"/>
  <c r="N78" i="27"/>
  <c r="O78" i="27"/>
  <c r="F79" i="27"/>
  <c r="H79" i="27"/>
  <c r="I79" i="27"/>
  <c r="M79" i="27"/>
  <c r="N79" i="27"/>
  <c r="O79" i="27"/>
  <c r="F80" i="27"/>
  <c r="H80" i="27"/>
  <c r="I80" i="27"/>
  <c r="M80" i="27"/>
  <c r="N80" i="27"/>
  <c r="O80" i="27"/>
  <c r="F81" i="27"/>
  <c r="H81" i="27"/>
  <c r="I81" i="27"/>
  <c r="M81" i="27"/>
  <c r="N81" i="27"/>
  <c r="O81" i="27"/>
  <c r="F82" i="27"/>
  <c r="H82" i="27"/>
  <c r="I82" i="27"/>
  <c r="M82" i="27"/>
  <c r="N82" i="27"/>
  <c r="O82" i="27"/>
  <c r="F83" i="27"/>
  <c r="H83" i="27"/>
  <c r="I83" i="27"/>
  <c r="M83" i="27"/>
  <c r="N83" i="27"/>
  <c r="O83" i="27"/>
  <c r="F84" i="27"/>
  <c r="H84" i="27"/>
  <c r="I84" i="27"/>
  <c r="M84" i="27"/>
  <c r="N84" i="27"/>
  <c r="O84" i="27"/>
  <c r="F85" i="27"/>
  <c r="H85" i="27"/>
  <c r="I85" i="27"/>
  <c r="M85" i="27"/>
  <c r="N85" i="27"/>
  <c r="O85" i="27"/>
  <c r="F86" i="27"/>
  <c r="H86" i="27"/>
  <c r="I86" i="27"/>
  <c r="M86" i="27"/>
  <c r="N86" i="27"/>
  <c r="O86" i="27"/>
  <c r="F87" i="27"/>
  <c r="H87" i="27"/>
  <c r="I87" i="27"/>
  <c r="M87" i="27"/>
  <c r="N87" i="27"/>
  <c r="O87" i="27"/>
  <c r="F88" i="27"/>
  <c r="H88" i="27"/>
  <c r="I88" i="27"/>
  <c r="M88" i="27"/>
  <c r="N88" i="27"/>
  <c r="O88" i="27"/>
  <c r="F89" i="27"/>
  <c r="H89" i="27"/>
  <c r="I89" i="27"/>
  <c r="M89" i="27"/>
  <c r="N89" i="27"/>
  <c r="O89" i="27"/>
  <c r="F90" i="27"/>
  <c r="H90" i="27"/>
  <c r="I90" i="27"/>
  <c r="M90" i="27"/>
  <c r="N90" i="27"/>
  <c r="O90" i="27"/>
  <c r="F91" i="27"/>
  <c r="H91" i="27"/>
  <c r="I91" i="27"/>
  <c r="M91" i="27"/>
  <c r="N91" i="27"/>
  <c r="O91" i="27"/>
  <c r="F92" i="27"/>
  <c r="H92" i="27"/>
  <c r="I92" i="27"/>
  <c r="M92" i="27"/>
  <c r="N92" i="27"/>
  <c r="O92" i="27"/>
  <c r="F93" i="27"/>
  <c r="H93" i="27"/>
  <c r="I93" i="27"/>
  <c r="M93" i="27"/>
  <c r="N93" i="27"/>
  <c r="O93" i="27"/>
  <c r="F94" i="27"/>
  <c r="H94" i="27"/>
  <c r="I94" i="27"/>
  <c r="M94" i="27"/>
  <c r="N94" i="27"/>
  <c r="O94" i="27"/>
  <c r="F95" i="27"/>
  <c r="H95" i="27"/>
  <c r="I95" i="27"/>
  <c r="M95" i="27"/>
  <c r="N95" i="27"/>
  <c r="O95" i="27"/>
  <c r="F96" i="27"/>
  <c r="H96" i="27"/>
  <c r="I96" i="27"/>
  <c r="M96" i="27"/>
  <c r="N96" i="27"/>
  <c r="O96" i="27"/>
  <c r="F97" i="27"/>
  <c r="H97" i="27"/>
  <c r="I97" i="27"/>
  <c r="M97" i="27"/>
  <c r="N97" i="27"/>
  <c r="O97" i="27"/>
  <c r="F98" i="27"/>
  <c r="H98" i="27"/>
  <c r="I98" i="27"/>
  <c r="M98" i="27"/>
  <c r="N98" i="27"/>
  <c r="O98" i="27"/>
  <c r="F99" i="27"/>
  <c r="H99" i="27"/>
  <c r="I99" i="27"/>
  <c r="M99" i="27"/>
  <c r="N99" i="27"/>
  <c r="O99" i="27"/>
  <c r="F100" i="27"/>
  <c r="H100" i="27"/>
  <c r="I100" i="27"/>
  <c r="M100" i="27"/>
  <c r="N100" i="27"/>
  <c r="O100" i="27"/>
  <c r="H2" i="27"/>
  <c r="I2" i="27"/>
  <c r="M2" i="27"/>
  <c r="F2" i="27"/>
  <c r="CF101" i="2"/>
  <c r="J101" i="27" s="1"/>
  <c r="CG101" i="2"/>
  <c r="K101" i="27" s="1"/>
  <c r="CH101" i="2"/>
  <c r="L101" i="27" s="1"/>
  <c r="CL101" i="2"/>
  <c r="P101" i="27" s="1"/>
  <c r="CF42" i="2"/>
  <c r="J42" i="27" s="1"/>
  <c r="CF43" i="2"/>
  <c r="J43" i="27" s="1"/>
  <c r="CF44" i="2"/>
  <c r="J44" i="27" s="1"/>
  <c r="CF45" i="2"/>
  <c r="J45" i="27" s="1"/>
  <c r="CF46" i="2"/>
  <c r="J46" i="27" s="1"/>
  <c r="CF47" i="2"/>
  <c r="J47" i="27" s="1"/>
  <c r="CF48" i="2"/>
  <c r="J48" i="27" s="1"/>
  <c r="CF49" i="2"/>
  <c r="J49" i="27" s="1"/>
  <c r="CF50" i="2"/>
  <c r="J50" i="27" s="1"/>
  <c r="CF51" i="2"/>
  <c r="J51" i="27" s="1"/>
  <c r="CF52" i="2"/>
  <c r="J52" i="27" s="1"/>
  <c r="CF53" i="2"/>
  <c r="J53" i="27" s="1"/>
  <c r="CF54" i="2"/>
  <c r="J54" i="27" s="1"/>
  <c r="CF55" i="2"/>
  <c r="J55" i="27" s="1"/>
  <c r="CF56" i="2"/>
  <c r="J56" i="27" s="1"/>
  <c r="CF57" i="2"/>
  <c r="J57" i="27" s="1"/>
  <c r="CF58" i="2"/>
  <c r="J58" i="27" s="1"/>
  <c r="CF59" i="2"/>
  <c r="J59" i="27" s="1"/>
  <c r="CF60" i="2"/>
  <c r="J60" i="27" s="1"/>
  <c r="CF61" i="2"/>
  <c r="J61" i="27" s="1"/>
  <c r="CF62" i="2"/>
  <c r="J62" i="27" s="1"/>
  <c r="CF63" i="2"/>
  <c r="J63" i="27" s="1"/>
  <c r="CF64" i="2"/>
  <c r="J64" i="27" s="1"/>
  <c r="CF65" i="2"/>
  <c r="J65" i="27" s="1"/>
  <c r="CF66" i="2"/>
  <c r="J66" i="27" s="1"/>
  <c r="CF67" i="2"/>
  <c r="J67" i="27" s="1"/>
  <c r="CF68" i="2"/>
  <c r="J68" i="27" s="1"/>
  <c r="CF69" i="2"/>
  <c r="J69" i="27" s="1"/>
  <c r="CF70" i="2"/>
  <c r="J70" i="27" s="1"/>
  <c r="CF71" i="2"/>
  <c r="J71" i="27" s="1"/>
  <c r="CF72" i="2"/>
  <c r="J72" i="27" s="1"/>
  <c r="CF73" i="2"/>
  <c r="J73" i="27" s="1"/>
  <c r="CF74" i="2"/>
  <c r="J74" i="27" s="1"/>
  <c r="CF75" i="2"/>
  <c r="J75" i="27" s="1"/>
  <c r="CF76" i="2"/>
  <c r="J76" i="27" s="1"/>
  <c r="CF77" i="2"/>
  <c r="J77" i="27" s="1"/>
  <c r="CF78" i="2"/>
  <c r="J78" i="27" s="1"/>
  <c r="CF79" i="2"/>
  <c r="J79" i="27" s="1"/>
  <c r="CF80" i="2"/>
  <c r="J80" i="27" s="1"/>
  <c r="CF81" i="2"/>
  <c r="J81" i="27" s="1"/>
  <c r="CF82" i="2"/>
  <c r="J82" i="27" s="1"/>
  <c r="CF83" i="2"/>
  <c r="J83" i="27" s="1"/>
  <c r="CF84" i="2"/>
  <c r="J84" i="27" s="1"/>
  <c r="CF85" i="2"/>
  <c r="J85" i="27" s="1"/>
  <c r="CF86" i="2"/>
  <c r="J86" i="27" s="1"/>
  <c r="CF87" i="2"/>
  <c r="J87" i="27" s="1"/>
  <c r="CF88" i="2"/>
  <c r="J88" i="27" s="1"/>
  <c r="CF89" i="2"/>
  <c r="J89" i="27" s="1"/>
  <c r="CF90" i="2"/>
  <c r="J90" i="27" s="1"/>
  <c r="CF91" i="2"/>
  <c r="J91" i="27" s="1"/>
  <c r="CF92" i="2"/>
  <c r="J92" i="27" s="1"/>
  <c r="CF93" i="2"/>
  <c r="J93" i="27" s="1"/>
  <c r="CF94" i="2"/>
  <c r="J94" i="27" s="1"/>
  <c r="CF95" i="2"/>
  <c r="J95" i="27" s="1"/>
  <c r="CF96" i="2"/>
  <c r="J96" i="27" s="1"/>
  <c r="CF97" i="2"/>
  <c r="J97" i="27" s="1"/>
  <c r="CF98" i="2"/>
  <c r="J98" i="27" s="1"/>
  <c r="CF99" i="2"/>
  <c r="J99" i="27" s="1"/>
  <c r="CF100" i="2"/>
  <c r="J100" i="27" s="1"/>
  <c r="CG42" i="2"/>
  <c r="K42" i="27" s="1"/>
  <c r="CG43" i="2"/>
  <c r="K43" i="27" s="1"/>
  <c r="CG44" i="2"/>
  <c r="K44" i="27" s="1"/>
  <c r="CG45" i="2"/>
  <c r="K45" i="27" s="1"/>
  <c r="CG46" i="2"/>
  <c r="K46" i="27" s="1"/>
  <c r="CG47" i="2"/>
  <c r="K47" i="27" s="1"/>
  <c r="CG48" i="2"/>
  <c r="K48" i="27" s="1"/>
  <c r="CG49" i="2"/>
  <c r="K49" i="27" s="1"/>
  <c r="CG50" i="2"/>
  <c r="K50" i="27" s="1"/>
  <c r="CG51" i="2"/>
  <c r="K51" i="27" s="1"/>
  <c r="CG52" i="2"/>
  <c r="K52" i="27" s="1"/>
  <c r="CG53" i="2"/>
  <c r="K53" i="27" s="1"/>
  <c r="CG54" i="2"/>
  <c r="K54" i="27" s="1"/>
  <c r="CG55" i="2"/>
  <c r="K55" i="27" s="1"/>
  <c r="CG56" i="2"/>
  <c r="K56" i="27" s="1"/>
  <c r="CG57" i="2"/>
  <c r="K57" i="27" s="1"/>
  <c r="CG58" i="2"/>
  <c r="K58" i="27" s="1"/>
  <c r="CG59" i="2"/>
  <c r="K59" i="27" s="1"/>
  <c r="CG60" i="2"/>
  <c r="K60" i="27" s="1"/>
  <c r="CG61" i="2"/>
  <c r="K61" i="27" s="1"/>
  <c r="CG62" i="2"/>
  <c r="K62" i="27" s="1"/>
  <c r="CG63" i="2"/>
  <c r="K63" i="27" s="1"/>
  <c r="CG64" i="2"/>
  <c r="K64" i="27" s="1"/>
  <c r="CG65" i="2"/>
  <c r="K65" i="27" s="1"/>
  <c r="CG66" i="2"/>
  <c r="K66" i="27" s="1"/>
  <c r="CG67" i="2"/>
  <c r="K67" i="27" s="1"/>
  <c r="CG68" i="2"/>
  <c r="K68" i="27" s="1"/>
  <c r="CG69" i="2"/>
  <c r="K69" i="27" s="1"/>
  <c r="CG70" i="2"/>
  <c r="K70" i="27" s="1"/>
  <c r="CG71" i="2"/>
  <c r="K71" i="27" s="1"/>
  <c r="CG72" i="2"/>
  <c r="K72" i="27" s="1"/>
  <c r="CG73" i="2"/>
  <c r="K73" i="27" s="1"/>
  <c r="CG74" i="2"/>
  <c r="K74" i="27" s="1"/>
  <c r="CG75" i="2"/>
  <c r="K75" i="27" s="1"/>
  <c r="CG76" i="2"/>
  <c r="K76" i="27" s="1"/>
  <c r="CG77" i="2"/>
  <c r="K77" i="27" s="1"/>
  <c r="CG78" i="2"/>
  <c r="K78" i="27" s="1"/>
  <c r="CG79" i="2"/>
  <c r="K79" i="27" s="1"/>
  <c r="CG80" i="2"/>
  <c r="K80" i="27" s="1"/>
  <c r="CG81" i="2"/>
  <c r="K81" i="27" s="1"/>
  <c r="CG82" i="2"/>
  <c r="K82" i="27" s="1"/>
  <c r="CG83" i="2"/>
  <c r="K83" i="27" s="1"/>
  <c r="CG84" i="2"/>
  <c r="K84" i="27" s="1"/>
  <c r="CG85" i="2"/>
  <c r="K85" i="27" s="1"/>
  <c r="CG86" i="2"/>
  <c r="K86" i="27" s="1"/>
  <c r="CG87" i="2"/>
  <c r="K87" i="27" s="1"/>
  <c r="CG88" i="2"/>
  <c r="K88" i="27" s="1"/>
  <c r="CG89" i="2"/>
  <c r="K89" i="27" s="1"/>
  <c r="CG90" i="2"/>
  <c r="K90" i="27" s="1"/>
  <c r="CG91" i="2"/>
  <c r="K91" i="27" s="1"/>
  <c r="CG92" i="2"/>
  <c r="K92" i="27" s="1"/>
  <c r="CG93" i="2"/>
  <c r="K93" i="27" s="1"/>
  <c r="CG94" i="2"/>
  <c r="K94" i="27" s="1"/>
  <c r="CG95" i="2"/>
  <c r="K95" i="27" s="1"/>
  <c r="CG96" i="2"/>
  <c r="K96" i="27" s="1"/>
  <c r="CG97" i="2"/>
  <c r="K97" i="27" s="1"/>
  <c r="CG98" i="2"/>
  <c r="K98" i="27" s="1"/>
  <c r="CG99" i="2"/>
  <c r="K99" i="27" s="1"/>
  <c r="CG100" i="2"/>
  <c r="K100" i="27" s="1"/>
  <c r="CH42" i="2"/>
  <c r="L42" i="27" s="1"/>
  <c r="CH43" i="2"/>
  <c r="L43" i="27" s="1"/>
  <c r="CH44" i="2"/>
  <c r="L44" i="27" s="1"/>
  <c r="CH45" i="2"/>
  <c r="L45" i="27" s="1"/>
  <c r="CH46" i="2"/>
  <c r="L46" i="27" s="1"/>
  <c r="CH47" i="2"/>
  <c r="L47" i="27" s="1"/>
  <c r="CH48" i="2"/>
  <c r="L48" i="27" s="1"/>
  <c r="CH49" i="2"/>
  <c r="L49" i="27" s="1"/>
  <c r="CH50" i="2"/>
  <c r="L50" i="27" s="1"/>
  <c r="CH51" i="2"/>
  <c r="L51" i="27" s="1"/>
  <c r="CH52" i="2"/>
  <c r="L52" i="27" s="1"/>
  <c r="CH53" i="2"/>
  <c r="L53" i="27" s="1"/>
  <c r="CH54" i="2"/>
  <c r="L54" i="27" s="1"/>
  <c r="CH55" i="2"/>
  <c r="L55" i="27" s="1"/>
  <c r="CH56" i="2"/>
  <c r="L56" i="27" s="1"/>
  <c r="CH57" i="2"/>
  <c r="L57" i="27" s="1"/>
  <c r="CH58" i="2"/>
  <c r="L58" i="27" s="1"/>
  <c r="CH59" i="2"/>
  <c r="L59" i="27" s="1"/>
  <c r="CH60" i="2"/>
  <c r="L60" i="27" s="1"/>
  <c r="CH61" i="2"/>
  <c r="L61" i="27" s="1"/>
  <c r="CH62" i="2"/>
  <c r="L62" i="27" s="1"/>
  <c r="CH63" i="2"/>
  <c r="L63" i="27" s="1"/>
  <c r="CH64" i="2"/>
  <c r="L64" i="27" s="1"/>
  <c r="CH65" i="2"/>
  <c r="L65" i="27" s="1"/>
  <c r="CH66" i="2"/>
  <c r="L66" i="27" s="1"/>
  <c r="CH67" i="2"/>
  <c r="L67" i="27" s="1"/>
  <c r="CH68" i="2"/>
  <c r="L68" i="27" s="1"/>
  <c r="CH69" i="2"/>
  <c r="L69" i="27" s="1"/>
  <c r="CH70" i="2"/>
  <c r="L70" i="27" s="1"/>
  <c r="CH71" i="2"/>
  <c r="L71" i="27" s="1"/>
  <c r="CH72" i="2"/>
  <c r="L72" i="27" s="1"/>
  <c r="CH73" i="2"/>
  <c r="L73" i="27" s="1"/>
  <c r="CH74" i="2"/>
  <c r="L74" i="27" s="1"/>
  <c r="CH75" i="2"/>
  <c r="L75" i="27" s="1"/>
  <c r="CH76" i="2"/>
  <c r="L76" i="27" s="1"/>
  <c r="CH77" i="2"/>
  <c r="L77" i="27" s="1"/>
  <c r="CH78" i="2"/>
  <c r="L78" i="27" s="1"/>
  <c r="CH79" i="2"/>
  <c r="L79" i="27" s="1"/>
  <c r="CH80" i="2"/>
  <c r="L80" i="27" s="1"/>
  <c r="CH81" i="2"/>
  <c r="L81" i="27" s="1"/>
  <c r="CH82" i="2"/>
  <c r="L82" i="27" s="1"/>
  <c r="CH83" i="2"/>
  <c r="L83" i="27" s="1"/>
  <c r="CH84" i="2"/>
  <c r="L84" i="27" s="1"/>
  <c r="CH85" i="2"/>
  <c r="L85" i="27" s="1"/>
  <c r="CH86" i="2"/>
  <c r="L86" i="27" s="1"/>
  <c r="CH87" i="2"/>
  <c r="L87" i="27" s="1"/>
  <c r="CH88" i="2"/>
  <c r="L88" i="27" s="1"/>
  <c r="CH89" i="2"/>
  <c r="L89" i="27" s="1"/>
  <c r="CH90" i="2"/>
  <c r="L90" i="27" s="1"/>
  <c r="CH91" i="2"/>
  <c r="L91" i="27" s="1"/>
  <c r="CH92" i="2"/>
  <c r="L92" i="27" s="1"/>
  <c r="CH93" i="2"/>
  <c r="L93" i="27" s="1"/>
  <c r="CH94" i="2"/>
  <c r="L94" i="27" s="1"/>
  <c r="CH95" i="2"/>
  <c r="L95" i="27" s="1"/>
  <c r="CH96" i="2"/>
  <c r="L96" i="27" s="1"/>
  <c r="CH97" i="2"/>
  <c r="L97" i="27" s="1"/>
  <c r="CH98" i="2"/>
  <c r="L98" i="27" s="1"/>
  <c r="CH99" i="2"/>
  <c r="L99" i="27" s="1"/>
  <c r="CH100" i="2"/>
  <c r="L100" i="27" s="1"/>
  <c r="CL42" i="2"/>
  <c r="P42" i="27" s="1"/>
  <c r="CL43" i="2"/>
  <c r="P43" i="27" s="1"/>
  <c r="CL44" i="2"/>
  <c r="P44" i="27" s="1"/>
  <c r="CL45" i="2"/>
  <c r="P45" i="27" s="1"/>
  <c r="CL46" i="2"/>
  <c r="P46" i="27" s="1"/>
  <c r="CL47" i="2"/>
  <c r="P47" i="27" s="1"/>
  <c r="CL48" i="2"/>
  <c r="P48" i="27" s="1"/>
  <c r="CL49" i="2"/>
  <c r="P49" i="27" s="1"/>
  <c r="CL50" i="2"/>
  <c r="P50" i="27" s="1"/>
  <c r="CL51" i="2"/>
  <c r="P51" i="27" s="1"/>
  <c r="CL52" i="2"/>
  <c r="P52" i="27" s="1"/>
  <c r="CL53" i="2"/>
  <c r="P53" i="27" s="1"/>
  <c r="CL54" i="2"/>
  <c r="P54" i="27" s="1"/>
  <c r="CL55" i="2"/>
  <c r="P55" i="27" s="1"/>
  <c r="CL56" i="2"/>
  <c r="P56" i="27" s="1"/>
  <c r="CL57" i="2"/>
  <c r="P57" i="27" s="1"/>
  <c r="CL58" i="2"/>
  <c r="P58" i="27" s="1"/>
  <c r="CL59" i="2"/>
  <c r="P59" i="27" s="1"/>
  <c r="CL60" i="2"/>
  <c r="P60" i="27" s="1"/>
  <c r="CL61" i="2"/>
  <c r="P61" i="27" s="1"/>
  <c r="CL62" i="2"/>
  <c r="P62" i="27" s="1"/>
  <c r="CL63" i="2"/>
  <c r="P63" i="27" s="1"/>
  <c r="CL64" i="2"/>
  <c r="P64" i="27" s="1"/>
  <c r="CL65" i="2"/>
  <c r="P65" i="27" s="1"/>
  <c r="CL66" i="2"/>
  <c r="P66" i="27" s="1"/>
  <c r="CL67" i="2"/>
  <c r="P67" i="27" s="1"/>
  <c r="CL68" i="2"/>
  <c r="P68" i="27" s="1"/>
  <c r="CL69" i="2"/>
  <c r="P69" i="27" s="1"/>
  <c r="CL70" i="2"/>
  <c r="P70" i="27" s="1"/>
  <c r="CL71" i="2"/>
  <c r="P71" i="27" s="1"/>
  <c r="CL72" i="2"/>
  <c r="P72" i="27" s="1"/>
  <c r="CL73" i="2"/>
  <c r="P73" i="27" s="1"/>
  <c r="CL74" i="2"/>
  <c r="P74" i="27" s="1"/>
  <c r="CL75" i="2"/>
  <c r="P75" i="27" s="1"/>
  <c r="CL76" i="2"/>
  <c r="P76" i="27" s="1"/>
  <c r="CL77" i="2"/>
  <c r="P77" i="27" s="1"/>
  <c r="CL78" i="2"/>
  <c r="P78" i="27" s="1"/>
  <c r="CL79" i="2"/>
  <c r="P79" i="27" s="1"/>
  <c r="CL80" i="2"/>
  <c r="P80" i="27" s="1"/>
  <c r="CL81" i="2"/>
  <c r="P81" i="27" s="1"/>
  <c r="CL82" i="2"/>
  <c r="P82" i="27" s="1"/>
  <c r="CL83" i="2"/>
  <c r="P83" i="27" s="1"/>
  <c r="CL84" i="2"/>
  <c r="P84" i="27" s="1"/>
  <c r="CL85" i="2"/>
  <c r="P85" i="27" s="1"/>
  <c r="CL86" i="2"/>
  <c r="P86" i="27" s="1"/>
  <c r="CL87" i="2"/>
  <c r="P87" i="27" s="1"/>
  <c r="CL88" i="2"/>
  <c r="P88" i="27" s="1"/>
  <c r="CL89" i="2"/>
  <c r="P89" i="27" s="1"/>
  <c r="CL90" i="2"/>
  <c r="P90" i="27" s="1"/>
  <c r="CL91" i="2"/>
  <c r="P91" i="27" s="1"/>
  <c r="CL92" i="2"/>
  <c r="P92" i="27" s="1"/>
  <c r="CL93" i="2"/>
  <c r="P93" i="27" s="1"/>
  <c r="CL94" i="2"/>
  <c r="P94" i="27" s="1"/>
  <c r="CL95" i="2"/>
  <c r="P95" i="27" s="1"/>
  <c r="CL96" i="2"/>
  <c r="P96" i="27" s="1"/>
  <c r="CL97" i="2"/>
  <c r="P97" i="27" s="1"/>
  <c r="CL98" i="2"/>
  <c r="P98" i="27" s="1"/>
  <c r="CL99" i="2"/>
  <c r="P99" i="27" s="1"/>
  <c r="CL100" i="2"/>
  <c r="P100" i="27" s="1"/>
  <c r="CH2" i="21"/>
  <c r="J2022" i="27" s="1"/>
  <c r="CH3" i="21"/>
  <c r="J2023" i="27" s="1"/>
  <c r="CH4" i="21"/>
  <c r="J2024" i="27" s="1"/>
  <c r="CH5" i="21"/>
  <c r="J2025" i="27" s="1"/>
  <c r="CH6" i="21"/>
  <c r="J2026" i="27" s="1"/>
  <c r="CH7" i="21"/>
  <c r="J2027" i="27" s="1"/>
  <c r="CH8" i="21"/>
  <c r="J2028" i="27" s="1"/>
  <c r="CH9" i="21"/>
  <c r="J2029" i="27" s="1"/>
  <c r="CH10" i="21"/>
  <c r="J2030" i="27" s="1"/>
  <c r="CH11" i="21"/>
  <c r="J2031" i="27" s="1"/>
  <c r="CH12" i="21"/>
  <c r="J2032" i="27" s="1"/>
  <c r="CH13" i="21"/>
  <c r="J2033" i="27" s="1"/>
  <c r="CH14" i="21"/>
  <c r="J2034" i="27" s="1"/>
  <c r="CH15" i="21"/>
  <c r="J2035" i="27" s="1"/>
  <c r="CH16" i="21"/>
  <c r="J2036" i="27" s="1"/>
  <c r="CH17" i="21"/>
  <c r="J2037" i="27" s="1"/>
  <c r="CH18" i="21"/>
  <c r="J2038" i="27" s="1"/>
  <c r="CH19" i="21"/>
  <c r="J2039" i="27" s="1"/>
  <c r="CH20" i="21"/>
  <c r="J2040" i="27" s="1"/>
  <c r="CH21" i="21"/>
  <c r="J2041" i="27" s="1"/>
  <c r="CH22" i="21"/>
  <c r="J2042" i="27" s="1"/>
  <c r="CH23" i="21"/>
  <c r="J2043" i="27" s="1"/>
  <c r="CH24" i="21"/>
  <c r="J2044" i="27" s="1"/>
  <c r="CH25" i="21"/>
  <c r="J2045" i="27" s="1"/>
  <c r="CH26" i="21"/>
  <c r="J2046" i="27" s="1"/>
  <c r="CH27" i="21"/>
  <c r="J2047" i="27" s="1"/>
  <c r="CH28" i="21"/>
  <c r="J2048" i="27" s="1"/>
  <c r="CH29" i="21"/>
  <c r="J2049" i="27" s="1"/>
  <c r="CH30" i="21"/>
  <c r="J2050" i="27" s="1"/>
  <c r="CH31" i="21"/>
  <c r="J2051" i="27" s="1"/>
  <c r="CH32" i="21"/>
  <c r="J2052" i="27" s="1"/>
  <c r="CH33" i="21"/>
  <c r="J2053" i="27" s="1"/>
  <c r="CH34" i="21"/>
  <c r="J2054" i="27" s="1"/>
  <c r="CH35" i="21"/>
  <c r="J2055" i="27" s="1"/>
  <c r="CH36" i="21"/>
  <c r="J2056" i="27" s="1"/>
  <c r="CH37" i="21"/>
  <c r="J2057" i="27" s="1"/>
  <c r="CH38" i="21"/>
  <c r="J2058" i="27" s="1"/>
  <c r="CH39" i="21"/>
  <c r="J2059" i="27" s="1"/>
  <c r="CH40" i="21"/>
  <c r="J2060" i="27" s="1"/>
  <c r="CH41" i="21"/>
  <c r="J2061" i="27" s="1"/>
  <c r="CH42" i="21"/>
  <c r="J2062" i="27" s="1"/>
  <c r="CH43" i="21"/>
  <c r="J2063" i="27" s="1"/>
  <c r="CH44" i="21"/>
  <c r="J2064" i="27" s="1"/>
  <c r="CH45" i="21"/>
  <c r="J2065" i="27" s="1"/>
  <c r="CH46" i="21"/>
  <c r="J2066" i="27" s="1"/>
  <c r="CH47" i="21"/>
  <c r="J2067" i="27" s="1"/>
  <c r="CH48" i="21"/>
  <c r="J2068" i="27" s="1"/>
  <c r="CH49" i="21"/>
  <c r="J2069" i="27" s="1"/>
  <c r="CH50" i="21"/>
  <c r="J2070" i="27" s="1"/>
  <c r="CJ2" i="21"/>
  <c r="L2022" i="27" s="1"/>
  <c r="CJ3" i="21"/>
  <c r="L2023" i="27" s="1"/>
  <c r="CJ4" i="21"/>
  <c r="L2024" i="27" s="1"/>
  <c r="CJ5" i="21"/>
  <c r="L2025" i="27" s="1"/>
  <c r="CJ6" i="21"/>
  <c r="L2026" i="27" s="1"/>
  <c r="CJ7" i="21"/>
  <c r="L2027" i="27" s="1"/>
  <c r="CJ8" i="21"/>
  <c r="L2028" i="27" s="1"/>
  <c r="CJ9" i="21"/>
  <c r="L2029" i="27" s="1"/>
  <c r="CJ10" i="21"/>
  <c r="L2030" i="27" s="1"/>
  <c r="CJ11" i="21"/>
  <c r="L2031" i="27" s="1"/>
  <c r="CJ12" i="21"/>
  <c r="L2032" i="27" s="1"/>
  <c r="CJ13" i="21"/>
  <c r="L2033" i="27" s="1"/>
  <c r="CJ14" i="21"/>
  <c r="L2034" i="27" s="1"/>
  <c r="CJ15" i="21"/>
  <c r="L2035" i="27" s="1"/>
  <c r="CJ16" i="21"/>
  <c r="L2036" i="27" s="1"/>
  <c r="CJ17" i="21"/>
  <c r="L2037" i="27" s="1"/>
  <c r="CJ18" i="21"/>
  <c r="L2038" i="27" s="1"/>
  <c r="CJ19" i="21"/>
  <c r="L2039" i="27" s="1"/>
  <c r="CJ20" i="21"/>
  <c r="L2040" i="27" s="1"/>
  <c r="CJ21" i="21"/>
  <c r="L2041" i="27" s="1"/>
  <c r="CJ22" i="21"/>
  <c r="L2042" i="27" s="1"/>
  <c r="CJ23" i="21"/>
  <c r="L2043" i="27" s="1"/>
  <c r="CJ24" i="21"/>
  <c r="L2044" i="27" s="1"/>
  <c r="CJ25" i="21"/>
  <c r="L2045" i="27" s="1"/>
  <c r="CJ26" i="21"/>
  <c r="L2046" i="27" s="1"/>
  <c r="CJ27" i="21"/>
  <c r="L2047" i="27" s="1"/>
  <c r="CJ28" i="21"/>
  <c r="L2048" i="27" s="1"/>
  <c r="CJ29" i="21"/>
  <c r="L2049" i="27" s="1"/>
  <c r="CJ30" i="21"/>
  <c r="L2050" i="27" s="1"/>
  <c r="CJ31" i="21"/>
  <c r="L2051" i="27" s="1"/>
  <c r="CJ32" i="21"/>
  <c r="L2052" i="27" s="1"/>
  <c r="CJ33" i="21"/>
  <c r="L2053" i="27" s="1"/>
  <c r="CJ34" i="21"/>
  <c r="L2054" i="27" s="1"/>
  <c r="CJ35" i="21"/>
  <c r="L2055" i="27" s="1"/>
  <c r="CJ36" i="21"/>
  <c r="L2056" i="27" s="1"/>
  <c r="CJ37" i="21"/>
  <c r="L2057" i="27" s="1"/>
  <c r="CJ38" i="21"/>
  <c r="L2058" i="27" s="1"/>
  <c r="CJ39" i="21"/>
  <c r="L2059" i="27" s="1"/>
  <c r="CJ40" i="21"/>
  <c r="L2060" i="27" s="1"/>
  <c r="CJ41" i="21"/>
  <c r="L2061" i="27" s="1"/>
  <c r="CJ42" i="21"/>
  <c r="L2062" i="27" s="1"/>
  <c r="CJ43" i="21"/>
  <c r="L2063" i="27" s="1"/>
  <c r="CJ44" i="21"/>
  <c r="L2064" i="27" s="1"/>
  <c r="CJ45" i="21"/>
  <c r="L2065" i="27" s="1"/>
  <c r="CJ46" i="21"/>
  <c r="L2066" i="27" s="1"/>
  <c r="CJ47" i="21"/>
  <c r="L2067" i="27" s="1"/>
  <c r="CJ48" i="21"/>
  <c r="L2068" i="27" s="1"/>
  <c r="CJ49" i="21"/>
  <c r="L2069" i="27" s="1"/>
  <c r="CJ50" i="21"/>
  <c r="L2070" i="27" s="1"/>
  <c r="CN2" i="21"/>
  <c r="P2022" i="27" s="1"/>
  <c r="CN3" i="21"/>
  <c r="P2023" i="27" s="1"/>
  <c r="CN4" i="21"/>
  <c r="P2024" i="27" s="1"/>
  <c r="CN5" i="21"/>
  <c r="P2025" i="27" s="1"/>
  <c r="CN6" i="21"/>
  <c r="P2026" i="27" s="1"/>
  <c r="CN7" i="21"/>
  <c r="P2027" i="27" s="1"/>
  <c r="CN8" i="21"/>
  <c r="P2028" i="27" s="1"/>
  <c r="CN9" i="21"/>
  <c r="P2029" i="27" s="1"/>
  <c r="CN10" i="21"/>
  <c r="P2030" i="27" s="1"/>
  <c r="CN11" i="21"/>
  <c r="P2031" i="27" s="1"/>
  <c r="CN12" i="21"/>
  <c r="P2032" i="27" s="1"/>
  <c r="CN13" i="21"/>
  <c r="P2033" i="27" s="1"/>
  <c r="CN14" i="21"/>
  <c r="P2034" i="27" s="1"/>
  <c r="CN15" i="21"/>
  <c r="P2035" i="27" s="1"/>
  <c r="CN16" i="21"/>
  <c r="P2036" i="27" s="1"/>
  <c r="CN17" i="21"/>
  <c r="P2037" i="27" s="1"/>
  <c r="CN18" i="21"/>
  <c r="P2038" i="27" s="1"/>
  <c r="CN19" i="21"/>
  <c r="P2039" i="27" s="1"/>
  <c r="CN20" i="21"/>
  <c r="P2040" i="27" s="1"/>
  <c r="CN21" i="21"/>
  <c r="P2041" i="27" s="1"/>
  <c r="CN22" i="21"/>
  <c r="P2042" i="27" s="1"/>
  <c r="CN23" i="21"/>
  <c r="P2043" i="27" s="1"/>
  <c r="CN24" i="21"/>
  <c r="P2044" i="27" s="1"/>
  <c r="CN25" i="21"/>
  <c r="P2045" i="27" s="1"/>
  <c r="CN26" i="21"/>
  <c r="P2046" i="27" s="1"/>
  <c r="CN27" i="21"/>
  <c r="P2047" i="27" s="1"/>
  <c r="CN28" i="21"/>
  <c r="P2048" i="27" s="1"/>
  <c r="CN29" i="21"/>
  <c r="P2049" i="27" s="1"/>
  <c r="CN30" i="21"/>
  <c r="P2050" i="27" s="1"/>
  <c r="CN31" i="21"/>
  <c r="P2051" i="27" s="1"/>
  <c r="CN32" i="21"/>
  <c r="P2052" i="27" s="1"/>
  <c r="CN33" i="21"/>
  <c r="P2053" i="27" s="1"/>
  <c r="CN34" i="21"/>
  <c r="P2054" i="27" s="1"/>
  <c r="CN35" i="21"/>
  <c r="P2055" i="27" s="1"/>
  <c r="CN36" i="21"/>
  <c r="P2056" i="27" s="1"/>
  <c r="CN37" i="21"/>
  <c r="P2057" i="27" s="1"/>
  <c r="CN38" i="21"/>
  <c r="P2058" i="27" s="1"/>
  <c r="CN39" i="21"/>
  <c r="P2059" i="27" s="1"/>
  <c r="CN40" i="21"/>
  <c r="P2060" i="27" s="1"/>
  <c r="CN41" i="21"/>
  <c r="P2061" i="27" s="1"/>
  <c r="CN42" i="21"/>
  <c r="P2062" i="27" s="1"/>
  <c r="CN43" i="21"/>
  <c r="P2063" i="27" s="1"/>
  <c r="CN44" i="21"/>
  <c r="P2064" i="27" s="1"/>
  <c r="CN45" i="21"/>
  <c r="P2065" i="27" s="1"/>
  <c r="CN46" i="21"/>
  <c r="P2066" i="27" s="1"/>
  <c r="CN47" i="21"/>
  <c r="P2067" i="27" s="1"/>
  <c r="CN48" i="21"/>
  <c r="P2068" i="27" s="1"/>
  <c r="CN49" i="21"/>
  <c r="P2069" i="27" s="1"/>
  <c r="CN50" i="21"/>
  <c r="P2070" i="27" s="1"/>
  <c r="CI2" i="21"/>
  <c r="K2022" i="27" s="1"/>
  <c r="CI3" i="21"/>
  <c r="K2023" i="27" s="1"/>
  <c r="CI4" i="21"/>
  <c r="K2024" i="27" s="1"/>
  <c r="CI5" i="21"/>
  <c r="K2025" i="27" s="1"/>
  <c r="CI6" i="21"/>
  <c r="K2026" i="27" s="1"/>
  <c r="CI7" i="21"/>
  <c r="K2027" i="27" s="1"/>
  <c r="CI8" i="21"/>
  <c r="K2028" i="27" s="1"/>
  <c r="CI9" i="21"/>
  <c r="K2029" i="27" s="1"/>
  <c r="CI10" i="21"/>
  <c r="K2030" i="27" s="1"/>
  <c r="CI11" i="21"/>
  <c r="K2031" i="27" s="1"/>
  <c r="CI12" i="21"/>
  <c r="K2032" i="27" s="1"/>
  <c r="CI13" i="21"/>
  <c r="K2033" i="27" s="1"/>
  <c r="CI14" i="21"/>
  <c r="K2034" i="27" s="1"/>
  <c r="CI15" i="21"/>
  <c r="K2035" i="27" s="1"/>
  <c r="CI16" i="21"/>
  <c r="K2036" i="27" s="1"/>
  <c r="CI17" i="21"/>
  <c r="K2037" i="27" s="1"/>
  <c r="CI18" i="21"/>
  <c r="K2038" i="27" s="1"/>
  <c r="CI19" i="21"/>
  <c r="K2039" i="27" s="1"/>
  <c r="CI20" i="21"/>
  <c r="K2040" i="27" s="1"/>
  <c r="CI21" i="21"/>
  <c r="K2041" i="27" s="1"/>
  <c r="CI22" i="21"/>
  <c r="K2042" i="27" s="1"/>
  <c r="CI23" i="21"/>
  <c r="K2043" i="27" s="1"/>
  <c r="CI24" i="21"/>
  <c r="K2044" i="27" s="1"/>
  <c r="CI25" i="21"/>
  <c r="K2045" i="27" s="1"/>
  <c r="CI26" i="21"/>
  <c r="K2046" i="27" s="1"/>
  <c r="CI27" i="21"/>
  <c r="K2047" i="27" s="1"/>
  <c r="CI28" i="21"/>
  <c r="K2048" i="27" s="1"/>
  <c r="CI29" i="21"/>
  <c r="K2049" i="27" s="1"/>
  <c r="CI30" i="21"/>
  <c r="K2050" i="27" s="1"/>
  <c r="CI31" i="21"/>
  <c r="K2051" i="27" s="1"/>
  <c r="CI32" i="21"/>
  <c r="K2052" i="27" s="1"/>
  <c r="CI33" i="21"/>
  <c r="K2053" i="27" s="1"/>
  <c r="CI34" i="21"/>
  <c r="K2054" i="27" s="1"/>
  <c r="CI35" i="21"/>
  <c r="K2055" i="27" s="1"/>
  <c r="CI36" i="21"/>
  <c r="K2056" i="27" s="1"/>
  <c r="CI37" i="21"/>
  <c r="K2057" i="27" s="1"/>
  <c r="CI38" i="21"/>
  <c r="K2058" i="27" s="1"/>
  <c r="CI39" i="21"/>
  <c r="K2059" i="27" s="1"/>
  <c r="CI40" i="21"/>
  <c r="K2060" i="27" s="1"/>
  <c r="CI41" i="21"/>
  <c r="K2061" i="27" s="1"/>
  <c r="CI42" i="21"/>
  <c r="K2062" i="27" s="1"/>
  <c r="CI43" i="21"/>
  <c r="K2063" i="27" s="1"/>
  <c r="CI44" i="21"/>
  <c r="K2064" i="27" s="1"/>
  <c r="CI45" i="21"/>
  <c r="K2065" i="27" s="1"/>
  <c r="CI46" i="21"/>
  <c r="K2066" i="27" s="1"/>
  <c r="CI47" i="21"/>
  <c r="K2067" i="27" s="1"/>
  <c r="CI48" i="21"/>
  <c r="K2068" i="27" s="1"/>
  <c r="CI49" i="21"/>
  <c r="K2069" i="27" s="1"/>
  <c r="CI50" i="21"/>
  <c r="K2070" i="27" s="1"/>
  <c r="CK2" i="39"/>
  <c r="P1822" i="27" s="1"/>
  <c r="CK3" i="39"/>
  <c r="P1823" i="27" s="1"/>
  <c r="CK4" i="39"/>
  <c r="P1824" i="27" s="1"/>
  <c r="CK5" i="39"/>
  <c r="P1825" i="27" s="1"/>
  <c r="CK6" i="39"/>
  <c r="P1826" i="27" s="1"/>
  <c r="CK7" i="39"/>
  <c r="P1827" i="27" s="1"/>
  <c r="CK8" i="39"/>
  <c r="P1828" i="27" s="1"/>
  <c r="CK9" i="39"/>
  <c r="P1829" i="27" s="1"/>
  <c r="CK10" i="39"/>
  <c r="P1830" i="27" s="1"/>
  <c r="CK11" i="39"/>
  <c r="P1831" i="27" s="1"/>
  <c r="CK12" i="39"/>
  <c r="P1832" i="27" s="1"/>
  <c r="CK13" i="39"/>
  <c r="P1833" i="27" s="1"/>
  <c r="CK14" i="39"/>
  <c r="P1834" i="27" s="1"/>
  <c r="CK15" i="39"/>
  <c r="P1835" i="27" s="1"/>
  <c r="CK16" i="39"/>
  <c r="P1836" i="27" s="1"/>
  <c r="CK17" i="39"/>
  <c r="P1837" i="27" s="1"/>
  <c r="CK18" i="39"/>
  <c r="P1838" i="27" s="1"/>
  <c r="CK19" i="39"/>
  <c r="P1839" i="27" s="1"/>
  <c r="CK20" i="39"/>
  <c r="P1840" i="27" s="1"/>
  <c r="CK21" i="39"/>
  <c r="P1841" i="27" s="1"/>
  <c r="CK22" i="39"/>
  <c r="P1842" i="27" s="1"/>
  <c r="CK23" i="39"/>
  <c r="P1843" i="27" s="1"/>
  <c r="CK24" i="39"/>
  <c r="P1844" i="27" s="1"/>
  <c r="CK25" i="39"/>
  <c r="P1845" i="27" s="1"/>
  <c r="CK26" i="39"/>
  <c r="P1846" i="27" s="1"/>
  <c r="CK27" i="39"/>
  <c r="P1847" i="27" s="1"/>
  <c r="CK28" i="39"/>
  <c r="P1848" i="27" s="1"/>
  <c r="CK29" i="39"/>
  <c r="P1849" i="27" s="1"/>
  <c r="CK30" i="39"/>
  <c r="P1850" i="27" s="1"/>
  <c r="CK31" i="39"/>
  <c r="P1851" i="27" s="1"/>
  <c r="CK32" i="39"/>
  <c r="P1852" i="27" s="1"/>
  <c r="CK33" i="39"/>
  <c r="P1853" i="27" s="1"/>
  <c r="CK34" i="39"/>
  <c r="P1854" i="27" s="1"/>
  <c r="CK35" i="39"/>
  <c r="P1855" i="27" s="1"/>
  <c r="CK36" i="39"/>
  <c r="P1856" i="27" s="1"/>
  <c r="CK37" i="39"/>
  <c r="P1857" i="27" s="1"/>
  <c r="CK38" i="39"/>
  <c r="P1858" i="27" s="1"/>
  <c r="CK39" i="39"/>
  <c r="P1859" i="27" s="1"/>
  <c r="CK40" i="39"/>
  <c r="P1860" i="27" s="1"/>
  <c r="CK41" i="39"/>
  <c r="P1861" i="27" s="1"/>
  <c r="CK42" i="39"/>
  <c r="P1862" i="27" s="1"/>
  <c r="CK43" i="39"/>
  <c r="P1863" i="27" s="1"/>
  <c r="CK44" i="39"/>
  <c r="P1864" i="27" s="1"/>
  <c r="CK45" i="39"/>
  <c r="P1865" i="27" s="1"/>
  <c r="CK46" i="39"/>
  <c r="P1866" i="27" s="1"/>
  <c r="CK47" i="39"/>
  <c r="P1867" i="27" s="1"/>
  <c r="CK48" i="39"/>
  <c r="P1868" i="27" s="1"/>
  <c r="CK49" i="39"/>
  <c r="P1869" i="27" s="1"/>
  <c r="CK50" i="39"/>
  <c r="P1870" i="27" s="1"/>
  <c r="CK51" i="39"/>
  <c r="P1871" i="27" s="1"/>
  <c r="CK52" i="39"/>
  <c r="P1872" i="27" s="1"/>
  <c r="CK53" i="39"/>
  <c r="P1873" i="27" s="1"/>
  <c r="CK54" i="39"/>
  <c r="P1874" i="27" s="1"/>
  <c r="CK55" i="39"/>
  <c r="P1875" i="27" s="1"/>
  <c r="CK56" i="39"/>
  <c r="P1876" i="27" s="1"/>
  <c r="CK57" i="39"/>
  <c r="P1877" i="27" s="1"/>
  <c r="CK58" i="39"/>
  <c r="P1878" i="27" s="1"/>
  <c r="CK59" i="39"/>
  <c r="P1879" i="27" s="1"/>
  <c r="CK60" i="39"/>
  <c r="P1880" i="27" s="1"/>
  <c r="CK61" i="39"/>
  <c r="P1881" i="27" s="1"/>
  <c r="CK62" i="39"/>
  <c r="P1882" i="27" s="1"/>
  <c r="CK63" i="39"/>
  <c r="P1883" i="27" s="1"/>
  <c r="CK64" i="39"/>
  <c r="P1884" i="27" s="1"/>
  <c r="CK65" i="39"/>
  <c r="P1885" i="27" s="1"/>
  <c r="CK66" i="39"/>
  <c r="P1886" i="27" s="1"/>
  <c r="CK67" i="39"/>
  <c r="P1887" i="27" s="1"/>
  <c r="CK68" i="39"/>
  <c r="P1888" i="27" s="1"/>
  <c r="CK69" i="39"/>
  <c r="P1889" i="27" s="1"/>
  <c r="CK70" i="39"/>
  <c r="P1890" i="27" s="1"/>
  <c r="CK71" i="39"/>
  <c r="P1891" i="27" s="1"/>
  <c r="CK72" i="39"/>
  <c r="P1892" i="27" s="1"/>
  <c r="CK73" i="39"/>
  <c r="P1893" i="27" s="1"/>
  <c r="CK74" i="39"/>
  <c r="P1894" i="27" s="1"/>
  <c r="CK75" i="39"/>
  <c r="P1895" i="27" s="1"/>
  <c r="CK76" i="39"/>
  <c r="P1896" i="27" s="1"/>
  <c r="CK77" i="39"/>
  <c r="P1897" i="27" s="1"/>
  <c r="CK78" i="39"/>
  <c r="P1898" i="27" s="1"/>
  <c r="CK79" i="39"/>
  <c r="P1899" i="27" s="1"/>
  <c r="CK80" i="39"/>
  <c r="P1900" i="27" s="1"/>
  <c r="CK81" i="39"/>
  <c r="P1901" i="27" s="1"/>
  <c r="CK82" i="39"/>
  <c r="P1902" i="27" s="1"/>
  <c r="CK83" i="39"/>
  <c r="P1903" i="27" s="1"/>
  <c r="CK84" i="39"/>
  <c r="P1904" i="27" s="1"/>
  <c r="CK85" i="39"/>
  <c r="P1905" i="27" s="1"/>
  <c r="CK86" i="39"/>
  <c r="P1906" i="27" s="1"/>
  <c r="CK87" i="39"/>
  <c r="P1907" i="27" s="1"/>
  <c r="CK88" i="39"/>
  <c r="P1908" i="27" s="1"/>
  <c r="CK89" i="39"/>
  <c r="P1909" i="27" s="1"/>
  <c r="CK90" i="39"/>
  <c r="P1910" i="27" s="1"/>
  <c r="CK91" i="39"/>
  <c r="P1911" i="27" s="1"/>
  <c r="CK92" i="39"/>
  <c r="P1912" i="27" s="1"/>
  <c r="CK93" i="39"/>
  <c r="P1913" i="27" s="1"/>
  <c r="CK94" i="39"/>
  <c r="P1914" i="27" s="1"/>
  <c r="CK95" i="39"/>
  <c r="P1915" i="27" s="1"/>
  <c r="CK96" i="39"/>
  <c r="P1916" i="27" s="1"/>
  <c r="CK97" i="39"/>
  <c r="P1917" i="27" s="1"/>
  <c r="CK98" i="39"/>
  <c r="P1918" i="27" s="1"/>
  <c r="CK99" i="39"/>
  <c r="P1919" i="27" s="1"/>
  <c r="CK100" i="39"/>
  <c r="P1920" i="27" s="1"/>
  <c r="CK101" i="39"/>
  <c r="P1921" i="27" s="1"/>
  <c r="CK102" i="39"/>
  <c r="P1922" i="27" s="1"/>
  <c r="CK103" i="39"/>
  <c r="P1923" i="27" s="1"/>
  <c r="CK104" i="39"/>
  <c r="P1924" i="27" s="1"/>
  <c r="CK105" i="39"/>
  <c r="P1925" i="27" s="1"/>
  <c r="CK106" i="39"/>
  <c r="P1926" i="27" s="1"/>
  <c r="CK107" i="39"/>
  <c r="P1927" i="27" s="1"/>
  <c r="CK108" i="39"/>
  <c r="P1928" i="27" s="1"/>
  <c r="CK109" i="39"/>
  <c r="P1929" i="27" s="1"/>
  <c r="CK110" i="39"/>
  <c r="P1930" i="27" s="1"/>
  <c r="CK111" i="39"/>
  <c r="P1931" i="27" s="1"/>
  <c r="CK112" i="39"/>
  <c r="P1932" i="27" s="1"/>
  <c r="CK113" i="39"/>
  <c r="P1933" i="27" s="1"/>
  <c r="CK114" i="39"/>
  <c r="P1934" i="27" s="1"/>
  <c r="CK115" i="39"/>
  <c r="P1935" i="27" s="1"/>
  <c r="CK116" i="39"/>
  <c r="P1936" i="27" s="1"/>
  <c r="CK117" i="39"/>
  <c r="P1937" i="27" s="1"/>
  <c r="CK118" i="39"/>
  <c r="P1938" i="27" s="1"/>
  <c r="CK119" i="39"/>
  <c r="P1939" i="27" s="1"/>
  <c r="CK120" i="39"/>
  <c r="P1940" i="27" s="1"/>
  <c r="CK121" i="39"/>
  <c r="P1941" i="27" s="1"/>
  <c r="CK122" i="39"/>
  <c r="P1942" i="27" s="1"/>
  <c r="CK123" i="39"/>
  <c r="P1943" i="27" s="1"/>
  <c r="CK124" i="39"/>
  <c r="P1944" i="27" s="1"/>
  <c r="CK125" i="39"/>
  <c r="P1945" i="27" s="1"/>
  <c r="CK126" i="39"/>
  <c r="P1946" i="27" s="1"/>
  <c r="CK127" i="39"/>
  <c r="P1947" i="27" s="1"/>
  <c r="CK128" i="39"/>
  <c r="P1948" i="27" s="1"/>
  <c r="CK129" i="39"/>
  <c r="P1949" i="27" s="1"/>
  <c r="CK130" i="39"/>
  <c r="P1950" i="27" s="1"/>
  <c r="CK131" i="39"/>
  <c r="P1951" i="27" s="1"/>
  <c r="CK132" i="39"/>
  <c r="P1952" i="27" s="1"/>
  <c r="CK133" i="39"/>
  <c r="P1953" i="27" s="1"/>
  <c r="CK134" i="39"/>
  <c r="P1954" i="27" s="1"/>
  <c r="CK135" i="39"/>
  <c r="P1955" i="27" s="1"/>
  <c r="CK136" i="39"/>
  <c r="P1956" i="27" s="1"/>
  <c r="CK137" i="39"/>
  <c r="P1957" i="27" s="1"/>
  <c r="CK138" i="39"/>
  <c r="P1958" i="27" s="1"/>
  <c r="CK139" i="39"/>
  <c r="P1959" i="27" s="1"/>
  <c r="CK140" i="39"/>
  <c r="P1960" i="27" s="1"/>
  <c r="CK141" i="39"/>
  <c r="P1961" i="27" s="1"/>
  <c r="CK142" i="39"/>
  <c r="P1962" i="27" s="1"/>
  <c r="CK143" i="39"/>
  <c r="P1963" i="27" s="1"/>
  <c r="CK144" i="39"/>
  <c r="P1964" i="27" s="1"/>
  <c r="CK145" i="39"/>
  <c r="P1965" i="27" s="1"/>
  <c r="CK146" i="39"/>
  <c r="P1966" i="27" s="1"/>
  <c r="CK147" i="39"/>
  <c r="P1967" i="27" s="1"/>
  <c r="CK148" i="39"/>
  <c r="P1968" i="27" s="1"/>
  <c r="CK149" i="39"/>
  <c r="P1969" i="27" s="1"/>
  <c r="CK150" i="39"/>
  <c r="P1970" i="27" s="1"/>
  <c r="CK151" i="39"/>
  <c r="P1971" i="27" s="1"/>
  <c r="CK152" i="39"/>
  <c r="P1972" i="27" s="1"/>
  <c r="CK153" i="39"/>
  <c r="P1973" i="27" s="1"/>
  <c r="CK154" i="39"/>
  <c r="P1974" i="27" s="1"/>
  <c r="CK155" i="39"/>
  <c r="P1975" i="27" s="1"/>
  <c r="CK156" i="39"/>
  <c r="P1976" i="27" s="1"/>
  <c r="CK157" i="39"/>
  <c r="P1977" i="27" s="1"/>
  <c r="CK158" i="39"/>
  <c r="P1978" i="27" s="1"/>
  <c r="CK159" i="39"/>
  <c r="P1979" i="27" s="1"/>
  <c r="CK160" i="39"/>
  <c r="P1980" i="27" s="1"/>
  <c r="CK161" i="39"/>
  <c r="P1981" i="27" s="1"/>
  <c r="CK162" i="39"/>
  <c r="P1982" i="27" s="1"/>
  <c r="CK163" i="39"/>
  <c r="P1983" i="27" s="1"/>
  <c r="CK164" i="39"/>
  <c r="P1984" i="27" s="1"/>
  <c r="CK165" i="39"/>
  <c r="P1985" i="27" s="1"/>
  <c r="CK166" i="39"/>
  <c r="P1986" i="27" s="1"/>
  <c r="CK167" i="39"/>
  <c r="P1987" i="27" s="1"/>
  <c r="CK168" i="39"/>
  <c r="P1988" i="27" s="1"/>
  <c r="CK169" i="39"/>
  <c r="P1989" i="27" s="1"/>
  <c r="CK170" i="39"/>
  <c r="P1990" i="27" s="1"/>
  <c r="CK171" i="39"/>
  <c r="P1991" i="27" s="1"/>
  <c r="CK172" i="39"/>
  <c r="P1992" i="27" s="1"/>
  <c r="CK173" i="39"/>
  <c r="P1993" i="27" s="1"/>
  <c r="CK174" i="39"/>
  <c r="P1994" i="27" s="1"/>
  <c r="CK175" i="39"/>
  <c r="P1995" i="27" s="1"/>
  <c r="CK176" i="39"/>
  <c r="P1996" i="27" s="1"/>
  <c r="CK177" i="39"/>
  <c r="P1997" i="27" s="1"/>
  <c r="CK178" i="39"/>
  <c r="P1998" i="27" s="1"/>
  <c r="CK179" i="39"/>
  <c r="P1999" i="27" s="1"/>
  <c r="CK180" i="39"/>
  <c r="P2000" i="27" s="1"/>
  <c r="CK181" i="39"/>
  <c r="P2001" i="27" s="1"/>
  <c r="CK182" i="39"/>
  <c r="P2002" i="27" s="1"/>
  <c r="CK183" i="39"/>
  <c r="P2003" i="27" s="1"/>
  <c r="CK184" i="39"/>
  <c r="P2004" i="27" s="1"/>
  <c r="CK185" i="39"/>
  <c r="P2005" i="27" s="1"/>
  <c r="CK186" i="39"/>
  <c r="P2006" i="27" s="1"/>
  <c r="CK187" i="39"/>
  <c r="P2007" i="27" s="1"/>
  <c r="CK188" i="39"/>
  <c r="P2008" i="27" s="1"/>
  <c r="CK189" i="39"/>
  <c r="P2009" i="27" s="1"/>
  <c r="CK190" i="39"/>
  <c r="P2010" i="27" s="1"/>
  <c r="CK191" i="39"/>
  <c r="P2011" i="27" s="1"/>
  <c r="CK192" i="39"/>
  <c r="P2012" i="27" s="1"/>
  <c r="CK193" i="39"/>
  <c r="P2013" i="27" s="1"/>
  <c r="CK194" i="39"/>
  <c r="P2014" i="27" s="1"/>
  <c r="CK195" i="39"/>
  <c r="P2015" i="27" s="1"/>
  <c r="CK196" i="39"/>
  <c r="P2016" i="27" s="1"/>
  <c r="CK197" i="39"/>
  <c r="P2017" i="27" s="1"/>
  <c r="CK198" i="39"/>
  <c r="P2018" i="27" s="1"/>
  <c r="CK199" i="39"/>
  <c r="P2019" i="27" s="1"/>
  <c r="CK200" i="39"/>
  <c r="P2020" i="27" s="1"/>
  <c r="CF2" i="39"/>
  <c r="K1822" i="27" s="1"/>
  <c r="CF3" i="39"/>
  <c r="K1823" i="27" s="1"/>
  <c r="CF4" i="39"/>
  <c r="K1824" i="27" s="1"/>
  <c r="CF5" i="39"/>
  <c r="K1825" i="27" s="1"/>
  <c r="CF6" i="39"/>
  <c r="K1826" i="27" s="1"/>
  <c r="CF7" i="39"/>
  <c r="K1827" i="27" s="1"/>
  <c r="CF8" i="39"/>
  <c r="K1828" i="27" s="1"/>
  <c r="CF9" i="39"/>
  <c r="K1829" i="27" s="1"/>
  <c r="CF10" i="39"/>
  <c r="K1830" i="27" s="1"/>
  <c r="CF11" i="39"/>
  <c r="K1831" i="27" s="1"/>
  <c r="CF12" i="39"/>
  <c r="K1832" i="27" s="1"/>
  <c r="CF13" i="39"/>
  <c r="K1833" i="27" s="1"/>
  <c r="CF14" i="39"/>
  <c r="K1834" i="27" s="1"/>
  <c r="CF15" i="39"/>
  <c r="K1835" i="27" s="1"/>
  <c r="CF16" i="39"/>
  <c r="K1836" i="27" s="1"/>
  <c r="CF17" i="39"/>
  <c r="K1837" i="27" s="1"/>
  <c r="CF18" i="39"/>
  <c r="K1838" i="27" s="1"/>
  <c r="CF19" i="39"/>
  <c r="K1839" i="27" s="1"/>
  <c r="CF20" i="39"/>
  <c r="K1840" i="27" s="1"/>
  <c r="CF21" i="39"/>
  <c r="K1841" i="27" s="1"/>
  <c r="CF22" i="39"/>
  <c r="K1842" i="27" s="1"/>
  <c r="CF23" i="39"/>
  <c r="K1843" i="27" s="1"/>
  <c r="CF24" i="39"/>
  <c r="K1844" i="27" s="1"/>
  <c r="CF25" i="39"/>
  <c r="K1845" i="27" s="1"/>
  <c r="CF26" i="39"/>
  <c r="K1846" i="27" s="1"/>
  <c r="CF27" i="39"/>
  <c r="K1847" i="27" s="1"/>
  <c r="CF28" i="39"/>
  <c r="K1848" i="27" s="1"/>
  <c r="CF29" i="39"/>
  <c r="K1849" i="27" s="1"/>
  <c r="CF30" i="39"/>
  <c r="K1850" i="27" s="1"/>
  <c r="CF31" i="39"/>
  <c r="K1851" i="27" s="1"/>
  <c r="CF32" i="39"/>
  <c r="K1852" i="27" s="1"/>
  <c r="CF33" i="39"/>
  <c r="K1853" i="27" s="1"/>
  <c r="CF34" i="39"/>
  <c r="K1854" i="27" s="1"/>
  <c r="CF35" i="39"/>
  <c r="K1855" i="27" s="1"/>
  <c r="CF36" i="39"/>
  <c r="K1856" i="27" s="1"/>
  <c r="CF37" i="39"/>
  <c r="K1857" i="27" s="1"/>
  <c r="CF38" i="39"/>
  <c r="K1858" i="27" s="1"/>
  <c r="CF39" i="39"/>
  <c r="K1859" i="27" s="1"/>
  <c r="CF40" i="39"/>
  <c r="K1860" i="27" s="1"/>
  <c r="CF41" i="39"/>
  <c r="K1861" i="27" s="1"/>
  <c r="CF42" i="39"/>
  <c r="K1862" i="27" s="1"/>
  <c r="CF43" i="39"/>
  <c r="K1863" i="27" s="1"/>
  <c r="CF44" i="39"/>
  <c r="K1864" i="27" s="1"/>
  <c r="CF45" i="39"/>
  <c r="K1865" i="27" s="1"/>
  <c r="CF46" i="39"/>
  <c r="K1866" i="27" s="1"/>
  <c r="CF47" i="39"/>
  <c r="K1867" i="27" s="1"/>
  <c r="CF48" i="39"/>
  <c r="K1868" i="27" s="1"/>
  <c r="CF49" i="39"/>
  <c r="K1869" i="27" s="1"/>
  <c r="CF50" i="39"/>
  <c r="K1870" i="27" s="1"/>
  <c r="CF51" i="39"/>
  <c r="K1871" i="27" s="1"/>
  <c r="CF52" i="39"/>
  <c r="K1872" i="27" s="1"/>
  <c r="CF53" i="39"/>
  <c r="K1873" i="27" s="1"/>
  <c r="CF54" i="39"/>
  <c r="K1874" i="27" s="1"/>
  <c r="CF55" i="39"/>
  <c r="K1875" i="27" s="1"/>
  <c r="CF56" i="39"/>
  <c r="K1876" i="27" s="1"/>
  <c r="CF57" i="39"/>
  <c r="K1877" i="27" s="1"/>
  <c r="CF58" i="39"/>
  <c r="K1878" i="27" s="1"/>
  <c r="CF59" i="39"/>
  <c r="K1879" i="27" s="1"/>
  <c r="CF60" i="39"/>
  <c r="K1880" i="27" s="1"/>
  <c r="CF61" i="39"/>
  <c r="K1881" i="27" s="1"/>
  <c r="CF62" i="39"/>
  <c r="K1882" i="27" s="1"/>
  <c r="CF63" i="39"/>
  <c r="K1883" i="27" s="1"/>
  <c r="CF64" i="39"/>
  <c r="K1884" i="27" s="1"/>
  <c r="CF65" i="39"/>
  <c r="K1885" i="27" s="1"/>
  <c r="CF66" i="39"/>
  <c r="K1886" i="27" s="1"/>
  <c r="CF67" i="39"/>
  <c r="K1887" i="27" s="1"/>
  <c r="CF68" i="39"/>
  <c r="K1888" i="27" s="1"/>
  <c r="CF69" i="39"/>
  <c r="K1889" i="27" s="1"/>
  <c r="CF70" i="39"/>
  <c r="K1890" i="27" s="1"/>
  <c r="CF71" i="39"/>
  <c r="K1891" i="27" s="1"/>
  <c r="CF72" i="39"/>
  <c r="K1892" i="27" s="1"/>
  <c r="CF73" i="39"/>
  <c r="K1893" i="27" s="1"/>
  <c r="CF74" i="39"/>
  <c r="K1894" i="27" s="1"/>
  <c r="CF75" i="39"/>
  <c r="K1895" i="27" s="1"/>
  <c r="CF76" i="39"/>
  <c r="K1896" i="27" s="1"/>
  <c r="CF77" i="39"/>
  <c r="K1897" i="27" s="1"/>
  <c r="CF78" i="39"/>
  <c r="K1898" i="27" s="1"/>
  <c r="CF79" i="39"/>
  <c r="K1899" i="27" s="1"/>
  <c r="CF80" i="39"/>
  <c r="K1900" i="27" s="1"/>
  <c r="CF81" i="39"/>
  <c r="K1901" i="27" s="1"/>
  <c r="CF82" i="39"/>
  <c r="K1902" i="27" s="1"/>
  <c r="CF83" i="39"/>
  <c r="K1903" i="27" s="1"/>
  <c r="CF84" i="39"/>
  <c r="K1904" i="27" s="1"/>
  <c r="CF85" i="39"/>
  <c r="K1905" i="27" s="1"/>
  <c r="CF86" i="39"/>
  <c r="K1906" i="27" s="1"/>
  <c r="CF87" i="39"/>
  <c r="K1907" i="27" s="1"/>
  <c r="CF88" i="39"/>
  <c r="K1908" i="27" s="1"/>
  <c r="CF89" i="39"/>
  <c r="K1909" i="27" s="1"/>
  <c r="CF90" i="39"/>
  <c r="K1910" i="27" s="1"/>
  <c r="CF91" i="39"/>
  <c r="K1911" i="27" s="1"/>
  <c r="CF92" i="39"/>
  <c r="K1912" i="27" s="1"/>
  <c r="CF93" i="39"/>
  <c r="K1913" i="27" s="1"/>
  <c r="CF94" i="39"/>
  <c r="K1914" i="27" s="1"/>
  <c r="CF95" i="39"/>
  <c r="K1915" i="27" s="1"/>
  <c r="CF96" i="39"/>
  <c r="K1916" i="27" s="1"/>
  <c r="CF97" i="39"/>
  <c r="K1917" i="27" s="1"/>
  <c r="CF98" i="39"/>
  <c r="K1918" i="27" s="1"/>
  <c r="CF99" i="39"/>
  <c r="K1919" i="27" s="1"/>
  <c r="CF100" i="39"/>
  <c r="K1920" i="27" s="1"/>
  <c r="CF101" i="39"/>
  <c r="K1921" i="27" s="1"/>
  <c r="CF102" i="39"/>
  <c r="K1922" i="27" s="1"/>
  <c r="CF103" i="39"/>
  <c r="K1923" i="27" s="1"/>
  <c r="CF104" i="39"/>
  <c r="K1924" i="27" s="1"/>
  <c r="CF105" i="39"/>
  <c r="K1925" i="27" s="1"/>
  <c r="CF106" i="39"/>
  <c r="K1926" i="27" s="1"/>
  <c r="CF107" i="39"/>
  <c r="K1927" i="27" s="1"/>
  <c r="CF108" i="39"/>
  <c r="K1928" i="27" s="1"/>
  <c r="CF109" i="39"/>
  <c r="K1929" i="27" s="1"/>
  <c r="CF110" i="39"/>
  <c r="K1930" i="27" s="1"/>
  <c r="CF111" i="39"/>
  <c r="K1931" i="27" s="1"/>
  <c r="CF112" i="39"/>
  <c r="K1932" i="27" s="1"/>
  <c r="CF113" i="39"/>
  <c r="K1933" i="27" s="1"/>
  <c r="CF114" i="39"/>
  <c r="K1934" i="27" s="1"/>
  <c r="CF115" i="39"/>
  <c r="K1935" i="27" s="1"/>
  <c r="CF116" i="39"/>
  <c r="K1936" i="27" s="1"/>
  <c r="CF117" i="39"/>
  <c r="K1937" i="27" s="1"/>
  <c r="CF118" i="39"/>
  <c r="K1938" i="27" s="1"/>
  <c r="CF119" i="39"/>
  <c r="K1939" i="27" s="1"/>
  <c r="CF120" i="39"/>
  <c r="K1940" i="27" s="1"/>
  <c r="CF121" i="39"/>
  <c r="K1941" i="27" s="1"/>
  <c r="CF122" i="39"/>
  <c r="K1942" i="27" s="1"/>
  <c r="CF123" i="39"/>
  <c r="K1943" i="27" s="1"/>
  <c r="CF124" i="39"/>
  <c r="K1944" i="27" s="1"/>
  <c r="CF125" i="39"/>
  <c r="K1945" i="27" s="1"/>
  <c r="CF126" i="39"/>
  <c r="K1946" i="27" s="1"/>
  <c r="CF127" i="39"/>
  <c r="K1947" i="27" s="1"/>
  <c r="CF128" i="39"/>
  <c r="K1948" i="27" s="1"/>
  <c r="CF129" i="39"/>
  <c r="K1949" i="27" s="1"/>
  <c r="CF130" i="39"/>
  <c r="K1950" i="27" s="1"/>
  <c r="CF131" i="39"/>
  <c r="K1951" i="27" s="1"/>
  <c r="CF132" i="39"/>
  <c r="K1952" i="27" s="1"/>
  <c r="CF133" i="39"/>
  <c r="K1953" i="27" s="1"/>
  <c r="CF134" i="39"/>
  <c r="K1954" i="27" s="1"/>
  <c r="CF135" i="39"/>
  <c r="K1955" i="27" s="1"/>
  <c r="CF136" i="39"/>
  <c r="K1956" i="27" s="1"/>
  <c r="CF137" i="39"/>
  <c r="K1957" i="27" s="1"/>
  <c r="CF138" i="39"/>
  <c r="K1958" i="27" s="1"/>
  <c r="CF139" i="39"/>
  <c r="K1959" i="27" s="1"/>
  <c r="CF140" i="39"/>
  <c r="K1960" i="27" s="1"/>
  <c r="CF141" i="39"/>
  <c r="K1961" i="27" s="1"/>
  <c r="CF142" i="39"/>
  <c r="K1962" i="27" s="1"/>
  <c r="CF143" i="39"/>
  <c r="K1963" i="27" s="1"/>
  <c r="CF144" i="39"/>
  <c r="K1964" i="27" s="1"/>
  <c r="CF145" i="39"/>
  <c r="K1965" i="27" s="1"/>
  <c r="CF146" i="39"/>
  <c r="K1966" i="27" s="1"/>
  <c r="CF147" i="39"/>
  <c r="K1967" i="27" s="1"/>
  <c r="CF148" i="39"/>
  <c r="K1968" i="27" s="1"/>
  <c r="CF149" i="39"/>
  <c r="K1969" i="27" s="1"/>
  <c r="CF150" i="39"/>
  <c r="K1970" i="27" s="1"/>
  <c r="CF151" i="39"/>
  <c r="K1971" i="27" s="1"/>
  <c r="CF152" i="39"/>
  <c r="K1972" i="27" s="1"/>
  <c r="CF153" i="39"/>
  <c r="K1973" i="27" s="1"/>
  <c r="CF154" i="39"/>
  <c r="K1974" i="27" s="1"/>
  <c r="CF155" i="39"/>
  <c r="K1975" i="27" s="1"/>
  <c r="CF156" i="39"/>
  <c r="K1976" i="27" s="1"/>
  <c r="CF157" i="39"/>
  <c r="K1977" i="27" s="1"/>
  <c r="CF158" i="39"/>
  <c r="K1978" i="27" s="1"/>
  <c r="CF159" i="39"/>
  <c r="K1979" i="27" s="1"/>
  <c r="CF160" i="39"/>
  <c r="K1980" i="27" s="1"/>
  <c r="CF161" i="39"/>
  <c r="K1981" i="27" s="1"/>
  <c r="CF162" i="39"/>
  <c r="K1982" i="27" s="1"/>
  <c r="CF163" i="39"/>
  <c r="K1983" i="27" s="1"/>
  <c r="CF164" i="39"/>
  <c r="K1984" i="27" s="1"/>
  <c r="CF165" i="39"/>
  <c r="K1985" i="27" s="1"/>
  <c r="CF166" i="39"/>
  <c r="K1986" i="27" s="1"/>
  <c r="CF167" i="39"/>
  <c r="K1987" i="27" s="1"/>
  <c r="CF168" i="39"/>
  <c r="K1988" i="27" s="1"/>
  <c r="CF169" i="39"/>
  <c r="K1989" i="27" s="1"/>
  <c r="CF170" i="39"/>
  <c r="K1990" i="27" s="1"/>
  <c r="CF171" i="39"/>
  <c r="K1991" i="27" s="1"/>
  <c r="CF172" i="39"/>
  <c r="K1992" i="27" s="1"/>
  <c r="CF173" i="39"/>
  <c r="K1993" i="27" s="1"/>
  <c r="CF174" i="39"/>
  <c r="K1994" i="27" s="1"/>
  <c r="CF175" i="39"/>
  <c r="K1995" i="27" s="1"/>
  <c r="CF176" i="39"/>
  <c r="K1996" i="27" s="1"/>
  <c r="CF177" i="39"/>
  <c r="K1997" i="27" s="1"/>
  <c r="CF178" i="39"/>
  <c r="K1998" i="27" s="1"/>
  <c r="CF179" i="39"/>
  <c r="K1999" i="27" s="1"/>
  <c r="CF180" i="39"/>
  <c r="K2000" i="27" s="1"/>
  <c r="CF181" i="39"/>
  <c r="K2001" i="27" s="1"/>
  <c r="CF182" i="39"/>
  <c r="K2002" i="27" s="1"/>
  <c r="CF183" i="39"/>
  <c r="K2003" i="27" s="1"/>
  <c r="CF184" i="39"/>
  <c r="K2004" i="27" s="1"/>
  <c r="CF185" i="39"/>
  <c r="K2005" i="27" s="1"/>
  <c r="CF186" i="39"/>
  <c r="K2006" i="27" s="1"/>
  <c r="CF187" i="39"/>
  <c r="K2007" i="27" s="1"/>
  <c r="CF188" i="39"/>
  <c r="K2008" i="27" s="1"/>
  <c r="CF189" i="39"/>
  <c r="K2009" i="27" s="1"/>
  <c r="CF190" i="39"/>
  <c r="K2010" i="27" s="1"/>
  <c r="CF191" i="39"/>
  <c r="K2011" i="27" s="1"/>
  <c r="CF192" i="39"/>
  <c r="K2012" i="27" s="1"/>
  <c r="CF193" i="39"/>
  <c r="K2013" i="27" s="1"/>
  <c r="CF194" i="39"/>
  <c r="K2014" i="27" s="1"/>
  <c r="CF195" i="39"/>
  <c r="K2015" i="27" s="1"/>
  <c r="CF196" i="39"/>
  <c r="K2016" i="27" s="1"/>
  <c r="CF197" i="39"/>
  <c r="K2017" i="27" s="1"/>
  <c r="CF198" i="39"/>
  <c r="K2018" i="27" s="1"/>
  <c r="CF199" i="39"/>
  <c r="K2019" i="27" s="1"/>
  <c r="CF200" i="39"/>
  <c r="K2020" i="27" s="1"/>
  <c r="CG2" i="39"/>
  <c r="L1822" i="27" s="1"/>
  <c r="CG3" i="39"/>
  <c r="L1823" i="27" s="1"/>
  <c r="CG4" i="39"/>
  <c r="L1824" i="27" s="1"/>
  <c r="CG5" i="39"/>
  <c r="L1825" i="27" s="1"/>
  <c r="CG6" i="39"/>
  <c r="L1826" i="27" s="1"/>
  <c r="CG7" i="39"/>
  <c r="L1827" i="27" s="1"/>
  <c r="CG8" i="39"/>
  <c r="L1828" i="27" s="1"/>
  <c r="CG9" i="39"/>
  <c r="L1829" i="27" s="1"/>
  <c r="CG10" i="39"/>
  <c r="L1830" i="27" s="1"/>
  <c r="CG11" i="39"/>
  <c r="L1831" i="27" s="1"/>
  <c r="CG12" i="39"/>
  <c r="L1832" i="27" s="1"/>
  <c r="CG13" i="39"/>
  <c r="L1833" i="27" s="1"/>
  <c r="CG14" i="39"/>
  <c r="L1834" i="27" s="1"/>
  <c r="CG15" i="39"/>
  <c r="L1835" i="27" s="1"/>
  <c r="CG16" i="39"/>
  <c r="L1836" i="27" s="1"/>
  <c r="CG17" i="39"/>
  <c r="L1837" i="27" s="1"/>
  <c r="CG18" i="39"/>
  <c r="L1838" i="27" s="1"/>
  <c r="CG19" i="39"/>
  <c r="L1839" i="27" s="1"/>
  <c r="CG20" i="39"/>
  <c r="L1840" i="27" s="1"/>
  <c r="CG21" i="39"/>
  <c r="L1841" i="27" s="1"/>
  <c r="CG22" i="39"/>
  <c r="L1842" i="27" s="1"/>
  <c r="CG23" i="39"/>
  <c r="L1843" i="27" s="1"/>
  <c r="CG24" i="39"/>
  <c r="L1844" i="27" s="1"/>
  <c r="CG25" i="39"/>
  <c r="L1845" i="27" s="1"/>
  <c r="CG26" i="39"/>
  <c r="L1846" i="27" s="1"/>
  <c r="CG27" i="39"/>
  <c r="L1847" i="27" s="1"/>
  <c r="CG28" i="39"/>
  <c r="L1848" i="27" s="1"/>
  <c r="CG29" i="39"/>
  <c r="L1849" i="27" s="1"/>
  <c r="CG30" i="39"/>
  <c r="L1850" i="27" s="1"/>
  <c r="CG31" i="39"/>
  <c r="L1851" i="27" s="1"/>
  <c r="CG32" i="39"/>
  <c r="L1852" i="27" s="1"/>
  <c r="CG33" i="39"/>
  <c r="L1853" i="27" s="1"/>
  <c r="CG34" i="39"/>
  <c r="L1854" i="27" s="1"/>
  <c r="CG35" i="39"/>
  <c r="L1855" i="27" s="1"/>
  <c r="CG36" i="39"/>
  <c r="L1856" i="27" s="1"/>
  <c r="CG37" i="39"/>
  <c r="L1857" i="27" s="1"/>
  <c r="CG38" i="39"/>
  <c r="L1858" i="27" s="1"/>
  <c r="CG39" i="39"/>
  <c r="L1859" i="27" s="1"/>
  <c r="CG40" i="39"/>
  <c r="L1860" i="27" s="1"/>
  <c r="CG41" i="39"/>
  <c r="L1861" i="27" s="1"/>
  <c r="CG42" i="39"/>
  <c r="L1862" i="27" s="1"/>
  <c r="CG43" i="39"/>
  <c r="L1863" i="27" s="1"/>
  <c r="CG44" i="39"/>
  <c r="L1864" i="27" s="1"/>
  <c r="CG45" i="39"/>
  <c r="L1865" i="27" s="1"/>
  <c r="CG46" i="39"/>
  <c r="L1866" i="27" s="1"/>
  <c r="CG47" i="39"/>
  <c r="L1867" i="27" s="1"/>
  <c r="CG48" i="39"/>
  <c r="L1868" i="27" s="1"/>
  <c r="CG49" i="39"/>
  <c r="L1869" i="27" s="1"/>
  <c r="CG50" i="39"/>
  <c r="L1870" i="27" s="1"/>
  <c r="CG51" i="39"/>
  <c r="L1871" i="27" s="1"/>
  <c r="CG52" i="39"/>
  <c r="L1872" i="27" s="1"/>
  <c r="CG53" i="39"/>
  <c r="L1873" i="27" s="1"/>
  <c r="CG54" i="39"/>
  <c r="L1874" i="27" s="1"/>
  <c r="CG55" i="39"/>
  <c r="L1875" i="27" s="1"/>
  <c r="CG56" i="39"/>
  <c r="L1876" i="27" s="1"/>
  <c r="CG57" i="39"/>
  <c r="L1877" i="27" s="1"/>
  <c r="CG58" i="39"/>
  <c r="L1878" i="27" s="1"/>
  <c r="CG59" i="39"/>
  <c r="L1879" i="27" s="1"/>
  <c r="CG60" i="39"/>
  <c r="L1880" i="27" s="1"/>
  <c r="CG61" i="39"/>
  <c r="L1881" i="27" s="1"/>
  <c r="CG62" i="39"/>
  <c r="L1882" i="27" s="1"/>
  <c r="CG63" i="39"/>
  <c r="L1883" i="27" s="1"/>
  <c r="CG64" i="39"/>
  <c r="L1884" i="27" s="1"/>
  <c r="CG65" i="39"/>
  <c r="L1885" i="27" s="1"/>
  <c r="CG66" i="39"/>
  <c r="L1886" i="27" s="1"/>
  <c r="CG67" i="39"/>
  <c r="L1887" i="27" s="1"/>
  <c r="CG68" i="39"/>
  <c r="L1888" i="27" s="1"/>
  <c r="CG69" i="39"/>
  <c r="L1889" i="27" s="1"/>
  <c r="CG70" i="39"/>
  <c r="L1890" i="27" s="1"/>
  <c r="CG71" i="39"/>
  <c r="L1891" i="27" s="1"/>
  <c r="CG72" i="39"/>
  <c r="L1892" i="27" s="1"/>
  <c r="CG73" i="39"/>
  <c r="L1893" i="27" s="1"/>
  <c r="CG74" i="39"/>
  <c r="L1894" i="27" s="1"/>
  <c r="CG75" i="39"/>
  <c r="L1895" i="27" s="1"/>
  <c r="CG76" i="39"/>
  <c r="L1896" i="27" s="1"/>
  <c r="CG77" i="39"/>
  <c r="L1897" i="27" s="1"/>
  <c r="CG78" i="39"/>
  <c r="L1898" i="27" s="1"/>
  <c r="CG79" i="39"/>
  <c r="L1899" i="27" s="1"/>
  <c r="CG80" i="39"/>
  <c r="L1900" i="27" s="1"/>
  <c r="CG81" i="39"/>
  <c r="L1901" i="27" s="1"/>
  <c r="CG82" i="39"/>
  <c r="L1902" i="27" s="1"/>
  <c r="CG83" i="39"/>
  <c r="L1903" i="27" s="1"/>
  <c r="CG84" i="39"/>
  <c r="L1904" i="27" s="1"/>
  <c r="CG85" i="39"/>
  <c r="L1905" i="27" s="1"/>
  <c r="CG86" i="39"/>
  <c r="L1906" i="27" s="1"/>
  <c r="CG87" i="39"/>
  <c r="L1907" i="27" s="1"/>
  <c r="CG88" i="39"/>
  <c r="L1908" i="27" s="1"/>
  <c r="CG89" i="39"/>
  <c r="L1909" i="27" s="1"/>
  <c r="CG90" i="39"/>
  <c r="L1910" i="27" s="1"/>
  <c r="CG91" i="39"/>
  <c r="L1911" i="27" s="1"/>
  <c r="CG92" i="39"/>
  <c r="L1912" i="27" s="1"/>
  <c r="CG93" i="39"/>
  <c r="L1913" i="27" s="1"/>
  <c r="CG94" i="39"/>
  <c r="L1914" i="27" s="1"/>
  <c r="CG95" i="39"/>
  <c r="L1915" i="27" s="1"/>
  <c r="CG96" i="39"/>
  <c r="L1916" i="27" s="1"/>
  <c r="CG97" i="39"/>
  <c r="L1917" i="27" s="1"/>
  <c r="CG98" i="39"/>
  <c r="L1918" i="27" s="1"/>
  <c r="CG99" i="39"/>
  <c r="L1919" i="27" s="1"/>
  <c r="CG100" i="39"/>
  <c r="L1920" i="27" s="1"/>
  <c r="CG101" i="39"/>
  <c r="L1921" i="27" s="1"/>
  <c r="CG102" i="39"/>
  <c r="L1922" i="27" s="1"/>
  <c r="CG103" i="39"/>
  <c r="L1923" i="27" s="1"/>
  <c r="CG104" i="39"/>
  <c r="L1924" i="27" s="1"/>
  <c r="CG105" i="39"/>
  <c r="L1925" i="27" s="1"/>
  <c r="CG106" i="39"/>
  <c r="L1926" i="27" s="1"/>
  <c r="CG107" i="39"/>
  <c r="L1927" i="27" s="1"/>
  <c r="CG108" i="39"/>
  <c r="L1928" i="27" s="1"/>
  <c r="CG109" i="39"/>
  <c r="L1929" i="27" s="1"/>
  <c r="CG110" i="39"/>
  <c r="L1930" i="27" s="1"/>
  <c r="CG111" i="39"/>
  <c r="L1931" i="27" s="1"/>
  <c r="CG112" i="39"/>
  <c r="L1932" i="27" s="1"/>
  <c r="CG113" i="39"/>
  <c r="L1933" i="27" s="1"/>
  <c r="CG114" i="39"/>
  <c r="L1934" i="27" s="1"/>
  <c r="CG115" i="39"/>
  <c r="L1935" i="27" s="1"/>
  <c r="CG116" i="39"/>
  <c r="L1936" i="27" s="1"/>
  <c r="CG117" i="39"/>
  <c r="L1937" i="27" s="1"/>
  <c r="CG118" i="39"/>
  <c r="L1938" i="27" s="1"/>
  <c r="CG119" i="39"/>
  <c r="L1939" i="27" s="1"/>
  <c r="CG120" i="39"/>
  <c r="L1940" i="27" s="1"/>
  <c r="CG121" i="39"/>
  <c r="L1941" i="27" s="1"/>
  <c r="CG122" i="39"/>
  <c r="L1942" i="27" s="1"/>
  <c r="CG123" i="39"/>
  <c r="L1943" i="27" s="1"/>
  <c r="CG124" i="39"/>
  <c r="L1944" i="27" s="1"/>
  <c r="CG125" i="39"/>
  <c r="L1945" i="27" s="1"/>
  <c r="CG126" i="39"/>
  <c r="L1946" i="27" s="1"/>
  <c r="CG127" i="39"/>
  <c r="L1947" i="27" s="1"/>
  <c r="CG128" i="39"/>
  <c r="L1948" i="27" s="1"/>
  <c r="CG129" i="39"/>
  <c r="L1949" i="27" s="1"/>
  <c r="CG130" i="39"/>
  <c r="L1950" i="27" s="1"/>
  <c r="CG131" i="39"/>
  <c r="L1951" i="27" s="1"/>
  <c r="CG132" i="39"/>
  <c r="L1952" i="27" s="1"/>
  <c r="CG133" i="39"/>
  <c r="L1953" i="27" s="1"/>
  <c r="CG134" i="39"/>
  <c r="L1954" i="27" s="1"/>
  <c r="CG135" i="39"/>
  <c r="L1955" i="27" s="1"/>
  <c r="CG136" i="39"/>
  <c r="L1956" i="27" s="1"/>
  <c r="CG137" i="39"/>
  <c r="L1957" i="27" s="1"/>
  <c r="CG138" i="39"/>
  <c r="L1958" i="27" s="1"/>
  <c r="CG139" i="39"/>
  <c r="L1959" i="27" s="1"/>
  <c r="CG140" i="39"/>
  <c r="L1960" i="27" s="1"/>
  <c r="CG141" i="39"/>
  <c r="L1961" i="27" s="1"/>
  <c r="CG142" i="39"/>
  <c r="L1962" i="27" s="1"/>
  <c r="CG143" i="39"/>
  <c r="L1963" i="27" s="1"/>
  <c r="CG144" i="39"/>
  <c r="L1964" i="27" s="1"/>
  <c r="CG145" i="39"/>
  <c r="L1965" i="27" s="1"/>
  <c r="CG146" i="39"/>
  <c r="L1966" i="27" s="1"/>
  <c r="CG147" i="39"/>
  <c r="L1967" i="27" s="1"/>
  <c r="CG148" i="39"/>
  <c r="L1968" i="27" s="1"/>
  <c r="CG149" i="39"/>
  <c r="L1969" i="27" s="1"/>
  <c r="CG150" i="39"/>
  <c r="L1970" i="27" s="1"/>
  <c r="CG151" i="39"/>
  <c r="L1971" i="27" s="1"/>
  <c r="CG152" i="39"/>
  <c r="L1972" i="27" s="1"/>
  <c r="CG153" i="39"/>
  <c r="L1973" i="27" s="1"/>
  <c r="CG154" i="39"/>
  <c r="L1974" i="27" s="1"/>
  <c r="CG155" i="39"/>
  <c r="L1975" i="27" s="1"/>
  <c r="CG156" i="39"/>
  <c r="L1976" i="27" s="1"/>
  <c r="CG157" i="39"/>
  <c r="L1977" i="27" s="1"/>
  <c r="CG158" i="39"/>
  <c r="L1978" i="27" s="1"/>
  <c r="CG159" i="39"/>
  <c r="L1979" i="27" s="1"/>
  <c r="CG160" i="39"/>
  <c r="L1980" i="27" s="1"/>
  <c r="CG161" i="39"/>
  <c r="L1981" i="27" s="1"/>
  <c r="CG162" i="39"/>
  <c r="L1982" i="27" s="1"/>
  <c r="CG163" i="39"/>
  <c r="L1983" i="27" s="1"/>
  <c r="CG164" i="39"/>
  <c r="L1984" i="27" s="1"/>
  <c r="CG165" i="39"/>
  <c r="L1985" i="27" s="1"/>
  <c r="CG166" i="39"/>
  <c r="L1986" i="27" s="1"/>
  <c r="CG167" i="39"/>
  <c r="L1987" i="27" s="1"/>
  <c r="CG168" i="39"/>
  <c r="L1988" i="27" s="1"/>
  <c r="CG169" i="39"/>
  <c r="L1989" i="27" s="1"/>
  <c r="CG170" i="39"/>
  <c r="L1990" i="27" s="1"/>
  <c r="CG171" i="39"/>
  <c r="L1991" i="27" s="1"/>
  <c r="CG172" i="39"/>
  <c r="L1992" i="27" s="1"/>
  <c r="CG173" i="39"/>
  <c r="L1993" i="27" s="1"/>
  <c r="CG174" i="39"/>
  <c r="L1994" i="27" s="1"/>
  <c r="CG175" i="39"/>
  <c r="L1995" i="27" s="1"/>
  <c r="CG176" i="39"/>
  <c r="L1996" i="27" s="1"/>
  <c r="CG177" i="39"/>
  <c r="L1997" i="27" s="1"/>
  <c r="CG178" i="39"/>
  <c r="L1998" i="27" s="1"/>
  <c r="CG179" i="39"/>
  <c r="L1999" i="27" s="1"/>
  <c r="CG180" i="39"/>
  <c r="L2000" i="27" s="1"/>
  <c r="CG181" i="39"/>
  <c r="L2001" i="27" s="1"/>
  <c r="CG182" i="39"/>
  <c r="L2002" i="27" s="1"/>
  <c r="CG183" i="39"/>
  <c r="L2003" i="27" s="1"/>
  <c r="CG184" i="39"/>
  <c r="L2004" i="27" s="1"/>
  <c r="CG185" i="39"/>
  <c r="L2005" i="27" s="1"/>
  <c r="CG186" i="39"/>
  <c r="L2006" i="27" s="1"/>
  <c r="CG187" i="39"/>
  <c r="L2007" i="27" s="1"/>
  <c r="CG188" i="39"/>
  <c r="L2008" i="27" s="1"/>
  <c r="CG189" i="39"/>
  <c r="L2009" i="27" s="1"/>
  <c r="CG190" i="39"/>
  <c r="L2010" i="27" s="1"/>
  <c r="CG191" i="39"/>
  <c r="L2011" i="27" s="1"/>
  <c r="CG192" i="39"/>
  <c r="L2012" i="27" s="1"/>
  <c r="CG193" i="39"/>
  <c r="L2013" i="27" s="1"/>
  <c r="CG194" i="39"/>
  <c r="L2014" i="27" s="1"/>
  <c r="CG195" i="39"/>
  <c r="L2015" i="27" s="1"/>
  <c r="CG196" i="39"/>
  <c r="L2016" i="27" s="1"/>
  <c r="CG197" i="39"/>
  <c r="L2017" i="27" s="1"/>
  <c r="CG198" i="39"/>
  <c r="L2018" i="27" s="1"/>
  <c r="CG199" i="39"/>
  <c r="L2019" i="27" s="1"/>
  <c r="CG200" i="39"/>
  <c r="L2020" i="27" s="1"/>
  <c r="CE2" i="39"/>
  <c r="J1822" i="27" s="1"/>
  <c r="CE3" i="39"/>
  <c r="J1823" i="27" s="1"/>
  <c r="CE4" i="39"/>
  <c r="J1824" i="27" s="1"/>
  <c r="CE5" i="39"/>
  <c r="J1825" i="27" s="1"/>
  <c r="CE6" i="39"/>
  <c r="J1826" i="27" s="1"/>
  <c r="CE7" i="39"/>
  <c r="J1827" i="27" s="1"/>
  <c r="CE8" i="39"/>
  <c r="J1828" i="27" s="1"/>
  <c r="CE9" i="39"/>
  <c r="J1829" i="27" s="1"/>
  <c r="CE10" i="39"/>
  <c r="J1830" i="27" s="1"/>
  <c r="CE11" i="39"/>
  <c r="J1831" i="27" s="1"/>
  <c r="CE12" i="39"/>
  <c r="J1832" i="27" s="1"/>
  <c r="CE13" i="39"/>
  <c r="J1833" i="27" s="1"/>
  <c r="CE14" i="39"/>
  <c r="J1834" i="27" s="1"/>
  <c r="CE15" i="39"/>
  <c r="J1835" i="27" s="1"/>
  <c r="CE16" i="39"/>
  <c r="J1836" i="27" s="1"/>
  <c r="CE17" i="39"/>
  <c r="J1837" i="27" s="1"/>
  <c r="CE18" i="39"/>
  <c r="J1838" i="27" s="1"/>
  <c r="CE19" i="39"/>
  <c r="J1839" i="27" s="1"/>
  <c r="CE20" i="39"/>
  <c r="J1840" i="27" s="1"/>
  <c r="CE21" i="39"/>
  <c r="J1841" i="27" s="1"/>
  <c r="CE22" i="39"/>
  <c r="J1842" i="27" s="1"/>
  <c r="CE23" i="39"/>
  <c r="J1843" i="27" s="1"/>
  <c r="CE24" i="39"/>
  <c r="J1844" i="27" s="1"/>
  <c r="CE25" i="39"/>
  <c r="J1845" i="27" s="1"/>
  <c r="CE26" i="39"/>
  <c r="J1846" i="27" s="1"/>
  <c r="CE27" i="39"/>
  <c r="J1847" i="27" s="1"/>
  <c r="CE28" i="39"/>
  <c r="J1848" i="27" s="1"/>
  <c r="CE29" i="39"/>
  <c r="J1849" i="27" s="1"/>
  <c r="CE30" i="39"/>
  <c r="J1850" i="27" s="1"/>
  <c r="CE31" i="39"/>
  <c r="J1851" i="27" s="1"/>
  <c r="CE32" i="39"/>
  <c r="J1852" i="27" s="1"/>
  <c r="CE33" i="39"/>
  <c r="J1853" i="27" s="1"/>
  <c r="CE34" i="39"/>
  <c r="J1854" i="27" s="1"/>
  <c r="CE35" i="39"/>
  <c r="J1855" i="27" s="1"/>
  <c r="CE36" i="39"/>
  <c r="J1856" i="27" s="1"/>
  <c r="CE37" i="39"/>
  <c r="J1857" i="27" s="1"/>
  <c r="CE38" i="39"/>
  <c r="J1858" i="27" s="1"/>
  <c r="CE39" i="39"/>
  <c r="J1859" i="27" s="1"/>
  <c r="CE40" i="39"/>
  <c r="J1860" i="27" s="1"/>
  <c r="CE41" i="39"/>
  <c r="J1861" i="27" s="1"/>
  <c r="CE42" i="39"/>
  <c r="J1862" i="27" s="1"/>
  <c r="CE43" i="39"/>
  <c r="J1863" i="27" s="1"/>
  <c r="CE44" i="39"/>
  <c r="J1864" i="27" s="1"/>
  <c r="CE45" i="39"/>
  <c r="J1865" i="27" s="1"/>
  <c r="CE46" i="39"/>
  <c r="J1866" i="27" s="1"/>
  <c r="CE47" i="39"/>
  <c r="J1867" i="27" s="1"/>
  <c r="CE48" i="39"/>
  <c r="J1868" i="27" s="1"/>
  <c r="CE49" i="39"/>
  <c r="J1869" i="27" s="1"/>
  <c r="CE50" i="39"/>
  <c r="J1870" i="27" s="1"/>
  <c r="CE51" i="39"/>
  <c r="J1871" i="27" s="1"/>
  <c r="CE52" i="39"/>
  <c r="J1872" i="27" s="1"/>
  <c r="CE53" i="39"/>
  <c r="J1873" i="27" s="1"/>
  <c r="CE54" i="39"/>
  <c r="J1874" i="27" s="1"/>
  <c r="CE55" i="39"/>
  <c r="J1875" i="27" s="1"/>
  <c r="CE56" i="39"/>
  <c r="J1876" i="27" s="1"/>
  <c r="CE57" i="39"/>
  <c r="J1877" i="27" s="1"/>
  <c r="CE58" i="39"/>
  <c r="J1878" i="27" s="1"/>
  <c r="CE59" i="39"/>
  <c r="J1879" i="27" s="1"/>
  <c r="CE60" i="39"/>
  <c r="J1880" i="27" s="1"/>
  <c r="CE61" i="39"/>
  <c r="J1881" i="27" s="1"/>
  <c r="CE62" i="39"/>
  <c r="J1882" i="27" s="1"/>
  <c r="CE63" i="39"/>
  <c r="J1883" i="27" s="1"/>
  <c r="CE64" i="39"/>
  <c r="J1884" i="27" s="1"/>
  <c r="CE65" i="39"/>
  <c r="J1885" i="27" s="1"/>
  <c r="CE66" i="39"/>
  <c r="J1886" i="27" s="1"/>
  <c r="CE67" i="39"/>
  <c r="J1887" i="27" s="1"/>
  <c r="CE68" i="39"/>
  <c r="J1888" i="27" s="1"/>
  <c r="CE69" i="39"/>
  <c r="J1889" i="27" s="1"/>
  <c r="CE70" i="39"/>
  <c r="J1890" i="27" s="1"/>
  <c r="CE71" i="39"/>
  <c r="J1891" i="27" s="1"/>
  <c r="CE72" i="39"/>
  <c r="J1892" i="27" s="1"/>
  <c r="CE73" i="39"/>
  <c r="J1893" i="27" s="1"/>
  <c r="CE74" i="39"/>
  <c r="J1894" i="27" s="1"/>
  <c r="CE75" i="39"/>
  <c r="J1895" i="27" s="1"/>
  <c r="CE76" i="39"/>
  <c r="J1896" i="27" s="1"/>
  <c r="CE77" i="39"/>
  <c r="J1897" i="27" s="1"/>
  <c r="CE78" i="39"/>
  <c r="J1898" i="27" s="1"/>
  <c r="CE79" i="39"/>
  <c r="J1899" i="27" s="1"/>
  <c r="CE80" i="39"/>
  <c r="J1900" i="27" s="1"/>
  <c r="CE81" i="39"/>
  <c r="J1901" i="27" s="1"/>
  <c r="CE82" i="39"/>
  <c r="J1902" i="27" s="1"/>
  <c r="CE83" i="39"/>
  <c r="J1903" i="27" s="1"/>
  <c r="CE84" i="39"/>
  <c r="J1904" i="27" s="1"/>
  <c r="CE85" i="39"/>
  <c r="J1905" i="27" s="1"/>
  <c r="CE86" i="39"/>
  <c r="J1906" i="27" s="1"/>
  <c r="CE87" i="39"/>
  <c r="J1907" i="27" s="1"/>
  <c r="CE88" i="39"/>
  <c r="J1908" i="27" s="1"/>
  <c r="CE89" i="39"/>
  <c r="J1909" i="27" s="1"/>
  <c r="CE90" i="39"/>
  <c r="J1910" i="27" s="1"/>
  <c r="CE91" i="39"/>
  <c r="J1911" i="27" s="1"/>
  <c r="CE92" i="39"/>
  <c r="J1912" i="27" s="1"/>
  <c r="CE93" i="39"/>
  <c r="J1913" i="27" s="1"/>
  <c r="CE94" i="39"/>
  <c r="J1914" i="27" s="1"/>
  <c r="CE95" i="39"/>
  <c r="J1915" i="27" s="1"/>
  <c r="CE96" i="39"/>
  <c r="J1916" i="27" s="1"/>
  <c r="CE97" i="39"/>
  <c r="J1917" i="27" s="1"/>
  <c r="CE98" i="39"/>
  <c r="J1918" i="27" s="1"/>
  <c r="CE99" i="39"/>
  <c r="J1919" i="27" s="1"/>
  <c r="CE100" i="39"/>
  <c r="J1920" i="27" s="1"/>
  <c r="CE101" i="39"/>
  <c r="J1921" i="27" s="1"/>
  <c r="CE102" i="39"/>
  <c r="J1922" i="27" s="1"/>
  <c r="CE103" i="39"/>
  <c r="J1923" i="27" s="1"/>
  <c r="CE104" i="39"/>
  <c r="J1924" i="27" s="1"/>
  <c r="CE105" i="39"/>
  <c r="J1925" i="27" s="1"/>
  <c r="CE106" i="39"/>
  <c r="J1926" i="27" s="1"/>
  <c r="CE107" i="39"/>
  <c r="J1927" i="27" s="1"/>
  <c r="CE108" i="39"/>
  <c r="J1928" i="27" s="1"/>
  <c r="CE109" i="39"/>
  <c r="J1929" i="27" s="1"/>
  <c r="CE110" i="39"/>
  <c r="J1930" i="27" s="1"/>
  <c r="CE111" i="39"/>
  <c r="J1931" i="27" s="1"/>
  <c r="CE112" i="39"/>
  <c r="J1932" i="27" s="1"/>
  <c r="CE113" i="39"/>
  <c r="J1933" i="27" s="1"/>
  <c r="CE114" i="39"/>
  <c r="J1934" i="27" s="1"/>
  <c r="CE115" i="39"/>
  <c r="J1935" i="27" s="1"/>
  <c r="CE116" i="39"/>
  <c r="J1936" i="27" s="1"/>
  <c r="CE117" i="39"/>
  <c r="J1937" i="27" s="1"/>
  <c r="CE118" i="39"/>
  <c r="J1938" i="27" s="1"/>
  <c r="CE119" i="39"/>
  <c r="J1939" i="27" s="1"/>
  <c r="CE120" i="39"/>
  <c r="J1940" i="27" s="1"/>
  <c r="CE121" i="39"/>
  <c r="J1941" i="27" s="1"/>
  <c r="CE122" i="39"/>
  <c r="J1942" i="27" s="1"/>
  <c r="CE123" i="39"/>
  <c r="J1943" i="27" s="1"/>
  <c r="CE124" i="39"/>
  <c r="J1944" i="27" s="1"/>
  <c r="CE125" i="39"/>
  <c r="J1945" i="27" s="1"/>
  <c r="CE126" i="39"/>
  <c r="J1946" i="27" s="1"/>
  <c r="CE127" i="39"/>
  <c r="J1947" i="27" s="1"/>
  <c r="CE128" i="39"/>
  <c r="J1948" i="27" s="1"/>
  <c r="CE129" i="39"/>
  <c r="J1949" i="27" s="1"/>
  <c r="CE130" i="39"/>
  <c r="J1950" i="27" s="1"/>
  <c r="CE131" i="39"/>
  <c r="J1951" i="27" s="1"/>
  <c r="CE132" i="39"/>
  <c r="J1952" i="27" s="1"/>
  <c r="CE133" i="39"/>
  <c r="J1953" i="27" s="1"/>
  <c r="CE134" i="39"/>
  <c r="J1954" i="27" s="1"/>
  <c r="CE135" i="39"/>
  <c r="J1955" i="27" s="1"/>
  <c r="CE136" i="39"/>
  <c r="J1956" i="27" s="1"/>
  <c r="CE137" i="39"/>
  <c r="J1957" i="27" s="1"/>
  <c r="CE138" i="39"/>
  <c r="J1958" i="27" s="1"/>
  <c r="CE139" i="39"/>
  <c r="J1959" i="27" s="1"/>
  <c r="CE140" i="39"/>
  <c r="J1960" i="27" s="1"/>
  <c r="CE141" i="39"/>
  <c r="J1961" i="27" s="1"/>
  <c r="CE142" i="39"/>
  <c r="J1962" i="27" s="1"/>
  <c r="CE143" i="39"/>
  <c r="J1963" i="27" s="1"/>
  <c r="CE144" i="39"/>
  <c r="J1964" i="27" s="1"/>
  <c r="CE145" i="39"/>
  <c r="J1965" i="27" s="1"/>
  <c r="CE146" i="39"/>
  <c r="J1966" i="27" s="1"/>
  <c r="CE147" i="39"/>
  <c r="J1967" i="27" s="1"/>
  <c r="CE148" i="39"/>
  <c r="J1968" i="27" s="1"/>
  <c r="CE149" i="39"/>
  <c r="J1969" i="27" s="1"/>
  <c r="CE150" i="39"/>
  <c r="J1970" i="27" s="1"/>
  <c r="CE151" i="39"/>
  <c r="J1971" i="27" s="1"/>
  <c r="CE152" i="39"/>
  <c r="J1972" i="27" s="1"/>
  <c r="CE153" i="39"/>
  <c r="J1973" i="27" s="1"/>
  <c r="CE154" i="39"/>
  <c r="J1974" i="27" s="1"/>
  <c r="CE155" i="39"/>
  <c r="J1975" i="27" s="1"/>
  <c r="CE156" i="39"/>
  <c r="J1976" i="27" s="1"/>
  <c r="CE157" i="39"/>
  <c r="J1977" i="27" s="1"/>
  <c r="CE158" i="39"/>
  <c r="J1978" i="27" s="1"/>
  <c r="CE159" i="39"/>
  <c r="J1979" i="27" s="1"/>
  <c r="CE160" i="39"/>
  <c r="J1980" i="27" s="1"/>
  <c r="CE161" i="39"/>
  <c r="J1981" i="27" s="1"/>
  <c r="CE162" i="39"/>
  <c r="J1982" i="27" s="1"/>
  <c r="CE163" i="39"/>
  <c r="J1983" i="27" s="1"/>
  <c r="CE164" i="39"/>
  <c r="J1984" i="27" s="1"/>
  <c r="CE165" i="39"/>
  <c r="J1985" i="27" s="1"/>
  <c r="CE166" i="39"/>
  <c r="J1986" i="27" s="1"/>
  <c r="CE167" i="39"/>
  <c r="J1987" i="27" s="1"/>
  <c r="CE168" i="39"/>
  <c r="J1988" i="27" s="1"/>
  <c r="CE169" i="39"/>
  <c r="J1989" i="27" s="1"/>
  <c r="CE170" i="39"/>
  <c r="J1990" i="27" s="1"/>
  <c r="CE171" i="39"/>
  <c r="J1991" i="27" s="1"/>
  <c r="CE172" i="39"/>
  <c r="J1992" i="27" s="1"/>
  <c r="CE173" i="39"/>
  <c r="J1993" i="27" s="1"/>
  <c r="CE174" i="39"/>
  <c r="J1994" i="27" s="1"/>
  <c r="CE175" i="39"/>
  <c r="J1995" i="27" s="1"/>
  <c r="CE176" i="39"/>
  <c r="J1996" i="27" s="1"/>
  <c r="CE177" i="39"/>
  <c r="J1997" i="27" s="1"/>
  <c r="CE178" i="39"/>
  <c r="J1998" i="27" s="1"/>
  <c r="CE179" i="39"/>
  <c r="J1999" i="27" s="1"/>
  <c r="CE180" i="39"/>
  <c r="J2000" i="27" s="1"/>
  <c r="CE181" i="39"/>
  <c r="J2001" i="27" s="1"/>
  <c r="CE182" i="39"/>
  <c r="J2002" i="27" s="1"/>
  <c r="CE183" i="39"/>
  <c r="J2003" i="27" s="1"/>
  <c r="CE184" i="39"/>
  <c r="J2004" i="27" s="1"/>
  <c r="CE185" i="39"/>
  <c r="J2005" i="27" s="1"/>
  <c r="CE186" i="39"/>
  <c r="J2006" i="27" s="1"/>
  <c r="CE187" i="39"/>
  <c r="J2007" i="27" s="1"/>
  <c r="CE188" i="39"/>
  <c r="J2008" i="27" s="1"/>
  <c r="CE189" i="39"/>
  <c r="J2009" i="27" s="1"/>
  <c r="CE190" i="39"/>
  <c r="J2010" i="27" s="1"/>
  <c r="CE191" i="39"/>
  <c r="J2011" i="27" s="1"/>
  <c r="CE192" i="39"/>
  <c r="J2012" i="27" s="1"/>
  <c r="CE193" i="39"/>
  <c r="J2013" i="27" s="1"/>
  <c r="CE194" i="39"/>
  <c r="J2014" i="27" s="1"/>
  <c r="CE195" i="39"/>
  <c r="J2015" i="27" s="1"/>
  <c r="CE196" i="39"/>
  <c r="J2016" i="27" s="1"/>
  <c r="CE197" i="39"/>
  <c r="J2017" i="27" s="1"/>
  <c r="CE198" i="39"/>
  <c r="J2018" i="27" s="1"/>
  <c r="CE199" i="39"/>
  <c r="J2019" i="27" s="1"/>
  <c r="CE200" i="39"/>
  <c r="J2020" i="27" s="1"/>
  <c r="CE2" i="36"/>
  <c r="J1772" i="27" s="1"/>
  <c r="CE3" i="36"/>
  <c r="J1773" i="27" s="1"/>
  <c r="CE4" i="36"/>
  <c r="J1774" i="27" s="1"/>
  <c r="CE5" i="36"/>
  <c r="J1775" i="27" s="1"/>
  <c r="CE6" i="36"/>
  <c r="J1776" i="27" s="1"/>
  <c r="CE7" i="36"/>
  <c r="J1777" i="27" s="1"/>
  <c r="CE8" i="36"/>
  <c r="J1778" i="27" s="1"/>
  <c r="CE9" i="36"/>
  <c r="J1779" i="27" s="1"/>
  <c r="CE10" i="36"/>
  <c r="J1780" i="27" s="1"/>
  <c r="CE11" i="36"/>
  <c r="J1781" i="27" s="1"/>
  <c r="CE12" i="36"/>
  <c r="J1782" i="27" s="1"/>
  <c r="CE13" i="36"/>
  <c r="J1783" i="27" s="1"/>
  <c r="CE14" i="36"/>
  <c r="J1784" i="27" s="1"/>
  <c r="CE15" i="36"/>
  <c r="J1785" i="27" s="1"/>
  <c r="CE16" i="36"/>
  <c r="J1786" i="27" s="1"/>
  <c r="CE17" i="36"/>
  <c r="J1787" i="27" s="1"/>
  <c r="CE18" i="36"/>
  <c r="J1788" i="27" s="1"/>
  <c r="CE19" i="36"/>
  <c r="J1789" i="27" s="1"/>
  <c r="CE20" i="36"/>
  <c r="J1790" i="27" s="1"/>
  <c r="CE21" i="36"/>
  <c r="J1791" i="27" s="1"/>
  <c r="CE22" i="36"/>
  <c r="J1792" i="27" s="1"/>
  <c r="CE23" i="36"/>
  <c r="J1793" i="27" s="1"/>
  <c r="CE24" i="36"/>
  <c r="J1794" i="27" s="1"/>
  <c r="CE25" i="36"/>
  <c r="J1795" i="27" s="1"/>
  <c r="CE26" i="36"/>
  <c r="J1796" i="27" s="1"/>
  <c r="CE27" i="36"/>
  <c r="J1797" i="27" s="1"/>
  <c r="CE28" i="36"/>
  <c r="J1798" i="27" s="1"/>
  <c r="CE29" i="36"/>
  <c r="J1799" i="27" s="1"/>
  <c r="CE30" i="36"/>
  <c r="J1800" i="27" s="1"/>
  <c r="CE31" i="36"/>
  <c r="J1801" i="27" s="1"/>
  <c r="CE32" i="36"/>
  <c r="J1802" i="27" s="1"/>
  <c r="CE33" i="36"/>
  <c r="J1803" i="27" s="1"/>
  <c r="CE34" i="36"/>
  <c r="J1804" i="27" s="1"/>
  <c r="CE35" i="36"/>
  <c r="J1805" i="27" s="1"/>
  <c r="CE36" i="36"/>
  <c r="J1806" i="27" s="1"/>
  <c r="CE37" i="36"/>
  <c r="J1807" i="27" s="1"/>
  <c r="CE38" i="36"/>
  <c r="J1808" i="27" s="1"/>
  <c r="CE39" i="36"/>
  <c r="J1809" i="27" s="1"/>
  <c r="CE40" i="36"/>
  <c r="J1810" i="27" s="1"/>
  <c r="CE41" i="36"/>
  <c r="J1811" i="27" s="1"/>
  <c r="CE42" i="36"/>
  <c r="J1812" i="27" s="1"/>
  <c r="CE43" i="36"/>
  <c r="J1813" i="27" s="1"/>
  <c r="CE44" i="36"/>
  <c r="J1814" i="27" s="1"/>
  <c r="CE45" i="36"/>
  <c r="J1815" i="27" s="1"/>
  <c r="CE46" i="36"/>
  <c r="J1816" i="27" s="1"/>
  <c r="CE47" i="36"/>
  <c r="J1817" i="27" s="1"/>
  <c r="CE48" i="36"/>
  <c r="J1818" i="27" s="1"/>
  <c r="CE49" i="36"/>
  <c r="J1819" i="27" s="1"/>
  <c r="CE50" i="36"/>
  <c r="J1820" i="27" s="1"/>
  <c r="CF2" i="36"/>
  <c r="K1772" i="27" s="1"/>
  <c r="CF3" i="36"/>
  <c r="K1773" i="27" s="1"/>
  <c r="CF4" i="36"/>
  <c r="K1774" i="27" s="1"/>
  <c r="CF5" i="36"/>
  <c r="K1775" i="27" s="1"/>
  <c r="CF6" i="36"/>
  <c r="K1776" i="27" s="1"/>
  <c r="CF7" i="36"/>
  <c r="K1777" i="27" s="1"/>
  <c r="CF8" i="36"/>
  <c r="K1778" i="27" s="1"/>
  <c r="CF9" i="36"/>
  <c r="K1779" i="27" s="1"/>
  <c r="CF10" i="36"/>
  <c r="K1780" i="27" s="1"/>
  <c r="CF11" i="36"/>
  <c r="K1781" i="27" s="1"/>
  <c r="CF12" i="36"/>
  <c r="K1782" i="27" s="1"/>
  <c r="CF13" i="36"/>
  <c r="K1783" i="27" s="1"/>
  <c r="CF14" i="36"/>
  <c r="K1784" i="27" s="1"/>
  <c r="CF15" i="36"/>
  <c r="K1785" i="27" s="1"/>
  <c r="CF16" i="36"/>
  <c r="K1786" i="27" s="1"/>
  <c r="CF17" i="36"/>
  <c r="K1787" i="27" s="1"/>
  <c r="CF18" i="36"/>
  <c r="K1788" i="27" s="1"/>
  <c r="CF19" i="36"/>
  <c r="K1789" i="27" s="1"/>
  <c r="CF20" i="36"/>
  <c r="K1790" i="27" s="1"/>
  <c r="CF21" i="36"/>
  <c r="K1791" i="27" s="1"/>
  <c r="CF22" i="36"/>
  <c r="K1792" i="27" s="1"/>
  <c r="CF23" i="36"/>
  <c r="K1793" i="27" s="1"/>
  <c r="CF24" i="36"/>
  <c r="K1794" i="27" s="1"/>
  <c r="CF25" i="36"/>
  <c r="K1795" i="27" s="1"/>
  <c r="CF26" i="36"/>
  <c r="K1796" i="27" s="1"/>
  <c r="CF27" i="36"/>
  <c r="K1797" i="27" s="1"/>
  <c r="CF28" i="36"/>
  <c r="K1798" i="27" s="1"/>
  <c r="CF29" i="36"/>
  <c r="K1799" i="27" s="1"/>
  <c r="CF30" i="36"/>
  <c r="K1800" i="27" s="1"/>
  <c r="CF31" i="36"/>
  <c r="K1801" i="27" s="1"/>
  <c r="CF32" i="36"/>
  <c r="K1802" i="27" s="1"/>
  <c r="CF33" i="36"/>
  <c r="K1803" i="27" s="1"/>
  <c r="CF34" i="36"/>
  <c r="K1804" i="27" s="1"/>
  <c r="CF35" i="36"/>
  <c r="K1805" i="27" s="1"/>
  <c r="CF36" i="36"/>
  <c r="K1806" i="27" s="1"/>
  <c r="CF37" i="36"/>
  <c r="K1807" i="27" s="1"/>
  <c r="CF38" i="36"/>
  <c r="K1808" i="27" s="1"/>
  <c r="CF39" i="36"/>
  <c r="K1809" i="27" s="1"/>
  <c r="CF40" i="36"/>
  <c r="K1810" i="27" s="1"/>
  <c r="CF41" i="36"/>
  <c r="K1811" i="27" s="1"/>
  <c r="CF42" i="36"/>
  <c r="K1812" i="27" s="1"/>
  <c r="CF43" i="36"/>
  <c r="K1813" i="27" s="1"/>
  <c r="CF44" i="36"/>
  <c r="K1814" i="27" s="1"/>
  <c r="CF45" i="36"/>
  <c r="K1815" i="27" s="1"/>
  <c r="CF46" i="36"/>
  <c r="K1816" i="27" s="1"/>
  <c r="CF47" i="36"/>
  <c r="K1817" i="27" s="1"/>
  <c r="CF48" i="36"/>
  <c r="K1818" i="27" s="1"/>
  <c r="CF49" i="36"/>
  <c r="K1819" i="27" s="1"/>
  <c r="CF50" i="36"/>
  <c r="K1820" i="27" s="1"/>
  <c r="CG2" i="36"/>
  <c r="L1772" i="27" s="1"/>
  <c r="CG3" i="36"/>
  <c r="L1773" i="27" s="1"/>
  <c r="CG4" i="36"/>
  <c r="L1774" i="27" s="1"/>
  <c r="CG5" i="36"/>
  <c r="L1775" i="27" s="1"/>
  <c r="CG6" i="36"/>
  <c r="L1776" i="27" s="1"/>
  <c r="CG7" i="36"/>
  <c r="L1777" i="27" s="1"/>
  <c r="CG8" i="36"/>
  <c r="L1778" i="27" s="1"/>
  <c r="CG9" i="36"/>
  <c r="L1779" i="27" s="1"/>
  <c r="CG10" i="36"/>
  <c r="L1780" i="27" s="1"/>
  <c r="CG11" i="36"/>
  <c r="L1781" i="27" s="1"/>
  <c r="CG12" i="36"/>
  <c r="L1782" i="27" s="1"/>
  <c r="CG13" i="36"/>
  <c r="L1783" i="27" s="1"/>
  <c r="CG14" i="36"/>
  <c r="L1784" i="27" s="1"/>
  <c r="CG15" i="36"/>
  <c r="L1785" i="27" s="1"/>
  <c r="CG16" i="36"/>
  <c r="L1786" i="27" s="1"/>
  <c r="CG17" i="36"/>
  <c r="L1787" i="27" s="1"/>
  <c r="CG18" i="36"/>
  <c r="L1788" i="27" s="1"/>
  <c r="CG19" i="36"/>
  <c r="L1789" i="27" s="1"/>
  <c r="CG20" i="36"/>
  <c r="L1790" i="27" s="1"/>
  <c r="CG21" i="36"/>
  <c r="L1791" i="27" s="1"/>
  <c r="CG22" i="36"/>
  <c r="L1792" i="27" s="1"/>
  <c r="CG23" i="36"/>
  <c r="L1793" i="27" s="1"/>
  <c r="CG24" i="36"/>
  <c r="L1794" i="27" s="1"/>
  <c r="CG25" i="36"/>
  <c r="L1795" i="27" s="1"/>
  <c r="CG26" i="36"/>
  <c r="L1796" i="27" s="1"/>
  <c r="CG27" i="36"/>
  <c r="L1797" i="27" s="1"/>
  <c r="CG28" i="36"/>
  <c r="L1798" i="27" s="1"/>
  <c r="CG29" i="36"/>
  <c r="L1799" i="27" s="1"/>
  <c r="CG30" i="36"/>
  <c r="L1800" i="27" s="1"/>
  <c r="CG31" i="36"/>
  <c r="L1801" i="27" s="1"/>
  <c r="CG32" i="36"/>
  <c r="L1802" i="27" s="1"/>
  <c r="CG33" i="36"/>
  <c r="L1803" i="27" s="1"/>
  <c r="CG34" i="36"/>
  <c r="L1804" i="27" s="1"/>
  <c r="CG35" i="36"/>
  <c r="L1805" i="27" s="1"/>
  <c r="CG36" i="36"/>
  <c r="L1806" i="27" s="1"/>
  <c r="CG37" i="36"/>
  <c r="L1807" i="27" s="1"/>
  <c r="CG38" i="36"/>
  <c r="L1808" i="27" s="1"/>
  <c r="CG39" i="36"/>
  <c r="L1809" i="27" s="1"/>
  <c r="CG40" i="36"/>
  <c r="L1810" i="27" s="1"/>
  <c r="CG41" i="36"/>
  <c r="L1811" i="27" s="1"/>
  <c r="CG42" i="36"/>
  <c r="L1812" i="27" s="1"/>
  <c r="CG43" i="36"/>
  <c r="L1813" i="27" s="1"/>
  <c r="CG44" i="36"/>
  <c r="L1814" i="27" s="1"/>
  <c r="CG45" i="36"/>
  <c r="L1815" i="27" s="1"/>
  <c r="CG46" i="36"/>
  <c r="L1816" i="27" s="1"/>
  <c r="CG47" i="36"/>
  <c r="L1817" i="27" s="1"/>
  <c r="CG48" i="36"/>
  <c r="L1818" i="27" s="1"/>
  <c r="CG49" i="36"/>
  <c r="L1819" i="27" s="1"/>
  <c r="CG50" i="36"/>
  <c r="L1820" i="27" s="1"/>
  <c r="CK2" i="36"/>
  <c r="P1772" i="27" s="1"/>
  <c r="CK3" i="36"/>
  <c r="P1773" i="27" s="1"/>
  <c r="CK4" i="36"/>
  <c r="P1774" i="27" s="1"/>
  <c r="CK5" i="36"/>
  <c r="P1775" i="27" s="1"/>
  <c r="CK6" i="36"/>
  <c r="P1776" i="27" s="1"/>
  <c r="CK7" i="36"/>
  <c r="P1777" i="27" s="1"/>
  <c r="CK8" i="36"/>
  <c r="P1778" i="27" s="1"/>
  <c r="CK9" i="36"/>
  <c r="P1779" i="27" s="1"/>
  <c r="CK10" i="36"/>
  <c r="P1780" i="27" s="1"/>
  <c r="CK11" i="36"/>
  <c r="P1781" i="27" s="1"/>
  <c r="CK12" i="36"/>
  <c r="P1782" i="27" s="1"/>
  <c r="CK13" i="36"/>
  <c r="P1783" i="27" s="1"/>
  <c r="CK14" i="36"/>
  <c r="P1784" i="27" s="1"/>
  <c r="CK15" i="36"/>
  <c r="P1785" i="27" s="1"/>
  <c r="CK16" i="36"/>
  <c r="P1786" i="27" s="1"/>
  <c r="CK17" i="36"/>
  <c r="P1787" i="27" s="1"/>
  <c r="CK18" i="36"/>
  <c r="P1788" i="27" s="1"/>
  <c r="CK19" i="36"/>
  <c r="P1789" i="27" s="1"/>
  <c r="CK20" i="36"/>
  <c r="P1790" i="27" s="1"/>
  <c r="CK21" i="36"/>
  <c r="P1791" i="27" s="1"/>
  <c r="CK22" i="36"/>
  <c r="P1792" i="27" s="1"/>
  <c r="CK23" i="36"/>
  <c r="P1793" i="27" s="1"/>
  <c r="CK24" i="36"/>
  <c r="P1794" i="27" s="1"/>
  <c r="CK25" i="36"/>
  <c r="P1795" i="27" s="1"/>
  <c r="CK26" i="36"/>
  <c r="P1796" i="27" s="1"/>
  <c r="CK27" i="36"/>
  <c r="P1797" i="27" s="1"/>
  <c r="CK28" i="36"/>
  <c r="P1798" i="27" s="1"/>
  <c r="CK29" i="36"/>
  <c r="P1799" i="27" s="1"/>
  <c r="CK30" i="36"/>
  <c r="P1800" i="27" s="1"/>
  <c r="CK31" i="36"/>
  <c r="P1801" i="27" s="1"/>
  <c r="CK32" i="36"/>
  <c r="P1802" i="27" s="1"/>
  <c r="CK33" i="36"/>
  <c r="P1803" i="27" s="1"/>
  <c r="CK34" i="36"/>
  <c r="P1804" i="27" s="1"/>
  <c r="CK35" i="36"/>
  <c r="P1805" i="27" s="1"/>
  <c r="CK36" i="36"/>
  <c r="P1806" i="27" s="1"/>
  <c r="CK37" i="36"/>
  <c r="P1807" i="27" s="1"/>
  <c r="CK38" i="36"/>
  <c r="P1808" i="27" s="1"/>
  <c r="CK39" i="36"/>
  <c r="P1809" i="27" s="1"/>
  <c r="CK40" i="36"/>
  <c r="P1810" i="27" s="1"/>
  <c r="CK41" i="36"/>
  <c r="P1811" i="27" s="1"/>
  <c r="CK42" i="36"/>
  <c r="P1812" i="27" s="1"/>
  <c r="CK43" i="36"/>
  <c r="P1813" i="27" s="1"/>
  <c r="CK44" i="36"/>
  <c r="P1814" i="27" s="1"/>
  <c r="CK45" i="36"/>
  <c r="P1815" i="27" s="1"/>
  <c r="CK46" i="36"/>
  <c r="P1816" i="27" s="1"/>
  <c r="CK47" i="36"/>
  <c r="P1817" i="27" s="1"/>
  <c r="CK48" i="36"/>
  <c r="P1818" i="27" s="1"/>
  <c r="CK49" i="36"/>
  <c r="P1819" i="27" s="1"/>
  <c r="CK50" i="36"/>
  <c r="P1820" i="27" s="1"/>
  <c r="CK2" i="22"/>
  <c r="P1672" i="27" s="1"/>
  <c r="CK3" i="22"/>
  <c r="P1673" i="27" s="1"/>
  <c r="CK4" i="22"/>
  <c r="P1674" i="27" s="1"/>
  <c r="CK5" i="22"/>
  <c r="P1675" i="27" s="1"/>
  <c r="CK6" i="22"/>
  <c r="P1676" i="27" s="1"/>
  <c r="CK7" i="22"/>
  <c r="P1677" i="27" s="1"/>
  <c r="CK8" i="22"/>
  <c r="P1678" i="27" s="1"/>
  <c r="CK9" i="22"/>
  <c r="P1679" i="27" s="1"/>
  <c r="CK10" i="22"/>
  <c r="P1680" i="27" s="1"/>
  <c r="CK11" i="22"/>
  <c r="P1681" i="27" s="1"/>
  <c r="CK12" i="22"/>
  <c r="P1682" i="27" s="1"/>
  <c r="CK13" i="22"/>
  <c r="P1683" i="27" s="1"/>
  <c r="CK14" i="22"/>
  <c r="P1684" i="27" s="1"/>
  <c r="CK15" i="22"/>
  <c r="P1685" i="27" s="1"/>
  <c r="CK16" i="22"/>
  <c r="P1686" i="27" s="1"/>
  <c r="CK17" i="22"/>
  <c r="P1687" i="27" s="1"/>
  <c r="CK18" i="22"/>
  <c r="P1688" i="27" s="1"/>
  <c r="CK19" i="22"/>
  <c r="P1689" i="27" s="1"/>
  <c r="CK20" i="22"/>
  <c r="P1690" i="27" s="1"/>
  <c r="CK21" i="22"/>
  <c r="P1691" i="27" s="1"/>
  <c r="CK22" i="22"/>
  <c r="P1692" i="27" s="1"/>
  <c r="CK23" i="22"/>
  <c r="P1693" i="27" s="1"/>
  <c r="CK24" i="22"/>
  <c r="P1694" i="27" s="1"/>
  <c r="CK25" i="22"/>
  <c r="P1695" i="27" s="1"/>
  <c r="CK26" i="22"/>
  <c r="P1696" i="27" s="1"/>
  <c r="CK27" i="22"/>
  <c r="P1697" i="27" s="1"/>
  <c r="CK28" i="22"/>
  <c r="P1698" i="27" s="1"/>
  <c r="CK29" i="22"/>
  <c r="P1699" i="27" s="1"/>
  <c r="CK30" i="22"/>
  <c r="P1700" i="27" s="1"/>
  <c r="CK31" i="22"/>
  <c r="P1701" i="27" s="1"/>
  <c r="CK32" i="22"/>
  <c r="P1702" i="27" s="1"/>
  <c r="CK33" i="22"/>
  <c r="P1703" i="27" s="1"/>
  <c r="CK34" i="22"/>
  <c r="P1704" i="27" s="1"/>
  <c r="CK35" i="22"/>
  <c r="P1705" i="27" s="1"/>
  <c r="CK36" i="22"/>
  <c r="P1706" i="27" s="1"/>
  <c r="CK37" i="22"/>
  <c r="P1707" i="27" s="1"/>
  <c r="CK38" i="22"/>
  <c r="P1708" i="27" s="1"/>
  <c r="CK39" i="22"/>
  <c r="P1709" i="27" s="1"/>
  <c r="CK40" i="22"/>
  <c r="P1710" i="27" s="1"/>
  <c r="CK41" i="22"/>
  <c r="P1711" i="27" s="1"/>
  <c r="CK42" i="22"/>
  <c r="P1712" i="27" s="1"/>
  <c r="CK43" i="22"/>
  <c r="P1713" i="27" s="1"/>
  <c r="CK44" i="22"/>
  <c r="P1714" i="27" s="1"/>
  <c r="CK45" i="22"/>
  <c r="P1715" i="27" s="1"/>
  <c r="CK46" i="22"/>
  <c r="P1716" i="27" s="1"/>
  <c r="CK47" i="22"/>
  <c r="P1717" i="27" s="1"/>
  <c r="CK48" i="22"/>
  <c r="P1718" i="27" s="1"/>
  <c r="CK49" i="22"/>
  <c r="P1719" i="27" s="1"/>
  <c r="CK50" i="22"/>
  <c r="P1720" i="27" s="1"/>
  <c r="CK51" i="22"/>
  <c r="P1721" i="27" s="1"/>
  <c r="CK52" i="22"/>
  <c r="P1722" i="27" s="1"/>
  <c r="CK53" i="22"/>
  <c r="P1723" i="27" s="1"/>
  <c r="CK54" i="22"/>
  <c r="P1724" i="27" s="1"/>
  <c r="CK55" i="22"/>
  <c r="P1725" i="27" s="1"/>
  <c r="CK56" i="22"/>
  <c r="P1726" i="27" s="1"/>
  <c r="CK57" i="22"/>
  <c r="P1727" i="27" s="1"/>
  <c r="CK58" i="22"/>
  <c r="P1728" i="27" s="1"/>
  <c r="CK59" i="22"/>
  <c r="P1729" i="27" s="1"/>
  <c r="CK60" i="22"/>
  <c r="P1730" i="27" s="1"/>
  <c r="CK61" i="22"/>
  <c r="P1731" i="27" s="1"/>
  <c r="CK62" i="22"/>
  <c r="P1732" i="27" s="1"/>
  <c r="CK63" i="22"/>
  <c r="P1733" i="27" s="1"/>
  <c r="CK64" i="22"/>
  <c r="P1734" i="27" s="1"/>
  <c r="CK65" i="22"/>
  <c r="P1735" i="27" s="1"/>
  <c r="CK66" i="22"/>
  <c r="P1736" i="27" s="1"/>
  <c r="CK67" i="22"/>
  <c r="P1737" i="27" s="1"/>
  <c r="CK68" i="22"/>
  <c r="P1738" i="27" s="1"/>
  <c r="CK69" i="22"/>
  <c r="P1739" i="27" s="1"/>
  <c r="CK70" i="22"/>
  <c r="P1740" i="27" s="1"/>
  <c r="CK71" i="22"/>
  <c r="P1741" i="27" s="1"/>
  <c r="CK72" i="22"/>
  <c r="P1742" i="27" s="1"/>
  <c r="CK73" i="22"/>
  <c r="P1743" i="27" s="1"/>
  <c r="CK74" i="22"/>
  <c r="P1744" i="27" s="1"/>
  <c r="CK75" i="22"/>
  <c r="P1745" i="27" s="1"/>
  <c r="CK76" i="22"/>
  <c r="P1746" i="27" s="1"/>
  <c r="CK77" i="22"/>
  <c r="P1747" i="27" s="1"/>
  <c r="CK78" i="22"/>
  <c r="P1748" i="27" s="1"/>
  <c r="CK79" i="22"/>
  <c r="P1749" i="27" s="1"/>
  <c r="CK80" i="22"/>
  <c r="P1750" i="27" s="1"/>
  <c r="CK81" i="22"/>
  <c r="P1751" i="27" s="1"/>
  <c r="CK82" i="22"/>
  <c r="P1752" i="27" s="1"/>
  <c r="CK83" i="22"/>
  <c r="P1753" i="27" s="1"/>
  <c r="CK84" i="22"/>
  <c r="P1754" i="27" s="1"/>
  <c r="CK85" i="22"/>
  <c r="P1755" i="27" s="1"/>
  <c r="CK86" i="22"/>
  <c r="P1756" i="27" s="1"/>
  <c r="CK87" i="22"/>
  <c r="P1757" i="27" s="1"/>
  <c r="CK88" i="22"/>
  <c r="P1758" i="27" s="1"/>
  <c r="CK89" i="22"/>
  <c r="P1759" i="27" s="1"/>
  <c r="CK90" i="22"/>
  <c r="P1760" i="27" s="1"/>
  <c r="CK91" i="22"/>
  <c r="P1761" i="27" s="1"/>
  <c r="CK92" i="22"/>
  <c r="P1762" i="27" s="1"/>
  <c r="CK93" i="22"/>
  <c r="P1763" i="27" s="1"/>
  <c r="CK94" i="22"/>
  <c r="P1764" i="27" s="1"/>
  <c r="CK95" i="22"/>
  <c r="P1765" i="27" s="1"/>
  <c r="CK96" i="22"/>
  <c r="P1766" i="27" s="1"/>
  <c r="CK97" i="22"/>
  <c r="P1767" i="27" s="1"/>
  <c r="CK98" i="22"/>
  <c r="P1768" i="27" s="1"/>
  <c r="CK99" i="22"/>
  <c r="P1769" i="27" s="1"/>
  <c r="CK100" i="22"/>
  <c r="P1770" i="27" s="1"/>
  <c r="CG2" i="22"/>
  <c r="L1672" i="27" s="1"/>
  <c r="CG3" i="22"/>
  <c r="L1673" i="27" s="1"/>
  <c r="CG4" i="22"/>
  <c r="L1674" i="27" s="1"/>
  <c r="CG5" i="22"/>
  <c r="L1675" i="27" s="1"/>
  <c r="CG6" i="22"/>
  <c r="L1676" i="27" s="1"/>
  <c r="CG7" i="22"/>
  <c r="L1677" i="27" s="1"/>
  <c r="CG8" i="22"/>
  <c r="L1678" i="27" s="1"/>
  <c r="CG9" i="22"/>
  <c r="L1679" i="27" s="1"/>
  <c r="CG10" i="22"/>
  <c r="L1680" i="27" s="1"/>
  <c r="CG11" i="22"/>
  <c r="L1681" i="27" s="1"/>
  <c r="CG12" i="22"/>
  <c r="L1682" i="27" s="1"/>
  <c r="CG13" i="22"/>
  <c r="L1683" i="27" s="1"/>
  <c r="CG14" i="22"/>
  <c r="L1684" i="27" s="1"/>
  <c r="CG15" i="22"/>
  <c r="L1685" i="27" s="1"/>
  <c r="CG16" i="22"/>
  <c r="L1686" i="27" s="1"/>
  <c r="CG17" i="22"/>
  <c r="L1687" i="27" s="1"/>
  <c r="CG18" i="22"/>
  <c r="L1688" i="27" s="1"/>
  <c r="CG19" i="22"/>
  <c r="L1689" i="27" s="1"/>
  <c r="CG20" i="22"/>
  <c r="L1690" i="27" s="1"/>
  <c r="CG21" i="22"/>
  <c r="L1691" i="27" s="1"/>
  <c r="CG22" i="22"/>
  <c r="L1692" i="27" s="1"/>
  <c r="CG23" i="22"/>
  <c r="L1693" i="27" s="1"/>
  <c r="CG24" i="22"/>
  <c r="L1694" i="27" s="1"/>
  <c r="CG25" i="22"/>
  <c r="L1695" i="27" s="1"/>
  <c r="CG26" i="22"/>
  <c r="L1696" i="27" s="1"/>
  <c r="CG27" i="22"/>
  <c r="L1697" i="27" s="1"/>
  <c r="CG28" i="22"/>
  <c r="L1698" i="27" s="1"/>
  <c r="CG29" i="22"/>
  <c r="L1699" i="27" s="1"/>
  <c r="CG30" i="22"/>
  <c r="L1700" i="27" s="1"/>
  <c r="CG31" i="22"/>
  <c r="L1701" i="27" s="1"/>
  <c r="CG32" i="22"/>
  <c r="L1702" i="27" s="1"/>
  <c r="CG33" i="22"/>
  <c r="L1703" i="27" s="1"/>
  <c r="CG34" i="22"/>
  <c r="L1704" i="27" s="1"/>
  <c r="CG35" i="22"/>
  <c r="L1705" i="27" s="1"/>
  <c r="CG36" i="22"/>
  <c r="L1706" i="27" s="1"/>
  <c r="CG37" i="22"/>
  <c r="L1707" i="27" s="1"/>
  <c r="CG38" i="22"/>
  <c r="L1708" i="27" s="1"/>
  <c r="CG39" i="22"/>
  <c r="L1709" i="27" s="1"/>
  <c r="CG40" i="22"/>
  <c r="L1710" i="27" s="1"/>
  <c r="CG41" i="22"/>
  <c r="L1711" i="27" s="1"/>
  <c r="CG42" i="22"/>
  <c r="L1712" i="27" s="1"/>
  <c r="CG43" i="22"/>
  <c r="L1713" i="27" s="1"/>
  <c r="CG44" i="22"/>
  <c r="L1714" i="27" s="1"/>
  <c r="CG45" i="22"/>
  <c r="L1715" i="27" s="1"/>
  <c r="CG46" i="22"/>
  <c r="L1716" i="27" s="1"/>
  <c r="CG47" i="22"/>
  <c r="L1717" i="27" s="1"/>
  <c r="CG48" i="22"/>
  <c r="L1718" i="27" s="1"/>
  <c r="CG49" i="22"/>
  <c r="L1719" i="27" s="1"/>
  <c r="CG50" i="22"/>
  <c r="L1720" i="27" s="1"/>
  <c r="CG51" i="22"/>
  <c r="L1721" i="27" s="1"/>
  <c r="CG52" i="22"/>
  <c r="L1722" i="27" s="1"/>
  <c r="CG53" i="22"/>
  <c r="L1723" i="27" s="1"/>
  <c r="CG54" i="22"/>
  <c r="L1724" i="27" s="1"/>
  <c r="CG55" i="22"/>
  <c r="L1725" i="27" s="1"/>
  <c r="CG56" i="22"/>
  <c r="L1726" i="27" s="1"/>
  <c r="CG57" i="22"/>
  <c r="L1727" i="27" s="1"/>
  <c r="CG58" i="22"/>
  <c r="L1728" i="27" s="1"/>
  <c r="CG59" i="22"/>
  <c r="L1729" i="27" s="1"/>
  <c r="CG60" i="22"/>
  <c r="L1730" i="27" s="1"/>
  <c r="CG61" i="22"/>
  <c r="L1731" i="27" s="1"/>
  <c r="CG62" i="22"/>
  <c r="L1732" i="27" s="1"/>
  <c r="CG63" i="22"/>
  <c r="L1733" i="27" s="1"/>
  <c r="CG64" i="22"/>
  <c r="L1734" i="27" s="1"/>
  <c r="CG65" i="22"/>
  <c r="L1735" i="27" s="1"/>
  <c r="CG66" i="22"/>
  <c r="L1736" i="27" s="1"/>
  <c r="CG67" i="22"/>
  <c r="L1737" i="27" s="1"/>
  <c r="CG68" i="22"/>
  <c r="L1738" i="27" s="1"/>
  <c r="CG69" i="22"/>
  <c r="L1739" i="27" s="1"/>
  <c r="CG70" i="22"/>
  <c r="L1740" i="27" s="1"/>
  <c r="CG71" i="22"/>
  <c r="L1741" i="27" s="1"/>
  <c r="CG72" i="22"/>
  <c r="L1742" i="27" s="1"/>
  <c r="CG73" i="22"/>
  <c r="L1743" i="27" s="1"/>
  <c r="CG74" i="22"/>
  <c r="L1744" i="27" s="1"/>
  <c r="CG75" i="22"/>
  <c r="L1745" i="27" s="1"/>
  <c r="CG76" i="22"/>
  <c r="L1746" i="27" s="1"/>
  <c r="CG77" i="22"/>
  <c r="L1747" i="27" s="1"/>
  <c r="CG78" i="22"/>
  <c r="L1748" i="27" s="1"/>
  <c r="CG79" i="22"/>
  <c r="L1749" i="27" s="1"/>
  <c r="CG80" i="22"/>
  <c r="L1750" i="27" s="1"/>
  <c r="CG81" i="22"/>
  <c r="L1751" i="27" s="1"/>
  <c r="CG82" i="22"/>
  <c r="L1752" i="27" s="1"/>
  <c r="CG83" i="22"/>
  <c r="L1753" i="27" s="1"/>
  <c r="CG84" i="22"/>
  <c r="L1754" i="27" s="1"/>
  <c r="CG85" i="22"/>
  <c r="L1755" i="27" s="1"/>
  <c r="CG86" i="22"/>
  <c r="L1756" i="27" s="1"/>
  <c r="CG87" i="22"/>
  <c r="L1757" i="27" s="1"/>
  <c r="CG88" i="22"/>
  <c r="L1758" i="27" s="1"/>
  <c r="CG89" i="22"/>
  <c r="L1759" i="27" s="1"/>
  <c r="CG90" i="22"/>
  <c r="L1760" i="27" s="1"/>
  <c r="CG91" i="22"/>
  <c r="L1761" i="27" s="1"/>
  <c r="CG92" i="22"/>
  <c r="L1762" i="27" s="1"/>
  <c r="CG93" i="22"/>
  <c r="L1763" i="27" s="1"/>
  <c r="CG94" i="22"/>
  <c r="L1764" i="27" s="1"/>
  <c r="CG95" i="22"/>
  <c r="L1765" i="27" s="1"/>
  <c r="CG96" i="22"/>
  <c r="L1766" i="27" s="1"/>
  <c r="CG97" i="22"/>
  <c r="L1767" i="27" s="1"/>
  <c r="CG98" i="22"/>
  <c r="L1768" i="27" s="1"/>
  <c r="CG99" i="22"/>
  <c r="L1769" i="27" s="1"/>
  <c r="CG100" i="22"/>
  <c r="L1770" i="27" s="1"/>
  <c r="CF2" i="22"/>
  <c r="K1672" i="27" s="1"/>
  <c r="CF3" i="22"/>
  <c r="K1673" i="27" s="1"/>
  <c r="CF4" i="22"/>
  <c r="K1674" i="27" s="1"/>
  <c r="CF5" i="22"/>
  <c r="K1675" i="27" s="1"/>
  <c r="CF6" i="22"/>
  <c r="K1676" i="27" s="1"/>
  <c r="CF7" i="22"/>
  <c r="K1677" i="27" s="1"/>
  <c r="CF8" i="22"/>
  <c r="K1678" i="27" s="1"/>
  <c r="CF9" i="22"/>
  <c r="K1679" i="27" s="1"/>
  <c r="CF10" i="22"/>
  <c r="K1680" i="27" s="1"/>
  <c r="CF11" i="22"/>
  <c r="K1681" i="27" s="1"/>
  <c r="CF12" i="22"/>
  <c r="K1682" i="27" s="1"/>
  <c r="CF13" i="22"/>
  <c r="K1683" i="27" s="1"/>
  <c r="CF14" i="22"/>
  <c r="K1684" i="27" s="1"/>
  <c r="CF15" i="22"/>
  <c r="K1685" i="27" s="1"/>
  <c r="CF16" i="22"/>
  <c r="K1686" i="27" s="1"/>
  <c r="CF17" i="22"/>
  <c r="K1687" i="27" s="1"/>
  <c r="CF18" i="22"/>
  <c r="K1688" i="27" s="1"/>
  <c r="CF19" i="22"/>
  <c r="K1689" i="27" s="1"/>
  <c r="CF20" i="22"/>
  <c r="K1690" i="27" s="1"/>
  <c r="CF21" i="22"/>
  <c r="K1691" i="27" s="1"/>
  <c r="CF22" i="22"/>
  <c r="K1692" i="27" s="1"/>
  <c r="CF23" i="22"/>
  <c r="K1693" i="27" s="1"/>
  <c r="CF24" i="22"/>
  <c r="K1694" i="27" s="1"/>
  <c r="CF25" i="22"/>
  <c r="K1695" i="27" s="1"/>
  <c r="CF26" i="22"/>
  <c r="K1696" i="27" s="1"/>
  <c r="CF27" i="22"/>
  <c r="K1697" i="27" s="1"/>
  <c r="CF28" i="22"/>
  <c r="K1698" i="27" s="1"/>
  <c r="CF29" i="22"/>
  <c r="K1699" i="27" s="1"/>
  <c r="CF30" i="22"/>
  <c r="K1700" i="27" s="1"/>
  <c r="CF31" i="22"/>
  <c r="K1701" i="27" s="1"/>
  <c r="CF32" i="22"/>
  <c r="K1702" i="27" s="1"/>
  <c r="CF33" i="22"/>
  <c r="K1703" i="27" s="1"/>
  <c r="CF34" i="22"/>
  <c r="K1704" i="27" s="1"/>
  <c r="CF35" i="22"/>
  <c r="K1705" i="27" s="1"/>
  <c r="CF36" i="22"/>
  <c r="K1706" i="27" s="1"/>
  <c r="CF37" i="22"/>
  <c r="K1707" i="27" s="1"/>
  <c r="CF38" i="22"/>
  <c r="K1708" i="27" s="1"/>
  <c r="CF39" i="22"/>
  <c r="K1709" i="27" s="1"/>
  <c r="CF40" i="22"/>
  <c r="K1710" i="27" s="1"/>
  <c r="CF41" i="22"/>
  <c r="K1711" i="27" s="1"/>
  <c r="CF42" i="22"/>
  <c r="K1712" i="27" s="1"/>
  <c r="CF43" i="22"/>
  <c r="K1713" i="27" s="1"/>
  <c r="CF44" i="22"/>
  <c r="K1714" i="27" s="1"/>
  <c r="CF45" i="22"/>
  <c r="K1715" i="27" s="1"/>
  <c r="CF46" i="22"/>
  <c r="K1716" i="27" s="1"/>
  <c r="CF47" i="22"/>
  <c r="K1717" i="27" s="1"/>
  <c r="CF48" i="22"/>
  <c r="K1718" i="27" s="1"/>
  <c r="CF49" i="22"/>
  <c r="K1719" i="27" s="1"/>
  <c r="CF50" i="22"/>
  <c r="K1720" i="27" s="1"/>
  <c r="CF51" i="22"/>
  <c r="K1721" i="27" s="1"/>
  <c r="CF52" i="22"/>
  <c r="K1722" i="27" s="1"/>
  <c r="CF53" i="22"/>
  <c r="K1723" i="27" s="1"/>
  <c r="CF54" i="22"/>
  <c r="K1724" i="27" s="1"/>
  <c r="CF55" i="22"/>
  <c r="K1725" i="27" s="1"/>
  <c r="CF56" i="22"/>
  <c r="K1726" i="27" s="1"/>
  <c r="CF57" i="22"/>
  <c r="K1727" i="27" s="1"/>
  <c r="CF58" i="22"/>
  <c r="K1728" i="27" s="1"/>
  <c r="CF59" i="22"/>
  <c r="K1729" i="27" s="1"/>
  <c r="CF60" i="22"/>
  <c r="K1730" i="27" s="1"/>
  <c r="CF61" i="22"/>
  <c r="K1731" i="27" s="1"/>
  <c r="CF62" i="22"/>
  <c r="K1732" i="27" s="1"/>
  <c r="CF63" i="22"/>
  <c r="K1733" i="27" s="1"/>
  <c r="CF64" i="22"/>
  <c r="K1734" i="27" s="1"/>
  <c r="CF65" i="22"/>
  <c r="K1735" i="27" s="1"/>
  <c r="CF66" i="22"/>
  <c r="K1736" i="27" s="1"/>
  <c r="CF67" i="22"/>
  <c r="K1737" i="27" s="1"/>
  <c r="CF68" i="22"/>
  <c r="K1738" i="27" s="1"/>
  <c r="CF69" i="22"/>
  <c r="K1739" i="27" s="1"/>
  <c r="CF70" i="22"/>
  <c r="K1740" i="27" s="1"/>
  <c r="CF71" i="22"/>
  <c r="K1741" i="27" s="1"/>
  <c r="CF72" i="22"/>
  <c r="K1742" i="27" s="1"/>
  <c r="CF73" i="22"/>
  <c r="K1743" i="27" s="1"/>
  <c r="CF74" i="22"/>
  <c r="K1744" i="27" s="1"/>
  <c r="CF75" i="22"/>
  <c r="K1745" i="27" s="1"/>
  <c r="CF76" i="22"/>
  <c r="K1746" i="27" s="1"/>
  <c r="CF77" i="22"/>
  <c r="K1747" i="27" s="1"/>
  <c r="CF78" i="22"/>
  <c r="K1748" i="27" s="1"/>
  <c r="CF79" i="22"/>
  <c r="K1749" i="27" s="1"/>
  <c r="CF80" i="22"/>
  <c r="K1750" i="27" s="1"/>
  <c r="CF81" i="22"/>
  <c r="K1751" i="27" s="1"/>
  <c r="CF82" i="22"/>
  <c r="K1752" i="27" s="1"/>
  <c r="CF83" i="22"/>
  <c r="K1753" i="27" s="1"/>
  <c r="CF84" i="22"/>
  <c r="K1754" i="27" s="1"/>
  <c r="CF85" i="22"/>
  <c r="K1755" i="27" s="1"/>
  <c r="CF86" i="22"/>
  <c r="K1756" i="27" s="1"/>
  <c r="CF87" i="22"/>
  <c r="K1757" i="27" s="1"/>
  <c r="CF88" i="22"/>
  <c r="K1758" i="27" s="1"/>
  <c r="CF89" i="22"/>
  <c r="K1759" i="27" s="1"/>
  <c r="CF90" i="22"/>
  <c r="K1760" i="27" s="1"/>
  <c r="CF91" i="22"/>
  <c r="K1761" i="27" s="1"/>
  <c r="CF92" i="22"/>
  <c r="K1762" i="27" s="1"/>
  <c r="CF93" i="22"/>
  <c r="K1763" i="27" s="1"/>
  <c r="CF94" i="22"/>
  <c r="K1764" i="27" s="1"/>
  <c r="CF95" i="22"/>
  <c r="K1765" i="27" s="1"/>
  <c r="CF96" i="22"/>
  <c r="K1766" i="27" s="1"/>
  <c r="CF97" i="22"/>
  <c r="K1767" i="27" s="1"/>
  <c r="CF98" i="22"/>
  <c r="K1768" i="27" s="1"/>
  <c r="CF99" i="22"/>
  <c r="K1769" i="27" s="1"/>
  <c r="CF100" i="22"/>
  <c r="K1770" i="27" s="1"/>
  <c r="CE2" i="22"/>
  <c r="J1672" i="27" s="1"/>
  <c r="CE3" i="22"/>
  <c r="J1673" i="27" s="1"/>
  <c r="CE4" i="22"/>
  <c r="J1674" i="27" s="1"/>
  <c r="CE5" i="22"/>
  <c r="J1675" i="27" s="1"/>
  <c r="CE6" i="22"/>
  <c r="J1676" i="27" s="1"/>
  <c r="CE7" i="22"/>
  <c r="J1677" i="27" s="1"/>
  <c r="CE8" i="22"/>
  <c r="J1678" i="27" s="1"/>
  <c r="CE9" i="22"/>
  <c r="J1679" i="27" s="1"/>
  <c r="CE10" i="22"/>
  <c r="J1680" i="27" s="1"/>
  <c r="CE11" i="22"/>
  <c r="J1681" i="27" s="1"/>
  <c r="CE12" i="22"/>
  <c r="J1682" i="27" s="1"/>
  <c r="CE13" i="22"/>
  <c r="J1683" i="27" s="1"/>
  <c r="CE14" i="22"/>
  <c r="J1684" i="27" s="1"/>
  <c r="CE15" i="22"/>
  <c r="J1685" i="27" s="1"/>
  <c r="CE16" i="22"/>
  <c r="J1686" i="27" s="1"/>
  <c r="CE17" i="22"/>
  <c r="J1687" i="27" s="1"/>
  <c r="CE18" i="22"/>
  <c r="J1688" i="27" s="1"/>
  <c r="CE19" i="22"/>
  <c r="J1689" i="27" s="1"/>
  <c r="CE20" i="22"/>
  <c r="J1690" i="27" s="1"/>
  <c r="CE21" i="22"/>
  <c r="J1691" i="27" s="1"/>
  <c r="CE22" i="22"/>
  <c r="J1692" i="27" s="1"/>
  <c r="CE23" i="22"/>
  <c r="J1693" i="27" s="1"/>
  <c r="CE24" i="22"/>
  <c r="J1694" i="27" s="1"/>
  <c r="CE25" i="22"/>
  <c r="J1695" i="27" s="1"/>
  <c r="CE26" i="22"/>
  <c r="J1696" i="27" s="1"/>
  <c r="CE27" i="22"/>
  <c r="J1697" i="27" s="1"/>
  <c r="CE28" i="22"/>
  <c r="J1698" i="27" s="1"/>
  <c r="CE29" i="22"/>
  <c r="J1699" i="27" s="1"/>
  <c r="CE30" i="22"/>
  <c r="J1700" i="27" s="1"/>
  <c r="CE31" i="22"/>
  <c r="J1701" i="27" s="1"/>
  <c r="CE32" i="22"/>
  <c r="J1702" i="27" s="1"/>
  <c r="CE33" i="22"/>
  <c r="J1703" i="27" s="1"/>
  <c r="CE34" i="22"/>
  <c r="J1704" i="27" s="1"/>
  <c r="CE35" i="22"/>
  <c r="J1705" i="27" s="1"/>
  <c r="CE36" i="22"/>
  <c r="J1706" i="27" s="1"/>
  <c r="CE37" i="22"/>
  <c r="J1707" i="27" s="1"/>
  <c r="CE38" i="22"/>
  <c r="J1708" i="27" s="1"/>
  <c r="CE39" i="22"/>
  <c r="J1709" i="27" s="1"/>
  <c r="CE40" i="22"/>
  <c r="J1710" i="27" s="1"/>
  <c r="CE41" i="22"/>
  <c r="J1711" i="27" s="1"/>
  <c r="CE42" i="22"/>
  <c r="J1712" i="27" s="1"/>
  <c r="CE43" i="22"/>
  <c r="J1713" i="27" s="1"/>
  <c r="CE44" i="22"/>
  <c r="J1714" i="27" s="1"/>
  <c r="CE45" i="22"/>
  <c r="J1715" i="27" s="1"/>
  <c r="CE46" i="22"/>
  <c r="J1716" i="27" s="1"/>
  <c r="CE47" i="22"/>
  <c r="J1717" i="27" s="1"/>
  <c r="CE48" i="22"/>
  <c r="J1718" i="27" s="1"/>
  <c r="CE49" i="22"/>
  <c r="J1719" i="27" s="1"/>
  <c r="CE50" i="22"/>
  <c r="J1720" i="27" s="1"/>
  <c r="CE51" i="22"/>
  <c r="J1721" i="27" s="1"/>
  <c r="CE52" i="22"/>
  <c r="J1722" i="27" s="1"/>
  <c r="CE53" i="22"/>
  <c r="J1723" i="27" s="1"/>
  <c r="CE54" i="22"/>
  <c r="J1724" i="27" s="1"/>
  <c r="CE55" i="22"/>
  <c r="J1725" i="27" s="1"/>
  <c r="CE56" i="22"/>
  <c r="J1726" i="27" s="1"/>
  <c r="CE57" i="22"/>
  <c r="J1727" i="27" s="1"/>
  <c r="CE58" i="22"/>
  <c r="J1728" i="27" s="1"/>
  <c r="CE59" i="22"/>
  <c r="J1729" i="27" s="1"/>
  <c r="CE60" i="22"/>
  <c r="J1730" i="27" s="1"/>
  <c r="CE61" i="22"/>
  <c r="J1731" i="27" s="1"/>
  <c r="CE62" i="22"/>
  <c r="J1732" i="27" s="1"/>
  <c r="CE63" i="22"/>
  <c r="J1733" i="27" s="1"/>
  <c r="CE64" i="22"/>
  <c r="J1734" i="27" s="1"/>
  <c r="CE65" i="22"/>
  <c r="J1735" i="27" s="1"/>
  <c r="CE66" i="22"/>
  <c r="J1736" i="27" s="1"/>
  <c r="CE67" i="22"/>
  <c r="J1737" i="27" s="1"/>
  <c r="CE68" i="22"/>
  <c r="J1738" i="27" s="1"/>
  <c r="CE69" i="22"/>
  <c r="J1739" i="27" s="1"/>
  <c r="CE70" i="22"/>
  <c r="J1740" i="27" s="1"/>
  <c r="CE71" i="22"/>
  <c r="J1741" i="27" s="1"/>
  <c r="CE72" i="22"/>
  <c r="J1742" i="27" s="1"/>
  <c r="CE73" i="22"/>
  <c r="J1743" i="27" s="1"/>
  <c r="CE74" i="22"/>
  <c r="J1744" i="27" s="1"/>
  <c r="CE75" i="22"/>
  <c r="J1745" i="27" s="1"/>
  <c r="CE76" i="22"/>
  <c r="J1746" i="27" s="1"/>
  <c r="CE77" i="22"/>
  <c r="J1747" i="27" s="1"/>
  <c r="CE78" i="22"/>
  <c r="J1748" i="27" s="1"/>
  <c r="CE79" i="22"/>
  <c r="J1749" i="27" s="1"/>
  <c r="CE80" i="22"/>
  <c r="J1750" i="27" s="1"/>
  <c r="CE81" i="22"/>
  <c r="J1751" i="27" s="1"/>
  <c r="CE82" i="22"/>
  <c r="J1752" i="27" s="1"/>
  <c r="CE83" i="22"/>
  <c r="J1753" i="27" s="1"/>
  <c r="CE84" i="22"/>
  <c r="J1754" i="27" s="1"/>
  <c r="CE85" i="22"/>
  <c r="J1755" i="27" s="1"/>
  <c r="CE86" i="22"/>
  <c r="J1756" i="27" s="1"/>
  <c r="CE87" i="22"/>
  <c r="J1757" i="27" s="1"/>
  <c r="CE88" i="22"/>
  <c r="J1758" i="27" s="1"/>
  <c r="CE89" i="22"/>
  <c r="J1759" i="27" s="1"/>
  <c r="CE90" i="22"/>
  <c r="J1760" i="27" s="1"/>
  <c r="CE91" i="22"/>
  <c r="J1761" i="27" s="1"/>
  <c r="CE92" i="22"/>
  <c r="J1762" i="27" s="1"/>
  <c r="CE93" i="22"/>
  <c r="J1763" i="27" s="1"/>
  <c r="CE94" i="22"/>
  <c r="J1764" i="27" s="1"/>
  <c r="CE95" i="22"/>
  <c r="J1765" i="27" s="1"/>
  <c r="CE96" i="22"/>
  <c r="J1766" i="27" s="1"/>
  <c r="CE97" i="22"/>
  <c r="J1767" i="27" s="1"/>
  <c r="CE98" i="22"/>
  <c r="J1768" i="27" s="1"/>
  <c r="CE99" i="22"/>
  <c r="J1769" i="27" s="1"/>
  <c r="CE100" i="22"/>
  <c r="J1770" i="27" s="1"/>
  <c r="CK2" i="32"/>
  <c r="P1522" i="27" s="1"/>
  <c r="CK3" i="32"/>
  <c r="P1523" i="27" s="1"/>
  <c r="CK4" i="32"/>
  <c r="P1524" i="27" s="1"/>
  <c r="CK5" i="32"/>
  <c r="P1525" i="27" s="1"/>
  <c r="CK6" i="32"/>
  <c r="P1526" i="27" s="1"/>
  <c r="CK7" i="32"/>
  <c r="P1527" i="27" s="1"/>
  <c r="CK8" i="32"/>
  <c r="P1528" i="27" s="1"/>
  <c r="CK9" i="32"/>
  <c r="P1529" i="27" s="1"/>
  <c r="CK10" i="32"/>
  <c r="P1530" i="27" s="1"/>
  <c r="CK11" i="32"/>
  <c r="P1531" i="27" s="1"/>
  <c r="CK12" i="32"/>
  <c r="P1532" i="27" s="1"/>
  <c r="CK13" i="32"/>
  <c r="P1533" i="27" s="1"/>
  <c r="CK14" i="32"/>
  <c r="P1534" i="27" s="1"/>
  <c r="CK15" i="32"/>
  <c r="P1535" i="27" s="1"/>
  <c r="CK16" i="32"/>
  <c r="P1536" i="27" s="1"/>
  <c r="CK17" i="32"/>
  <c r="P1537" i="27" s="1"/>
  <c r="CK18" i="32"/>
  <c r="P1538" i="27" s="1"/>
  <c r="CK19" i="32"/>
  <c r="P1539" i="27" s="1"/>
  <c r="CK20" i="32"/>
  <c r="P1540" i="27" s="1"/>
  <c r="CK21" i="32"/>
  <c r="P1541" i="27" s="1"/>
  <c r="CK22" i="32"/>
  <c r="P1542" i="27" s="1"/>
  <c r="CK23" i="32"/>
  <c r="P1543" i="27" s="1"/>
  <c r="CK24" i="32"/>
  <c r="P1544" i="27" s="1"/>
  <c r="CK25" i="32"/>
  <c r="P1545" i="27" s="1"/>
  <c r="CK26" i="32"/>
  <c r="P1546" i="27" s="1"/>
  <c r="CK27" i="32"/>
  <c r="P1547" i="27" s="1"/>
  <c r="CK28" i="32"/>
  <c r="P1548" i="27" s="1"/>
  <c r="CK29" i="32"/>
  <c r="P1549" i="27" s="1"/>
  <c r="CK30" i="32"/>
  <c r="P1550" i="27" s="1"/>
  <c r="CK31" i="32"/>
  <c r="P1551" i="27" s="1"/>
  <c r="CK32" i="32"/>
  <c r="P1552" i="27" s="1"/>
  <c r="CK33" i="32"/>
  <c r="P1553" i="27" s="1"/>
  <c r="CK34" i="32"/>
  <c r="P1554" i="27" s="1"/>
  <c r="CK35" i="32"/>
  <c r="P1555" i="27" s="1"/>
  <c r="CK36" i="32"/>
  <c r="P1556" i="27" s="1"/>
  <c r="CK37" i="32"/>
  <c r="P1557" i="27" s="1"/>
  <c r="CK38" i="32"/>
  <c r="P1558" i="27" s="1"/>
  <c r="CK39" i="32"/>
  <c r="P1559" i="27" s="1"/>
  <c r="CK40" i="32"/>
  <c r="P1560" i="27" s="1"/>
  <c r="CK41" i="32"/>
  <c r="P1561" i="27" s="1"/>
  <c r="CK42" i="32"/>
  <c r="P1562" i="27" s="1"/>
  <c r="CK43" i="32"/>
  <c r="P1563" i="27" s="1"/>
  <c r="CK44" i="32"/>
  <c r="P1564" i="27" s="1"/>
  <c r="CK45" i="32"/>
  <c r="P1565" i="27" s="1"/>
  <c r="CK46" i="32"/>
  <c r="P1566" i="27" s="1"/>
  <c r="CK47" i="32"/>
  <c r="P1567" i="27" s="1"/>
  <c r="CK48" i="32"/>
  <c r="P1568" i="27" s="1"/>
  <c r="CK49" i="32"/>
  <c r="P1569" i="27" s="1"/>
  <c r="CK50" i="32"/>
  <c r="P1570" i="27" s="1"/>
  <c r="CK51" i="32"/>
  <c r="P1571" i="27" s="1"/>
  <c r="CK52" i="32"/>
  <c r="P1572" i="27" s="1"/>
  <c r="CK53" i="32"/>
  <c r="P1573" i="27" s="1"/>
  <c r="CK54" i="32"/>
  <c r="P1574" i="27" s="1"/>
  <c r="CK55" i="32"/>
  <c r="P1575" i="27" s="1"/>
  <c r="CK56" i="32"/>
  <c r="P1576" i="27" s="1"/>
  <c r="CK57" i="32"/>
  <c r="P1577" i="27" s="1"/>
  <c r="CK58" i="32"/>
  <c r="P1578" i="27" s="1"/>
  <c r="CK59" i="32"/>
  <c r="P1579" i="27" s="1"/>
  <c r="CK60" i="32"/>
  <c r="P1580" i="27" s="1"/>
  <c r="CK61" i="32"/>
  <c r="P1581" i="27" s="1"/>
  <c r="CK62" i="32"/>
  <c r="P1582" i="27" s="1"/>
  <c r="CK63" i="32"/>
  <c r="P1583" i="27" s="1"/>
  <c r="CK64" i="32"/>
  <c r="P1584" i="27" s="1"/>
  <c r="CK65" i="32"/>
  <c r="P1585" i="27" s="1"/>
  <c r="CK66" i="32"/>
  <c r="P1586" i="27" s="1"/>
  <c r="CK67" i="32"/>
  <c r="P1587" i="27" s="1"/>
  <c r="CK68" i="32"/>
  <c r="P1588" i="27" s="1"/>
  <c r="CK69" i="32"/>
  <c r="P1589" i="27" s="1"/>
  <c r="CK70" i="32"/>
  <c r="P1590" i="27" s="1"/>
  <c r="CK71" i="32"/>
  <c r="P1591" i="27" s="1"/>
  <c r="CK72" i="32"/>
  <c r="P1592" i="27" s="1"/>
  <c r="CK73" i="32"/>
  <c r="P1593" i="27" s="1"/>
  <c r="CK74" i="32"/>
  <c r="P1594" i="27" s="1"/>
  <c r="CK75" i="32"/>
  <c r="P1595" i="27" s="1"/>
  <c r="CK76" i="32"/>
  <c r="P1596" i="27" s="1"/>
  <c r="CK77" i="32"/>
  <c r="P1597" i="27" s="1"/>
  <c r="CK78" i="32"/>
  <c r="P1598" i="27" s="1"/>
  <c r="CK79" i="32"/>
  <c r="P1599" i="27" s="1"/>
  <c r="CK80" i="32"/>
  <c r="P1600" i="27" s="1"/>
  <c r="CK81" i="32"/>
  <c r="P1601" i="27" s="1"/>
  <c r="CK82" i="32"/>
  <c r="P1602" i="27" s="1"/>
  <c r="CK83" i="32"/>
  <c r="P1603" i="27" s="1"/>
  <c r="CK84" i="32"/>
  <c r="P1604" i="27" s="1"/>
  <c r="CK85" i="32"/>
  <c r="P1605" i="27" s="1"/>
  <c r="CK86" i="32"/>
  <c r="P1606" i="27" s="1"/>
  <c r="CK87" i="32"/>
  <c r="P1607" i="27" s="1"/>
  <c r="CK88" i="32"/>
  <c r="P1608" i="27" s="1"/>
  <c r="CK89" i="32"/>
  <c r="P1609" i="27" s="1"/>
  <c r="CK90" i="32"/>
  <c r="P1610" i="27" s="1"/>
  <c r="CK91" i="32"/>
  <c r="P1611" i="27" s="1"/>
  <c r="CK92" i="32"/>
  <c r="P1612" i="27" s="1"/>
  <c r="CK93" i="32"/>
  <c r="P1613" i="27" s="1"/>
  <c r="CK94" i="32"/>
  <c r="P1614" i="27" s="1"/>
  <c r="CK95" i="32"/>
  <c r="P1615" i="27" s="1"/>
  <c r="CK96" i="32"/>
  <c r="P1616" i="27" s="1"/>
  <c r="CK97" i="32"/>
  <c r="P1617" i="27" s="1"/>
  <c r="CK98" i="32"/>
  <c r="P1618" i="27" s="1"/>
  <c r="CK99" i="32"/>
  <c r="P1619" i="27" s="1"/>
  <c r="CK100" i="32"/>
  <c r="P1620" i="27" s="1"/>
  <c r="CK101" i="32"/>
  <c r="P1621" i="27" s="1"/>
  <c r="CK102" i="32"/>
  <c r="P1622" i="27" s="1"/>
  <c r="CK103" i="32"/>
  <c r="P1623" i="27" s="1"/>
  <c r="CK104" i="32"/>
  <c r="P1624" i="27" s="1"/>
  <c r="CK105" i="32"/>
  <c r="P1625" i="27" s="1"/>
  <c r="CK106" i="32"/>
  <c r="P1626" i="27" s="1"/>
  <c r="CK107" i="32"/>
  <c r="P1627" i="27" s="1"/>
  <c r="CK108" i="32"/>
  <c r="P1628" i="27" s="1"/>
  <c r="CK109" i="32"/>
  <c r="P1629" i="27" s="1"/>
  <c r="CK110" i="32"/>
  <c r="P1630" i="27" s="1"/>
  <c r="CK111" i="32"/>
  <c r="P1631" i="27" s="1"/>
  <c r="CK112" i="32"/>
  <c r="P1632" i="27" s="1"/>
  <c r="CK113" i="32"/>
  <c r="P1633" i="27" s="1"/>
  <c r="CK114" i="32"/>
  <c r="P1634" i="27" s="1"/>
  <c r="CK115" i="32"/>
  <c r="P1635" i="27" s="1"/>
  <c r="CK116" i="32"/>
  <c r="P1636" i="27" s="1"/>
  <c r="CK117" i="32"/>
  <c r="P1637" i="27" s="1"/>
  <c r="CK118" i="32"/>
  <c r="P1638" i="27" s="1"/>
  <c r="CK119" i="32"/>
  <c r="P1639" i="27" s="1"/>
  <c r="CK120" i="32"/>
  <c r="P1640" i="27" s="1"/>
  <c r="CK121" i="32"/>
  <c r="P1641" i="27" s="1"/>
  <c r="CK122" i="32"/>
  <c r="P1642" i="27" s="1"/>
  <c r="CK123" i="32"/>
  <c r="P1643" i="27" s="1"/>
  <c r="CK124" i="32"/>
  <c r="P1644" i="27" s="1"/>
  <c r="CK125" i="32"/>
  <c r="P1645" i="27" s="1"/>
  <c r="CK126" i="32"/>
  <c r="P1646" i="27" s="1"/>
  <c r="CK127" i="32"/>
  <c r="P1647" i="27" s="1"/>
  <c r="CK128" i="32"/>
  <c r="P1648" i="27" s="1"/>
  <c r="CK129" i="32"/>
  <c r="P1649" i="27" s="1"/>
  <c r="CK130" i="32"/>
  <c r="P1650" i="27" s="1"/>
  <c r="CK131" i="32"/>
  <c r="P1651" i="27" s="1"/>
  <c r="CK132" i="32"/>
  <c r="P1652" i="27" s="1"/>
  <c r="CK133" i="32"/>
  <c r="P1653" i="27" s="1"/>
  <c r="CK134" i="32"/>
  <c r="P1654" i="27" s="1"/>
  <c r="CK135" i="32"/>
  <c r="P1655" i="27" s="1"/>
  <c r="CK136" i="32"/>
  <c r="P1656" i="27" s="1"/>
  <c r="CK137" i="32"/>
  <c r="P1657" i="27" s="1"/>
  <c r="CK138" i="32"/>
  <c r="P1658" i="27" s="1"/>
  <c r="CK139" i="32"/>
  <c r="P1659" i="27" s="1"/>
  <c r="CK140" i="32"/>
  <c r="P1660" i="27" s="1"/>
  <c r="CK141" i="32"/>
  <c r="P1661" i="27" s="1"/>
  <c r="CK142" i="32"/>
  <c r="P1662" i="27" s="1"/>
  <c r="CK143" i="32"/>
  <c r="P1663" i="27" s="1"/>
  <c r="CK144" i="32"/>
  <c r="P1664" i="27" s="1"/>
  <c r="CK145" i="32"/>
  <c r="P1665" i="27" s="1"/>
  <c r="CK146" i="32"/>
  <c r="P1666" i="27" s="1"/>
  <c r="CK147" i="32"/>
  <c r="P1667" i="27" s="1"/>
  <c r="CK148" i="32"/>
  <c r="P1668" i="27" s="1"/>
  <c r="CK149" i="32"/>
  <c r="P1669" i="27" s="1"/>
  <c r="CK150" i="32"/>
  <c r="P1670" i="27" s="1"/>
  <c r="CG2" i="32"/>
  <c r="L1522" i="27" s="1"/>
  <c r="CG3" i="32"/>
  <c r="L1523" i="27" s="1"/>
  <c r="CG4" i="32"/>
  <c r="L1524" i="27" s="1"/>
  <c r="CG5" i="32"/>
  <c r="L1525" i="27" s="1"/>
  <c r="CG6" i="32"/>
  <c r="L1526" i="27" s="1"/>
  <c r="CG7" i="32"/>
  <c r="L1527" i="27" s="1"/>
  <c r="CG8" i="32"/>
  <c r="L1528" i="27" s="1"/>
  <c r="CG9" i="32"/>
  <c r="L1529" i="27" s="1"/>
  <c r="CG10" i="32"/>
  <c r="L1530" i="27" s="1"/>
  <c r="CG11" i="32"/>
  <c r="L1531" i="27" s="1"/>
  <c r="CG12" i="32"/>
  <c r="L1532" i="27" s="1"/>
  <c r="CG13" i="32"/>
  <c r="L1533" i="27" s="1"/>
  <c r="CG14" i="32"/>
  <c r="L1534" i="27" s="1"/>
  <c r="CG15" i="32"/>
  <c r="L1535" i="27" s="1"/>
  <c r="CG16" i="32"/>
  <c r="L1536" i="27" s="1"/>
  <c r="CG17" i="32"/>
  <c r="L1537" i="27" s="1"/>
  <c r="CG18" i="32"/>
  <c r="L1538" i="27" s="1"/>
  <c r="CG19" i="32"/>
  <c r="L1539" i="27" s="1"/>
  <c r="CG20" i="32"/>
  <c r="L1540" i="27" s="1"/>
  <c r="CG21" i="32"/>
  <c r="L1541" i="27" s="1"/>
  <c r="CG22" i="32"/>
  <c r="L1542" i="27" s="1"/>
  <c r="CG23" i="32"/>
  <c r="L1543" i="27" s="1"/>
  <c r="CG24" i="32"/>
  <c r="L1544" i="27" s="1"/>
  <c r="CG25" i="32"/>
  <c r="L1545" i="27" s="1"/>
  <c r="CG26" i="32"/>
  <c r="L1546" i="27" s="1"/>
  <c r="CG27" i="32"/>
  <c r="L1547" i="27" s="1"/>
  <c r="CG28" i="32"/>
  <c r="L1548" i="27" s="1"/>
  <c r="CG29" i="32"/>
  <c r="L1549" i="27" s="1"/>
  <c r="CG30" i="32"/>
  <c r="L1550" i="27" s="1"/>
  <c r="CG31" i="32"/>
  <c r="L1551" i="27" s="1"/>
  <c r="CG32" i="32"/>
  <c r="L1552" i="27" s="1"/>
  <c r="CG33" i="32"/>
  <c r="L1553" i="27" s="1"/>
  <c r="CG34" i="32"/>
  <c r="L1554" i="27" s="1"/>
  <c r="CG35" i="32"/>
  <c r="L1555" i="27" s="1"/>
  <c r="CG36" i="32"/>
  <c r="L1556" i="27" s="1"/>
  <c r="CG37" i="32"/>
  <c r="L1557" i="27" s="1"/>
  <c r="CG38" i="32"/>
  <c r="L1558" i="27" s="1"/>
  <c r="CG39" i="32"/>
  <c r="L1559" i="27" s="1"/>
  <c r="CG40" i="32"/>
  <c r="L1560" i="27" s="1"/>
  <c r="CG41" i="32"/>
  <c r="L1561" i="27" s="1"/>
  <c r="CG42" i="32"/>
  <c r="L1562" i="27" s="1"/>
  <c r="CG43" i="32"/>
  <c r="L1563" i="27" s="1"/>
  <c r="CG44" i="32"/>
  <c r="L1564" i="27" s="1"/>
  <c r="CG45" i="32"/>
  <c r="L1565" i="27" s="1"/>
  <c r="CG46" i="32"/>
  <c r="L1566" i="27" s="1"/>
  <c r="CG47" i="32"/>
  <c r="L1567" i="27" s="1"/>
  <c r="CG48" i="32"/>
  <c r="L1568" i="27" s="1"/>
  <c r="CG49" i="32"/>
  <c r="L1569" i="27" s="1"/>
  <c r="CG50" i="32"/>
  <c r="L1570" i="27" s="1"/>
  <c r="CG51" i="32"/>
  <c r="L1571" i="27" s="1"/>
  <c r="CG52" i="32"/>
  <c r="L1572" i="27" s="1"/>
  <c r="CG53" i="32"/>
  <c r="L1573" i="27" s="1"/>
  <c r="CG54" i="32"/>
  <c r="L1574" i="27" s="1"/>
  <c r="CG55" i="32"/>
  <c r="L1575" i="27" s="1"/>
  <c r="CG56" i="32"/>
  <c r="L1576" i="27" s="1"/>
  <c r="CG57" i="32"/>
  <c r="L1577" i="27" s="1"/>
  <c r="CG58" i="32"/>
  <c r="L1578" i="27" s="1"/>
  <c r="CG59" i="32"/>
  <c r="L1579" i="27" s="1"/>
  <c r="CG60" i="32"/>
  <c r="L1580" i="27" s="1"/>
  <c r="CG61" i="32"/>
  <c r="L1581" i="27" s="1"/>
  <c r="CG62" i="32"/>
  <c r="L1582" i="27" s="1"/>
  <c r="CG63" i="32"/>
  <c r="L1583" i="27" s="1"/>
  <c r="CG64" i="32"/>
  <c r="L1584" i="27" s="1"/>
  <c r="CG65" i="32"/>
  <c r="L1585" i="27" s="1"/>
  <c r="CG66" i="32"/>
  <c r="L1586" i="27" s="1"/>
  <c r="CG67" i="32"/>
  <c r="L1587" i="27" s="1"/>
  <c r="CG68" i="32"/>
  <c r="L1588" i="27" s="1"/>
  <c r="CG69" i="32"/>
  <c r="L1589" i="27" s="1"/>
  <c r="CG70" i="32"/>
  <c r="L1590" i="27" s="1"/>
  <c r="CG71" i="32"/>
  <c r="L1591" i="27" s="1"/>
  <c r="CG72" i="32"/>
  <c r="L1592" i="27" s="1"/>
  <c r="CG73" i="32"/>
  <c r="L1593" i="27" s="1"/>
  <c r="CG74" i="32"/>
  <c r="L1594" i="27" s="1"/>
  <c r="CG75" i="32"/>
  <c r="L1595" i="27" s="1"/>
  <c r="CG76" i="32"/>
  <c r="L1596" i="27" s="1"/>
  <c r="CG77" i="32"/>
  <c r="L1597" i="27" s="1"/>
  <c r="CG78" i="32"/>
  <c r="L1598" i="27" s="1"/>
  <c r="CG79" i="32"/>
  <c r="L1599" i="27" s="1"/>
  <c r="CG80" i="32"/>
  <c r="L1600" i="27" s="1"/>
  <c r="CG81" i="32"/>
  <c r="L1601" i="27" s="1"/>
  <c r="CG82" i="32"/>
  <c r="L1602" i="27" s="1"/>
  <c r="CG83" i="32"/>
  <c r="L1603" i="27" s="1"/>
  <c r="CG84" i="32"/>
  <c r="L1604" i="27" s="1"/>
  <c r="CG85" i="32"/>
  <c r="L1605" i="27" s="1"/>
  <c r="CG86" i="32"/>
  <c r="L1606" i="27" s="1"/>
  <c r="CG87" i="32"/>
  <c r="L1607" i="27" s="1"/>
  <c r="CG88" i="32"/>
  <c r="L1608" i="27" s="1"/>
  <c r="CG89" i="32"/>
  <c r="L1609" i="27" s="1"/>
  <c r="CG90" i="32"/>
  <c r="L1610" i="27" s="1"/>
  <c r="CG91" i="32"/>
  <c r="L1611" i="27" s="1"/>
  <c r="CG92" i="32"/>
  <c r="L1612" i="27" s="1"/>
  <c r="CG93" i="32"/>
  <c r="L1613" i="27" s="1"/>
  <c r="CG94" i="32"/>
  <c r="L1614" i="27" s="1"/>
  <c r="CG95" i="32"/>
  <c r="L1615" i="27" s="1"/>
  <c r="CG96" i="32"/>
  <c r="L1616" i="27" s="1"/>
  <c r="CG97" i="32"/>
  <c r="L1617" i="27" s="1"/>
  <c r="CG98" i="32"/>
  <c r="L1618" i="27" s="1"/>
  <c r="CG99" i="32"/>
  <c r="L1619" i="27" s="1"/>
  <c r="CG100" i="32"/>
  <c r="L1620" i="27" s="1"/>
  <c r="CG101" i="32"/>
  <c r="L1621" i="27" s="1"/>
  <c r="CG102" i="32"/>
  <c r="L1622" i="27" s="1"/>
  <c r="CG103" i="32"/>
  <c r="L1623" i="27" s="1"/>
  <c r="CG104" i="32"/>
  <c r="L1624" i="27" s="1"/>
  <c r="CG105" i="32"/>
  <c r="L1625" i="27" s="1"/>
  <c r="CG106" i="32"/>
  <c r="L1626" i="27" s="1"/>
  <c r="CG107" i="32"/>
  <c r="L1627" i="27" s="1"/>
  <c r="CG108" i="32"/>
  <c r="L1628" i="27" s="1"/>
  <c r="CG109" i="32"/>
  <c r="L1629" i="27" s="1"/>
  <c r="CG110" i="32"/>
  <c r="L1630" i="27" s="1"/>
  <c r="CG111" i="32"/>
  <c r="L1631" i="27" s="1"/>
  <c r="CG112" i="32"/>
  <c r="L1632" i="27" s="1"/>
  <c r="CG113" i="32"/>
  <c r="L1633" i="27" s="1"/>
  <c r="CG114" i="32"/>
  <c r="L1634" i="27" s="1"/>
  <c r="CG115" i="32"/>
  <c r="L1635" i="27" s="1"/>
  <c r="CG116" i="32"/>
  <c r="L1636" i="27" s="1"/>
  <c r="CG117" i="32"/>
  <c r="L1637" i="27" s="1"/>
  <c r="CG118" i="32"/>
  <c r="L1638" i="27" s="1"/>
  <c r="CG119" i="32"/>
  <c r="L1639" i="27" s="1"/>
  <c r="CG120" i="32"/>
  <c r="L1640" i="27" s="1"/>
  <c r="CG121" i="32"/>
  <c r="L1641" i="27" s="1"/>
  <c r="CG122" i="32"/>
  <c r="L1642" i="27" s="1"/>
  <c r="CG123" i="32"/>
  <c r="L1643" i="27" s="1"/>
  <c r="CG124" i="32"/>
  <c r="L1644" i="27" s="1"/>
  <c r="CG125" i="32"/>
  <c r="L1645" i="27" s="1"/>
  <c r="CG126" i="32"/>
  <c r="L1646" i="27" s="1"/>
  <c r="CG127" i="32"/>
  <c r="L1647" i="27" s="1"/>
  <c r="CG128" i="32"/>
  <c r="L1648" i="27" s="1"/>
  <c r="CG129" i="32"/>
  <c r="L1649" i="27" s="1"/>
  <c r="CG130" i="32"/>
  <c r="L1650" i="27" s="1"/>
  <c r="CG131" i="32"/>
  <c r="L1651" i="27" s="1"/>
  <c r="CG132" i="32"/>
  <c r="L1652" i="27" s="1"/>
  <c r="CG133" i="32"/>
  <c r="L1653" i="27" s="1"/>
  <c r="CG134" i="32"/>
  <c r="L1654" i="27" s="1"/>
  <c r="CG135" i="32"/>
  <c r="L1655" i="27" s="1"/>
  <c r="CG136" i="32"/>
  <c r="L1656" i="27" s="1"/>
  <c r="CG137" i="32"/>
  <c r="L1657" i="27" s="1"/>
  <c r="CG138" i="32"/>
  <c r="L1658" i="27" s="1"/>
  <c r="CG139" i="32"/>
  <c r="L1659" i="27" s="1"/>
  <c r="CG140" i="32"/>
  <c r="L1660" i="27" s="1"/>
  <c r="CG141" i="32"/>
  <c r="L1661" i="27" s="1"/>
  <c r="CG142" i="32"/>
  <c r="L1662" i="27" s="1"/>
  <c r="CG143" i="32"/>
  <c r="L1663" i="27" s="1"/>
  <c r="CG144" i="32"/>
  <c r="L1664" i="27" s="1"/>
  <c r="CG145" i="32"/>
  <c r="L1665" i="27" s="1"/>
  <c r="CG146" i="32"/>
  <c r="L1666" i="27" s="1"/>
  <c r="CG147" i="32"/>
  <c r="L1667" i="27" s="1"/>
  <c r="CG148" i="32"/>
  <c r="L1668" i="27" s="1"/>
  <c r="CG149" i="32"/>
  <c r="L1669" i="27" s="1"/>
  <c r="CG150" i="32"/>
  <c r="L1670" i="27" s="1"/>
  <c r="CF2" i="32"/>
  <c r="K1522" i="27" s="1"/>
  <c r="CF3" i="32"/>
  <c r="K1523" i="27" s="1"/>
  <c r="CF4" i="32"/>
  <c r="K1524" i="27" s="1"/>
  <c r="CF5" i="32"/>
  <c r="K1525" i="27" s="1"/>
  <c r="CF6" i="32"/>
  <c r="K1526" i="27" s="1"/>
  <c r="CF7" i="32"/>
  <c r="K1527" i="27" s="1"/>
  <c r="CF8" i="32"/>
  <c r="K1528" i="27" s="1"/>
  <c r="CF9" i="32"/>
  <c r="K1529" i="27" s="1"/>
  <c r="CF10" i="32"/>
  <c r="K1530" i="27" s="1"/>
  <c r="CF11" i="32"/>
  <c r="K1531" i="27" s="1"/>
  <c r="CF12" i="32"/>
  <c r="K1532" i="27" s="1"/>
  <c r="CF13" i="32"/>
  <c r="K1533" i="27" s="1"/>
  <c r="CF14" i="32"/>
  <c r="K1534" i="27" s="1"/>
  <c r="CF15" i="32"/>
  <c r="K1535" i="27" s="1"/>
  <c r="CF16" i="32"/>
  <c r="K1536" i="27" s="1"/>
  <c r="CF17" i="32"/>
  <c r="K1537" i="27" s="1"/>
  <c r="CF18" i="32"/>
  <c r="K1538" i="27" s="1"/>
  <c r="CF19" i="32"/>
  <c r="K1539" i="27" s="1"/>
  <c r="CF20" i="32"/>
  <c r="K1540" i="27" s="1"/>
  <c r="CF21" i="32"/>
  <c r="K1541" i="27" s="1"/>
  <c r="CF22" i="32"/>
  <c r="K1542" i="27" s="1"/>
  <c r="CF23" i="32"/>
  <c r="K1543" i="27" s="1"/>
  <c r="CF24" i="32"/>
  <c r="K1544" i="27" s="1"/>
  <c r="CF25" i="32"/>
  <c r="K1545" i="27" s="1"/>
  <c r="CF26" i="32"/>
  <c r="K1546" i="27" s="1"/>
  <c r="CF27" i="32"/>
  <c r="K1547" i="27" s="1"/>
  <c r="CF28" i="32"/>
  <c r="K1548" i="27" s="1"/>
  <c r="CF29" i="32"/>
  <c r="K1549" i="27" s="1"/>
  <c r="CF30" i="32"/>
  <c r="K1550" i="27" s="1"/>
  <c r="CF31" i="32"/>
  <c r="K1551" i="27" s="1"/>
  <c r="CF32" i="32"/>
  <c r="K1552" i="27" s="1"/>
  <c r="CF33" i="32"/>
  <c r="K1553" i="27" s="1"/>
  <c r="CF34" i="32"/>
  <c r="K1554" i="27" s="1"/>
  <c r="CF35" i="32"/>
  <c r="K1555" i="27" s="1"/>
  <c r="CF36" i="32"/>
  <c r="K1556" i="27" s="1"/>
  <c r="CF37" i="32"/>
  <c r="K1557" i="27" s="1"/>
  <c r="CF38" i="32"/>
  <c r="K1558" i="27" s="1"/>
  <c r="CF39" i="32"/>
  <c r="K1559" i="27" s="1"/>
  <c r="CF40" i="32"/>
  <c r="K1560" i="27" s="1"/>
  <c r="CF41" i="32"/>
  <c r="K1561" i="27" s="1"/>
  <c r="CF42" i="32"/>
  <c r="K1562" i="27" s="1"/>
  <c r="CF43" i="32"/>
  <c r="K1563" i="27" s="1"/>
  <c r="CF44" i="32"/>
  <c r="K1564" i="27" s="1"/>
  <c r="CF45" i="32"/>
  <c r="K1565" i="27" s="1"/>
  <c r="CF46" i="32"/>
  <c r="K1566" i="27" s="1"/>
  <c r="CF47" i="32"/>
  <c r="K1567" i="27" s="1"/>
  <c r="CF48" i="32"/>
  <c r="K1568" i="27" s="1"/>
  <c r="CF49" i="32"/>
  <c r="K1569" i="27" s="1"/>
  <c r="CF50" i="32"/>
  <c r="K1570" i="27" s="1"/>
  <c r="CF51" i="32"/>
  <c r="K1571" i="27" s="1"/>
  <c r="CF52" i="32"/>
  <c r="K1572" i="27" s="1"/>
  <c r="CF53" i="32"/>
  <c r="K1573" i="27" s="1"/>
  <c r="CF54" i="32"/>
  <c r="K1574" i="27" s="1"/>
  <c r="CF55" i="32"/>
  <c r="K1575" i="27" s="1"/>
  <c r="CF56" i="32"/>
  <c r="K1576" i="27" s="1"/>
  <c r="CF57" i="32"/>
  <c r="K1577" i="27" s="1"/>
  <c r="CF58" i="32"/>
  <c r="K1578" i="27" s="1"/>
  <c r="CF59" i="32"/>
  <c r="K1579" i="27" s="1"/>
  <c r="CF60" i="32"/>
  <c r="K1580" i="27" s="1"/>
  <c r="CF61" i="32"/>
  <c r="K1581" i="27" s="1"/>
  <c r="CF62" i="32"/>
  <c r="K1582" i="27" s="1"/>
  <c r="CF63" i="32"/>
  <c r="K1583" i="27" s="1"/>
  <c r="CF64" i="32"/>
  <c r="K1584" i="27" s="1"/>
  <c r="CF65" i="32"/>
  <c r="K1585" i="27" s="1"/>
  <c r="CF66" i="32"/>
  <c r="K1586" i="27" s="1"/>
  <c r="CF67" i="32"/>
  <c r="K1587" i="27" s="1"/>
  <c r="CF68" i="32"/>
  <c r="K1588" i="27" s="1"/>
  <c r="CF69" i="32"/>
  <c r="K1589" i="27" s="1"/>
  <c r="CF70" i="32"/>
  <c r="K1590" i="27" s="1"/>
  <c r="CF71" i="32"/>
  <c r="K1591" i="27" s="1"/>
  <c r="CF72" i="32"/>
  <c r="K1592" i="27" s="1"/>
  <c r="CF73" i="32"/>
  <c r="K1593" i="27" s="1"/>
  <c r="CF74" i="32"/>
  <c r="K1594" i="27" s="1"/>
  <c r="CF75" i="32"/>
  <c r="K1595" i="27" s="1"/>
  <c r="CF76" i="32"/>
  <c r="K1596" i="27" s="1"/>
  <c r="CF77" i="32"/>
  <c r="K1597" i="27" s="1"/>
  <c r="CF78" i="32"/>
  <c r="K1598" i="27" s="1"/>
  <c r="CF79" i="32"/>
  <c r="K1599" i="27" s="1"/>
  <c r="CF80" i="32"/>
  <c r="K1600" i="27" s="1"/>
  <c r="CF81" i="32"/>
  <c r="K1601" i="27" s="1"/>
  <c r="CF82" i="32"/>
  <c r="K1602" i="27" s="1"/>
  <c r="CF83" i="32"/>
  <c r="K1603" i="27" s="1"/>
  <c r="CF84" i="32"/>
  <c r="K1604" i="27" s="1"/>
  <c r="CF85" i="32"/>
  <c r="K1605" i="27" s="1"/>
  <c r="CF86" i="32"/>
  <c r="K1606" i="27" s="1"/>
  <c r="CF87" i="32"/>
  <c r="K1607" i="27" s="1"/>
  <c r="CF88" i="32"/>
  <c r="K1608" i="27" s="1"/>
  <c r="CF89" i="32"/>
  <c r="K1609" i="27" s="1"/>
  <c r="CF90" i="32"/>
  <c r="K1610" i="27" s="1"/>
  <c r="CF91" i="32"/>
  <c r="K1611" i="27" s="1"/>
  <c r="CF92" i="32"/>
  <c r="K1612" i="27" s="1"/>
  <c r="CF93" i="32"/>
  <c r="K1613" i="27" s="1"/>
  <c r="CF94" i="32"/>
  <c r="K1614" i="27" s="1"/>
  <c r="CF95" i="32"/>
  <c r="K1615" i="27" s="1"/>
  <c r="CF96" i="32"/>
  <c r="K1616" i="27" s="1"/>
  <c r="CF97" i="32"/>
  <c r="K1617" i="27" s="1"/>
  <c r="CF98" i="32"/>
  <c r="K1618" i="27" s="1"/>
  <c r="CF99" i="32"/>
  <c r="K1619" i="27" s="1"/>
  <c r="CF100" i="32"/>
  <c r="K1620" i="27" s="1"/>
  <c r="CF101" i="32"/>
  <c r="K1621" i="27" s="1"/>
  <c r="CF102" i="32"/>
  <c r="K1622" i="27" s="1"/>
  <c r="CF103" i="32"/>
  <c r="K1623" i="27" s="1"/>
  <c r="CF104" i="32"/>
  <c r="K1624" i="27" s="1"/>
  <c r="CF105" i="32"/>
  <c r="K1625" i="27" s="1"/>
  <c r="CF106" i="32"/>
  <c r="K1626" i="27" s="1"/>
  <c r="CF107" i="32"/>
  <c r="K1627" i="27" s="1"/>
  <c r="CF108" i="32"/>
  <c r="K1628" i="27" s="1"/>
  <c r="CF109" i="32"/>
  <c r="K1629" i="27" s="1"/>
  <c r="CF110" i="32"/>
  <c r="K1630" i="27" s="1"/>
  <c r="CF111" i="32"/>
  <c r="K1631" i="27" s="1"/>
  <c r="CF112" i="32"/>
  <c r="K1632" i="27" s="1"/>
  <c r="CF113" i="32"/>
  <c r="K1633" i="27" s="1"/>
  <c r="CF114" i="32"/>
  <c r="K1634" i="27" s="1"/>
  <c r="CF115" i="32"/>
  <c r="K1635" i="27" s="1"/>
  <c r="CF116" i="32"/>
  <c r="K1636" i="27" s="1"/>
  <c r="CF117" i="32"/>
  <c r="K1637" i="27" s="1"/>
  <c r="CF118" i="32"/>
  <c r="K1638" i="27" s="1"/>
  <c r="CF119" i="32"/>
  <c r="K1639" i="27" s="1"/>
  <c r="CF120" i="32"/>
  <c r="K1640" i="27" s="1"/>
  <c r="CF121" i="32"/>
  <c r="K1641" i="27" s="1"/>
  <c r="CF122" i="32"/>
  <c r="K1642" i="27" s="1"/>
  <c r="CF123" i="32"/>
  <c r="K1643" i="27" s="1"/>
  <c r="CF124" i="32"/>
  <c r="K1644" i="27" s="1"/>
  <c r="CF125" i="32"/>
  <c r="K1645" i="27" s="1"/>
  <c r="CF126" i="32"/>
  <c r="K1646" i="27" s="1"/>
  <c r="CF127" i="32"/>
  <c r="K1647" i="27" s="1"/>
  <c r="CF128" i="32"/>
  <c r="K1648" i="27" s="1"/>
  <c r="CF129" i="32"/>
  <c r="K1649" i="27" s="1"/>
  <c r="CF130" i="32"/>
  <c r="K1650" i="27" s="1"/>
  <c r="CF131" i="32"/>
  <c r="K1651" i="27" s="1"/>
  <c r="CF132" i="32"/>
  <c r="K1652" i="27" s="1"/>
  <c r="CF133" i="32"/>
  <c r="K1653" i="27" s="1"/>
  <c r="CF134" i="32"/>
  <c r="K1654" i="27" s="1"/>
  <c r="CF135" i="32"/>
  <c r="K1655" i="27" s="1"/>
  <c r="CF136" i="32"/>
  <c r="K1656" i="27" s="1"/>
  <c r="CF137" i="32"/>
  <c r="K1657" i="27" s="1"/>
  <c r="CF138" i="32"/>
  <c r="K1658" i="27" s="1"/>
  <c r="CF139" i="32"/>
  <c r="K1659" i="27" s="1"/>
  <c r="CF140" i="32"/>
  <c r="K1660" i="27" s="1"/>
  <c r="CF141" i="32"/>
  <c r="K1661" i="27" s="1"/>
  <c r="CF142" i="32"/>
  <c r="K1662" i="27" s="1"/>
  <c r="CF143" i="32"/>
  <c r="K1663" i="27" s="1"/>
  <c r="CF144" i="32"/>
  <c r="K1664" i="27" s="1"/>
  <c r="CF145" i="32"/>
  <c r="K1665" i="27" s="1"/>
  <c r="CF146" i="32"/>
  <c r="K1666" i="27" s="1"/>
  <c r="CF147" i="32"/>
  <c r="K1667" i="27" s="1"/>
  <c r="CF148" i="32"/>
  <c r="K1668" i="27" s="1"/>
  <c r="CF149" i="32"/>
  <c r="K1669" i="27" s="1"/>
  <c r="CF150" i="32"/>
  <c r="K1670" i="27" s="1"/>
  <c r="CE2" i="32"/>
  <c r="J1522" i="27" s="1"/>
  <c r="CE3" i="32"/>
  <c r="J1523" i="27" s="1"/>
  <c r="CE4" i="32"/>
  <c r="J1524" i="27" s="1"/>
  <c r="CE5" i="32"/>
  <c r="J1525" i="27" s="1"/>
  <c r="CE6" i="32"/>
  <c r="J1526" i="27" s="1"/>
  <c r="CE7" i="32"/>
  <c r="J1527" i="27" s="1"/>
  <c r="CE8" i="32"/>
  <c r="J1528" i="27" s="1"/>
  <c r="CE9" i="32"/>
  <c r="J1529" i="27" s="1"/>
  <c r="CE10" i="32"/>
  <c r="J1530" i="27" s="1"/>
  <c r="CE11" i="32"/>
  <c r="J1531" i="27" s="1"/>
  <c r="CE12" i="32"/>
  <c r="J1532" i="27" s="1"/>
  <c r="CE13" i="32"/>
  <c r="J1533" i="27" s="1"/>
  <c r="CE14" i="32"/>
  <c r="J1534" i="27" s="1"/>
  <c r="CE15" i="32"/>
  <c r="J1535" i="27" s="1"/>
  <c r="CE16" i="32"/>
  <c r="J1536" i="27" s="1"/>
  <c r="CE17" i="32"/>
  <c r="J1537" i="27" s="1"/>
  <c r="CE18" i="32"/>
  <c r="J1538" i="27" s="1"/>
  <c r="CE19" i="32"/>
  <c r="J1539" i="27" s="1"/>
  <c r="CE20" i="32"/>
  <c r="J1540" i="27" s="1"/>
  <c r="CE21" i="32"/>
  <c r="J1541" i="27" s="1"/>
  <c r="CE22" i="32"/>
  <c r="J1542" i="27" s="1"/>
  <c r="CE23" i="32"/>
  <c r="J1543" i="27" s="1"/>
  <c r="CE24" i="32"/>
  <c r="J1544" i="27" s="1"/>
  <c r="CE25" i="32"/>
  <c r="J1545" i="27" s="1"/>
  <c r="CE26" i="32"/>
  <c r="J1546" i="27" s="1"/>
  <c r="CE27" i="32"/>
  <c r="J1547" i="27" s="1"/>
  <c r="CE28" i="32"/>
  <c r="J1548" i="27" s="1"/>
  <c r="CE29" i="32"/>
  <c r="J1549" i="27" s="1"/>
  <c r="CE30" i="32"/>
  <c r="J1550" i="27" s="1"/>
  <c r="CE31" i="32"/>
  <c r="J1551" i="27" s="1"/>
  <c r="CE32" i="32"/>
  <c r="J1552" i="27" s="1"/>
  <c r="CE33" i="32"/>
  <c r="J1553" i="27" s="1"/>
  <c r="CE34" i="32"/>
  <c r="J1554" i="27" s="1"/>
  <c r="CE35" i="32"/>
  <c r="J1555" i="27" s="1"/>
  <c r="CE36" i="32"/>
  <c r="J1556" i="27" s="1"/>
  <c r="CE37" i="32"/>
  <c r="J1557" i="27" s="1"/>
  <c r="CE38" i="32"/>
  <c r="J1558" i="27" s="1"/>
  <c r="CE39" i="32"/>
  <c r="J1559" i="27" s="1"/>
  <c r="CE40" i="32"/>
  <c r="J1560" i="27" s="1"/>
  <c r="CE41" i="32"/>
  <c r="J1561" i="27" s="1"/>
  <c r="CE42" i="32"/>
  <c r="J1562" i="27" s="1"/>
  <c r="CE43" i="32"/>
  <c r="J1563" i="27" s="1"/>
  <c r="CE44" i="32"/>
  <c r="J1564" i="27" s="1"/>
  <c r="CE45" i="32"/>
  <c r="J1565" i="27" s="1"/>
  <c r="CE46" i="32"/>
  <c r="J1566" i="27" s="1"/>
  <c r="CE47" i="32"/>
  <c r="J1567" i="27" s="1"/>
  <c r="CE48" i="32"/>
  <c r="J1568" i="27" s="1"/>
  <c r="CE49" i="32"/>
  <c r="J1569" i="27" s="1"/>
  <c r="CE50" i="32"/>
  <c r="J1570" i="27" s="1"/>
  <c r="CE51" i="32"/>
  <c r="J1571" i="27" s="1"/>
  <c r="CE52" i="32"/>
  <c r="J1572" i="27" s="1"/>
  <c r="CE53" i="32"/>
  <c r="J1573" i="27" s="1"/>
  <c r="CE54" i="32"/>
  <c r="J1574" i="27" s="1"/>
  <c r="CE55" i="32"/>
  <c r="J1575" i="27" s="1"/>
  <c r="CE56" i="32"/>
  <c r="J1576" i="27" s="1"/>
  <c r="CE57" i="32"/>
  <c r="J1577" i="27" s="1"/>
  <c r="CE58" i="32"/>
  <c r="J1578" i="27" s="1"/>
  <c r="CE59" i="32"/>
  <c r="J1579" i="27" s="1"/>
  <c r="CE60" i="32"/>
  <c r="J1580" i="27" s="1"/>
  <c r="CE61" i="32"/>
  <c r="J1581" i="27" s="1"/>
  <c r="CE62" i="32"/>
  <c r="J1582" i="27" s="1"/>
  <c r="CE63" i="32"/>
  <c r="J1583" i="27" s="1"/>
  <c r="CE64" i="32"/>
  <c r="J1584" i="27" s="1"/>
  <c r="CE65" i="32"/>
  <c r="J1585" i="27" s="1"/>
  <c r="CE66" i="32"/>
  <c r="J1586" i="27" s="1"/>
  <c r="CE67" i="32"/>
  <c r="J1587" i="27" s="1"/>
  <c r="CE68" i="32"/>
  <c r="J1588" i="27" s="1"/>
  <c r="CE69" i="32"/>
  <c r="J1589" i="27" s="1"/>
  <c r="CE70" i="32"/>
  <c r="J1590" i="27" s="1"/>
  <c r="CE71" i="32"/>
  <c r="J1591" i="27" s="1"/>
  <c r="CE72" i="32"/>
  <c r="J1592" i="27" s="1"/>
  <c r="CE73" i="32"/>
  <c r="J1593" i="27" s="1"/>
  <c r="CE74" i="32"/>
  <c r="J1594" i="27" s="1"/>
  <c r="CE75" i="32"/>
  <c r="J1595" i="27" s="1"/>
  <c r="CE76" i="32"/>
  <c r="J1596" i="27" s="1"/>
  <c r="CE77" i="32"/>
  <c r="J1597" i="27" s="1"/>
  <c r="CE78" i="32"/>
  <c r="J1598" i="27" s="1"/>
  <c r="CE79" i="32"/>
  <c r="J1599" i="27" s="1"/>
  <c r="CE80" i="32"/>
  <c r="J1600" i="27" s="1"/>
  <c r="CE81" i="32"/>
  <c r="J1601" i="27" s="1"/>
  <c r="CE82" i="32"/>
  <c r="J1602" i="27" s="1"/>
  <c r="CE83" i="32"/>
  <c r="J1603" i="27" s="1"/>
  <c r="CE84" i="32"/>
  <c r="J1604" i="27" s="1"/>
  <c r="CE85" i="32"/>
  <c r="J1605" i="27" s="1"/>
  <c r="CE86" i="32"/>
  <c r="J1606" i="27" s="1"/>
  <c r="CE87" i="32"/>
  <c r="J1607" i="27" s="1"/>
  <c r="CE88" i="32"/>
  <c r="J1608" i="27" s="1"/>
  <c r="CE89" i="32"/>
  <c r="J1609" i="27" s="1"/>
  <c r="CE90" i="32"/>
  <c r="J1610" i="27" s="1"/>
  <c r="CE91" i="32"/>
  <c r="J1611" i="27" s="1"/>
  <c r="CE92" i="32"/>
  <c r="J1612" i="27" s="1"/>
  <c r="CE93" i="32"/>
  <c r="J1613" i="27" s="1"/>
  <c r="CE94" i="32"/>
  <c r="J1614" i="27" s="1"/>
  <c r="CE95" i="32"/>
  <c r="J1615" i="27" s="1"/>
  <c r="CE96" i="32"/>
  <c r="J1616" i="27" s="1"/>
  <c r="CE97" i="32"/>
  <c r="J1617" i="27" s="1"/>
  <c r="CE98" i="32"/>
  <c r="J1618" i="27" s="1"/>
  <c r="CE99" i="32"/>
  <c r="J1619" i="27" s="1"/>
  <c r="CE100" i="32"/>
  <c r="J1620" i="27" s="1"/>
  <c r="CE101" i="32"/>
  <c r="J1621" i="27" s="1"/>
  <c r="CE102" i="32"/>
  <c r="J1622" i="27" s="1"/>
  <c r="CE103" i="32"/>
  <c r="J1623" i="27" s="1"/>
  <c r="CE104" i="32"/>
  <c r="J1624" i="27" s="1"/>
  <c r="CE105" i="32"/>
  <c r="J1625" i="27" s="1"/>
  <c r="CE106" i="32"/>
  <c r="J1626" i="27" s="1"/>
  <c r="CE107" i="32"/>
  <c r="J1627" i="27" s="1"/>
  <c r="CE108" i="32"/>
  <c r="J1628" i="27" s="1"/>
  <c r="CE109" i="32"/>
  <c r="J1629" i="27" s="1"/>
  <c r="CE110" i="32"/>
  <c r="J1630" i="27" s="1"/>
  <c r="CE111" i="32"/>
  <c r="J1631" i="27" s="1"/>
  <c r="CE112" i="32"/>
  <c r="J1632" i="27" s="1"/>
  <c r="CE113" i="32"/>
  <c r="J1633" i="27" s="1"/>
  <c r="CE114" i="32"/>
  <c r="J1634" i="27" s="1"/>
  <c r="CE115" i="32"/>
  <c r="J1635" i="27" s="1"/>
  <c r="CE116" i="32"/>
  <c r="J1636" i="27" s="1"/>
  <c r="CE117" i="32"/>
  <c r="J1637" i="27" s="1"/>
  <c r="CE118" i="32"/>
  <c r="J1638" i="27" s="1"/>
  <c r="CE119" i="32"/>
  <c r="J1639" i="27" s="1"/>
  <c r="CE120" i="32"/>
  <c r="J1640" i="27" s="1"/>
  <c r="CE121" i="32"/>
  <c r="J1641" i="27" s="1"/>
  <c r="CE122" i="32"/>
  <c r="J1642" i="27" s="1"/>
  <c r="CE123" i="32"/>
  <c r="J1643" i="27" s="1"/>
  <c r="CE124" i="32"/>
  <c r="J1644" i="27" s="1"/>
  <c r="CE125" i="32"/>
  <c r="J1645" i="27" s="1"/>
  <c r="CE126" i="32"/>
  <c r="J1646" i="27" s="1"/>
  <c r="CE127" i="32"/>
  <c r="J1647" i="27" s="1"/>
  <c r="CE128" i="32"/>
  <c r="J1648" i="27" s="1"/>
  <c r="CE129" i="32"/>
  <c r="J1649" i="27" s="1"/>
  <c r="CE130" i="32"/>
  <c r="J1650" i="27" s="1"/>
  <c r="CE131" i="32"/>
  <c r="J1651" i="27" s="1"/>
  <c r="CE132" i="32"/>
  <c r="J1652" i="27" s="1"/>
  <c r="CE133" i="32"/>
  <c r="J1653" i="27" s="1"/>
  <c r="CE134" i="32"/>
  <c r="J1654" i="27" s="1"/>
  <c r="CE135" i="32"/>
  <c r="J1655" i="27" s="1"/>
  <c r="CE136" i="32"/>
  <c r="J1656" i="27" s="1"/>
  <c r="CE137" i="32"/>
  <c r="J1657" i="27" s="1"/>
  <c r="CE138" i="32"/>
  <c r="J1658" i="27" s="1"/>
  <c r="CE139" i="32"/>
  <c r="J1659" i="27" s="1"/>
  <c r="CE140" i="32"/>
  <c r="J1660" i="27" s="1"/>
  <c r="CE141" i="32"/>
  <c r="J1661" i="27" s="1"/>
  <c r="CE142" i="32"/>
  <c r="J1662" i="27" s="1"/>
  <c r="CE143" i="32"/>
  <c r="J1663" i="27" s="1"/>
  <c r="CE144" i="32"/>
  <c r="J1664" i="27" s="1"/>
  <c r="CE145" i="32"/>
  <c r="J1665" i="27" s="1"/>
  <c r="CE146" i="32"/>
  <c r="J1666" i="27" s="1"/>
  <c r="CE147" i="32"/>
  <c r="J1667" i="27" s="1"/>
  <c r="CE148" i="32"/>
  <c r="J1668" i="27" s="1"/>
  <c r="CE149" i="32"/>
  <c r="J1669" i="27" s="1"/>
  <c r="CE150" i="32"/>
  <c r="J1670" i="27" s="1"/>
  <c r="CF3" i="2"/>
  <c r="J3" i="27" s="1"/>
  <c r="CF4" i="2"/>
  <c r="J4" i="27" s="1"/>
  <c r="CF5" i="2"/>
  <c r="J5" i="27" s="1"/>
  <c r="CF6" i="2"/>
  <c r="J6" i="27" s="1"/>
  <c r="CF7" i="2"/>
  <c r="J7" i="27" s="1"/>
  <c r="CF8" i="2"/>
  <c r="J8" i="27" s="1"/>
  <c r="CF9" i="2"/>
  <c r="J9" i="27" s="1"/>
  <c r="CF10" i="2"/>
  <c r="J10" i="27" s="1"/>
  <c r="CF11" i="2"/>
  <c r="J11" i="27" s="1"/>
  <c r="CF12" i="2"/>
  <c r="J12" i="27" s="1"/>
  <c r="CF13" i="2"/>
  <c r="J13" i="27" s="1"/>
  <c r="CF14" i="2"/>
  <c r="J14" i="27" s="1"/>
  <c r="CF15" i="2"/>
  <c r="J15" i="27" s="1"/>
  <c r="CF16" i="2"/>
  <c r="J16" i="27" s="1"/>
  <c r="CF17" i="2"/>
  <c r="J17" i="27" s="1"/>
  <c r="CF18" i="2"/>
  <c r="J18" i="27" s="1"/>
  <c r="CF19" i="2"/>
  <c r="J19" i="27" s="1"/>
  <c r="CF20" i="2"/>
  <c r="J20" i="27" s="1"/>
  <c r="CF21" i="2"/>
  <c r="J21" i="27" s="1"/>
  <c r="CF22" i="2"/>
  <c r="J22" i="27" s="1"/>
  <c r="CF23" i="2"/>
  <c r="J23" i="27" s="1"/>
  <c r="CF24" i="2"/>
  <c r="J24" i="27" s="1"/>
  <c r="CF25" i="2"/>
  <c r="J25" i="27" s="1"/>
  <c r="CF26" i="2"/>
  <c r="J26" i="27" s="1"/>
  <c r="CF27" i="2"/>
  <c r="J27" i="27" s="1"/>
  <c r="CF28" i="2"/>
  <c r="J28" i="27" s="1"/>
  <c r="CF29" i="2"/>
  <c r="J29" i="27" s="1"/>
  <c r="CF30" i="2"/>
  <c r="J30" i="27" s="1"/>
  <c r="CF31" i="2"/>
  <c r="J31" i="27" s="1"/>
  <c r="CF32" i="2"/>
  <c r="J32" i="27" s="1"/>
  <c r="CF33" i="2"/>
  <c r="J33" i="27" s="1"/>
  <c r="J34" i="27"/>
  <c r="CF35" i="2"/>
  <c r="J35" i="27" s="1"/>
  <c r="CF36" i="2"/>
  <c r="J36" i="27" s="1"/>
  <c r="CF37" i="2"/>
  <c r="J37" i="27" s="1"/>
  <c r="CF38" i="2"/>
  <c r="J38" i="27" s="1"/>
  <c r="CF39" i="2"/>
  <c r="J39" i="27" s="1"/>
  <c r="CF40" i="2"/>
  <c r="J40" i="27" s="1"/>
  <c r="CF41" i="2"/>
  <c r="J41" i="27" s="1"/>
  <c r="CF2" i="2"/>
  <c r="J2" i="27" s="1"/>
  <c r="CE2" i="20"/>
  <c r="J1422" i="27" s="1"/>
  <c r="CE3" i="20"/>
  <c r="J1423" i="27" s="1"/>
  <c r="CE4" i="20"/>
  <c r="J1424" i="27" s="1"/>
  <c r="CE5" i="20"/>
  <c r="J1425" i="27" s="1"/>
  <c r="CE6" i="20"/>
  <c r="J1426" i="27" s="1"/>
  <c r="CE7" i="20"/>
  <c r="J1427" i="27" s="1"/>
  <c r="CE8" i="20"/>
  <c r="J1428" i="27" s="1"/>
  <c r="CE9" i="20"/>
  <c r="J1429" i="27" s="1"/>
  <c r="CE10" i="20"/>
  <c r="J1430" i="27" s="1"/>
  <c r="CE11" i="20"/>
  <c r="J1431" i="27" s="1"/>
  <c r="CE12" i="20"/>
  <c r="J1432" i="27" s="1"/>
  <c r="CE13" i="20"/>
  <c r="J1433" i="27" s="1"/>
  <c r="CE14" i="20"/>
  <c r="J1434" i="27" s="1"/>
  <c r="CE15" i="20"/>
  <c r="J1435" i="27" s="1"/>
  <c r="CE16" i="20"/>
  <c r="J1436" i="27" s="1"/>
  <c r="CE17" i="20"/>
  <c r="J1437" i="27" s="1"/>
  <c r="CE18" i="20"/>
  <c r="J1438" i="27" s="1"/>
  <c r="CE19" i="20"/>
  <c r="J1439" i="27" s="1"/>
  <c r="CE20" i="20"/>
  <c r="J1440" i="27" s="1"/>
  <c r="CE21" i="20"/>
  <c r="J1441" i="27" s="1"/>
  <c r="CE22" i="20"/>
  <c r="J1442" i="27" s="1"/>
  <c r="CE23" i="20"/>
  <c r="J1443" i="27" s="1"/>
  <c r="CE24" i="20"/>
  <c r="J1444" i="27" s="1"/>
  <c r="CE25" i="20"/>
  <c r="J1445" i="27" s="1"/>
  <c r="CE26" i="20"/>
  <c r="J1446" i="27" s="1"/>
  <c r="CE27" i="20"/>
  <c r="J1447" i="27" s="1"/>
  <c r="CE28" i="20"/>
  <c r="J1448" i="27" s="1"/>
  <c r="CE29" i="20"/>
  <c r="J1449" i="27" s="1"/>
  <c r="CE30" i="20"/>
  <c r="J1450" i="27" s="1"/>
  <c r="CE31" i="20"/>
  <c r="J1451" i="27" s="1"/>
  <c r="CE32" i="20"/>
  <c r="J1452" i="27" s="1"/>
  <c r="CE33" i="20"/>
  <c r="J1453" i="27" s="1"/>
  <c r="CE34" i="20"/>
  <c r="J1454" i="27" s="1"/>
  <c r="CE35" i="20"/>
  <c r="J1455" i="27" s="1"/>
  <c r="CE36" i="20"/>
  <c r="J1456" i="27" s="1"/>
  <c r="CE37" i="20"/>
  <c r="J1457" i="27" s="1"/>
  <c r="CE38" i="20"/>
  <c r="J1458" i="27" s="1"/>
  <c r="CE39" i="20"/>
  <c r="J1459" i="27" s="1"/>
  <c r="CE40" i="20"/>
  <c r="J1460" i="27" s="1"/>
  <c r="CE41" i="20"/>
  <c r="J1461" i="27" s="1"/>
  <c r="CE42" i="20"/>
  <c r="J1462" i="27" s="1"/>
  <c r="CE43" i="20"/>
  <c r="J1463" i="27" s="1"/>
  <c r="CE44" i="20"/>
  <c r="J1464" i="27" s="1"/>
  <c r="CE45" i="20"/>
  <c r="J1465" i="27" s="1"/>
  <c r="CE46" i="20"/>
  <c r="J1466" i="27" s="1"/>
  <c r="CE47" i="20"/>
  <c r="J1467" i="27" s="1"/>
  <c r="CE48" i="20"/>
  <c r="J1468" i="27" s="1"/>
  <c r="CE49" i="20"/>
  <c r="J1469" i="27" s="1"/>
  <c r="CE50" i="20"/>
  <c r="J1470" i="27" s="1"/>
  <c r="CE51" i="20"/>
  <c r="J1471" i="27" s="1"/>
  <c r="CE52" i="20"/>
  <c r="J1472" i="27" s="1"/>
  <c r="CE53" i="20"/>
  <c r="J1473" i="27" s="1"/>
  <c r="CE54" i="20"/>
  <c r="J1474" i="27" s="1"/>
  <c r="CE55" i="20"/>
  <c r="J1475" i="27" s="1"/>
  <c r="CE56" i="20"/>
  <c r="J1476" i="27" s="1"/>
  <c r="CE57" i="20"/>
  <c r="J1477" i="27" s="1"/>
  <c r="CE58" i="20"/>
  <c r="J1478" i="27" s="1"/>
  <c r="CE59" i="20"/>
  <c r="J1479" i="27" s="1"/>
  <c r="CE60" i="20"/>
  <c r="J1480" i="27" s="1"/>
  <c r="CE61" i="20"/>
  <c r="J1481" i="27" s="1"/>
  <c r="CE62" i="20"/>
  <c r="J1482" i="27" s="1"/>
  <c r="CE63" i="20"/>
  <c r="J1483" i="27" s="1"/>
  <c r="CE64" i="20"/>
  <c r="J1484" i="27" s="1"/>
  <c r="CE65" i="20"/>
  <c r="J1485" i="27" s="1"/>
  <c r="CE66" i="20"/>
  <c r="J1486" i="27" s="1"/>
  <c r="CE67" i="20"/>
  <c r="J1487" i="27" s="1"/>
  <c r="CE68" i="20"/>
  <c r="J1488" i="27" s="1"/>
  <c r="CE69" i="20"/>
  <c r="J1489" i="27" s="1"/>
  <c r="CE70" i="20"/>
  <c r="J1490" i="27" s="1"/>
  <c r="CE71" i="20"/>
  <c r="J1491" i="27" s="1"/>
  <c r="CE72" i="20"/>
  <c r="J1492" i="27" s="1"/>
  <c r="CE73" i="20"/>
  <c r="J1493" i="27" s="1"/>
  <c r="CE74" i="20"/>
  <c r="J1494" i="27" s="1"/>
  <c r="CE75" i="20"/>
  <c r="J1495" i="27" s="1"/>
  <c r="CE76" i="20"/>
  <c r="J1496" i="27" s="1"/>
  <c r="CE77" i="20"/>
  <c r="J1497" i="27" s="1"/>
  <c r="CE78" i="20"/>
  <c r="J1498" i="27" s="1"/>
  <c r="CE79" i="20"/>
  <c r="J1499" i="27" s="1"/>
  <c r="CE80" i="20"/>
  <c r="J1500" i="27" s="1"/>
  <c r="CE81" i="20"/>
  <c r="J1501" i="27" s="1"/>
  <c r="CE82" i="20"/>
  <c r="J1502" i="27" s="1"/>
  <c r="CE83" i="20"/>
  <c r="J1503" i="27" s="1"/>
  <c r="CE84" i="20"/>
  <c r="J1504" i="27" s="1"/>
  <c r="CE85" i="20"/>
  <c r="J1505" i="27" s="1"/>
  <c r="CE86" i="20"/>
  <c r="J1506" i="27" s="1"/>
  <c r="CE87" i="20"/>
  <c r="J1507" i="27" s="1"/>
  <c r="CE88" i="20"/>
  <c r="J1508" i="27" s="1"/>
  <c r="CE89" i="20"/>
  <c r="J1509" i="27" s="1"/>
  <c r="CE90" i="20"/>
  <c r="J1510" i="27" s="1"/>
  <c r="CE91" i="20"/>
  <c r="J1511" i="27" s="1"/>
  <c r="CE92" i="20"/>
  <c r="J1512" i="27" s="1"/>
  <c r="CE93" i="20"/>
  <c r="J1513" i="27" s="1"/>
  <c r="CE94" i="20"/>
  <c r="J1514" i="27" s="1"/>
  <c r="CE95" i="20"/>
  <c r="J1515" i="27" s="1"/>
  <c r="CE96" i="20"/>
  <c r="J1516" i="27" s="1"/>
  <c r="CE97" i="20"/>
  <c r="J1517" i="27" s="1"/>
  <c r="CE98" i="20"/>
  <c r="J1518" i="27" s="1"/>
  <c r="CE99" i="20"/>
  <c r="J1519" i="27" s="1"/>
  <c r="CE100" i="20"/>
  <c r="J1520" i="27" s="1"/>
  <c r="CG2" i="20"/>
  <c r="L1422" i="27" s="1"/>
  <c r="CG3" i="20"/>
  <c r="L1423" i="27" s="1"/>
  <c r="CG4" i="20"/>
  <c r="L1424" i="27" s="1"/>
  <c r="CG5" i="20"/>
  <c r="L1425" i="27" s="1"/>
  <c r="CG6" i="20"/>
  <c r="L1426" i="27" s="1"/>
  <c r="CG7" i="20"/>
  <c r="L1427" i="27" s="1"/>
  <c r="CG8" i="20"/>
  <c r="L1428" i="27" s="1"/>
  <c r="CG9" i="20"/>
  <c r="L1429" i="27" s="1"/>
  <c r="CG10" i="20"/>
  <c r="L1430" i="27" s="1"/>
  <c r="CG11" i="20"/>
  <c r="L1431" i="27" s="1"/>
  <c r="CG12" i="20"/>
  <c r="L1432" i="27" s="1"/>
  <c r="CG13" i="20"/>
  <c r="L1433" i="27" s="1"/>
  <c r="CG14" i="20"/>
  <c r="L1434" i="27" s="1"/>
  <c r="CG15" i="20"/>
  <c r="L1435" i="27" s="1"/>
  <c r="CG16" i="20"/>
  <c r="L1436" i="27" s="1"/>
  <c r="CG17" i="20"/>
  <c r="L1437" i="27" s="1"/>
  <c r="CG18" i="20"/>
  <c r="L1438" i="27" s="1"/>
  <c r="CG19" i="20"/>
  <c r="L1439" i="27" s="1"/>
  <c r="CG20" i="20"/>
  <c r="L1440" i="27" s="1"/>
  <c r="CG21" i="20"/>
  <c r="L1441" i="27" s="1"/>
  <c r="CG22" i="20"/>
  <c r="L1442" i="27" s="1"/>
  <c r="CG23" i="20"/>
  <c r="L1443" i="27" s="1"/>
  <c r="CG24" i="20"/>
  <c r="L1444" i="27" s="1"/>
  <c r="CG25" i="20"/>
  <c r="L1445" i="27" s="1"/>
  <c r="CG26" i="20"/>
  <c r="L1446" i="27" s="1"/>
  <c r="CG27" i="20"/>
  <c r="L1447" i="27" s="1"/>
  <c r="CG28" i="20"/>
  <c r="L1448" i="27" s="1"/>
  <c r="CG29" i="20"/>
  <c r="L1449" i="27" s="1"/>
  <c r="CG30" i="20"/>
  <c r="L1450" i="27" s="1"/>
  <c r="CG31" i="20"/>
  <c r="L1451" i="27" s="1"/>
  <c r="CG32" i="20"/>
  <c r="L1452" i="27" s="1"/>
  <c r="CG33" i="20"/>
  <c r="L1453" i="27" s="1"/>
  <c r="CG34" i="20"/>
  <c r="L1454" i="27" s="1"/>
  <c r="CG35" i="20"/>
  <c r="L1455" i="27" s="1"/>
  <c r="CG36" i="20"/>
  <c r="L1456" i="27" s="1"/>
  <c r="CG37" i="20"/>
  <c r="L1457" i="27" s="1"/>
  <c r="CG38" i="20"/>
  <c r="L1458" i="27" s="1"/>
  <c r="CG39" i="20"/>
  <c r="L1459" i="27" s="1"/>
  <c r="CG40" i="20"/>
  <c r="L1460" i="27" s="1"/>
  <c r="CG41" i="20"/>
  <c r="L1461" i="27" s="1"/>
  <c r="CG42" i="20"/>
  <c r="L1462" i="27" s="1"/>
  <c r="CG43" i="20"/>
  <c r="L1463" i="27" s="1"/>
  <c r="CG44" i="20"/>
  <c r="L1464" i="27" s="1"/>
  <c r="CG45" i="20"/>
  <c r="L1465" i="27" s="1"/>
  <c r="CG46" i="20"/>
  <c r="L1466" i="27" s="1"/>
  <c r="CG47" i="20"/>
  <c r="L1467" i="27" s="1"/>
  <c r="CG48" i="20"/>
  <c r="L1468" i="27" s="1"/>
  <c r="CG49" i="20"/>
  <c r="L1469" i="27" s="1"/>
  <c r="CG50" i="20"/>
  <c r="L1470" i="27" s="1"/>
  <c r="CG51" i="20"/>
  <c r="L1471" i="27" s="1"/>
  <c r="CG52" i="20"/>
  <c r="L1472" i="27" s="1"/>
  <c r="CG53" i="20"/>
  <c r="L1473" i="27" s="1"/>
  <c r="CG54" i="20"/>
  <c r="L1474" i="27" s="1"/>
  <c r="CG55" i="20"/>
  <c r="L1475" i="27" s="1"/>
  <c r="CG56" i="20"/>
  <c r="L1476" i="27" s="1"/>
  <c r="CG57" i="20"/>
  <c r="L1477" i="27" s="1"/>
  <c r="CG58" i="20"/>
  <c r="L1478" i="27" s="1"/>
  <c r="CG59" i="20"/>
  <c r="L1479" i="27" s="1"/>
  <c r="CG60" i="20"/>
  <c r="L1480" i="27" s="1"/>
  <c r="CG61" i="20"/>
  <c r="L1481" i="27" s="1"/>
  <c r="CG62" i="20"/>
  <c r="L1482" i="27" s="1"/>
  <c r="CG63" i="20"/>
  <c r="L1483" i="27" s="1"/>
  <c r="CG64" i="20"/>
  <c r="L1484" i="27" s="1"/>
  <c r="CG65" i="20"/>
  <c r="L1485" i="27" s="1"/>
  <c r="CG66" i="20"/>
  <c r="L1486" i="27" s="1"/>
  <c r="CG67" i="20"/>
  <c r="L1487" i="27" s="1"/>
  <c r="CG68" i="20"/>
  <c r="L1488" i="27" s="1"/>
  <c r="CG69" i="20"/>
  <c r="L1489" i="27" s="1"/>
  <c r="CG70" i="20"/>
  <c r="L1490" i="27" s="1"/>
  <c r="CG71" i="20"/>
  <c r="L1491" i="27" s="1"/>
  <c r="CG72" i="20"/>
  <c r="L1492" i="27" s="1"/>
  <c r="CG73" i="20"/>
  <c r="L1493" i="27" s="1"/>
  <c r="CG74" i="20"/>
  <c r="L1494" i="27" s="1"/>
  <c r="CG75" i="20"/>
  <c r="L1495" i="27" s="1"/>
  <c r="CG76" i="20"/>
  <c r="L1496" i="27" s="1"/>
  <c r="CG77" i="20"/>
  <c r="L1497" i="27" s="1"/>
  <c r="CG78" i="20"/>
  <c r="L1498" i="27" s="1"/>
  <c r="CG79" i="20"/>
  <c r="L1499" i="27" s="1"/>
  <c r="CG80" i="20"/>
  <c r="L1500" i="27" s="1"/>
  <c r="CG81" i="20"/>
  <c r="L1501" i="27" s="1"/>
  <c r="CG82" i="20"/>
  <c r="L1502" i="27" s="1"/>
  <c r="CG83" i="20"/>
  <c r="L1503" i="27" s="1"/>
  <c r="CG84" i="20"/>
  <c r="L1504" i="27" s="1"/>
  <c r="CG85" i="20"/>
  <c r="L1505" i="27" s="1"/>
  <c r="CG86" i="20"/>
  <c r="L1506" i="27" s="1"/>
  <c r="CG87" i="20"/>
  <c r="L1507" i="27" s="1"/>
  <c r="CG88" i="20"/>
  <c r="L1508" i="27" s="1"/>
  <c r="CG89" i="20"/>
  <c r="L1509" i="27" s="1"/>
  <c r="CG90" i="20"/>
  <c r="L1510" i="27" s="1"/>
  <c r="CG91" i="20"/>
  <c r="L1511" i="27" s="1"/>
  <c r="CG92" i="20"/>
  <c r="L1512" i="27" s="1"/>
  <c r="CG93" i="20"/>
  <c r="L1513" i="27" s="1"/>
  <c r="CG94" i="20"/>
  <c r="L1514" i="27" s="1"/>
  <c r="CG95" i="20"/>
  <c r="L1515" i="27" s="1"/>
  <c r="CG96" i="20"/>
  <c r="L1516" i="27" s="1"/>
  <c r="CG97" i="20"/>
  <c r="L1517" i="27" s="1"/>
  <c r="CG98" i="20"/>
  <c r="L1518" i="27" s="1"/>
  <c r="CG99" i="20"/>
  <c r="L1519" i="27" s="1"/>
  <c r="CG100" i="20"/>
  <c r="L1520" i="27" s="1"/>
  <c r="CK2" i="20"/>
  <c r="P1422" i="27" s="1"/>
  <c r="CK3" i="20"/>
  <c r="P1423" i="27" s="1"/>
  <c r="CK4" i="20"/>
  <c r="P1424" i="27" s="1"/>
  <c r="CK5" i="20"/>
  <c r="P1425" i="27" s="1"/>
  <c r="CK6" i="20"/>
  <c r="P1426" i="27" s="1"/>
  <c r="CK7" i="20"/>
  <c r="P1427" i="27" s="1"/>
  <c r="CK8" i="20"/>
  <c r="P1428" i="27" s="1"/>
  <c r="CK9" i="20"/>
  <c r="P1429" i="27" s="1"/>
  <c r="CK10" i="20"/>
  <c r="P1430" i="27" s="1"/>
  <c r="CK11" i="20"/>
  <c r="P1431" i="27" s="1"/>
  <c r="CK12" i="20"/>
  <c r="P1432" i="27" s="1"/>
  <c r="CK13" i="20"/>
  <c r="P1433" i="27" s="1"/>
  <c r="CK14" i="20"/>
  <c r="P1434" i="27" s="1"/>
  <c r="CK15" i="20"/>
  <c r="P1435" i="27" s="1"/>
  <c r="CK16" i="20"/>
  <c r="P1436" i="27" s="1"/>
  <c r="CK17" i="20"/>
  <c r="P1437" i="27" s="1"/>
  <c r="CK18" i="20"/>
  <c r="P1438" i="27" s="1"/>
  <c r="CK19" i="20"/>
  <c r="P1439" i="27" s="1"/>
  <c r="CK20" i="20"/>
  <c r="P1440" i="27" s="1"/>
  <c r="CK21" i="20"/>
  <c r="P1441" i="27" s="1"/>
  <c r="CK22" i="20"/>
  <c r="P1442" i="27" s="1"/>
  <c r="CK23" i="20"/>
  <c r="P1443" i="27" s="1"/>
  <c r="CK24" i="20"/>
  <c r="P1444" i="27" s="1"/>
  <c r="CK25" i="20"/>
  <c r="P1445" i="27" s="1"/>
  <c r="CK26" i="20"/>
  <c r="P1446" i="27" s="1"/>
  <c r="CK27" i="20"/>
  <c r="P1447" i="27" s="1"/>
  <c r="CK28" i="20"/>
  <c r="P1448" i="27" s="1"/>
  <c r="CK29" i="20"/>
  <c r="P1449" i="27" s="1"/>
  <c r="CK30" i="20"/>
  <c r="P1450" i="27" s="1"/>
  <c r="CK31" i="20"/>
  <c r="P1451" i="27" s="1"/>
  <c r="CK32" i="20"/>
  <c r="P1452" i="27" s="1"/>
  <c r="CK33" i="20"/>
  <c r="P1453" i="27" s="1"/>
  <c r="CK34" i="20"/>
  <c r="P1454" i="27" s="1"/>
  <c r="CK35" i="20"/>
  <c r="P1455" i="27" s="1"/>
  <c r="CK36" i="20"/>
  <c r="P1456" i="27" s="1"/>
  <c r="CK37" i="20"/>
  <c r="P1457" i="27" s="1"/>
  <c r="CK38" i="20"/>
  <c r="P1458" i="27" s="1"/>
  <c r="CK39" i="20"/>
  <c r="P1459" i="27" s="1"/>
  <c r="CK40" i="20"/>
  <c r="P1460" i="27" s="1"/>
  <c r="CK41" i="20"/>
  <c r="P1461" i="27" s="1"/>
  <c r="CK42" i="20"/>
  <c r="P1462" i="27" s="1"/>
  <c r="CK43" i="20"/>
  <c r="P1463" i="27" s="1"/>
  <c r="CK44" i="20"/>
  <c r="P1464" i="27" s="1"/>
  <c r="CK45" i="20"/>
  <c r="P1465" i="27" s="1"/>
  <c r="CK46" i="20"/>
  <c r="P1466" i="27" s="1"/>
  <c r="CK47" i="20"/>
  <c r="P1467" i="27" s="1"/>
  <c r="CK48" i="20"/>
  <c r="P1468" i="27" s="1"/>
  <c r="CK49" i="20"/>
  <c r="P1469" i="27" s="1"/>
  <c r="CK50" i="20"/>
  <c r="P1470" i="27" s="1"/>
  <c r="CK51" i="20"/>
  <c r="P1471" i="27" s="1"/>
  <c r="CK52" i="20"/>
  <c r="P1472" i="27" s="1"/>
  <c r="CK53" i="20"/>
  <c r="P1473" i="27" s="1"/>
  <c r="CK54" i="20"/>
  <c r="P1474" i="27" s="1"/>
  <c r="CK55" i="20"/>
  <c r="P1475" i="27" s="1"/>
  <c r="CK56" i="20"/>
  <c r="P1476" i="27" s="1"/>
  <c r="CK57" i="20"/>
  <c r="P1477" i="27" s="1"/>
  <c r="CK58" i="20"/>
  <c r="P1478" i="27" s="1"/>
  <c r="CK59" i="20"/>
  <c r="P1479" i="27" s="1"/>
  <c r="CK60" i="20"/>
  <c r="P1480" i="27" s="1"/>
  <c r="CK61" i="20"/>
  <c r="P1481" i="27" s="1"/>
  <c r="CK62" i="20"/>
  <c r="P1482" i="27" s="1"/>
  <c r="CK63" i="20"/>
  <c r="P1483" i="27" s="1"/>
  <c r="CK64" i="20"/>
  <c r="P1484" i="27" s="1"/>
  <c r="CK65" i="20"/>
  <c r="P1485" i="27" s="1"/>
  <c r="CK66" i="20"/>
  <c r="P1486" i="27" s="1"/>
  <c r="CK67" i="20"/>
  <c r="P1487" i="27" s="1"/>
  <c r="CK68" i="20"/>
  <c r="P1488" i="27" s="1"/>
  <c r="CK69" i="20"/>
  <c r="P1489" i="27" s="1"/>
  <c r="CK70" i="20"/>
  <c r="P1490" i="27" s="1"/>
  <c r="CK71" i="20"/>
  <c r="P1491" i="27" s="1"/>
  <c r="CK72" i="20"/>
  <c r="P1492" i="27" s="1"/>
  <c r="CK73" i="20"/>
  <c r="P1493" i="27" s="1"/>
  <c r="CK74" i="20"/>
  <c r="P1494" i="27" s="1"/>
  <c r="CK75" i="20"/>
  <c r="P1495" i="27" s="1"/>
  <c r="CK76" i="20"/>
  <c r="P1496" i="27" s="1"/>
  <c r="CK77" i="20"/>
  <c r="P1497" i="27" s="1"/>
  <c r="CK78" i="20"/>
  <c r="P1498" i="27" s="1"/>
  <c r="CK79" i="20"/>
  <c r="P1499" i="27" s="1"/>
  <c r="CK80" i="20"/>
  <c r="P1500" i="27" s="1"/>
  <c r="CK81" i="20"/>
  <c r="P1501" i="27" s="1"/>
  <c r="CK82" i="20"/>
  <c r="P1502" i="27" s="1"/>
  <c r="CK83" i="20"/>
  <c r="P1503" i="27" s="1"/>
  <c r="CK84" i="20"/>
  <c r="P1504" i="27" s="1"/>
  <c r="CK85" i="20"/>
  <c r="P1505" i="27" s="1"/>
  <c r="CK86" i="20"/>
  <c r="P1506" i="27" s="1"/>
  <c r="CK87" i="20"/>
  <c r="P1507" i="27" s="1"/>
  <c r="CK88" i="20"/>
  <c r="P1508" i="27" s="1"/>
  <c r="CK89" i="20"/>
  <c r="P1509" i="27" s="1"/>
  <c r="CK90" i="20"/>
  <c r="P1510" i="27" s="1"/>
  <c r="CK91" i="20"/>
  <c r="P1511" i="27" s="1"/>
  <c r="CK92" i="20"/>
  <c r="P1512" i="27" s="1"/>
  <c r="CK93" i="20"/>
  <c r="P1513" i="27" s="1"/>
  <c r="CK94" i="20"/>
  <c r="P1514" i="27" s="1"/>
  <c r="CK95" i="20"/>
  <c r="P1515" i="27" s="1"/>
  <c r="CK96" i="20"/>
  <c r="P1516" i="27" s="1"/>
  <c r="CK97" i="20"/>
  <c r="P1517" i="27" s="1"/>
  <c r="CK98" i="20"/>
  <c r="P1518" i="27" s="1"/>
  <c r="CK99" i="20"/>
  <c r="P1519" i="27" s="1"/>
  <c r="CK100" i="20"/>
  <c r="P1520" i="27" s="1"/>
  <c r="H2" i="20"/>
  <c r="CF2" i="20" s="1"/>
  <c r="K1422" i="27" s="1"/>
  <c r="H3" i="20"/>
  <c r="CF3" i="20" s="1"/>
  <c r="K1423" i="27" s="1"/>
  <c r="H4" i="20"/>
  <c r="CF4" i="20" s="1"/>
  <c r="K1424" i="27" s="1"/>
  <c r="H5" i="20"/>
  <c r="CF5" i="20" s="1"/>
  <c r="K1425" i="27" s="1"/>
  <c r="H6" i="20"/>
  <c r="H7" i="20"/>
  <c r="CF7" i="20" s="1"/>
  <c r="K1427" i="27" s="1"/>
  <c r="H8" i="20"/>
  <c r="H9" i="20"/>
  <c r="CF9" i="20" s="1"/>
  <c r="K1429" i="27" s="1"/>
  <c r="H10" i="20"/>
  <c r="CF10" i="20" s="1"/>
  <c r="K1430" i="27" s="1"/>
  <c r="H11" i="20"/>
  <c r="CF11" i="20" s="1"/>
  <c r="K1431" i="27" s="1"/>
  <c r="H12" i="20"/>
  <c r="CF12" i="20" s="1"/>
  <c r="K1432" i="27" s="1"/>
  <c r="H13" i="20"/>
  <c r="CF13" i="20" s="1"/>
  <c r="K1433" i="27" s="1"/>
  <c r="H14" i="20"/>
  <c r="CF14" i="20" s="1"/>
  <c r="K1434" i="27" s="1"/>
  <c r="H15" i="20"/>
  <c r="CF15" i="20" s="1"/>
  <c r="K1435" i="27" s="1"/>
  <c r="H16" i="20"/>
  <c r="CF16" i="20" s="1"/>
  <c r="K1436" i="27" s="1"/>
  <c r="H17" i="20"/>
  <c r="CF17" i="20" s="1"/>
  <c r="K1437" i="27" s="1"/>
  <c r="H18" i="20"/>
  <c r="CF18" i="20" s="1"/>
  <c r="K1438" i="27" s="1"/>
  <c r="H19" i="20"/>
  <c r="CF19" i="20" s="1"/>
  <c r="K1439" i="27" s="1"/>
  <c r="H20" i="20"/>
  <c r="CF20" i="20" s="1"/>
  <c r="K1440" i="27" s="1"/>
  <c r="H21" i="20"/>
  <c r="CF21" i="20" s="1"/>
  <c r="K1441" i="27" s="1"/>
  <c r="H22" i="20"/>
  <c r="CF22" i="20" s="1"/>
  <c r="K1442" i="27" s="1"/>
  <c r="H23" i="20"/>
  <c r="CF23" i="20" s="1"/>
  <c r="K1443" i="27" s="1"/>
  <c r="H24" i="20"/>
  <c r="CF24" i="20" s="1"/>
  <c r="K1444" i="27" s="1"/>
  <c r="H25" i="20"/>
  <c r="CF25" i="20" s="1"/>
  <c r="K1445" i="27" s="1"/>
  <c r="H26" i="20"/>
  <c r="CF26" i="20" s="1"/>
  <c r="K1446" i="27" s="1"/>
  <c r="H27" i="20"/>
  <c r="CF27" i="20" s="1"/>
  <c r="K1447" i="27" s="1"/>
  <c r="H28" i="20"/>
  <c r="CF28" i="20" s="1"/>
  <c r="K1448" i="27" s="1"/>
  <c r="H29" i="20"/>
  <c r="CF29" i="20" s="1"/>
  <c r="K1449" i="27" s="1"/>
  <c r="H30" i="20"/>
  <c r="CF30" i="20" s="1"/>
  <c r="K1450" i="27" s="1"/>
  <c r="H31" i="20"/>
  <c r="CF31" i="20" s="1"/>
  <c r="K1451" i="27" s="1"/>
  <c r="H32" i="20"/>
  <c r="CF32" i="20" s="1"/>
  <c r="K1452" i="27" s="1"/>
  <c r="H33" i="20"/>
  <c r="CF33" i="20" s="1"/>
  <c r="K1453" i="27" s="1"/>
  <c r="H34" i="20"/>
  <c r="CF34" i="20" s="1"/>
  <c r="K1454" i="27" s="1"/>
  <c r="H35" i="20"/>
  <c r="CF35" i="20" s="1"/>
  <c r="K1455" i="27" s="1"/>
  <c r="H36" i="20"/>
  <c r="CF36" i="20" s="1"/>
  <c r="K1456" i="27" s="1"/>
  <c r="H37" i="20"/>
  <c r="CF37" i="20" s="1"/>
  <c r="K1457" i="27" s="1"/>
  <c r="H38" i="20"/>
  <c r="CF38" i="20" s="1"/>
  <c r="K1458" i="27" s="1"/>
  <c r="H39" i="20"/>
  <c r="CF39" i="20" s="1"/>
  <c r="K1459" i="27" s="1"/>
  <c r="H40" i="20"/>
  <c r="CF40" i="20" s="1"/>
  <c r="K1460" i="27" s="1"/>
  <c r="H41" i="20"/>
  <c r="CF41" i="20" s="1"/>
  <c r="K1461" i="27" s="1"/>
  <c r="H42" i="20"/>
  <c r="CF42" i="20" s="1"/>
  <c r="K1462" i="27" s="1"/>
  <c r="H43" i="20"/>
  <c r="CF43" i="20" s="1"/>
  <c r="K1463" i="27" s="1"/>
  <c r="H44" i="20"/>
  <c r="CF44" i="20" s="1"/>
  <c r="K1464" i="27" s="1"/>
  <c r="H45" i="20"/>
  <c r="CF45" i="20" s="1"/>
  <c r="K1465" i="27" s="1"/>
  <c r="H46" i="20"/>
  <c r="CF46" i="20" s="1"/>
  <c r="K1466" i="27" s="1"/>
  <c r="H47" i="20"/>
  <c r="CF47" i="20" s="1"/>
  <c r="K1467" i="27" s="1"/>
  <c r="H48" i="20"/>
  <c r="CF48" i="20" s="1"/>
  <c r="K1468" i="27" s="1"/>
  <c r="H49" i="20"/>
  <c r="CF49" i="20" s="1"/>
  <c r="K1469" i="27" s="1"/>
  <c r="H50" i="20"/>
  <c r="CF50" i="20" s="1"/>
  <c r="K1470" i="27" s="1"/>
  <c r="H51" i="20"/>
  <c r="CF51" i="20" s="1"/>
  <c r="K1471" i="27" s="1"/>
  <c r="H52" i="20"/>
  <c r="CF52" i="20" s="1"/>
  <c r="K1472" i="27" s="1"/>
  <c r="H53" i="20"/>
  <c r="CF53" i="20" s="1"/>
  <c r="K1473" i="27" s="1"/>
  <c r="H54" i="20"/>
  <c r="CF54" i="20" s="1"/>
  <c r="K1474" i="27" s="1"/>
  <c r="H55" i="20"/>
  <c r="CF55" i="20" s="1"/>
  <c r="K1475" i="27" s="1"/>
  <c r="H56" i="20"/>
  <c r="CF56" i="20" s="1"/>
  <c r="K1476" i="27" s="1"/>
  <c r="H57" i="20"/>
  <c r="CF57" i="20" s="1"/>
  <c r="K1477" i="27" s="1"/>
  <c r="H58" i="20"/>
  <c r="CF58" i="20" s="1"/>
  <c r="K1478" i="27" s="1"/>
  <c r="H59" i="20"/>
  <c r="CF59" i="20" s="1"/>
  <c r="K1479" i="27" s="1"/>
  <c r="H60" i="20"/>
  <c r="CF60" i="20" s="1"/>
  <c r="K1480" i="27" s="1"/>
  <c r="H61" i="20"/>
  <c r="CF61" i="20" s="1"/>
  <c r="K1481" i="27" s="1"/>
  <c r="H62" i="20"/>
  <c r="CF62" i="20" s="1"/>
  <c r="K1482" i="27" s="1"/>
  <c r="H63" i="20"/>
  <c r="CF63" i="20" s="1"/>
  <c r="K1483" i="27" s="1"/>
  <c r="H64" i="20"/>
  <c r="CF64" i="20" s="1"/>
  <c r="K1484" i="27" s="1"/>
  <c r="H65" i="20"/>
  <c r="CF65" i="20" s="1"/>
  <c r="K1485" i="27" s="1"/>
  <c r="H66" i="20"/>
  <c r="CF66" i="20" s="1"/>
  <c r="K1486" i="27" s="1"/>
  <c r="H67" i="20"/>
  <c r="CF67" i="20" s="1"/>
  <c r="K1487" i="27" s="1"/>
  <c r="H68" i="20"/>
  <c r="CF68" i="20" s="1"/>
  <c r="K1488" i="27" s="1"/>
  <c r="H69" i="20"/>
  <c r="CF69" i="20" s="1"/>
  <c r="K1489" i="27" s="1"/>
  <c r="H70" i="20"/>
  <c r="CF70" i="20" s="1"/>
  <c r="K1490" i="27" s="1"/>
  <c r="H71" i="20"/>
  <c r="CF71" i="20" s="1"/>
  <c r="K1491" i="27" s="1"/>
  <c r="H72" i="20"/>
  <c r="CF72" i="20" s="1"/>
  <c r="K1492" i="27" s="1"/>
  <c r="H73" i="20"/>
  <c r="CF73" i="20" s="1"/>
  <c r="K1493" i="27" s="1"/>
  <c r="H74" i="20"/>
  <c r="CF74" i="20" s="1"/>
  <c r="K1494" i="27" s="1"/>
  <c r="H75" i="20"/>
  <c r="CF75" i="20" s="1"/>
  <c r="K1495" i="27" s="1"/>
  <c r="H76" i="20"/>
  <c r="CF76" i="20" s="1"/>
  <c r="K1496" i="27" s="1"/>
  <c r="H77" i="20"/>
  <c r="CF77" i="20" s="1"/>
  <c r="K1497" i="27" s="1"/>
  <c r="H78" i="20"/>
  <c r="CF78" i="20" s="1"/>
  <c r="K1498" i="27" s="1"/>
  <c r="H79" i="20"/>
  <c r="CF79" i="20" s="1"/>
  <c r="K1499" i="27" s="1"/>
  <c r="H80" i="20"/>
  <c r="CF80" i="20" s="1"/>
  <c r="K1500" i="27" s="1"/>
  <c r="H81" i="20"/>
  <c r="CF81" i="20" s="1"/>
  <c r="K1501" i="27" s="1"/>
  <c r="H82" i="20"/>
  <c r="CF82" i="20" s="1"/>
  <c r="K1502" i="27" s="1"/>
  <c r="H83" i="20"/>
  <c r="CF83" i="20" s="1"/>
  <c r="K1503" i="27" s="1"/>
  <c r="H84" i="20"/>
  <c r="CF84" i="20" s="1"/>
  <c r="K1504" i="27" s="1"/>
  <c r="H85" i="20"/>
  <c r="CF85" i="20" s="1"/>
  <c r="K1505" i="27" s="1"/>
  <c r="H86" i="20"/>
  <c r="CF86" i="20" s="1"/>
  <c r="K1506" i="27" s="1"/>
  <c r="H87" i="20"/>
  <c r="CF87" i="20" s="1"/>
  <c r="K1507" i="27" s="1"/>
  <c r="H88" i="20"/>
  <c r="CF88" i="20" s="1"/>
  <c r="K1508" i="27" s="1"/>
  <c r="H89" i="20"/>
  <c r="CF89" i="20" s="1"/>
  <c r="K1509" i="27" s="1"/>
  <c r="H90" i="20"/>
  <c r="CF90" i="20" s="1"/>
  <c r="K1510" i="27" s="1"/>
  <c r="H91" i="20"/>
  <c r="CF91" i="20" s="1"/>
  <c r="K1511" i="27" s="1"/>
  <c r="H92" i="20"/>
  <c r="CF92" i="20" s="1"/>
  <c r="K1512" i="27" s="1"/>
  <c r="H93" i="20"/>
  <c r="CF93" i="20" s="1"/>
  <c r="K1513" i="27" s="1"/>
  <c r="H94" i="20"/>
  <c r="CF94" i="20" s="1"/>
  <c r="K1514" i="27" s="1"/>
  <c r="H95" i="20"/>
  <c r="CF95" i="20" s="1"/>
  <c r="K1515" i="27" s="1"/>
  <c r="H96" i="20"/>
  <c r="CF96" i="20" s="1"/>
  <c r="K1516" i="27" s="1"/>
  <c r="H97" i="20"/>
  <c r="CF97" i="20" s="1"/>
  <c r="K1517" i="27" s="1"/>
  <c r="H98" i="20"/>
  <c r="CF98" i="20" s="1"/>
  <c r="K1518" i="27" s="1"/>
  <c r="H99" i="20"/>
  <c r="CF99" i="20" s="1"/>
  <c r="K1519" i="27" s="1"/>
  <c r="H100" i="20"/>
  <c r="CF100" i="20" s="1"/>
  <c r="K1520" i="27" s="1"/>
  <c r="CL4" i="31"/>
  <c r="P1274" i="27" s="1"/>
  <c r="CL5" i="31"/>
  <c r="P1275" i="27" s="1"/>
  <c r="P1276" i="27"/>
  <c r="CL7" i="31"/>
  <c r="P1277" i="27" s="1"/>
  <c r="CL8" i="31"/>
  <c r="P1278" i="27" s="1"/>
  <c r="CL9" i="31"/>
  <c r="P1279" i="27" s="1"/>
  <c r="CL10" i="31"/>
  <c r="P1280" i="27" s="1"/>
  <c r="CL11" i="31"/>
  <c r="P1281" i="27" s="1"/>
  <c r="CL12" i="31"/>
  <c r="P1282" i="27" s="1"/>
  <c r="CL13" i="31"/>
  <c r="P1283" i="27" s="1"/>
  <c r="CL14" i="31"/>
  <c r="P1284" i="27" s="1"/>
  <c r="CL15" i="31"/>
  <c r="P1285" i="27" s="1"/>
  <c r="P1286" i="27"/>
  <c r="CL17" i="31"/>
  <c r="P1287" i="27" s="1"/>
  <c r="CL18" i="31"/>
  <c r="P1288" i="27" s="1"/>
  <c r="CL19" i="31"/>
  <c r="P1289" i="27" s="1"/>
  <c r="CL20" i="31"/>
  <c r="P1290" i="27" s="1"/>
  <c r="P1291" i="27"/>
  <c r="CL22" i="31"/>
  <c r="P1292" i="27" s="1"/>
  <c r="CL23" i="31"/>
  <c r="P1293" i="27" s="1"/>
  <c r="CL24" i="31"/>
  <c r="P1294" i="27" s="1"/>
  <c r="CL25" i="31"/>
  <c r="P1295" i="27" s="1"/>
  <c r="CL26" i="31"/>
  <c r="P1296" i="27" s="1"/>
  <c r="CL27" i="31"/>
  <c r="P1297" i="27" s="1"/>
  <c r="CL28" i="31"/>
  <c r="P1298" i="27" s="1"/>
  <c r="P1299" i="27"/>
  <c r="P1300" i="27"/>
  <c r="P1301" i="27"/>
  <c r="P1302" i="27"/>
  <c r="P1303" i="27"/>
  <c r="P1304" i="27"/>
  <c r="CL35" i="31"/>
  <c r="P1305" i="27" s="1"/>
  <c r="P1306" i="27"/>
  <c r="P1307" i="27"/>
  <c r="CL38" i="31"/>
  <c r="P1308" i="27" s="1"/>
  <c r="P1309" i="27"/>
  <c r="P1310" i="27"/>
  <c r="CL41" i="31"/>
  <c r="P1311" i="27" s="1"/>
  <c r="CL42" i="31"/>
  <c r="P1312" i="27" s="1"/>
  <c r="CL43" i="31"/>
  <c r="P1313" i="27" s="1"/>
  <c r="CL44" i="31"/>
  <c r="P1314" i="27" s="1"/>
  <c r="CL45" i="31"/>
  <c r="P1315" i="27" s="1"/>
  <c r="CL46" i="31"/>
  <c r="P1316" i="27" s="1"/>
  <c r="CL47" i="31"/>
  <c r="P1317" i="27" s="1"/>
  <c r="CL48" i="31"/>
  <c r="P1318" i="27" s="1"/>
  <c r="CL49" i="31"/>
  <c r="P1319" i="27" s="1"/>
  <c r="CL50" i="31"/>
  <c r="P1320" i="27" s="1"/>
  <c r="CL51" i="31"/>
  <c r="P1321" i="27" s="1"/>
  <c r="CL52" i="31"/>
  <c r="P1322" i="27" s="1"/>
  <c r="CL53" i="31"/>
  <c r="P1323" i="27" s="1"/>
  <c r="CL54" i="31"/>
  <c r="P1324" i="27" s="1"/>
  <c r="CL55" i="31"/>
  <c r="P1325" i="27" s="1"/>
  <c r="CL56" i="31"/>
  <c r="P1326" i="27" s="1"/>
  <c r="CL57" i="31"/>
  <c r="P1327" i="27" s="1"/>
  <c r="CL58" i="31"/>
  <c r="P1328" i="27" s="1"/>
  <c r="CL59" i="31"/>
  <c r="P1329" i="27" s="1"/>
  <c r="P1330" i="27"/>
  <c r="CL61" i="31"/>
  <c r="P1331" i="27" s="1"/>
  <c r="CL62" i="31"/>
  <c r="P1332" i="27" s="1"/>
  <c r="CL63" i="31"/>
  <c r="P1333" i="27" s="1"/>
  <c r="CL64" i="31"/>
  <c r="P1334" i="27" s="1"/>
  <c r="CL65" i="31"/>
  <c r="P1335" i="27" s="1"/>
  <c r="CL66" i="31"/>
  <c r="P1336" i="27" s="1"/>
  <c r="CL67" i="31"/>
  <c r="P1337" i="27" s="1"/>
  <c r="CL68" i="31"/>
  <c r="P1338" i="27" s="1"/>
  <c r="CL69" i="31"/>
  <c r="P1339" i="27" s="1"/>
  <c r="CL70" i="31"/>
  <c r="P1340" i="27" s="1"/>
  <c r="CL71" i="31"/>
  <c r="P1341" i="27" s="1"/>
  <c r="CL72" i="31"/>
  <c r="P1342" i="27" s="1"/>
  <c r="CL73" i="31"/>
  <c r="P1343" i="27" s="1"/>
  <c r="CL74" i="31"/>
  <c r="P1344" i="27" s="1"/>
  <c r="CL75" i="31"/>
  <c r="P1345" i="27" s="1"/>
  <c r="CL76" i="31"/>
  <c r="P1346" i="27" s="1"/>
  <c r="CL77" i="31"/>
  <c r="P1347" i="27" s="1"/>
  <c r="CL78" i="31"/>
  <c r="P1348" i="27" s="1"/>
  <c r="CL79" i="31"/>
  <c r="P1349" i="27" s="1"/>
  <c r="CL80" i="31"/>
  <c r="P1350" i="27" s="1"/>
  <c r="CL81" i="31"/>
  <c r="P1351" i="27" s="1"/>
  <c r="CL82" i="31"/>
  <c r="P1352" i="27" s="1"/>
  <c r="CL83" i="31"/>
  <c r="P1353" i="27" s="1"/>
  <c r="CL84" i="31"/>
  <c r="P1354" i="27" s="1"/>
  <c r="CL85" i="31"/>
  <c r="P1355" i="27" s="1"/>
  <c r="CL86" i="31"/>
  <c r="P1356" i="27" s="1"/>
  <c r="CL87" i="31"/>
  <c r="P1357" i="27" s="1"/>
  <c r="CL88" i="31"/>
  <c r="P1358" i="27" s="1"/>
  <c r="CL89" i="31"/>
  <c r="P1359" i="27" s="1"/>
  <c r="CL90" i="31"/>
  <c r="P1360" i="27" s="1"/>
  <c r="CL91" i="31"/>
  <c r="P1361" i="27" s="1"/>
  <c r="CL92" i="31"/>
  <c r="P1362" i="27" s="1"/>
  <c r="CL93" i="31"/>
  <c r="P1363" i="27" s="1"/>
  <c r="CL94" i="31"/>
  <c r="P1364" i="27" s="1"/>
  <c r="CL95" i="31"/>
  <c r="P1365" i="27" s="1"/>
  <c r="CL96" i="31"/>
  <c r="P1366" i="27" s="1"/>
  <c r="CL97" i="31"/>
  <c r="P1367" i="27" s="1"/>
  <c r="CL98" i="31"/>
  <c r="P1368" i="27" s="1"/>
  <c r="CL99" i="31"/>
  <c r="P1369" i="27" s="1"/>
  <c r="CL100" i="31"/>
  <c r="P1370" i="27" s="1"/>
  <c r="CL101" i="31"/>
  <c r="P1371" i="27" s="1"/>
  <c r="CL102" i="31"/>
  <c r="P1372" i="27" s="1"/>
  <c r="CL103" i="31"/>
  <c r="P1373" i="27" s="1"/>
  <c r="CL104" i="31"/>
  <c r="P1374" i="27" s="1"/>
  <c r="CL105" i="31"/>
  <c r="P1375" i="27" s="1"/>
  <c r="CL106" i="31"/>
  <c r="P1376" i="27" s="1"/>
  <c r="CL107" i="31"/>
  <c r="P1377" i="27" s="1"/>
  <c r="CL108" i="31"/>
  <c r="P1378" i="27" s="1"/>
  <c r="CL109" i="31"/>
  <c r="P1379" i="27" s="1"/>
  <c r="CL110" i="31"/>
  <c r="P1380" i="27" s="1"/>
  <c r="CL111" i="31"/>
  <c r="P1381" i="27" s="1"/>
  <c r="CL112" i="31"/>
  <c r="P1382" i="27" s="1"/>
  <c r="CL113" i="31"/>
  <c r="P1383" i="27" s="1"/>
  <c r="CL114" i="31"/>
  <c r="P1384" i="27" s="1"/>
  <c r="CL115" i="31"/>
  <c r="P1385" i="27" s="1"/>
  <c r="CL116" i="31"/>
  <c r="P1386" i="27" s="1"/>
  <c r="CL117" i="31"/>
  <c r="P1387" i="27" s="1"/>
  <c r="CL118" i="31"/>
  <c r="P1388" i="27" s="1"/>
  <c r="CL119" i="31"/>
  <c r="P1389" i="27" s="1"/>
  <c r="CL120" i="31"/>
  <c r="P1390" i="27" s="1"/>
  <c r="CL121" i="31"/>
  <c r="P1391" i="27" s="1"/>
  <c r="CL122" i="31"/>
  <c r="P1392" i="27" s="1"/>
  <c r="CL123" i="31"/>
  <c r="P1393" i="27" s="1"/>
  <c r="CL124" i="31"/>
  <c r="P1394" i="27" s="1"/>
  <c r="CL125" i="31"/>
  <c r="P1395" i="27" s="1"/>
  <c r="CL126" i="31"/>
  <c r="P1396" i="27" s="1"/>
  <c r="CL127" i="31"/>
  <c r="P1397" i="27" s="1"/>
  <c r="CL128" i="31"/>
  <c r="P1398" i="27" s="1"/>
  <c r="CL129" i="31"/>
  <c r="P1399" i="27" s="1"/>
  <c r="CL130" i="31"/>
  <c r="P1400" i="27" s="1"/>
  <c r="CL131" i="31"/>
  <c r="P1401" i="27" s="1"/>
  <c r="CL132" i="31"/>
  <c r="P1402" i="27" s="1"/>
  <c r="CL133" i="31"/>
  <c r="P1403" i="27" s="1"/>
  <c r="CL134" i="31"/>
  <c r="P1404" i="27" s="1"/>
  <c r="CL135" i="31"/>
  <c r="P1405" i="27" s="1"/>
  <c r="CL136" i="31"/>
  <c r="P1406" i="27" s="1"/>
  <c r="CL137" i="31"/>
  <c r="P1407" i="27" s="1"/>
  <c r="CL138" i="31"/>
  <c r="P1408" i="27" s="1"/>
  <c r="CL139" i="31"/>
  <c r="P1409" i="27" s="1"/>
  <c r="CL140" i="31"/>
  <c r="P1410" i="27" s="1"/>
  <c r="CL141" i="31"/>
  <c r="P1411" i="27" s="1"/>
  <c r="CL142" i="31"/>
  <c r="P1412" i="27" s="1"/>
  <c r="CL143" i="31"/>
  <c r="P1413" i="27" s="1"/>
  <c r="CL144" i="31"/>
  <c r="P1414" i="27" s="1"/>
  <c r="CL145" i="31"/>
  <c r="P1415" i="27" s="1"/>
  <c r="CL146" i="31"/>
  <c r="P1416" i="27" s="1"/>
  <c r="CL147" i="31"/>
  <c r="P1417" i="27" s="1"/>
  <c r="CL148" i="31"/>
  <c r="P1418" i="27" s="1"/>
  <c r="CL149" i="31"/>
  <c r="P1419" i="27" s="1"/>
  <c r="CL150" i="31"/>
  <c r="P1420" i="27" s="1"/>
  <c r="CH2" i="31"/>
  <c r="L1272" i="27" s="1"/>
  <c r="CH3" i="31"/>
  <c r="L1273" i="27" s="1"/>
  <c r="CH4" i="31"/>
  <c r="L1274" i="27" s="1"/>
  <c r="CH5" i="31"/>
  <c r="L1275" i="27" s="1"/>
  <c r="CH6" i="31"/>
  <c r="L1276" i="27" s="1"/>
  <c r="CH7" i="31"/>
  <c r="L1277" i="27" s="1"/>
  <c r="CH8" i="31"/>
  <c r="L1278" i="27" s="1"/>
  <c r="CH9" i="31"/>
  <c r="L1279" i="27" s="1"/>
  <c r="CH10" i="31"/>
  <c r="L1280" i="27" s="1"/>
  <c r="CH11" i="31"/>
  <c r="L1281" i="27" s="1"/>
  <c r="CH12" i="31"/>
  <c r="L1282" i="27" s="1"/>
  <c r="CH13" i="31"/>
  <c r="L1283" i="27" s="1"/>
  <c r="CH14" i="31"/>
  <c r="L1284" i="27" s="1"/>
  <c r="CH15" i="31"/>
  <c r="L1285" i="27" s="1"/>
  <c r="CH16" i="31"/>
  <c r="L1286" i="27" s="1"/>
  <c r="CH17" i="31"/>
  <c r="L1287" i="27" s="1"/>
  <c r="CH18" i="31"/>
  <c r="L1288" i="27" s="1"/>
  <c r="CH19" i="31"/>
  <c r="L1289" i="27" s="1"/>
  <c r="CH20" i="31"/>
  <c r="L1290" i="27" s="1"/>
  <c r="CH21" i="31"/>
  <c r="L1291" i="27" s="1"/>
  <c r="CH22" i="31"/>
  <c r="L1292" i="27" s="1"/>
  <c r="CH23" i="31"/>
  <c r="L1293" i="27" s="1"/>
  <c r="CH24" i="31"/>
  <c r="L1294" i="27" s="1"/>
  <c r="CH25" i="31"/>
  <c r="L1295" i="27" s="1"/>
  <c r="CH26" i="31"/>
  <c r="L1296" i="27" s="1"/>
  <c r="CH27" i="31"/>
  <c r="L1297" i="27" s="1"/>
  <c r="CH28" i="31"/>
  <c r="L1298" i="27" s="1"/>
  <c r="CH29" i="31"/>
  <c r="L1299" i="27" s="1"/>
  <c r="CH30" i="31"/>
  <c r="L1300" i="27" s="1"/>
  <c r="CH31" i="31"/>
  <c r="L1301" i="27" s="1"/>
  <c r="CH32" i="31"/>
  <c r="L1302" i="27" s="1"/>
  <c r="CH33" i="31"/>
  <c r="L1303" i="27" s="1"/>
  <c r="CH34" i="31"/>
  <c r="L1304" i="27" s="1"/>
  <c r="CH35" i="31"/>
  <c r="L1305" i="27" s="1"/>
  <c r="CH36" i="31"/>
  <c r="L1306" i="27" s="1"/>
  <c r="CH37" i="31"/>
  <c r="L1307" i="27" s="1"/>
  <c r="CH38" i="31"/>
  <c r="L1308" i="27" s="1"/>
  <c r="CH39" i="31"/>
  <c r="L1309" i="27" s="1"/>
  <c r="CH40" i="31"/>
  <c r="L1310" i="27" s="1"/>
  <c r="CH41" i="31"/>
  <c r="L1311" i="27" s="1"/>
  <c r="CH42" i="31"/>
  <c r="L1312" i="27" s="1"/>
  <c r="CH43" i="31"/>
  <c r="L1313" i="27" s="1"/>
  <c r="CH44" i="31"/>
  <c r="L1314" i="27" s="1"/>
  <c r="CH45" i="31"/>
  <c r="L1315" i="27" s="1"/>
  <c r="CH46" i="31"/>
  <c r="L1316" i="27" s="1"/>
  <c r="CH47" i="31"/>
  <c r="L1317" i="27" s="1"/>
  <c r="CH48" i="31"/>
  <c r="L1318" i="27" s="1"/>
  <c r="CH49" i="31"/>
  <c r="L1319" i="27" s="1"/>
  <c r="CH50" i="31"/>
  <c r="L1320" i="27" s="1"/>
  <c r="CH51" i="31"/>
  <c r="L1321" i="27" s="1"/>
  <c r="CH52" i="31"/>
  <c r="L1322" i="27" s="1"/>
  <c r="CH53" i="31"/>
  <c r="L1323" i="27" s="1"/>
  <c r="CH54" i="31"/>
  <c r="L1324" i="27" s="1"/>
  <c r="CH55" i="31"/>
  <c r="L1325" i="27" s="1"/>
  <c r="CH56" i="31"/>
  <c r="L1326" i="27" s="1"/>
  <c r="CH57" i="31"/>
  <c r="L1327" i="27" s="1"/>
  <c r="CH58" i="31"/>
  <c r="L1328" i="27" s="1"/>
  <c r="CH59" i="31"/>
  <c r="L1329" i="27" s="1"/>
  <c r="L1330" i="27"/>
  <c r="CH61" i="31"/>
  <c r="L1331" i="27" s="1"/>
  <c r="CH62" i="31"/>
  <c r="L1332" i="27" s="1"/>
  <c r="CH63" i="31"/>
  <c r="L1333" i="27" s="1"/>
  <c r="CH64" i="31"/>
  <c r="L1334" i="27" s="1"/>
  <c r="CH65" i="31"/>
  <c r="L1335" i="27" s="1"/>
  <c r="CH66" i="31"/>
  <c r="L1336" i="27" s="1"/>
  <c r="CH67" i="31"/>
  <c r="L1337" i="27" s="1"/>
  <c r="CH68" i="31"/>
  <c r="L1338" i="27" s="1"/>
  <c r="CH69" i="31"/>
  <c r="L1339" i="27" s="1"/>
  <c r="CH70" i="31"/>
  <c r="L1340" i="27" s="1"/>
  <c r="CH71" i="31"/>
  <c r="L1341" i="27" s="1"/>
  <c r="CH72" i="31"/>
  <c r="L1342" i="27" s="1"/>
  <c r="CH73" i="31"/>
  <c r="L1343" i="27" s="1"/>
  <c r="CH74" i="31"/>
  <c r="L1344" i="27" s="1"/>
  <c r="CH75" i="31"/>
  <c r="L1345" i="27" s="1"/>
  <c r="CH76" i="31"/>
  <c r="L1346" i="27" s="1"/>
  <c r="CH77" i="31"/>
  <c r="L1347" i="27" s="1"/>
  <c r="CH78" i="31"/>
  <c r="L1348" i="27" s="1"/>
  <c r="CH79" i="31"/>
  <c r="L1349" i="27" s="1"/>
  <c r="CH80" i="31"/>
  <c r="L1350" i="27" s="1"/>
  <c r="CH81" i="31"/>
  <c r="L1351" i="27" s="1"/>
  <c r="CH82" i="31"/>
  <c r="L1352" i="27" s="1"/>
  <c r="CH83" i="31"/>
  <c r="L1353" i="27" s="1"/>
  <c r="CH84" i="31"/>
  <c r="L1354" i="27" s="1"/>
  <c r="CH85" i="31"/>
  <c r="L1355" i="27" s="1"/>
  <c r="CH86" i="31"/>
  <c r="L1356" i="27" s="1"/>
  <c r="CH87" i="31"/>
  <c r="L1357" i="27" s="1"/>
  <c r="CH88" i="31"/>
  <c r="L1358" i="27" s="1"/>
  <c r="CH89" i="31"/>
  <c r="L1359" i="27" s="1"/>
  <c r="CH90" i="31"/>
  <c r="L1360" i="27" s="1"/>
  <c r="CH91" i="31"/>
  <c r="L1361" i="27" s="1"/>
  <c r="CH92" i="31"/>
  <c r="L1362" i="27" s="1"/>
  <c r="CH93" i="31"/>
  <c r="L1363" i="27" s="1"/>
  <c r="CH94" i="31"/>
  <c r="L1364" i="27" s="1"/>
  <c r="CH95" i="31"/>
  <c r="L1365" i="27" s="1"/>
  <c r="CH96" i="31"/>
  <c r="L1366" i="27" s="1"/>
  <c r="CH97" i="31"/>
  <c r="L1367" i="27" s="1"/>
  <c r="CH98" i="31"/>
  <c r="L1368" i="27" s="1"/>
  <c r="CH99" i="31"/>
  <c r="L1369" i="27" s="1"/>
  <c r="CH100" i="31"/>
  <c r="L1370" i="27" s="1"/>
  <c r="CH101" i="31"/>
  <c r="L1371" i="27" s="1"/>
  <c r="CH102" i="31"/>
  <c r="L1372" i="27" s="1"/>
  <c r="CH103" i="31"/>
  <c r="L1373" i="27" s="1"/>
  <c r="CH104" i="31"/>
  <c r="L1374" i="27" s="1"/>
  <c r="CH105" i="31"/>
  <c r="L1375" i="27" s="1"/>
  <c r="CH106" i="31"/>
  <c r="L1376" i="27" s="1"/>
  <c r="CH107" i="31"/>
  <c r="L1377" i="27" s="1"/>
  <c r="CH108" i="31"/>
  <c r="L1378" i="27" s="1"/>
  <c r="CH109" i="31"/>
  <c r="L1379" i="27" s="1"/>
  <c r="CH110" i="31"/>
  <c r="L1380" i="27" s="1"/>
  <c r="CH111" i="31"/>
  <c r="L1381" i="27" s="1"/>
  <c r="CH112" i="31"/>
  <c r="L1382" i="27" s="1"/>
  <c r="CH113" i="31"/>
  <c r="L1383" i="27" s="1"/>
  <c r="CH114" i="31"/>
  <c r="L1384" i="27" s="1"/>
  <c r="CH115" i="31"/>
  <c r="L1385" i="27" s="1"/>
  <c r="CH116" i="31"/>
  <c r="L1386" i="27" s="1"/>
  <c r="CH117" i="31"/>
  <c r="L1387" i="27" s="1"/>
  <c r="CH118" i="31"/>
  <c r="L1388" i="27" s="1"/>
  <c r="CH119" i="31"/>
  <c r="L1389" i="27" s="1"/>
  <c r="CH120" i="31"/>
  <c r="L1390" i="27" s="1"/>
  <c r="CH121" i="31"/>
  <c r="L1391" i="27" s="1"/>
  <c r="CH122" i="31"/>
  <c r="L1392" i="27" s="1"/>
  <c r="CH123" i="31"/>
  <c r="L1393" i="27" s="1"/>
  <c r="CH124" i="31"/>
  <c r="L1394" i="27" s="1"/>
  <c r="CH125" i="31"/>
  <c r="L1395" i="27" s="1"/>
  <c r="CH126" i="31"/>
  <c r="L1396" i="27" s="1"/>
  <c r="CH127" i="31"/>
  <c r="L1397" i="27" s="1"/>
  <c r="CH128" i="31"/>
  <c r="L1398" i="27" s="1"/>
  <c r="CH129" i="31"/>
  <c r="L1399" i="27" s="1"/>
  <c r="CH130" i="31"/>
  <c r="L1400" i="27" s="1"/>
  <c r="CH131" i="31"/>
  <c r="L1401" i="27" s="1"/>
  <c r="CH132" i="31"/>
  <c r="L1402" i="27" s="1"/>
  <c r="CH133" i="31"/>
  <c r="L1403" i="27" s="1"/>
  <c r="CH134" i="31"/>
  <c r="L1404" i="27" s="1"/>
  <c r="CH135" i="31"/>
  <c r="L1405" i="27" s="1"/>
  <c r="CH136" i="31"/>
  <c r="L1406" i="27" s="1"/>
  <c r="CH137" i="31"/>
  <c r="L1407" i="27" s="1"/>
  <c r="CH138" i="31"/>
  <c r="L1408" i="27" s="1"/>
  <c r="CH139" i="31"/>
  <c r="L1409" i="27" s="1"/>
  <c r="CH140" i="31"/>
  <c r="L1410" i="27" s="1"/>
  <c r="CH141" i="31"/>
  <c r="L1411" i="27" s="1"/>
  <c r="CH142" i="31"/>
  <c r="L1412" i="27" s="1"/>
  <c r="CH143" i="31"/>
  <c r="L1413" i="27" s="1"/>
  <c r="CH144" i="31"/>
  <c r="L1414" i="27" s="1"/>
  <c r="CH145" i="31"/>
  <c r="L1415" i="27" s="1"/>
  <c r="CH146" i="31"/>
  <c r="L1416" i="27" s="1"/>
  <c r="CH147" i="31"/>
  <c r="L1417" i="27" s="1"/>
  <c r="CH148" i="31"/>
  <c r="L1418" i="27" s="1"/>
  <c r="CH149" i="31"/>
  <c r="L1419" i="27" s="1"/>
  <c r="CH150" i="31"/>
  <c r="L1420" i="27" s="1"/>
  <c r="CF2" i="31"/>
  <c r="J1272" i="27" s="1"/>
  <c r="CF3" i="31"/>
  <c r="J1273" i="27" s="1"/>
  <c r="CF4" i="31"/>
  <c r="J1274" i="27" s="1"/>
  <c r="CF5" i="31"/>
  <c r="J1275" i="27" s="1"/>
  <c r="CF6" i="31"/>
  <c r="J1276" i="27" s="1"/>
  <c r="CF7" i="31"/>
  <c r="J1277" i="27" s="1"/>
  <c r="CF8" i="31"/>
  <c r="J1278" i="27" s="1"/>
  <c r="CF9" i="31"/>
  <c r="J1279" i="27" s="1"/>
  <c r="CF10" i="31"/>
  <c r="J1280" i="27" s="1"/>
  <c r="CF11" i="31"/>
  <c r="J1281" i="27" s="1"/>
  <c r="CF12" i="31"/>
  <c r="J1282" i="27" s="1"/>
  <c r="CF13" i="31"/>
  <c r="J1283" i="27" s="1"/>
  <c r="CF14" i="31"/>
  <c r="J1284" i="27" s="1"/>
  <c r="CF15" i="31"/>
  <c r="J1285" i="27" s="1"/>
  <c r="CF16" i="31"/>
  <c r="J1286" i="27" s="1"/>
  <c r="CF17" i="31"/>
  <c r="J1287" i="27" s="1"/>
  <c r="CF18" i="31"/>
  <c r="J1288" i="27" s="1"/>
  <c r="CF19" i="31"/>
  <c r="J1289" i="27" s="1"/>
  <c r="CF20" i="31"/>
  <c r="J1290" i="27" s="1"/>
  <c r="CF21" i="31"/>
  <c r="J1291" i="27" s="1"/>
  <c r="CF22" i="31"/>
  <c r="J1292" i="27" s="1"/>
  <c r="CF23" i="31"/>
  <c r="J1293" i="27" s="1"/>
  <c r="CF24" i="31"/>
  <c r="J1294" i="27" s="1"/>
  <c r="CF25" i="31"/>
  <c r="J1295" i="27" s="1"/>
  <c r="CF26" i="31"/>
  <c r="J1296" i="27" s="1"/>
  <c r="CF27" i="31"/>
  <c r="J1297" i="27" s="1"/>
  <c r="CF28" i="31"/>
  <c r="J1298" i="27" s="1"/>
  <c r="CF29" i="31"/>
  <c r="J1299" i="27" s="1"/>
  <c r="CF30" i="31"/>
  <c r="J1300" i="27" s="1"/>
  <c r="CF31" i="31"/>
  <c r="J1301" i="27" s="1"/>
  <c r="CF32" i="31"/>
  <c r="J1302" i="27" s="1"/>
  <c r="CF33" i="31"/>
  <c r="J1303" i="27" s="1"/>
  <c r="CF34" i="31"/>
  <c r="J1304" i="27" s="1"/>
  <c r="CF35" i="31"/>
  <c r="J1305" i="27" s="1"/>
  <c r="CF36" i="31"/>
  <c r="J1306" i="27" s="1"/>
  <c r="CF37" i="31"/>
  <c r="J1307" i="27" s="1"/>
  <c r="CF38" i="31"/>
  <c r="J1308" i="27" s="1"/>
  <c r="CF39" i="31"/>
  <c r="J1309" i="27" s="1"/>
  <c r="CF40" i="31"/>
  <c r="J1310" i="27" s="1"/>
  <c r="CF41" i="31"/>
  <c r="J1311" i="27" s="1"/>
  <c r="CF42" i="31"/>
  <c r="J1312" i="27" s="1"/>
  <c r="CF43" i="31"/>
  <c r="J1313" i="27" s="1"/>
  <c r="CF44" i="31"/>
  <c r="J1314" i="27" s="1"/>
  <c r="CF45" i="31"/>
  <c r="J1315" i="27" s="1"/>
  <c r="CF46" i="31"/>
  <c r="J1316" i="27" s="1"/>
  <c r="CF47" i="31"/>
  <c r="J1317" i="27" s="1"/>
  <c r="CF48" i="31"/>
  <c r="J1318" i="27" s="1"/>
  <c r="CF49" i="31"/>
  <c r="J1319" i="27" s="1"/>
  <c r="CF50" i="31"/>
  <c r="J1320" i="27" s="1"/>
  <c r="CF51" i="31"/>
  <c r="J1321" i="27" s="1"/>
  <c r="CF52" i="31"/>
  <c r="J1322" i="27" s="1"/>
  <c r="CF53" i="31"/>
  <c r="J1323" i="27" s="1"/>
  <c r="CF54" i="31"/>
  <c r="J1324" i="27" s="1"/>
  <c r="CF55" i="31"/>
  <c r="J1325" i="27" s="1"/>
  <c r="CF56" i="31"/>
  <c r="J1326" i="27" s="1"/>
  <c r="CF57" i="31"/>
  <c r="J1327" i="27" s="1"/>
  <c r="CF58" i="31"/>
  <c r="J1328" i="27" s="1"/>
  <c r="CF59" i="31"/>
  <c r="J1329" i="27" s="1"/>
  <c r="J1330" i="27"/>
  <c r="CF61" i="31"/>
  <c r="J1331" i="27" s="1"/>
  <c r="CF62" i="31"/>
  <c r="J1332" i="27" s="1"/>
  <c r="CF63" i="31"/>
  <c r="J1333" i="27" s="1"/>
  <c r="CF64" i="31"/>
  <c r="J1334" i="27" s="1"/>
  <c r="CF65" i="31"/>
  <c r="J1335" i="27" s="1"/>
  <c r="CF66" i="31"/>
  <c r="J1336" i="27" s="1"/>
  <c r="CF67" i="31"/>
  <c r="J1337" i="27" s="1"/>
  <c r="CF68" i="31"/>
  <c r="J1338" i="27" s="1"/>
  <c r="CF69" i="31"/>
  <c r="J1339" i="27" s="1"/>
  <c r="CF70" i="31"/>
  <c r="J1340" i="27" s="1"/>
  <c r="CF71" i="31"/>
  <c r="J1341" i="27" s="1"/>
  <c r="CF72" i="31"/>
  <c r="J1342" i="27" s="1"/>
  <c r="CF73" i="31"/>
  <c r="J1343" i="27" s="1"/>
  <c r="CF74" i="31"/>
  <c r="J1344" i="27" s="1"/>
  <c r="CF75" i="31"/>
  <c r="J1345" i="27" s="1"/>
  <c r="CF76" i="31"/>
  <c r="J1346" i="27" s="1"/>
  <c r="CF77" i="31"/>
  <c r="J1347" i="27" s="1"/>
  <c r="CF78" i="31"/>
  <c r="J1348" i="27" s="1"/>
  <c r="CF79" i="31"/>
  <c r="J1349" i="27" s="1"/>
  <c r="CF80" i="31"/>
  <c r="J1350" i="27" s="1"/>
  <c r="CF81" i="31"/>
  <c r="J1351" i="27" s="1"/>
  <c r="CF82" i="31"/>
  <c r="J1352" i="27" s="1"/>
  <c r="CF83" i="31"/>
  <c r="J1353" i="27" s="1"/>
  <c r="CF84" i="31"/>
  <c r="J1354" i="27" s="1"/>
  <c r="CF85" i="31"/>
  <c r="J1355" i="27" s="1"/>
  <c r="CF86" i="31"/>
  <c r="J1356" i="27" s="1"/>
  <c r="CF87" i="31"/>
  <c r="J1357" i="27" s="1"/>
  <c r="CF88" i="31"/>
  <c r="J1358" i="27" s="1"/>
  <c r="CF89" i="31"/>
  <c r="J1359" i="27" s="1"/>
  <c r="CF90" i="31"/>
  <c r="J1360" i="27" s="1"/>
  <c r="CF91" i="31"/>
  <c r="J1361" i="27" s="1"/>
  <c r="CF92" i="31"/>
  <c r="J1362" i="27" s="1"/>
  <c r="CF93" i="31"/>
  <c r="J1363" i="27" s="1"/>
  <c r="CF94" i="31"/>
  <c r="J1364" i="27" s="1"/>
  <c r="CF95" i="31"/>
  <c r="J1365" i="27" s="1"/>
  <c r="CF96" i="31"/>
  <c r="J1366" i="27" s="1"/>
  <c r="CF97" i="31"/>
  <c r="J1367" i="27" s="1"/>
  <c r="CF98" i="31"/>
  <c r="J1368" i="27" s="1"/>
  <c r="CF99" i="31"/>
  <c r="J1369" i="27" s="1"/>
  <c r="CF100" i="31"/>
  <c r="J1370" i="27" s="1"/>
  <c r="CF101" i="31"/>
  <c r="J1371" i="27" s="1"/>
  <c r="CF102" i="31"/>
  <c r="J1372" i="27" s="1"/>
  <c r="CF103" i="31"/>
  <c r="J1373" i="27" s="1"/>
  <c r="CF104" i="31"/>
  <c r="J1374" i="27" s="1"/>
  <c r="CF105" i="31"/>
  <c r="J1375" i="27" s="1"/>
  <c r="CF106" i="31"/>
  <c r="J1376" i="27" s="1"/>
  <c r="CF107" i="31"/>
  <c r="J1377" i="27" s="1"/>
  <c r="CF108" i="31"/>
  <c r="J1378" i="27" s="1"/>
  <c r="CF109" i="31"/>
  <c r="J1379" i="27" s="1"/>
  <c r="CF110" i="31"/>
  <c r="J1380" i="27" s="1"/>
  <c r="CF111" i="31"/>
  <c r="J1381" i="27" s="1"/>
  <c r="CF112" i="31"/>
  <c r="J1382" i="27" s="1"/>
  <c r="CF113" i="31"/>
  <c r="J1383" i="27" s="1"/>
  <c r="CF114" i="31"/>
  <c r="J1384" i="27" s="1"/>
  <c r="CF115" i="31"/>
  <c r="J1385" i="27" s="1"/>
  <c r="CF116" i="31"/>
  <c r="J1386" i="27" s="1"/>
  <c r="CF117" i="31"/>
  <c r="J1387" i="27" s="1"/>
  <c r="CF118" i="31"/>
  <c r="J1388" i="27" s="1"/>
  <c r="CF119" i="31"/>
  <c r="J1389" i="27" s="1"/>
  <c r="CF120" i="31"/>
  <c r="J1390" i="27" s="1"/>
  <c r="CF121" i="31"/>
  <c r="J1391" i="27" s="1"/>
  <c r="CF122" i="31"/>
  <c r="J1392" i="27" s="1"/>
  <c r="CF123" i="31"/>
  <c r="J1393" i="27" s="1"/>
  <c r="CF124" i="31"/>
  <c r="J1394" i="27" s="1"/>
  <c r="CF125" i="31"/>
  <c r="J1395" i="27" s="1"/>
  <c r="CF126" i="31"/>
  <c r="J1396" i="27" s="1"/>
  <c r="CF127" i="31"/>
  <c r="J1397" i="27" s="1"/>
  <c r="CF128" i="31"/>
  <c r="J1398" i="27" s="1"/>
  <c r="CF129" i="31"/>
  <c r="J1399" i="27" s="1"/>
  <c r="CF130" i="31"/>
  <c r="J1400" i="27" s="1"/>
  <c r="CF131" i="31"/>
  <c r="J1401" i="27" s="1"/>
  <c r="CF132" i="31"/>
  <c r="J1402" i="27" s="1"/>
  <c r="CF133" i="31"/>
  <c r="J1403" i="27" s="1"/>
  <c r="CF134" i="31"/>
  <c r="J1404" i="27" s="1"/>
  <c r="CF135" i="31"/>
  <c r="J1405" i="27" s="1"/>
  <c r="CF136" i="31"/>
  <c r="J1406" i="27" s="1"/>
  <c r="CF137" i="31"/>
  <c r="J1407" i="27" s="1"/>
  <c r="CF138" i="31"/>
  <c r="J1408" i="27" s="1"/>
  <c r="CF139" i="31"/>
  <c r="J1409" i="27" s="1"/>
  <c r="CF140" i="31"/>
  <c r="J1410" i="27" s="1"/>
  <c r="CF141" i="31"/>
  <c r="J1411" i="27" s="1"/>
  <c r="CF142" i="31"/>
  <c r="J1412" i="27" s="1"/>
  <c r="CF143" i="31"/>
  <c r="J1413" i="27" s="1"/>
  <c r="CF144" i="31"/>
  <c r="J1414" i="27" s="1"/>
  <c r="CF145" i="31"/>
  <c r="J1415" i="27" s="1"/>
  <c r="CF146" i="31"/>
  <c r="J1416" i="27" s="1"/>
  <c r="CF147" i="31"/>
  <c r="J1417" i="27" s="1"/>
  <c r="CF148" i="31"/>
  <c r="J1418" i="27" s="1"/>
  <c r="CF149" i="31"/>
  <c r="J1419" i="27" s="1"/>
  <c r="CF150" i="31"/>
  <c r="J1420" i="27" s="1"/>
  <c r="I90" i="31"/>
  <c r="I91" i="31"/>
  <c r="I92" i="31"/>
  <c r="I93" i="31"/>
  <c r="I94" i="31"/>
  <c r="I95" i="31"/>
  <c r="I96" i="31"/>
  <c r="I97" i="31"/>
  <c r="I98" i="31"/>
  <c r="I99" i="31"/>
  <c r="I100" i="31"/>
  <c r="I101" i="31"/>
  <c r="I102" i="31"/>
  <c r="I103" i="31"/>
  <c r="I104" i="31"/>
  <c r="I105" i="31"/>
  <c r="I106" i="31"/>
  <c r="I107" i="31"/>
  <c r="I108" i="31"/>
  <c r="I109" i="31"/>
  <c r="I110" i="31"/>
  <c r="I111" i="31"/>
  <c r="I112" i="31"/>
  <c r="I113" i="31"/>
  <c r="I114" i="31"/>
  <c r="I115" i="31"/>
  <c r="I116" i="31"/>
  <c r="I117" i="31"/>
  <c r="I118" i="31"/>
  <c r="I119" i="31"/>
  <c r="I120" i="31"/>
  <c r="I121" i="31"/>
  <c r="I122" i="31"/>
  <c r="I123" i="31"/>
  <c r="I124" i="31"/>
  <c r="I125" i="31"/>
  <c r="I126" i="31"/>
  <c r="I127" i="31"/>
  <c r="I128" i="31"/>
  <c r="I129" i="31"/>
  <c r="I130" i="31"/>
  <c r="I131" i="31"/>
  <c r="I132" i="31"/>
  <c r="I133" i="31"/>
  <c r="I134" i="31"/>
  <c r="I135" i="31"/>
  <c r="I136" i="31"/>
  <c r="I137" i="31"/>
  <c r="I138" i="31"/>
  <c r="I139" i="31"/>
  <c r="I140" i="31"/>
  <c r="I141" i="31"/>
  <c r="I142" i="31"/>
  <c r="I143" i="31"/>
  <c r="I144" i="31"/>
  <c r="I145" i="31"/>
  <c r="I146" i="31"/>
  <c r="I147" i="31"/>
  <c r="I148" i="31"/>
  <c r="I149" i="31"/>
  <c r="I150" i="31"/>
  <c r="CG2" i="29"/>
  <c r="L1122" i="27" s="1"/>
  <c r="CG3" i="29"/>
  <c r="L1123" i="27" s="1"/>
  <c r="CG4" i="29"/>
  <c r="L1124" i="27" s="1"/>
  <c r="CG5" i="29"/>
  <c r="L1125" i="27" s="1"/>
  <c r="CG6" i="29"/>
  <c r="L1126" i="27" s="1"/>
  <c r="CG7" i="29"/>
  <c r="L1127" i="27" s="1"/>
  <c r="CG8" i="29"/>
  <c r="L1128" i="27" s="1"/>
  <c r="CG9" i="29"/>
  <c r="L1129" i="27" s="1"/>
  <c r="CG10" i="29"/>
  <c r="L1130" i="27" s="1"/>
  <c r="CG11" i="29"/>
  <c r="L1131" i="27" s="1"/>
  <c r="CG12" i="29"/>
  <c r="L1132" i="27" s="1"/>
  <c r="CG13" i="29"/>
  <c r="L1133" i="27" s="1"/>
  <c r="CG14" i="29"/>
  <c r="L1134" i="27" s="1"/>
  <c r="CG15" i="29"/>
  <c r="L1135" i="27" s="1"/>
  <c r="CG16" i="29"/>
  <c r="L1136" i="27" s="1"/>
  <c r="CG17" i="29"/>
  <c r="L1137" i="27" s="1"/>
  <c r="CG18" i="29"/>
  <c r="L1138" i="27" s="1"/>
  <c r="CG19" i="29"/>
  <c r="L1139" i="27" s="1"/>
  <c r="CG20" i="29"/>
  <c r="L1140" i="27" s="1"/>
  <c r="CG21" i="29"/>
  <c r="L1141" i="27" s="1"/>
  <c r="CG22" i="29"/>
  <c r="L1142" i="27" s="1"/>
  <c r="CG23" i="29"/>
  <c r="L1143" i="27" s="1"/>
  <c r="CG24" i="29"/>
  <c r="L1144" i="27" s="1"/>
  <c r="CG25" i="29"/>
  <c r="L1145" i="27" s="1"/>
  <c r="CG26" i="29"/>
  <c r="L1146" i="27" s="1"/>
  <c r="CG27" i="29"/>
  <c r="L1147" i="27" s="1"/>
  <c r="CG28" i="29"/>
  <c r="L1148" i="27" s="1"/>
  <c r="CG29" i="29"/>
  <c r="L1149" i="27" s="1"/>
  <c r="CG30" i="29"/>
  <c r="L1150" i="27" s="1"/>
  <c r="CG31" i="29"/>
  <c r="L1151" i="27" s="1"/>
  <c r="CG32" i="29"/>
  <c r="L1152" i="27" s="1"/>
  <c r="CG33" i="29"/>
  <c r="L1153" i="27" s="1"/>
  <c r="CG34" i="29"/>
  <c r="L1154" i="27" s="1"/>
  <c r="CG35" i="29"/>
  <c r="L1155" i="27" s="1"/>
  <c r="CG36" i="29"/>
  <c r="L1156" i="27" s="1"/>
  <c r="CG37" i="29"/>
  <c r="L1157" i="27" s="1"/>
  <c r="CG38" i="29"/>
  <c r="L1158" i="27" s="1"/>
  <c r="CG39" i="29"/>
  <c r="L1159" i="27" s="1"/>
  <c r="CG40" i="29"/>
  <c r="L1160" i="27" s="1"/>
  <c r="CG41" i="29"/>
  <c r="L1161" i="27" s="1"/>
  <c r="CG42" i="29"/>
  <c r="L1162" i="27" s="1"/>
  <c r="CG43" i="29"/>
  <c r="L1163" i="27" s="1"/>
  <c r="CG44" i="29"/>
  <c r="L1164" i="27" s="1"/>
  <c r="CG45" i="29"/>
  <c r="L1165" i="27" s="1"/>
  <c r="CG46" i="29"/>
  <c r="L1166" i="27" s="1"/>
  <c r="CG47" i="29"/>
  <c r="L1167" i="27" s="1"/>
  <c r="CG48" i="29"/>
  <c r="L1168" i="27" s="1"/>
  <c r="CG49" i="29"/>
  <c r="L1169" i="27" s="1"/>
  <c r="CG50" i="29"/>
  <c r="L1170" i="27" s="1"/>
  <c r="CG51" i="29"/>
  <c r="L1171" i="27" s="1"/>
  <c r="CG52" i="29"/>
  <c r="L1172" i="27" s="1"/>
  <c r="CG53" i="29"/>
  <c r="L1173" i="27" s="1"/>
  <c r="CG54" i="29"/>
  <c r="L1174" i="27" s="1"/>
  <c r="CG55" i="29"/>
  <c r="L1175" i="27" s="1"/>
  <c r="CG56" i="29"/>
  <c r="L1176" i="27" s="1"/>
  <c r="CG57" i="29"/>
  <c r="L1177" i="27" s="1"/>
  <c r="CG58" i="29"/>
  <c r="L1178" i="27" s="1"/>
  <c r="CG59" i="29"/>
  <c r="L1179" i="27" s="1"/>
  <c r="CG60" i="29"/>
  <c r="L1180" i="27" s="1"/>
  <c r="CG61" i="29"/>
  <c r="L1181" i="27" s="1"/>
  <c r="CG62" i="29"/>
  <c r="L1182" i="27" s="1"/>
  <c r="CG63" i="29"/>
  <c r="L1183" i="27" s="1"/>
  <c r="CG64" i="29"/>
  <c r="L1184" i="27" s="1"/>
  <c r="CG65" i="29"/>
  <c r="L1185" i="27" s="1"/>
  <c r="CG66" i="29"/>
  <c r="L1186" i="27" s="1"/>
  <c r="CG67" i="29"/>
  <c r="L1187" i="27" s="1"/>
  <c r="CG68" i="29"/>
  <c r="L1188" i="27" s="1"/>
  <c r="CG69" i="29"/>
  <c r="L1189" i="27" s="1"/>
  <c r="CG70" i="29"/>
  <c r="L1190" i="27" s="1"/>
  <c r="CG71" i="29"/>
  <c r="L1191" i="27" s="1"/>
  <c r="CG72" i="29"/>
  <c r="L1192" i="27" s="1"/>
  <c r="CG73" i="29"/>
  <c r="L1193" i="27" s="1"/>
  <c r="CG74" i="29"/>
  <c r="L1194" i="27" s="1"/>
  <c r="CG75" i="29"/>
  <c r="L1195" i="27" s="1"/>
  <c r="CG76" i="29"/>
  <c r="L1196" i="27" s="1"/>
  <c r="CG77" i="29"/>
  <c r="L1197" i="27" s="1"/>
  <c r="CG78" i="29"/>
  <c r="L1198" i="27" s="1"/>
  <c r="CG79" i="29"/>
  <c r="L1199" i="27" s="1"/>
  <c r="CG80" i="29"/>
  <c r="L1200" i="27" s="1"/>
  <c r="CG81" i="29"/>
  <c r="L1201" i="27" s="1"/>
  <c r="CG82" i="29"/>
  <c r="L1202" i="27" s="1"/>
  <c r="CG83" i="29"/>
  <c r="L1203" i="27" s="1"/>
  <c r="CG84" i="29"/>
  <c r="L1204" i="27" s="1"/>
  <c r="CG85" i="29"/>
  <c r="L1205" i="27" s="1"/>
  <c r="CG86" i="29"/>
  <c r="L1206" i="27" s="1"/>
  <c r="CG87" i="29"/>
  <c r="L1207" i="27" s="1"/>
  <c r="CG88" i="29"/>
  <c r="L1208" i="27" s="1"/>
  <c r="CG89" i="29"/>
  <c r="L1209" i="27" s="1"/>
  <c r="CG90" i="29"/>
  <c r="L1210" i="27" s="1"/>
  <c r="CG91" i="29"/>
  <c r="L1211" i="27" s="1"/>
  <c r="CG92" i="29"/>
  <c r="L1212" i="27" s="1"/>
  <c r="CG93" i="29"/>
  <c r="L1213" i="27" s="1"/>
  <c r="CG94" i="29"/>
  <c r="L1214" i="27" s="1"/>
  <c r="CG95" i="29"/>
  <c r="L1215" i="27" s="1"/>
  <c r="CG96" i="29"/>
  <c r="L1216" i="27" s="1"/>
  <c r="CG97" i="29"/>
  <c r="L1217" i="27" s="1"/>
  <c r="CG98" i="29"/>
  <c r="L1218" i="27" s="1"/>
  <c r="CG99" i="29"/>
  <c r="L1219" i="27" s="1"/>
  <c r="CG100" i="29"/>
  <c r="L1220" i="27" s="1"/>
  <c r="CG101" i="29"/>
  <c r="L1221" i="27" s="1"/>
  <c r="CG102" i="29"/>
  <c r="L1222" i="27" s="1"/>
  <c r="CG103" i="29"/>
  <c r="L1223" i="27" s="1"/>
  <c r="CG104" i="29"/>
  <c r="L1224" i="27" s="1"/>
  <c r="CG105" i="29"/>
  <c r="L1225" i="27" s="1"/>
  <c r="CG106" i="29"/>
  <c r="L1226" i="27" s="1"/>
  <c r="CG107" i="29"/>
  <c r="L1227" i="27" s="1"/>
  <c r="CG108" i="29"/>
  <c r="L1228" i="27" s="1"/>
  <c r="CG109" i="29"/>
  <c r="L1229" i="27" s="1"/>
  <c r="CG110" i="29"/>
  <c r="L1230" i="27" s="1"/>
  <c r="CG111" i="29"/>
  <c r="L1231" i="27" s="1"/>
  <c r="CG112" i="29"/>
  <c r="L1232" i="27" s="1"/>
  <c r="CG113" i="29"/>
  <c r="L1233" i="27" s="1"/>
  <c r="CG114" i="29"/>
  <c r="L1234" i="27" s="1"/>
  <c r="CG115" i="29"/>
  <c r="L1235" i="27" s="1"/>
  <c r="CG116" i="29"/>
  <c r="L1236" i="27" s="1"/>
  <c r="CG117" i="29"/>
  <c r="L1237" i="27" s="1"/>
  <c r="CG118" i="29"/>
  <c r="L1238" i="27" s="1"/>
  <c r="CG119" i="29"/>
  <c r="L1239" i="27" s="1"/>
  <c r="CG120" i="29"/>
  <c r="L1240" i="27" s="1"/>
  <c r="CG121" i="29"/>
  <c r="L1241" i="27" s="1"/>
  <c r="CG122" i="29"/>
  <c r="L1242" i="27" s="1"/>
  <c r="CG123" i="29"/>
  <c r="L1243" i="27" s="1"/>
  <c r="CG124" i="29"/>
  <c r="L1244" i="27" s="1"/>
  <c r="CG125" i="29"/>
  <c r="L1245" i="27" s="1"/>
  <c r="CG126" i="29"/>
  <c r="L1246" i="27" s="1"/>
  <c r="CG127" i="29"/>
  <c r="L1247" i="27" s="1"/>
  <c r="CG128" i="29"/>
  <c r="L1248" i="27" s="1"/>
  <c r="CG129" i="29"/>
  <c r="L1249" i="27" s="1"/>
  <c r="CG130" i="29"/>
  <c r="L1250" i="27" s="1"/>
  <c r="CG131" i="29"/>
  <c r="L1251" i="27" s="1"/>
  <c r="CG132" i="29"/>
  <c r="L1252" i="27" s="1"/>
  <c r="CG133" i="29"/>
  <c r="L1253" i="27" s="1"/>
  <c r="CG134" i="29"/>
  <c r="L1254" i="27" s="1"/>
  <c r="CG135" i="29"/>
  <c r="L1255" i="27" s="1"/>
  <c r="CG136" i="29"/>
  <c r="L1256" i="27" s="1"/>
  <c r="CG137" i="29"/>
  <c r="L1257" i="27" s="1"/>
  <c r="CG138" i="29"/>
  <c r="L1258" i="27" s="1"/>
  <c r="CG139" i="29"/>
  <c r="L1259" i="27" s="1"/>
  <c r="CG140" i="29"/>
  <c r="L1260" i="27" s="1"/>
  <c r="CG141" i="29"/>
  <c r="L1261" i="27" s="1"/>
  <c r="CG142" i="29"/>
  <c r="L1262" i="27" s="1"/>
  <c r="CG143" i="29"/>
  <c r="L1263" i="27" s="1"/>
  <c r="CG144" i="29"/>
  <c r="L1264" i="27" s="1"/>
  <c r="CG145" i="29"/>
  <c r="L1265" i="27" s="1"/>
  <c r="CG146" i="29"/>
  <c r="L1266" i="27" s="1"/>
  <c r="CG147" i="29"/>
  <c r="L1267" i="27" s="1"/>
  <c r="CG148" i="29"/>
  <c r="L1268" i="27" s="1"/>
  <c r="CG149" i="29"/>
  <c r="L1269" i="27" s="1"/>
  <c r="CG150" i="29"/>
  <c r="L1270" i="27" s="1"/>
  <c r="CK2" i="29"/>
  <c r="P1122" i="27" s="1"/>
  <c r="CK3" i="29"/>
  <c r="P1123" i="27" s="1"/>
  <c r="CK4" i="29"/>
  <c r="P1124" i="27" s="1"/>
  <c r="CK5" i="29"/>
  <c r="P1125" i="27" s="1"/>
  <c r="CK6" i="29"/>
  <c r="P1126" i="27" s="1"/>
  <c r="CK7" i="29"/>
  <c r="P1127" i="27" s="1"/>
  <c r="CK8" i="29"/>
  <c r="P1128" i="27" s="1"/>
  <c r="CK9" i="29"/>
  <c r="P1129" i="27" s="1"/>
  <c r="CK10" i="29"/>
  <c r="P1130" i="27" s="1"/>
  <c r="CK11" i="29"/>
  <c r="P1131" i="27" s="1"/>
  <c r="CK12" i="29"/>
  <c r="P1132" i="27" s="1"/>
  <c r="CK13" i="29"/>
  <c r="P1133" i="27" s="1"/>
  <c r="CK14" i="29"/>
  <c r="P1134" i="27" s="1"/>
  <c r="CK15" i="29"/>
  <c r="P1135" i="27" s="1"/>
  <c r="CK16" i="29"/>
  <c r="P1136" i="27" s="1"/>
  <c r="CK17" i="29"/>
  <c r="P1137" i="27" s="1"/>
  <c r="CK18" i="29"/>
  <c r="P1138" i="27" s="1"/>
  <c r="CK19" i="29"/>
  <c r="P1139" i="27" s="1"/>
  <c r="CK20" i="29"/>
  <c r="P1140" i="27" s="1"/>
  <c r="CK21" i="29"/>
  <c r="P1141" i="27" s="1"/>
  <c r="CK22" i="29"/>
  <c r="P1142" i="27" s="1"/>
  <c r="CK23" i="29"/>
  <c r="P1143" i="27" s="1"/>
  <c r="CK24" i="29"/>
  <c r="P1144" i="27" s="1"/>
  <c r="CK25" i="29"/>
  <c r="P1145" i="27" s="1"/>
  <c r="CK26" i="29"/>
  <c r="P1146" i="27" s="1"/>
  <c r="CK27" i="29"/>
  <c r="P1147" i="27" s="1"/>
  <c r="CK28" i="29"/>
  <c r="P1148" i="27" s="1"/>
  <c r="CK29" i="29"/>
  <c r="P1149" i="27" s="1"/>
  <c r="CK30" i="29"/>
  <c r="P1150" i="27" s="1"/>
  <c r="CK31" i="29"/>
  <c r="P1151" i="27" s="1"/>
  <c r="CK32" i="29"/>
  <c r="P1152" i="27" s="1"/>
  <c r="CK33" i="29"/>
  <c r="P1153" i="27" s="1"/>
  <c r="CK34" i="29"/>
  <c r="P1154" i="27" s="1"/>
  <c r="CK35" i="29"/>
  <c r="P1155" i="27" s="1"/>
  <c r="CK36" i="29"/>
  <c r="P1156" i="27" s="1"/>
  <c r="CK37" i="29"/>
  <c r="P1157" i="27" s="1"/>
  <c r="CK38" i="29"/>
  <c r="P1158" i="27" s="1"/>
  <c r="CK39" i="29"/>
  <c r="P1159" i="27" s="1"/>
  <c r="CK40" i="29"/>
  <c r="P1160" i="27" s="1"/>
  <c r="CK41" i="29"/>
  <c r="P1161" i="27" s="1"/>
  <c r="CK42" i="29"/>
  <c r="P1162" i="27" s="1"/>
  <c r="CK43" i="29"/>
  <c r="P1163" i="27" s="1"/>
  <c r="CK44" i="29"/>
  <c r="P1164" i="27" s="1"/>
  <c r="CK45" i="29"/>
  <c r="P1165" i="27" s="1"/>
  <c r="CK46" i="29"/>
  <c r="P1166" i="27" s="1"/>
  <c r="CK47" i="29"/>
  <c r="P1167" i="27" s="1"/>
  <c r="CK48" i="29"/>
  <c r="P1168" i="27" s="1"/>
  <c r="CK49" i="29"/>
  <c r="P1169" i="27" s="1"/>
  <c r="CK50" i="29"/>
  <c r="P1170" i="27" s="1"/>
  <c r="CK51" i="29"/>
  <c r="P1171" i="27" s="1"/>
  <c r="CK52" i="29"/>
  <c r="P1172" i="27" s="1"/>
  <c r="CK53" i="29"/>
  <c r="P1173" i="27" s="1"/>
  <c r="CK54" i="29"/>
  <c r="P1174" i="27" s="1"/>
  <c r="CK55" i="29"/>
  <c r="P1175" i="27" s="1"/>
  <c r="CK56" i="29"/>
  <c r="P1176" i="27" s="1"/>
  <c r="CK57" i="29"/>
  <c r="P1177" i="27" s="1"/>
  <c r="CK58" i="29"/>
  <c r="P1178" i="27" s="1"/>
  <c r="CK59" i="29"/>
  <c r="P1179" i="27" s="1"/>
  <c r="CK60" i="29"/>
  <c r="P1180" i="27" s="1"/>
  <c r="CK61" i="29"/>
  <c r="P1181" i="27" s="1"/>
  <c r="CK62" i="29"/>
  <c r="P1182" i="27" s="1"/>
  <c r="CK63" i="29"/>
  <c r="P1183" i="27" s="1"/>
  <c r="CK64" i="29"/>
  <c r="P1184" i="27" s="1"/>
  <c r="CK65" i="29"/>
  <c r="P1185" i="27" s="1"/>
  <c r="CK66" i="29"/>
  <c r="P1186" i="27" s="1"/>
  <c r="CK67" i="29"/>
  <c r="P1187" i="27" s="1"/>
  <c r="CK68" i="29"/>
  <c r="P1188" i="27" s="1"/>
  <c r="CK69" i="29"/>
  <c r="P1189" i="27" s="1"/>
  <c r="CK70" i="29"/>
  <c r="P1190" i="27" s="1"/>
  <c r="CK71" i="29"/>
  <c r="P1191" i="27" s="1"/>
  <c r="CK72" i="29"/>
  <c r="P1192" i="27" s="1"/>
  <c r="CK73" i="29"/>
  <c r="P1193" i="27" s="1"/>
  <c r="CK74" i="29"/>
  <c r="P1194" i="27" s="1"/>
  <c r="CK75" i="29"/>
  <c r="P1195" i="27" s="1"/>
  <c r="CK76" i="29"/>
  <c r="P1196" i="27" s="1"/>
  <c r="CK77" i="29"/>
  <c r="P1197" i="27" s="1"/>
  <c r="CK78" i="29"/>
  <c r="P1198" i="27" s="1"/>
  <c r="CK79" i="29"/>
  <c r="P1199" i="27" s="1"/>
  <c r="CK80" i="29"/>
  <c r="P1200" i="27" s="1"/>
  <c r="CK81" i="29"/>
  <c r="P1201" i="27" s="1"/>
  <c r="CK82" i="29"/>
  <c r="P1202" i="27" s="1"/>
  <c r="CK83" i="29"/>
  <c r="P1203" i="27" s="1"/>
  <c r="CK84" i="29"/>
  <c r="P1204" i="27" s="1"/>
  <c r="CK85" i="29"/>
  <c r="P1205" i="27" s="1"/>
  <c r="CK86" i="29"/>
  <c r="P1206" i="27" s="1"/>
  <c r="CK87" i="29"/>
  <c r="P1207" i="27" s="1"/>
  <c r="CK88" i="29"/>
  <c r="P1208" i="27" s="1"/>
  <c r="CK89" i="29"/>
  <c r="P1209" i="27" s="1"/>
  <c r="CK90" i="29"/>
  <c r="P1210" i="27" s="1"/>
  <c r="CK91" i="29"/>
  <c r="P1211" i="27" s="1"/>
  <c r="CK92" i="29"/>
  <c r="P1212" i="27" s="1"/>
  <c r="CK93" i="29"/>
  <c r="P1213" i="27" s="1"/>
  <c r="CK94" i="29"/>
  <c r="P1214" i="27" s="1"/>
  <c r="CK95" i="29"/>
  <c r="P1215" i="27" s="1"/>
  <c r="CK96" i="29"/>
  <c r="P1216" i="27" s="1"/>
  <c r="CK97" i="29"/>
  <c r="P1217" i="27" s="1"/>
  <c r="CK98" i="29"/>
  <c r="P1218" i="27" s="1"/>
  <c r="CK99" i="29"/>
  <c r="P1219" i="27" s="1"/>
  <c r="CK100" i="29"/>
  <c r="P1220" i="27" s="1"/>
  <c r="CK101" i="29"/>
  <c r="P1221" i="27" s="1"/>
  <c r="CK102" i="29"/>
  <c r="P1222" i="27" s="1"/>
  <c r="CK103" i="29"/>
  <c r="P1223" i="27" s="1"/>
  <c r="CK104" i="29"/>
  <c r="P1224" i="27" s="1"/>
  <c r="CK105" i="29"/>
  <c r="P1225" i="27" s="1"/>
  <c r="CK106" i="29"/>
  <c r="P1226" i="27" s="1"/>
  <c r="CK107" i="29"/>
  <c r="P1227" i="27" s="1"/>
  <c r="CK108" i="29"/>
  <c r="P1228" i="27" s="1"/>
  <c r="CK109" i="29"/>
  <c r="P1229" i="27" s="1"/>
  <c r="CK110" i="29"/>
  <c r="P1230" i="27" s="1"/>
  <c r="CK111" i="29"/>
  <c r="P1231" i="27" s="1"/>
  <c r="CK112" i="29"/>
  <c r="P1232" i="27" s="1"/>
  <c r="CK113" i="29"/>
  <c r="P1233" i="27" s="1"/>
  <c r="CK114" i="29"/>
  <c r="P1234" i="27" s="1"/>
  <c r="CK115" i="29"/>
  <c r="P1235" i="27" s="1"/>
  <c r="CK116" i="29"/>
  <c r="P1236" i="27" s="1"/>
  <c r="CK117" i="29"/>
  <c r="P1237" i="27" s="1"/>
  <c r="CK118" i="29"/>
  <c r="P1238" i="27" s="1"/>
  <c r="CK119" i="29"/>
  <c r="P1239" i="27" s="1"/>
  <c r="CK120" i="29"/>
  <c r="P1240" i="27" s="1"/>
  <c r="CK121" i="29"/>
  <c r="P1241" i="27" s="1"/>
  <c r="CK122" i="29"/>
  <c r="P1242" i="27" s="1"/>
  <c r="CK123" i="29"/>
  <c r="P1243" i="27" s="1"/>
  <c r="CK124" i="29"/>
  <c r="P1244" i="27" s="1"/>
  <c r="CK125" i="29"/>
  <c r="P1245" i="27" s="1"/>
  <c r="CK126" i="29"/>
  <c r="P1246" i="27" s="1"/>
  <c r="CK127" i="29"/>
  <c r="P1247" i="27" s="1"/>
  <c r="CK128" i="29"/>
  <c r="P1248" i="27" s="1"/>
  <c r="CK129" i="29"/>
  <c r="P1249" i="27" s="1"/>
  <c r="CK130" i="29"/>
  <c r="P1250" i="27" s="1"/>
  <c r="CK131" i="29"/>
  <c r="P1251" i="27" s="1"/>
  <c r="CK132" i="29"/>
  <c r="P1252" i="27" s="1"/>
  <c r="CK133" i="29"/>
  <c r="P1253" i="27" s="1"/>
  <c r="CK134" i="29"/>
  <c r="P1254" i="27" s="1"/>
  <c r="CK135" i="29"/>
  <c r="P1255" i="27" s="1"/>
  <c r="CK136" i="29"/>
  <c r="P1256" i="27" s="1"/>
  <c r="CK137" i="29"/>
  <c r="P1257" i="27" s="1"/>
  <c r="CK138" i="29"/>
  <c r="P1258" i="27" s="1"/>
  <c r="CK139" i="29"/>
  <c r="P1259" i="27" s="1"/>
  <c r="CK140" i="29"/>
  <c r="P1260" i="27" s="1"/>
  <c r="CK141" i="29"/>
  <c r="P1261" i="27" s="1"/>
  <c r="CK142" i="29"/>
  <c r="P1262" i="27" s="1"/>
  <c r="CK143" i="29"/>
  <c r="P1263" i="27" s="1"/>
  <c r="CK144" i="29"/>
  <c r="P1264" i="27" s="1"/>
  <c r="CK145" i="29"/>
  <c r="P1265" i="27" s="1"/>
  <c r="CK146" i="29"/>
  <c r="P1266" i="27" s="1"/>
  <c r="CK147" i="29"/>
  <c r="P1267" i="27" s="1"/>
  <c r="CK148" i="29"/>
  <c r="P1268" i="27" s="1"/>
  <c r="CK149" i="29"/>
  <c r="P1269" i="27" s="1"/>
  <c r="CK150" i="29"/>
  <c r="P1270" i="27" s="1"/>
  <c r="CF2" i="29"/>
  <c r="K1122" i="27" s="1"/>
  <c r="CF3" i="29"/>
  <c r="K1123" i="27" s="1"/>
  <c r="CF4" i="29"/>
  <c r="K1124" i="27" s="1"/>
  <c r="CF5" i="29"/>
  <c r="K1125" i="27" s="1"/>
  <c r="CF6" i="29"/>
  <c r="K1126" i="27" s="1"/>
  <c r="CF7" i="29"/>
  <c r="K1127" i="27" s="1"/>
  <c r="CF8" i="29"/>
  <c r="K1128" i="27" s="1"/>
  <c r="CF9" i="29"/>
  <c r="K1129" i="27" s="1"/>
  <c r="CF10" i="29"/>
  <c r="K1130" i="27" s="1"/>
  <c r="CF11" i="29"/>
  <c r="K1131" i="27" s="1"/>
  <c r="CF12" i="29"/>
  <c r="K1132" i="27" s="1"/>
  <c r="CF13" i="29"/>
  <c r="K1133" i="27" s="1"/>
  <c r="CF14" i="29"/>
  <c r="K1134" i="27" s="1"/>
  <c r="CF15" i="29"/>
  <c r="K1135" i="27" s="1"/>
  <c r="CF16" i="29"/>
  <c r="K1136" i="27" s="1"/>
  <c r="CF17" i="29"/>
  <c r="K1137" i="27" s="1"/>
  <c r="CF18" i="29"/>
  <c r="K1138" i="27" s="1"/>
  <c r="CF19" i="29"/>
  <c r="K1139" i="27" s="1"/>
  <c r="CF20" i="29"/>
  <c r="K1140" i="27" s="1"/>
  <c r="CF21" i="29"/>
  <c r="K1141" i="27" s="1"/>
  <c r="CF22" i="29"/>
  <c r="K1142" i="27" s="1"/>
  <c r="CF23" i="29"/>
  <c r="K1143" i="27" s="1"/>
  <c r="CF24" i="29"/>
  <c r="K1144" i="27" s="1"/>
  <c r="CF25" i="29"/>
  <c r="K1145" i="27" s="1"/>
  <c r="CF26" i="29"/>
  <c r="K1146" i="27" s="1"/>
  <c r="CF27" i="29"/>
  <c r="K1147" i="27" s="1"/>
  <c r="CF28" i="29"/>
  <c r="K1148" i="27" s="1"/>
  <c r="CF29" i="29"/>
  <c r="K1149" i="27" s="1"/>
  <c r="CF30" i="29"/>
  <c r="K1150" i="27" s="1"/>
  <c r="CF31" i="29"/>
  <c r="K1151" i="27" s="1"/>
  <c r="CF32" i="29"/>
  <c r="K1152" i="27" s="1"/>
  <c r="CF33" i="29"/>
  <c r="K1153" i="27" s="1"/>
  <c r="CF34" i="29"/>
  <c r="K1154" i="27" s="1"/>
  <c r="CF35" i="29"/>
  <c r="K1155" i="27" s="1"/>
  <c r="CF36" i="29"/>
  <c r="K1156" i="27" s="1"/>
  <c r="CF37" i="29"/>
  <c r="K1157" i="27" s="1"/>
  <c r="CF38" i="29"/>
  <c r="K1158" i="27" s="1"/>
  <c r="CF39" i="29"/>
  <c r="K1159" i="27" s="1"/>
  <c r="CF40" i="29"/>
  <c r="K1160" i="27" s="1"/>
  <c r="CF41" i="29"/>
  <c r="K1161" i="27" s="1"/>
  <c r="CF42" i="29"/>
  <c r="K1162" i="27" s="1"/>
  <c r="CF43" i="29"/>
  <c r="K1163" i="27" s="1"/>
  <c r="CF44" i="29"/>
  <c r="K1164" i="27" s="1"/>
  <c r="CF45" i="29"/>
  <c r="K1165" i="27" s="1"/>
  <c r="CF46" i="29"/>
  <c r="K1166" i="27" s="1"/>
  <c r="CF47" i="29"/>
  <c r="K1167" i="27" s="1"/>
  <c r="CF48" i="29"/>
  <c r="K1168" i="27" s="1"/>
  <c r="CF49" i="29"/>
  <c r="K1169" i="27" s="1"/>
  <c r="CF50" i="29"/>
  <c r="K1170" i="27" s="1"/>
  <c r="CF51" i="29"/>
  <c r="K1171" i="27" s="1"/>
  <c r="CF52" i="29"/>
  <c r="K1172" i="27" s="1"/>
  <c r="CF53" i="29"/>
  <c r="K1173" i="27" s="1"/>
  <c r="CF54" i="29"/>
  <c r="K1174" i="27" s="1"/>
  <c r="CF55" i="29"/>
  <c r="K1175" i="27" s="1"/>
  <c r="CF56" i="29"/>
  <c r="K1176" i="27" s="1"/>
  <c r="CF57" i="29"/>
  <c r="K1177" i="27" s="1"/>
  <c r="CF58" i="29"/>
  <c r="K1178" i="27" s="1"/>
  <c r="CF59" i="29"/>
  <c r="K1179" i="27" s="1"/>
  <c r="CF60" i="29"/>
  <c r="K1180" i="27" s="1"/>
  <c r="CF61" i="29"/>
  <c r="K1181" i="27" s="1"/>
  <c r="CF62" i="29"/>
  <c r="K1182" i="27" s="1"/>
  <c r="CF63" i="29"/>
  <c r="K1183" i="27" s="1"/>
  <c r="CF64" i="29"/>
  <c r="K1184" i="27" s="1"/>
  <c r="CF65" i="29"/>
  <c r="K1185" i="27" s="1"/>
  <c r="CF66" i="29"/>
  <c r="K1186" i="27" s="1"/>
  <c r="CF67" i="29"/>
  <c r="K1187" i="27" s="1"/>
  <c r="CF68" i="29"/>
  <c r="K1188" i="27" s="1"/>
  <c r="CF69" i="29"/>
  <c r="K1189" i="27" s="1"/>
  <c r="CF70" i="29"/>
  <c r="K1190" i="27" s="1"/>
  <c r="CF71" i="29"/>
  <c r="K1191" i="27" s="1"/>
  <c r="CF72" i="29"/>
  <c r="K1192" i="27" s="1"/>
  <c r="CF73" i="29"/>
  <c r="K1193" i="27" s="1"/>
  <c r="CF74" i="29"/>
  <c r="K1194" i="27" s="1"/>
  <c r="CF75" i="29"/>
  <c r="K1195" i="27" s="1"/>
  <c r="CF76" i="29"/>
  <c r="K1196" i="27" s="1"/>
  <c r="CF77" i="29"/>
  <c r="K1197" i="27" s="1"/>
  <c r="CF78" i="29"/>
  <c r="K1198" i="27" s="1"/>
  <c r="CF79" i="29"/>
  <c r="K1199" i="27" s="1"/>
  <c r="CF80" i="29"/>
  <c r="K1200" i="27" s="1"/>
  <c r="CF81" i="29"/>
  <c r="K1201" i="27" s="1"/>
  <c r="CF82" i="29"/>
  <c r="K1202" i="27" s="1"/>
  <c r="CF83" i="29"/>
  <c r="K1203" i="27" s="1"/>
  <c r="CF84" i="29"/>
  <c r="K1204" i="27" s="1"/>
  <c r="CF85" i="29"/>
  <c r="K1205" i="27" s="1"/>
  <c r="CF86" i="29"/>
  <c r="K1206" i="27" s="1"/>
  <c r="CF87" i="29"/>
  <c r="K1207" i="27" s="1"/>
  <c r="CF88" i="29"/>
  <c r="K1208" i="27" s="1"/>
  <c r="CF89" i="29"/>
  <c r="K1209" i="27" s="1"/>
  <c r="CF90" i="29"/>
  <c r="K1210" i="27" s="1"/>
  <c r="CF91" i="29"/>
  <c r="K1211" i="27" s="1"/>
  <c r="CF92" i="29"/>
  <c r="K1212" i="27" s="1"/>
  <c r="CF93" i="29"/>
  <c r="K1213" i="27" s="1"/>
  <c r="CF94" i="29"/>
  <c r="K1214" i="27" s="1"/>
  <c r="CF95" i="29"/>
  <c r="K1215" i="27" s="1"/>
  <c r="CF96" i="29"/>
  <c r="K1216" i="27" s="1"/>
  <c r="CF97" i="29"/>
  <c r="K1217" i="27" s="1"/>
  <c r="CF98" i="29"/>
  <c r="K1218" i="27" s="1"/>
  <c r="CF99" i="29"/>
  <c r="K1219" i="27" s="1"/>
  <c r="CF100" i="29"/>
  <c r="K1220" i="27" s="1"/>
  <c r="CF101" i="29"/>
  <c r="K1221" i="27" s="1"/>
  <c r="CF102" i="29"/>
  <c r="K1222" i="27" s="1"/>
  <c r="CF103" i="29"/>
  <c r="K1223" i="27" s="1"/>
  <c r="CF104" i="29"/>
  <c r="K1224" i="27" s="1"/>
  <c r="CF105" i="29"/>
  <c r="K1225" i="27" s="1"/>
  <c r="CF106" i="29"/>
  <c r="K1226" i="27" s="1"/>
  <c r="CF107" i="29"/>
  <c r="K1227" i="27" s="1"/>
  <c r="CF108" i="29"/>
  <c r="K1228" i="27" s="1"/>
  <c r="CF109" i="29"/>
  <c r="K1229" i="27" s="1"/>
  <c r="CF110" i="29"/>
  <c r="K1230" i="27" s="1"/>
  <c r="CF111" i="29"/>
  <c r="K1231" i="27" s="1"/>
  <c r="CF112" i="29"/>
  <c r="K1232" i="27" s="1"/>
  <c r="CF113" i="29"/>
  <c r="K1233" i="27" s="1"/>
  <c r="CF114" i="29"/>
  <c r="K1234" i="27" s="1"/>
  <c r="CF115" i="29"/>
  <c r="K1235" i="27" s="1"/>
  <c r="CF116" i="29"/>
  <c r="K1236" i="27" s="1"/>
  <c r="CF117" i="29"/>
  <c r="K1237" i="27" s="1"/>
  <c r="CF118" i="29"/>
  <c r="K1238" i="27" s="1"/>
  <c r="CF119" i="29"/>
  <c r="K1239" i="27" s="1"/>
  <c r="CF120" i="29"/>
  <c r="K1240" i="27" s="1"/>
  <c r="CF121" i="29"/>
  <c r="K1241" i="27" s="1"/>
  <c r="CF122" i="29"/>
  <c r="K1242" i="27" s="1"/>
  <c r="CF123" i="29"/>
  <c r="K1243" i="27" s="1"/>
  <c r="CF124" i="29"/>
  <c r="K1244" i="27" s="1"/>
  <c r="CF125" i="29"/>
  <c r="K1245" i="27" s="1"/>
  <c r="CF126" i="29"/>
  <c r="K1246" i="27" s="1"/>
  <c r="CF127" i="29"/>
  <c r="K1247" i="27" s="1"/>
  <c r="CF128" i="29"/>
  <c r="K1248" i="27" s="1"/>
  <c r="CF129" i="29"/>
  <c r="K1249" i="27" s="1"/>
  <c r="CF130" i="29"/>
  <c r="K1250" i="27" s="1"/>
  <c r="CF131" i="29"/>
  <c r="K1251" i="27" s="1"/>
  <c r="CF132" i="29"/>
  <c r="K1252" i="27" s="1"/>
  <c r="CF133" i="29"/>
  <c r="K1253" i="27" s="1"/>
  <c r="CF134" i="29"/>
  <c r="K1254" i="27" s="1"/>
  <c r="CF135" i="29"/>
  <c r="K1255" i="27" s="1"/>
  <c r="CF136" i="29"/>
  <c r="K1256" i="27" s="1"/>
  <c r="CF137" i="29"/>
  <c r="K1257" i="27" s="1"/>
  <c r="CF138" i="29"/>
  <c r="K1258" i="27" s="1"/>
  <c r="CF139" i="29"/>
  <c r="K1259" i="27" s="1"/>
  <c r="CF140" i="29"/>
  <c r="K1260" i="27" s="1"/>
  <c r="CF141" i="29"/>
  <c r="K1261" i="27" s="1"/>
  <c r="CF142" i="29"/>
  <c r="K1262" i="27" s="1"/>
  <c r="CF143" i="29"/>
  <c r="K1263" i="27" s="1"/>
  <c r="CF144" i="29"/>
  <c r="K1264" i="27" s="1"/>
  <c r="CF145" i="29"/>
  <c r="K1265" i="27" s="1"/>
  <c r="CF146" i="29"/>
  <c r="K1266" i="27" s="1"/>
  <c r="CF147" i="29"/>
  <c r="K1267" i="27" s="1"/>
  <c r="CF148" i="29"/>
  <c r="K1268" i="27" s="1"/>
  <c r="CF149" i="29"/>
  <c r="K1269" i="27" s="1"/>
  <c r="CF150" i="29"/>
  <c r="K1270" i="27" s="1"/>
  <c r="CE2" i="29"/>
  <c r="J1122" i="27" s="1"/>
  <c r="CE3" i="29"/>
  <c r="J1123" i="27" s="1"/>
  <c r="CE4" i="29"/>
  <c r="J1124" i="27" s="1"/>
  <c r="CE5" i="29"/>
  <c r="J1125" i="27" s="1"/>
  <c r="CE6" i="29"/>
  <c r="J1126" i="27" s="1"/>
  <c r="CE7" i="29"/>
  <c r="J1127" i="27" s="1"/>
  <c r="CE8" i="29"/>
  <c r="J1128" i="27" s="1"/>
  <c r="CE9" i="29"/>
  <c r="J1129" i="27" s="1"/>
  <c r="CE10" i="29"/>
  <c r="J1130" i="27" s="1"/>
  <c r="CE11" i="29"/>
  <c r="J1131" i="27" s="1"/>
  <c r="CE12" i="29"/>
  <c r="J1132" i="27" s="1"/>
  <c r="CE13" i="29"/>
  <c r="J1133" i="27" s="1"/>
  <c r="CE14" i="29"/>
  <c r="J1134" i="27" s="1"/>
  <c r="CE15" i="29"/>
  <c r="J1135" i="27" s="1"/>
  <c r="CE16" i="29"/>
  <c r="J1136" i="27" s="1"/>
  <c r="CE17" i="29"/>
  <c r="J1137" i="27" s="1"/>
  <c r="CE18" i="29"/>
  <c r="J1138" i="27" s="1"/>
  <c r="CE19" i="29"/>
  <c r="J1139" i="27" s="1"/>
  <c r="CE20" i="29"/>
  <c r="J1140" i="27" s="1"/>
  <c r="CE21" i="29"/>
  <c r="J1141" i="27" s="1"/>
  <c r="CE22" i="29"/>
  <c r="J1142" i="27" s="1"/>
  <c r="CE23" i="29"/>
  <c r="J1143" i="27" s="1"/>
  <c r="CE24" i="29"/>
  <c r="J1144" i="27" s="1"/>
  <c r="CE25" i="29"/>
  <c r="J1145" i="27" s="1"/>
  <c r="CE26" i="29"/>
  <c r="J1146" i="27" s="1"/>
  <c r="CE27" i="29"/>
  <c r="J1147" i="27" s="1"/>
  <c r="CE28" i="29"/>
  <c r="J1148" i="27" s="1"/>
  <c r="CE29" i="29"/>
  <c r="J1149" i="27" s="1"/>
  <c r="CE30" i="29"/>
  <c r="J1150" i="27" s="1"/>
  <c r="CE31" i="29"/>
  <c r="J1151" i="27" s="1"/>
  <c r="CE32" i="29"/>
  <c r="J1152" i="27" s="1"/>
  <c r="CE33" i="29"/>
  <c r="J1153" i="27" s="1"/>
  <c r="CE34" i="29"/>
  <c r="J1154" i="27" s="1"/>
  <c r="CE35" i="29"/>
  <c r="J1155" i="27" s="1"/>
  <c r="CE36" i="29"/>
  <c r="J1156" i="27" s="1"/>
  <c r="CE37" i="29"/>
  <c r="J1157" i="27" s="1"/>
  <c r="CE38" i="29"/>
  <c r="J1158" i="27" s="1"/>
  <c r="CE39" i="29"/>
  <c r="J1159" i="27" s="1"/>
  <c r="CE40" i="29"/>
  <c r="J1160" i="27" s="1"/>
  <c r="CE41" i="29"/>
  <c r="J1161" i="27" s="1"/>
  <c r="CE42" i="29"/>
  <c r="J1162" i="27" s="1"/>
  <c r="CE43" i="29"/>
  <c r="J1163" i="27" s="1"/>
  <c r="CE44" i="29"/>
  <c r="J1164" i="27" s="1"/>
  <c r="CE45" i="29"/>
  <c r="J1165" i="27" s="1"/>
  <c r="CE46" i="29"/>
  <c r="J1166" i="27" s="1"/>
  <c r="CE47" i="29"/>
  <c r="J1167" i="27" s="1"/>
  <c r="CE48" i="29"/>
  <c r="J1168" i="27" s="1"/>
  <c r="CE49" i="29"/>
  <c r="J1169" i="27" s="1"/>
  <c r="CE50" i="29"/>
  <c r="J1170" i="27" s="1"/>
  <c r="CE51" i="29"/>
  <c r="J1171" i="27" s="1"/>
  <c r="CE52" i="29"/>
  <c r="J1172" i="27" s="1"/>
  <c r="CE53" i="29"/>
  <c r="J1173" i="27" s="1"/>
  <c r="CE54" i="29"/>
  <c r="J1174" i="27" s="1"/>
  <c r="CE55" i="29"/>
  <c r="J1175" i="27" s="1"/>
  <c r="CE56" i="29"/>
  <c r="J1176" i="27" s="1"/>
  <c r="CE57" i="29"/>
  <c r="J1177" i="27" s="1"/>
  <c r="CE58" i="29"/>
  <c r="J1178" i="27" s="1"/>
  <c r="CE59" i="29"/>
  <c r="J1179" i="27" s="1"/>
  <c r="CE60" i="29"/>
  <c r="J1180" i="27" s="1"/>
  <c r="CE61" i="29"/>
  <c r="J1181" i="27" s="1"/>
  <c r="CE62" i="29"/>
  <c r="J1182" i="27" s="1"/>
  <c r="CE63" i="29"/>
  <c r="J1183" i="27" s="1"/>
  <c r="CE64" i="29"/>
  <c r="J1184" i="27" s="1"/>
  <c r="CE65" i="29"/>
  <c r="J1185" i="27" s="1"/>
  <c r="CE66" i="29"/>
  <c r="J1186" i="27" s="1"/>
  <c r="CE67" i="29"/>
  <c r="J1187" i="27" s="1"/>
  <c r="CE68" i="29"/>
  <c r="J1188" i="27" s="1"/>
  <c r="CE69" i="29"/>
  <c r="J1189" i="27" s="1"/>
  <c r="CE70" i="29"/>
  <c r="J1190" i="27" s="1"/>
  <c r="CE71" i="29"/>
  <c r="J1191" i="27" s="1"/>
  <c r="CE72" i="29"/>
  <c r="J1192" i="27" s="1"/>
  <c r="CE73" i="29"/>
  <c r="J1193" i="27" s="1"/>
  <c r="CE74" i="29"/>
  <c r="J1194" i="27" s="1"/>
  <c r="CE75" i="29"/>
  <c r="J1195" i="27" s="1"/>
  <c r="CE76" i="29"/>
  <c r="J1196" i="27" s="1"/>
  <c r="CE77" i="29"/>
  <c r="J1197" i="27" s="1"/>
  <c r="CE78" i="29"/>
  <c r="J1198" i="27" s="1"/>
  <c r="CE79" i="29"/>
  <c r="J1199" i="27" s="1"/>
  <c r="CE80" i="29"/>
  <c r="J1200" i="27" s="1"/>
  <c r="CE81" i="29"/>
  <c r="J1201" i="27" s="1"/>
  <c r="CE82" i="29"/>
  <c r="J1202" i="27" s="1"/>
  <c r="CE83" i="29"/>
  <c r="J1203" i="27" s="1"/>
  <c r="CE84" i="29"/>
  <c r="J1204" i="27" s="1"/>
  <c r="CE85" i="29"/>
  <c r="J1205" i="27" s="1"/>
  <c r="CE86" i="29"/>
  <c r="J1206" i="27" s="1"/>
  <c r="CE87" i="29"/>
  <c r="J1207" i="27" s="1"/>
  <c r="CE88" i="29"/>
  <c r="J1208" i="27" s="1"/>
  <c r="CE89" i="29"/>
  <c r="J1209" i="27" s="1"/>
  <c r="CE90" i="29"/>
  <c r="J1210" i="27" s="1"/>
  <c r="CE91" i="29"/>
  <c r="J1211" i="27" s="1"/>
  <c r="CE92" i="29"/>
  <c r="J1212" i="27" s="1"/>
  <c r="CE93" i="29"/>
  <c r="J1213" i="27" s="1"/>
  <c r="CE94" i="29"/>
  <c r="J1214" i="27" s="1"/>
  <c r="CE95" i="29"/>
  <c r="J1215" i="27" s="1"/>
  <c r="CE96" i="29"/>
  <c r="J1216" i="27" s="1"/>
  <c r="CE97" i="29"/>
  <c r="J1217" i="27" s="1"/>
  <c r="CE98" i="29"/>
  <c r="J1218" i="27" s="1"/>
  <c r="CE99" i="29"/>
  <c r="J1219" i="27" s="1"/>
  <c r="CE100" i="29"/>
  <c r="J1220" i="27" s="1"/>
  <c r="CE101" i="29"/>
  <c r="J1221" i="27" s="1"/>
  <c r="CE102" i="29"/>
  <c r="J1222" i="27" s="1"/>
  <c r="CE103" i="29"/>
  <c r="J1223" i="27" s="1"/>
  <c r="CE104" i="29"/>
  <c r="J1224" i="27" s="1"/>
  <c r="CE105" i="29"/>
  <c r="J1225" i="27" s="1"/>
  <c r="CE106" i="29"/>
  <c r="J1226" i="27" s="1"/>
  <c r="CE107" i="29"/>
  <c r="J1227" i="27" s="1"/>
  <c r="CE108" i="29"/>
  <c r="J1228" i="27" s="1"/>
  <c r="CE109" i="29"/>
  <c r="J1229" i="27" s="1"/>
  <c r="CE110" i="29"/>
  <c r="J1230" i="27" s="1"/>
  <c r="CE111" i="29"/>
  <c r="J1231" i="27" s="1"/>
  <c r="CE112" i="29"/>
  <c r="J1232" i="27" s="1"/>
  <c r="CE113" i="29"/>
  <c r="J1233" i="27" s="1"/>
  <c r="CE114" i="29"/>
  <c r="J1234" i="27" s="1"/>
  <c r="CE115" i="29"/>
  <c r="J1235" i="27" s="1"/>
  <c r="CE116" i="29"/>
  <c r="J1236" i="27" s="1"/>
  <c r="CE117" i="29"/>
  <c r="J1237" i="27" s="1"/>
  <c r="CE118" i="29"/>
  <c r="J1238" i="27" s="1"/>
  <c r="CE119" i="29"/>
  <c r="J1239" i="27" s="1"/>
  <c r="CE120" i="29"/>
  <c r="J1240" i="27" s="1"/>
  <c r="CE121" i="29"/>
  <c r="J1241" i="27" s="1"/>
  <c r="CE122" i="29"/>
  <c r="J1242" i="27" s="1"/>
  <c r="CE123" i="29"/>
  <c r="J1243" i="27" s="1"/>
  <c r="CE124" i="29"/>
  <c r="J1244" i="27" s="1"/>
  <c r="CE125" i="29"/>
  <c r="J1245" i="27" s="1"/>
  <c r="CE126" i="29"/>
  <c r="J1246" i="27" s="1"/>
  <c r="CE127" i="29"/>
  <c r="J1247" i="27" s="1"/>
  <c r="CE128" i="29"/>
  <c r="J1248" i="27" s="1"/>
  <c r="CE129" i="29"/>
  <c r="J1249" i="27" s="1"/>
  <c r="CE130" i="29"/>
  <c r="J1250" i="27" s="1"/>
  <c r="CE131" i="29"/>
  <c r="J1251" i="27" s="1"/>
  <c r="CE132" i="29"/>
  <c r="J1252" i="27" s="1"/>
  <c r="CE133" i="29"/>
  <c r="J1253" i="27" s="1"/>
  <c r="CE134" i="29"/>
  <c r="J1254" i="27" s="1"/>
  <c r="CE135" i="29"/>
  <c r="J1255" i="27" s="1"/>
  <c r="CE136" i="29"/>
  <c r="J1256" i="27" s="1"/>
  <c r="CE137" i="29"/>
  <c r="J1257" i="27" s="1"/>
  <c r="CE138" i="29"/>
  <c r="J1258" i="27" s="1"/>
  <c r="CE139" i="29"/>
  <c r="J1259" i="27" s="1"/>
  <c r="CE140" i="29"/>
  <c r="J1260" i="27" s="1"/>
  <c r="CE141" i="29"/>
  <c r="J1261" i="27" s="1"/>
  <c r="CE142" i="29"/>
  <c r="J1262" i="27" s="1"/>
  <c r="CE143" i="29"/>
  <c r="J1263" i="27" s="1"/>
  <c r="CE144" i="29"/>
  <c r="J1264" i="27" s="1"/>
  <c r="CE145" i="29"/>
  <c r="J1265" i="27" s="1"/>
  <c r="CE146" i="29"/>
  <c r="J1266" i="27" s="1"/>
  <c r="CE147" i="29"/>
  <c r="J1267" i="27" s="1"/>
  <c r="CE148" i="29"/>
  <c r="J1268" i="27" s="1"/>
  <c r="CE149" i="29"/>
  <c r="J1269" i="27" s="1"/>
  <c r="CE150" i="29"/>
  <c r="J1270" i="27" s="1"/>
  <c r="CH2" i="25"/>
  <c r="L1022" i="27" s="1"/>
  <c r="CH3" i="25"/>
  <c r="L1023" i="27" s="1"/>
  <c r="CH4" i="25"/>
  <c r="L1024" i="27" s="1"/>
  <c r="CH5" i="25"/>
  <c r="L1025" i="27" s="1"/>
  <c r="CH6" i="25"/>
  <c r="L1026" i="27" s="1"/>
  <c r="CH7" i="25"/>
  <c r="L1027" i="27" s="1"/>
  <c r="CH8" i="25"/>
  <c r="L1028" i="27" s="1"/>
  <c r="CH9" i="25"/>
  <c r="L1029" i="27" s="1"/>
  <c r="CH10" i="25"/>
  <c r="L1030" i="27" s="1"/>
  <c r="CH11" i="25"/>
  <c r="L1031" i="27" s="1"/>
  <c r="CH12" i="25"/>
  <c r="L1032" i="27" s="1"/>
  <c r="CH13" i="25"/>
  <c r="L1033" i="27" s="1"/>
  <c r="CH14" i="25"/>
  <c r="L1034" i="27" s="1"/>
  <c r="CH15" i="25"/>
  <c r="L1035" i="27" s="1"/>
  <c r="CH16" i="25"/>
  <c r="L1036" i="27" s="1"/>
  <c r="CH17" i="25"/>
  <c r="L1037" i="27" s="1"/>
  <c r="CH18" i="25"/>
  <c r="L1038" i="27" s="1"/>
  <c r="CH19" i="25"/>
  <c r="L1039" i="27" s="1"/>
  <c r="CH20" i="25"/>
  <c r="L1040" i="27" s="1"/>
  <c r="CH21" i="25"/>
  <c r="L1041" i="27" s="1"/>
  <c r="CH22" i="25"/>
  <c r="L1042" i="27" s="1"/>
  <c r="CH23" i="25"/>
  <c r="L1043" i="27" s="1"/>
  <c r="CH24" i="25"/>
  <c r="L1044" i="27" s="1"/>
  <c r="CH25" i="25"/>
  <c r="L1045" i="27" s="1"/>
  <c r="CH26" i="25"/>
  <c r="L1046" i="27" s="1"/>
  <c r="CH27" i="25"/>
  <c r="L1047" i="27" s="1"/>
  <c r="CH28" i="25"/>
  <c r="L1048" i="27" s="1"/>
  <c r="CH29" i="25"/>
  <c r="L1049" i="27" s="1"/>
  <c r="CH30" i="25"/>
  <c r="L1050" i="27" s="1"/>
  <c r="CH31" i="25"/>
  <c r="L1051" i="27" s="1"/>
  <c r="CH32" i="25"/>
  <c r="L1052" i="27" s="1"/>
  <c r="CH33" i="25"/>
  <c r="L1053" i="27" s="1"/>
  <c r="CH34" i="25"/>
  <c r="L1054" i="27" s="1"/>
  <c r="CH35" i="25"/>
  <c r="L1055" i="27" s="1"/>
  <c r="CH36" i="25"/>
  <c r="L1056" i="27" s="1"/>
  <c r="CH37" i="25"/>
  <c r="L1057" i="27" s="1"/>
  <c r="CH38" i="25"/>
  <c r="L1058" i="27" s="1"/>
  <c r="CH39" i="25"/>
  <c r="L1059" i="27" s="1"/>
  <c r="CH40" i="25"/>
  <c r="L1060" i="27" s="1"/>
  <c r="CH41" i="25"/>
  <c r="L1061" i="27" s="1"/>
  <c r="CH42" i="25"/>
  <c r="L1062" i="27" s="1"/>
  <c r="CH43" i="25"/>
  <c r="L1063" i="27" s="1"/>
  <c r="CH44" i="25"/>
  <c r="L1064" i="27" s="1"/>
  <c r="CH45" i="25"/>
  <c r="L1065" i="27" s="1"/>
  <c r="CH46" i="25"/>
  <c r="L1066" i="27" s="1"/>
  <c r="CH47" i="25"/>
  <c r="L1067" i="27" s="1"/>
  <c r="CH48" i="25"/>
  <c r="L1068" i="27" s="1"/>
  <c r="CH49" i="25"/>
  <c r="L1069" i="27" s="1"/>
  <c r="CH50" i="25"/>
  <c r="L1070" i="27" s="1"/>
  <c r="CH51" i="25"/>
  <c r="L1071" i="27" s="1"/>
  <c r="CH52" i="25"/>
  <c r="L1072" i="27" s="1"/>
  <c r="CH53" i="25"/>
  <c r="L1073" i="27" s="1"/>
  <c r="CH54" i="25"/>
  <c r="L1074" i="27" s="1"/>
  <c r="CH55" i="25"/>
  <c r="L1075" i="27" s="1"/>
  <c r="CH56" i="25"/>
  <c r="L1076" i="27" s="1"/>
  <c r="CH57" i="25"/>
  <c r="L1077" i="27" s="1"/>
  <c r="CH58" i="25"/>
  <c r="L1078" i="27" s="1"/>
  <c r="CH59" i="25"/>
  <c r="L1079" i="27" s="1"/>
  <c r="CH60" i="25"/>
  <c r="L1080" i="27" s="1"/>
  <c r="CH61" i="25"/>
  <c r="L1081" i="27" s="1"/>
  <c r="CH62" i="25"/>
  <c r="L1082" i="27" s="1"/>
  <c r="CH63" i="25"/>
  <c r="L1083" i="27" s="1"/>
  <c r="CH64" i="25"/>
  <c r="L1084" i="27" s="1"/>
  <c r="CH65" i="25"/>
  <c r="L1085" i="27" s="1"/>
  <c r="CH66" i="25"/>
  <c r="L1086" i="27" s="1"/>
  <c r="CH67" i="25"/>
  <c r="L1087" i="27" s="1"/>
  <c r="CH68" i="25"/>
  <c r="L1088" i="27" s="1"/>
  <c r="CH69" i="25"/>
  <c r="L1089" i="27" s="1"/>
  <c r="CH70" i="25"/>
  <c r="L1090" i="27" s="1"/>
  <c r="CH71" i="25"/>
  <c r="L1091" i="27" s="1"/>
  <c r="CH72" i="25"/>
  <c r="L1092" i="27" s="1"/>
  <c r="CH73" i="25"/>
  <c r="L1093" i="27" s="1"/>
  <c r="CH74" i="25"/>
  <c r="L1094" i="27" s="1"/>
  <c r="CH75" i="25"/>
  <c r="L1095" i="27" s="1"/>
  <c r="CH76" i="25"/>
  <c r="L1096" i="27" s="1"/>
  <c r="CH77" i="25"/>
  <c r="L1097" i="27" s="1"/>
  <c r="CH78" i="25"/>
  <c r="L1098" i="27" s="1"/>
  <c r="CH79" i="25"/>
  <c r="L1099" i="27" s="1"/>
  <c r="CH80" i="25"/>
  <c r="L1100" i="27" s="1"/>
  <c r="CH81" i="25"/>
  <c r="L1101" i="27" s="1"/>
  <c r="CH82" i="25"/>
  <c r="L1102" i="27" s="1"/>
  <c r="CH83" i="25"/>
  <c r="L1103" i="27" s="1"/>
  <c r="CH84" i="25"/>
  <c r="L1104" i="27" s="1"/>
  <c r="CH85" i="25"/>
  <c r="L1105" i="27" s="1"/>
  <c r="CH86" i="25"/>
  <c r="L1106" i="27" s="1"/>
  <c r="CH87" i="25"/>
  <c r="L1107" i="27" s="1"/>
  <c r="CH88" i="25"/>
  <c r="L1108" i="27" s="1"/>
  <c r="CH89" i="25"/>
  <c r="L1109" i="27" s="1"/>
  <c r="CH90" i="25"/>
  <c r="L1110" i="27" s="1"/>
  <c r="CH91" i="25"/>
  <c r="L1111" i="27" s="1"/>
  <c r="CH92" i="25"/>
  <c r="L1112" i="27" s="1"/>
  <c r="CH93" i="25"/>
  <c r="L1113" i="27" s="1"/>
  <c r="CH94" i="25"/>
  <c r="L1114" i="27" s="1"/>
  <c r="CH95" i="25"/>
  <c r="L1115" i="27" s="1"/>
  <c r="CH96" i="25"/>
  <c r="L1116" i="27" s="1"/>
  <c r="CH97" i="25"/>
  <c r="L1117" i="27" s="1"/>
  <c r="CH98" i="25"/>
  <c r="L1118" i="27" s="1"/>
  <c r="CH99" i="25"/>
  <c r="L1119" i="27" s="1"/>
  <c r="CH100" i="25"/>
  <c r="L1120" i="27" s="1"/>
  <c r="CL2" i="25"/>
  <c r="P1022" i="27" s="1"/>
  <c r="CL3" i="25"/>
  <c r="P1023" i="27" s="1"/>
  <c r="CL4" i="25"/>
  <c r="P1024" i="27" s="1"/>
  <c r="CL5" i="25"/>
  <c r="P1025" i="27" s="1"/>
  <c r="CL6" i="25"/>
  <c r="P1026" i="27" s="1"/>
  <c r="CL7" i="25"/>
  <c r="P1027" i="27" s="1"/>
  <c r="CL8" i="25"/>
  <c r="P1028" i="27" s="1"/>
  <c r="CL9" i="25"/>
  <c r="P1029" i="27" s="1"/>
  <c r="CL10" i="25"/>
  <c r="P1030" i="27" s="1"/>
  <c r="CL11" i="25"/>
  <c r="P1031" i="27" s="1"/>
  <c r="CL12" i="25"/>
  <c r="P1032" i="27" s="1"/>
  <c r="CL13" i="25"/>
  <c r="P1033" i="27" s="1"/>
  <c r="CL14" i="25"/>
  <c r="P1034" i="27" s="1"/>
  <c r="CL15" i="25"/>
  <c r="P1035" i="27" s="1"/>
  <c r="CL16" i="25"/>
  <c r="P1036" i="27" s="1"/>
  <c r="CL17" i="25"/>
  <c r="P1037" i="27" s="1"/>
  <c r="CL18" i="25"/>
  <c r="P1038" i="27" s="1"/>
  <c r="CL19" i="25"/>
  <c r="P1039" i="27" s="1"/>
  <c r="CL20" i="25"/>
  <c r="P1040" i="27" s="1"/>
  <c r="CL21" i="25"/>
  <c r="P1041" i="27" s="1"/>
  <c r="CL22" i="25"/>
  <c r="P1042" i="27" s="1"/>
  <c r="CL23" i="25"/>
  <c r="P1043" i="27" s="1"/>
  <c r="CL24" i="25"/>
  <c r="P1044" i="27" s="1"/>
  <c r="CL25" i="25"/>
  <c r="P1045" i="27" s="1"/>
  <c r="CL26" i="25"/>
  <c r="P1046" i="27" s="1"/>
  <c r="CL27" i="25"/>
  <c r="P1047" i="27" s="1"/>
  <c r="CL28" i="25"/>
  <c r="P1048" i="27" s="1"/>
  <c r="CL29" i="25"/>
  <c r="P1049" i="27" s="1"/>
  <c r="CL30" i="25"/>
  <c r="P1050" i="27" s="1"/>
  <c r="CL31" i="25"/>
  <c r="P1051" i="27" s="1"/>
  <c r="CL32" i="25"/>
  <c r="P1052" i="27" s="1"/>
  <c r="CL33" i="25"/>
  <c r="P1053" i="27" s="1"/>
  <c r="CL34" i="25"/>
  <c r="P1054" i="27" s="1"/>
  <c r="CL35" i="25"/>
  <c r="P1055" i="27" s="1"/>
  <c r="CL36" i="25"/>
  <c r="P1056" i="27" s="1"/>
  <c r="CL37" i="25"/>
  <c r="P1057" i="27" s="1"/>
  <c r="CL38" i="25"/>
  <c r="P1058" i="27" s="1"/>
  <c r="CL39" i="25"/>
  <c r="P1059" i="27" s="1"/>
  <c r="CL40" i="25"/>
  <c r="P1060" i="27" s="1"/>
  <c r="CL41" i="25"/>
  <c r="P1061" i="27" s="1"/>
  <c r="CL42" i="25"/>
  <c r="P1062" i="27" s="1"/>
  <c r="CL43" i="25"/>
  <c r="P1063" i="27" s="1"/>
  <c r="CL44" i="25"/>
  <c r="P1064" i="27" s="1"/>
  <c r="CL45" i="25"/>
  <c r="P1065" i="27" s="1"/>
  <c r="CL46" i="25"/>
  <c r="P1066" i="27" s="1"/>
  <c r="CL47" i="25"/>
  <c r="P1067" i="27" s="1"/>
  <c r="CL48" i="25"/>
  <c r="P1068" i="27" s="1"/>
  <c r="CL49" i="25"/>
  <c r="P1069" i="27" s="1"/>
  <c r="CL50" i="25"/>
  <c r="P1070" i="27" s="1"/>
  <c r="CL51" i="25"/>
  <c r="P1071" i="27" s="1"/>
  <c r="CL52" i="25"/>
  <c r="P1072" i="27" s="1"/>
  <c r="CL53" i="25"/>
  <c r="P1073" i="27" s="1"/>
  <c r="CL54" i="25"/>
  <c r="P1074" i="27" s="1"/>
  <c r="CL55" i="25"/>
  <c r="P1075" i="27" s="1"/>
  <c r="CL56" i="25"/>
  <c r="P1076" i="27" s="1"/>
  <c r="CL57" i="25"/>
  <c r="P1077" i="27" s="1"/>
  <c r="CL58" i="25"/>
  <c r="P1078" i="27" s="1"/>
  <c r="CL59" i="25"/>
  <c r="P1079" i="27" s="1"/>
  <c r="CL60" i="25"/>
  <c r="P1080" i="27" s="1"/>
  <c r="CL61" i="25"/>
  <c r="P1081" i="27" s="1"/>
  <c r="CL62" i="25"/>
  <c r="P1082" i="27" s="1"/>
  <c r="CL63" i="25"/>
  <c r="P1083" i="27" s="1"/>
  <c r="CL64" i="25"/>
  <c r="P1084" i="27" s="1"/>
  <c r="CL65" i="25"/>
  <c r="P1085" i="27" s="1"/>
  <c r="CL66" i="25"/>
  <c r="P1086" i="27" s="1"/>
  <c r="CL67" i="25"/>
  <c r="P1087" i="27" s="1"/>
  <c r="CL68" i="25"/>
  <c r="P1088" i="27" s="1"/>
  <c r="CL69" i="25"/>
  <c r="P1089" i="27" s="1"/>
  <c r="CL70" i="25"/>
  <c r="P1090" i="27" s="1"/>
  <c r="CL71" i="25"/>
  <c r="P1091" i="27" s="1"/>
  <c r="CL72" i="25"/>
  <c r="P1092" i="27" s="1"/>
  <c r="CL73" i="25"/>
  <c r="P1093" i="27" s="1"/>
  <c r="CL74" i="25"/>
  <c r="P1094" i="27" s="1"/>
  <c r="CL75" i="25"/>
  <c r="P1095" i="27" s="1"/>
  <c r="CL76" i="25"/>
  <c r="P1096" i="27" s="1"/>
  <c r="CL77" i="25"/>
  <c r="P1097" i="27" s="1"/>
  <c r="CL78" i="25"/>
  <c r="P1098" i="27" s="1"/>
  <c r="CL79" i="25"/>
  <c r="P1099" i="27" s="1"/>
  <c r="CL80" i="25"/>
  <c r="P1100" i="27" s="1"/>
  <c r="CL81" i="25"/>
  <c r="P1101" i="27" s="1"/>
  <c r="CL82" i="25"/>
  <c r="P1102" i="27" s="1"/>
  <c r="CL83" i="25"/>
  <c r="P1103" i="27" s="1"/>
  <c r="CL84" i="25"/>
  <c r="P1104" i="27" s="1"/>
  <c r="CL85" i="25"/>
  <c r="P1105" i="27" s="1"/>
  <c r="CL86" i="25"/>
  <c r="P1106" i="27" s="1"/>
  <c r="CL87" i="25"/>
  <c r="P1107" i="27" s="1"/>
  <c r="CL88" i="25"/>
  <c r="P1108" i="27" s="1"/>
  <c r="CL89" i="25"/>
  <c r="P1109" i="27" s="1"/>
  <c r="CL90" i="25"/>
  <c r="P1110" i="27" s="1"/>
  <c r="CL91" i="25"/>
  <c r="P1111" i="27" s="1"/>
  <c r="CL92" i="25"/>
  <c r="P1112" i="27" s="1"/>
  <c r="CL93" i="25"/>
  <c r="P1113" i="27" s="1"/>
  <c r="CL94" i="25"/>
  <c r="P1114" i="27" s="1"/>
  <c r="CL95" i="25"/>
  <c r="P1115" i="27" s="1"/>
  <c r="CL96" i="25"/>
  <c r="P1116" i="27" s="1"/>
  <c r="CL97" i="25"/>
  <c r="P1117" i="27" s="1"/>
  <c r="CL98" i="25"/>
  <c r="P1118" i="27" s="1"/>
  <c r="CL99" i="25"/>
  <c r="P1119" i="27" s="1"/>
  <c r="CL100" i="25"/>
  <c r="P1120" i="27" s="1"/>
  <c r="CG2" i="25"/>
  <c r="K1022" i="27" s="1"/>
  <c r="CG3" i="25"/>
  <c r="K1023" i="27" s="1"/>
  <c r="CG4" i="25"/>
  <c r="K1024" i="27" s="1"/>
  <c r="CG5" i="25"/>
  <c r="K1025" i="27" s="1"/>
  <c r="CG6" i="25"/>
  <c r="K1026" i="27" s="1"/>
  <c r="CG7" i="25"/>
  <c r="K1027" i="27" s="1"/>
  <c r="CG8" i="25"/>
  <c r="K1028" i="27" s="1"/>
  <c r="CG9" i="25"/>
  <c r="K1029" i="27" s="1"/>
  <c r="CG10" i="25"/>
  <c r="K1030" i="27" s="1"/>
  <c r="CG11" i="25"/>
  <c r="K1031" i="27" s="1"/>
  <c r="CG12" i="25"/>
  <c r="K1032" i="27" s="1"/>
  <c r="CG13" i="25"/>
  <c r="K1033" i="27" s="1"/>
  <c r="CG14" i="25"/>
  <c r="K1034" i="27" s="1"/>
  <c r="CG15" i="25"/>
  <c r="K1035" i="27" s="1"/>
  <c r="CG16" i="25"/>
  <c r="K1036" i="27" s="1"/>
  <c r="CG17" i="25"/>
  <c r="K1037" i="27" s="1"/>
  <c r="CG18" i="25"/>
  <c r="K1038" i="27" s="1"/>
  <c r="CG19" i="25"/>
  <c r="K1039" i="27" s="1"/>
  <c r="CG20" i="25"/>
  <c r="K1040" i="27" s="1"/>
  <c r="CG21" i="25"/>
  <c r="K1041" i="27" s="1"/>
  <c r="CG22" i="25"/>
  <c r="K1042" i="27" s="1"/>
  <c r="CG23" i="25"/>
  <c r="K1043" i="27" s="1"/>
  <c r="CG24" i="25"/>
  <c r="K1044" i="27" s="1"/>
  <c r="CG25" i="25"/>
  <c r="K1045" i="27" s="1"/>
  <c r="CG26" i="25"/>
  <c r="K1046" i="27" s="1"/>
  <c r="CG27" i="25"/>
  <c r="K1047" i="27" s="1"/>
  <c r="CG28" i="25"/>
  <c r="K1048" i="27" s="1"/>
  <c r="CG29" i="25"/>
  <c r="K1049" i="27" s="1"/>
  <c r="CG30" i="25"/>
  <c r="K1050" i="27" s="1"/>
  <c r="CG31" i="25"/>
  <c r="K1051" i="27" s="1"/>
  <c r="CG32" i="25"/>
  <c r="K1052" i="27" s="1"/>
  <c r="CG33" i="25"/>
  <c r="K1053" i="27" s="1"/>
  <c r="CG34" i="25"/>
  <c r="K1054" i="27" s="1"/>
  <c r="CG35" i="25"/>
  <c r="K1055" i="27" s="1"/>
  <c r="CG36" i="25"/>
  <c r="K1056" i="27" s="1"/>
  <c r="CG37" i="25"/>
  <c r="K1057" i="27" s="1"/>
  <c r="CG38" i="25"/>
  <c r="K1058" i="27" s="1"/>
  <c r="CG39" i="25"/>
  <c r="K1059" i="27" s="1"/>
  <c r="CG40" i="25"/>
  <c r="K1060" i="27" s="1"/>
  <c r="CG41" i="25"/>
  <c r="K1061" i="27" s="1"/>
  <c r="CG42" i="25"/>
  <c r="K1062" i="27" s="1"/>
  <c r="CG43" i="25"/>
  <c r="K1063" i="27" s="1"/>
  <c r="CG44" i="25"/>
  <c r="K1064" i="27" s="1"/>
  <c r="CG45" i="25"/>
  <c r="K1065" i="27" s="1"/>
  <c r="CG46" i="25"/>
  <c r="K1066" i="27" s="1"/>
  <c r="CG47" i="25"/>
  <c r="K1067" i="27" s="1"/>
  <c r="CG48" i="25"/>
  <c r="K1068" i="27" s="1"/>
  <c r="CG49" i="25"/>
  <c r="K1069" i="27" s="1"/>
  <c r="CG50" i="25"/>
  <c r="K1070" i="27" s="1"/>
  <c r="CG51" i="25"/>
  <c r="K1071" i="27" s="1"/>
  <c r="CG52" i="25"/>
  <c r="K1072" i="27" s="1"/>
  <c r="CG53" i="25"/>
  <c r="K1073" i="27" s="1"/>
  <c r="CG54" i="25"/>
  <c r="K1074" i="27" s="1"/>
  <c r="CG55" i="25"/>
  <c r="K1075" i="27" s="1"/>
  <c r="CG56" i="25"/>
  <c r="K1076" i="27" s="1"/>
  <c r="CG57" i="25"/>
  <c r="K1077" i="27" s="1"/>
  <c r="CG58" i="25"/>
  <c r="K1078" i="27" s="1"/>
  <c r="CG59" i="25"/>
  <c r="K1079" i="27" s="1"/>
  <c r="CG60" i="25"/>
  <c r="K1080" i="27" s="1"/>
  <c r="CG61" i="25"/>
  <c r="K1081" i="27" s="1"/>
  <c r="CG62" i="25"/>
  <c r="K1082" i="27" s="1"/>
  <c r="CG63" i="25"/>
  <c r="K1083" i="27" s="1"/>
  <c r="CG64" i="25"/>
  <c r="K1084" i="27" s="1"/>
  <c r="CG65" i="25"/>
  <c r="K1085" i="27" s="1"/>
  <c r="CG66" i="25"/>
  <c r="K1086" i="27" s="1"/>
  <c r="CG67" i="25"/>
  <c r="K1087" i="27" s="1"/>
  <c r="CG68" i="25"/>
  <c r="K1088" i="27" s="1"/>
  <c r="CG69" i="25"/>
  <c r="K1089" i="27" s="1"/>
  <c r="CG70" i="25"/>
  <c r="K1090" i="27" s="1"/>
  <c r="CG71" i="25"/>
  <c r="K1091" i="27" s="1"/>
  <c r="CG72" i="25"/>
  <c r="K1092" i="27" s="1"/>
  <c r="CG73" i="25"/>
  <c r="K1093" i="27" s="1"/>
  <c r="CG74" i="25"/>
  <c r="K1094" i="27" s="1"/>
  <c r="CG75" i="25"/>
  <c r="K1095" i="27" s="1"/>
  <c r="CG76" i="25"/>
  <c r="K1096" i="27" s="1"/>
  <c r="CG77" i="25"/>
  <c r="K1097" i="27" s="1"/>
  <c r="CG78" i="25"/>
  <c r="K1098" i="27" s="1"/>
  <c r="CG79" i="25"/>
  <c r="K1099" i="27" s="1"/>
  <c r="CG80" i="25"/>
  <c r="K1100" i="27" s="1"/>
  <c r="CG81" i="25"/>
  <c r="K1101" i="27" s="1"/>
  <c r="CG82" i="25"/>
  <c r="K1102" i="27" s="1"/>
  <c r="CG83" i="25"/>
  <c r="K1103" i="27" s="1"/>
  <c r="CG84" i="25"/>
  <c r="K1104" i="27" s="1"/>
  <c r="CG85" i="25"/>
  <c r="K1105" i="27" s="1"/>
  <c r="CG86" i="25"/>
  <c r="K1106" i="27" s="1"/>
  <c r="CG87" i="25"/>
  <c r="K1107" i="27" s="1"/>
  <c r="CG88" i="25"/>
  <c r="K1108" i="27" s="1"/>
  <c r="CG89" i="25"/>
  <c r="K1109" i="27" s="1"/>
  <c r="CG90" i="25"/>
  <c r="K1110" i="27" s="1"/>
  <c r="CG91" i="25"/>
  <c r="K1111" i="27" s="1"/>
  <c r="CG92" i="25"/>
  <c r="K1112" i="27" s="1"/>
  <c r="CG93" i="25"/>
  <c r="K1113" i="27" s="1"/>
  <c r="CG94" i="25"/>
  <c r="K1114" i="27" s="1"/>
  <c r="CG95" i="25"/>
  <c r="K1115" i="27" s="1"/>
  <c r="CG96" i="25"/>
  <c r="K1116" i="27" s="1"/>
  <c r="CG97" i="25"/>
  <c r="K1117" i="27" s="1"/>
  <c r="CG98" i="25"/>
  <c r="K1118" i="27" s="1"/>
  <c r="CG99" i="25"/>
  <c r="K1119" i="27" s="1"/>
  <c r="CG100" i="25"/>
  <c r="K1120" i="27" s="1"/>
  <c r="CF2" i="25"/>
  <c r="J1022" i="27" s="1"/>
  <c r="CF3" i="25"/>
  <c r="J1023" i="27" s="1"/>
  <c r="CF4" i="25"/>
  <c r="J1024" i="27" s="1"/>
  <c r="CF5" i="25"/>
  <c r="J1025" i="27" s="1"/>
  <c r="CF6" i="25"/>
  <c r="J1026" i="27" s="1"/>
  <c r="CF7" i="25"/>
  <c r="J1027" i="27" s="1"/>
  <c r="CF8" i="25"/>
  <c r="J1028" i="27" s="1"/>
  <c r="CF9" i="25"/>
  <c r="J1029" i="27" s="1"/>
  <c r="CF10" i="25"/>
  <c r="J1030" i="27" s="1"/>
  <c r="CF11" i="25"/>
  <c r="J1031" i="27" s="1"/>
  <c r="CF12" i="25"/>
  <c r="J1032" i="27" s="1"/>
  <c r="CF13" i="25"/>
  <c r="J1033" i="27" s="1"/>
  <c r="CF14" i="25"/>
  <c r="J1034" i="27" s="1"/>
  <c r="CF15" i="25"/>
  <c r="J1035" i="27" s="1"/>
  <c r="CF16" i="25"/>
  <c r="J1036" i="27" s="1"/>
  <c r="CF17" i="25"/>
  <c r="J1037" i="27" s="1"/>
  <c r="CF18" i="25"/>
  <c r="J1038" i="27" s="1"/>
  <c r="CF19" i="25"/>
  <c r="J1039" i="27" s="1"/>
  <c r="CF20" i="25"/>
  <c r="J1040" i="27" s="1"/>
  <c r="CF21" i="25"/>
  <c r="J1041" i="27" s="1"/>
  <c r="CF22" i="25"/>
  <c r="J1042" i="27" s="1"/>
  <c r="CF23" i="25"/>
  <c r="J1043" i="27" s="1"/>
  <c r="CF24" i="25"/>
  <c r="J1044" i="27" s="1"/>
  <c r="CF25" i="25"/>
  <c r="J1045" i="27" s="1"/>
  <c r="CF26" i="25"/>
  <c r="J1046" i="27" s="1"/>
  <c r="CF27" i="25"/>
  <c r="J1047" i="27" s="1"/>
  <c r="CF28" i="25"/>
  <c r="J1048" i="27" s="1"/>
  <c r="CF29" i="25"/>
  <c r="J1049" i="27" s="1"/>
  <c r="CF30" i="25"/>
  <c r="J1050" i="27" s="1"/>
  <c r="CF31" i="25"/>
  <c r="J1051" i="27" s="1"/>
  <c r="CF32" i="25"/>
  <c r="J1052" i="27" s="1"/>
  <c r="CF33" i="25"/>
  <c r="J1053" i="27" s="1"/>
  <c r="CF34" i="25"/>
  <c r="J1054" i="27" s="1"/>
  <c r="CF35" i="25"/>
  <c r="J1055" i="27" s="1"/>
  <c r="CF36" i="25"/>
  <c r="J1056" i="27" s="1"/>
  <c r="CF37" i="25"/>
  <c r="J1057" i="27" s="1"/>
  <c r="CF38" i="25"/>
  <c r="J1058" i="27" s="1"/>
  <c r="CF39" i="25"/>
  <c r="J1059" i="27" s="1"/>
  <c r="CF40" i="25"/>
  <c r="J1060" i="27" s="1"/>
  <c r="CF41" i="25"/>
  <c r="J1061" i="27" s="1"/>
  <c r="CF42" i="25"/>
  <c r="J1062" i="27" s="1"/>
  <c r="CF43" i="25"/>
  <c r="J1063" i="27" s="1"/>
  <c r="CF44" i="25"/>
  <c r="J1064" i="27" s="1"/>
  <c r="CF45" i="25"/>
  <c r="J1065" i="27" s="1"/>
  <c r="CF46" i="25"/>
  <c r="J1066" i="27" s="1"/>
  <c r="CF47" i="25"/>
  <c r="J1067" i="27" s="1"/>
  <c r="CF48" i="25"/>
  <c r="J1068" i="27" s="1"/>
  <c r="CF49" i="25"/>
  <c r="J1069" i="27" s="1"/>
  <c r="CF50" i="25"/>
  <c r="J1070" i="27" s="1"/>
  <c r="CF51" i="25"/>
  <c r="J1071" i="27" s="1"/>
  <c r="CF52" i="25"/>
  <c r="J1072" i="27" s="1"/>
  <c r="CF53" i="25"/>
  <c r="J1073" i="27" s="1"/>
  <c r="CF54" i="25"/>
  <c r="J1074" i="27" s="1"/>
  <c r="CF55" i="25"/>
  <c r="J1075" i="27" s="1"/>
  <c r="CF56" i="25"/>
  <c r="J1076" i="27" s="1"/>
  <c r="CF57" i="25"/>
  <c r="J1077" i="27" s="1"/>
  <c r="CF58" i="25"/>
  <c r="J1078" i="27" s="1"/>
  <c r="CF59" i="25"/>
  <c r="J1079" i="27" s="1"/>
  <c r="CF60" i="25"/>
  <c r="J1080" i="27" s="1"/>
  <c r="CF61" i="25"/>
  <c r="J1081" i="27" s="1"/>
  <c r="CF62" i="25"/>
  <c r="J1082" i="27" s="1"/>
  <c r="CF63" i="25"/>
  <c r="J1083" i="27" s="1"/>
  <c r="CF64" i="25"/>
  <c r="J1084" i="27" s="1"/>
  <c r="CF65" i="25"/>
  <c r="J1085" i="27" s="1"/>
  <c r="CF66" i="25"/>
  <c r="J1086" i="27" s="1"/>
  <c r="CF67" i="25"/>
  <c r="J1087" i="27" s="1"/>
  <c r="CF68" i="25"/>
  <c r="J1088" i="27" s="1"/>
  <c r="CF69" i="25"/>
  <c r="J1089" i="27" s="1"/>
  <c r="CF70" i="25"/>
  <c r="J1090" i="27" s="1"/>
  <c r="CF71" i="25"/>
  <c r="J1091" i="27" s="1"/>
  <c r="CF72" i="25"/>
  <c r="J1092" i="27" s="1"/>
  <c r="CF73" i="25"/>
  <c r="J1093" i="27" s="1"/>
  <c r="CF74" i="25"/>
  <c r="J1094" i="27" s="1"/>
  <c r="CF75" i="25"/>
  <c r="J1095" i="27" s="1"/>
  <c r="CF76" i="25"/>
  <c r="J1096" i="27" s="1"/>
  <c r="CF77" i="25"/>
  <c r="J1097" i="27" s="1"/>
  <c r="CF78" i="25"/>
  <c r="J1098" i="27" s="1"/>
  <c r="CF79" i="25"/>
  <c r="J1099" i="27" s="1"/>
  <c r="CF80" i="25"/>
  <c r="J1100" i="27" s="1"/>
  <c r="CF81" i="25"/>
  <c r="J1101" i="27" s="1"/>
  <c r="CF82" i="25"/>
  <c r="J1102" i="27" s="1"/>
  <c r="CF83" i="25"/>
  <c r="J1103" i="27" s="1"/>
  <c r="CF84" i="25"/>
  <c r="J1104" i="27" s="1"/>
  <c r="CF85" i="25"/>
  <c r="J1105" i="27" s="1"/>
  <c r="CF86" i="25"/>
  <c r="J1106" i="27" s="1"/>
  <c r="CF87" i="25"/>
  <c r="J1107" i="27" s="1"/>
  <c r="CF88" i="25"/>
  <c r="J1108" i="27" s="1"/>
  <c r="CF89" i="25"/>
  <c r="J1109" i="27" s="1"/>
  <c r="CF90" i="25"/>
  <c r="J1110" i="27" s="1"/>
  <c r="CF91" i="25"/>
  <c r="J1111" i="27" s="1"/>
  <c r="CF92" i="25"/>
  <c r="J1112" i="27" s="1"/>
  <c r="CF93" i="25"/>
  <c r="J1113" i="27" s="1"/>
  <c r="CF94" i="25"/>
  <c r="J1114" i="27" s="1"/>
  <c r="CF95" i="25"/>
  <c r="J1115" i="27" s="1"/>
  <c r="CF96" i="25"/>
  <c r="J1116" i="27" s="1"/>
  <c r="CF97" i="25"/>
  <c r="J1117" i="27" s="1"/>
  <c r="CF98" i="25"/>
  <c r="J1118" i="27" s="1"/>
  <c r="CF99" i="25"/>
  <c r="J1119" i="27" s="1"/>
  <c r="CF100" i="25"/>
  <c r="J1120" i="27" s="1"/>
  <c r="CJ2" i="17"/>
  <c r="CJ3" i="17"/>
  <c r="CJ4" i="17"/>
  <c r="CJ5" i="17"/>
  <c r="CJ6" i="17"/>
  <c r="CJ7" i="17"/>
  <c r="CJ8" i="17"/>
  <c r="CJ9" i="17"/>
  <c r="CJ10" i="17"/>
  <c r="CJ11" i="17"/>
  <c r="CJ12" i="17"/>
  <c r="CJ13" i="17"/>
  <c r="CJ14" i="17"/>
  <c r="CJ15" i="17"/>
  <c r="CJ16" i="17"/>
  <c r="CJ17" i="17"/>
  <c r="CJ18" i="17"/>
  <c r="CJ19" i="17"/>
  <c r="CJ20" i="17"/>
  <c r="CJ21" i="17"/>
  <c r="CJ22" i="17"/>
  <c r="CJ23" i="17"/>
  <c r="CJ24" i="17"/>
  <c r="CJ25" i="17"/>
  <c r="CJ26" i="17"/>
  <c r="CJ27" i="17"/>
  <c r="CJ28" i="17"/>
  <c r="CJ29" i="17"/>
  <c r="CJ30" i="17"/>
  <c r="CJ31" i="17"/>
  <c r="CJ32" i="17"/>
  <c r="CJ33" i="17"/>
  <c r="CJ34" i="17"/>
  <c r="CJ35" i="17"/>
  <c r="CJ36" i="17"/>
  <c r="CJ37" i="17"/>
  <c r="CJ38" i="17"/>
  <c r="CJ39" i="17"/>
  <c r="CJ40" i="17"/>
  <c r="CJ41" i="17"/>
  <c r="CJ42" i="17"/>
  <c r="CJ43" i="17"/>
  <c r="CJ44" i="17"/>
  <c r="CJ45" i="17"/>
  <c r="CJ46" i="17"/>
  <c r="CJ47" i="17"/>
  <c r="CJ48" i="17"/>
  <c r="CJ49" i="17"/>
  <c r="CJ50" i="17"/>
  <c r="CJ51" i="17"/>
  <c r="CJ52" i="17"/>
  <c r="CJ53" i="17"/>
  <c r="CJ54" i="17"/>
  <c r="CJ55" i="17"/>
  <c r="CJ56" i="17"/>
  <c r="CJ57" i="17"/>
  <c r="CJ58" i="17"/>
  <c r="CJ59" i="17"/>
  <c r="CJ60" i="17"/>
  <c r="CJ61" i="17"/>
  <c r="CJ62" i="17"/>
  <c r="CJ63" i="17"/>
  <c r="CJ64" i="17"/>
  <c r="CJ65" i="17"/>
  <c r="CJ66" i="17"/>
  <c r="CJ67" i="17"/>
  <c r="CJ68" i="17"/>
  <c r="CJ69" i="17"/>
  <c r="CJ70" i="17"/>
  <c r="CJ71" i="17"/>
  <c r="CJ72" i="17"/>
  <c r="CJ73" i="17"/>
  <c r="CJ74" i="17"/>
  <c r="CJ75" i="17"/>
  <c r="CJ76" i="17"/>
  <c r="CJ77" i="17"/>
  <c r="CJ78" i="17"/>
  <c r="CJ79" i="17"/>
  <c r="CJ80" i="17"/>
  <c r="CJ81" i="17"/>
  <c r="CJ82" i="17"/>
  <c r="CJ83" i="17"/>
  <c r="CJ84" i="17"/>
  <c r="CJ85" i="17"/>
  <c r="CJ86" i="17"/>
  <c r="CJ87" i="17"/>
  <c r="CJ88" i="17"/>
  <c r="CJ89" i="17"/>
  <c r="CJ90" i="17"/>
  <c r="CJ91" i="17"/>
  <c r="CJ92" i="17"/>
  <c r="CJ93" i="17"/>
  <c r="CJ94" i="17"/>
  <c r="CJ95" i="17"/>
  <c r="CJ96" i="17"/>
  <c r="CJ97" i="17"/>
  <c r="CJ98" i="17"/>
  <c r="CJ99" i="17"/>
  <c r="CJ100" i="17"/>
  <c r="CJ101" i="17"/>
  <c r="CJ102" i="17"/>
  <c r="CJ103" i="17"/>
  <c r="CJ104" i="17"/>
  <c r="CJ105" i="17"/>
  <c r="CJ106" i="17"/>
  <c r="CJ107" i="17"/>
  <c r="CJ108" i="17"/>
  <c r="CJ109" i="17"/>
  <c r="CJ110" i="17"/>
  <c r="CJ111" i="17"/>
  <c r="CJ112" i="17"/>
  <c r="CJ113" i="17"/>
  <c r="CJ114" i="17"/>
  <c r="CJ115" i="17"/>
  <c r="CJ116" i="17"/>
  <c r="CJ117" i="17"/>
  <c r="CJ118" i="17"/>
  <c r="CJ119" i="17"/>
  <c r="CJ120" i="17"/>
  <c r="CJ121" i="17"/>
  <c r="CJ122" i="17"/>
  <c r="CJ123" i="17"/>
  <c r="CJ124" i="17"/>
  <c r="CJ125" i="17"/>
  <c r="CJ126" i="17"/>
  <c r="CJ127" i="17"/>
  <c r="CJ128" i="17"/>
  <c r="CJ129" i="17"/>
  <c r="CJ130" i="17"/>
  <c r="CJ131" i="17"/>
  <c r="CJ132" i="17"/>
  <c r="CJ133" i="17"/>
  <c r="CJ134" i="17"/>
  <c r="CJ135" i="17"/>
  <c r="CK2" i="23"/>
  <c r="P922" i="27" s="1"/>
  <c r="CI2" i="17"/>
  <c r="CI3" i="17"/>
  <c r="CI4" i="17"/>
  <c r="CI5" i="17"/>
  <c r="CI6" i="17"/>
  <c r="CI7" i="17"/>
  <c r="CI8" i="17"/>
  <c r="CI9" i="17"/>
  <c r="CI10" i="17"/>
  <c r="CI11" i="17"/>
  <c r="CI12" i="17"/>
  <c r="CI13" i="17"/>
  <c r="CI14" i="17"/>
  <c r="CI15" i="17"/>
  <c r="CI16" i="17"/>
  <c r="CI17" i="17"/>
  <c r="CI18" i="17"/>
  <c r="CI19" i="17"/>
  <c r="CI20" i="17"/>
  <c r="CI21" i="17"/>
  <c r="CI22" i="17"/>
  <c r="CI23" i="17"/>
  <c r="CI24" i="17"/>
  <c r="CI25" i="17"/>
  <c r="CI26" i="17"/>
  <c r="CI27" i="17"/>
  <c r="CI28" i="17"/>
  <c r="CI29" i="17"/>
  <c r="CI30" i="17"/>
  <c r="CI31" i="17"/>
  <c r="CI32" i="17"/>
  <c r="CI33" i="17"/>
  <c r="CI34" i="17"/>
  <c r="CI35" i="17"/>
  <c r="CI36" i="17"/>
  <c r="CI37" i="17"/>
  <c r="CI38" i="17"/>
  <c r="CI39" i="17"/>
  <c r="CI40" i="17"/>
  <c r="CI41" i="17"/>
  <c r="CI42" i="17"/>
  <c r="CI43" i="17"/>
  <c r="CI44" i="17"/>
  <c r="CI45" i="17"/>
  <c r="CI46" i="17"/>
  <c r="CI47" i="17"/>
  <c r="CI48" i="17"/>
  <c r="CI49" i="17"/>
  <c r="CI50" i="17"/>
  <c r="CI51" i="17"/>
  <c r="CI52" i="17"/>
  <c r="CI53" i="17"/>
  <c r="CI54" i="17"/>
  <c r="CI55" i="17"/>
  <c r="CI56" i="17"/>
  <c r="CI57" i="17"/>
  <c r="CI58" i="17"/>
  <c r="CI59" i="17"/>
  <c r="CI60" i="17"/>
  <c r="CI61" i="17"/>
  <c r="CI62" i="17"/>
  <c r="CI63" i="17"/>
  <c r="CI64" i="17"/>
  <c r="CI65" i="17"/>
  <c r="CI66" i="17"/>
  <c r="CI67" i="17"/>
  <c r="CI68" i="17"/>
  <c r="CI69" i="17"/>
  <c r="CI70" i="17"/>
  <c r="CI71" i="17"/>
  <c r="CI72" i="17"/>
  <c r="CI73" i="17"/>
  <c r="CI74" i="17"/>
  <c r="CI75" i="17"/>
  <c r="CI76" i="17"/>
  <c r="CI77" i="17"/>
  <c r="CI78" i="17"/>
  <c r="CI79" i="17"/>
  <c r="CI80" i="17"/>
  <c r="CI81" i="17"/>
  <c r="CI82" i="17"/>
  <c r="CI83" i="17"/>
  <c r="CI84" i="17"/>
  <c r="CI85" i="17"/>
  <c r="CI86" i="17"/>
  <c r="CI87" i="17"/>
  <c r="CI88" i="17"/>
  <c r="CI89" i="17"/>
  <c r="CI90" i="17"/>
  <c r="CI91" i="17"/>
  <c r="CI92" i="17"/>
  <c r="CI93" i="17"/>
  <c r="CI94" i="17"/>
  <c r="CI95" i="17"/>
  <c r="CI96" i="17"/>
  <c r="CI97" i="17"/>
  <c r="CI98" i="17"/>
  <c r="CI99" i="17"/>
  <c r="CI100" i="17"/>
  <c r="CI101" i="17"/>
  <c r="CI102" i="17"/>
  <c r="CI103" i="17"/>
  <c r="CI104" i="17"/>
  <c r="CI105" i="17"/>
  <c r="CI106" i="17"/>
  <c r="CI107" i="17"/>
  <c r="CI108" i="17"/>
  <c r="CI109" i="17"/>
  <c r="CI110" i="17"/>
  <c r="CI111" i="17"/>
  <c r="CI112" i="17"/>
  <c r="CI113" i="17"/>
  <c r="CI114" i="17"/>
  <c r="CI115" i="17"/>
  <c r="CI116" i="17"/>
  <c r="CI117" i="17"/>
  <c r="CI118" i="17"/>
  <c r="CI119" i="17"/>
  <c r="CI120" i="17"/>
  <c r="CI121" i="17"/>
  <c r="CI122" i="17"/>
  <c r="CI123" i="17"/>
  <c r="CI124" i="17"/>
  <c r="CI125" i="17"/>
  <c r="CI126" i="17"/>
  <c r="CI127" i="17"/>
  <c r="CI128" i="17"/>
  <c r="CI129" i="17"/>
  <c r="CI130" i="17"/>
  <c r="CI131" i="17"/>
  <c r="CI132" i="17"/>
  <c r="CI133" i="17"/>
  <c r="CI134" i="17"/>
  <c r="CI135" i="17"/>
  <c r="CH2" i="17"/>
  <c r="CH3" i="17"/>
  <c r="CH4" i="17"/>
  <c r="CH5" i="17"/>
  <c r="CH6" i="17"/>
  <c r="CH7" i="17"/>
  <c r="CH8" i="17"/>
  <c r="CH9" i="17"/>
  <c r="CH10" i="17"/>
  <c r="CH11" i="17"/>
  <c r="CH12" i="17"/>
  <c r="CH13" i="17"/>
  <c r="CH14" i="17"/>
  <c r="CH15" i="17"/>
  <c r="CH16" i="17"/>
  <c r="CH17" i="17"/>
  <c r="CH18" i="17"/>
  <c r="CH19" i="17"/>
  <c r="CH20" i="17"/>
  <c r="CH21" i="17"/>
  <c r="CH22" i="17"/>
  <c r="CH23" i="17"/>
  <c r="CH24" i="17"/>
  <c r="CH25" i="17"/>
  <c r="CH26" i="17"/>
  <c r="CH27" i="17"/>
  <c r="CH28" i="17"/>
  <c r="CH29" i="17"/>
  <c r="CH30" i="17"/>
  <c r="CH31" i="17"/>
  <c r="CH32" i="17"/>
  <c r="CH33" i="17"/>
  <c r="CH34" i="17"/>
  <c r="CH35" i="17"/>
  <c r="CH36" i="17"/>
  <c r="CH37" i="17"/>
  <c r="CH38" i="17"/>
  <c r="CH39" i="17"/>
  <c r="CH40" i="17"/>
  <c r="CH41" i="17"/>
  <c r="CH42" i="17"/>
  <c r="CH43" i="17"/>
  <c r="CH44" i="17"/>
  <c r="CH45" i="17"/>
  <c r="CH46" i="17"/>
  <c r="CH47" i="17"/>
  <c r="CH48" i="17"/>
  <c r="CH49" i="17"/>
  <c r="CH50" i="17"/>
  <c r="CH51" i="17"/>
  <c r="CH52" i="17"/>
  <c r="CH53" i="17"/>
  <c r="CH54" i="17"/>
  <c r="CH55" i="17"/>
  <c r="CH56" i="17"/>
  <c r="CH57" i="17"/>
  <c r="CH58" i="17"/>
  <c r="CH59" i="17"/>
  <c r="CH60" i="17"/>
  <c r="CH61" i="17"/>
  <c r="CH62" i="17"/>
  <c r="CH63" i="17"/>
  <c r="CH64" i="17"/>
  <c r="CH65" i="17"/>
  <c r="CH66" i="17"/>
  <c r="CH67" i="17"/>
  <c r="CH68" i="17"/>
  <c r="CH69" i="17"/>
  <c r="CH70" i="17"/>
  <c r="CH71" i="17"/>
  <c r="CH72" i="17"/>
  <c r="CH73" i="17"/>
  <c r="CH74" i="17"/>
  <c r="CH75" i="17"/>
  <c r="CH76" i="17"/>
  <c r="CH77" i="17"/>
  <c r="CH78" i="17"/>
  <c r="CH79" i="17"/>
  <c r="CH80" i="17"/>
  <c r="CH81" i="17"/>
  <c r="CH82" i="17"/>
  <c r="CH83" i="17"/>
  <c r="CH84" i="17"/>
  <c r="CH85" i="17"/>
  <c r="CH86" i="17"/>
  <c r="CH87" i="17"/>
  <c r="CH88" i="17"/>
  <c r="CH89" i="17"/>
  <c r="CH90" i="17"/>
  <c r="CH91" i="17"/>
  <c r="CH92" i="17"/>
  <c r="CH93" i="17"/>
  <c r="CH94" i="17"/>
  <c r="CH95" i="17"/>
  <c r="CH96" i="17"/>
  <c r="CH97" i="17"/>
  <c r="CH98" i="17"/>
  <c r="CH99" i="17"/>
  <c r="CH100" i="17"/>
  <c r="CH101" i="17"/>
  <c r="CH102" i="17"/>
  <c r="CH103" i="17"/>
  <c r="CH104" i="17"/>
  <c r="CH105" i="17"/>
  <c r="CH106" i="17"/>
  <c r="CH107" i="17"/>
  <c r="CH108" i="17"/>
  <c r="CH109" i="17"/>
  <c r="CH110" i="17"/>
  <c r="CH111" i="17"/>
  <c r="CH112" i="17"/>
  <c r="CH113" i="17"/>
  <c r="CH114" i="17"/>
  <c r="CH115" i="17"/>
  <c r="CH116" i="17"/>
  <c r="CH117" i="17"/>
  <c r="CH118" i="17"/>
  <c r="CH119" i="17"/>
  <c r="CH120" i="17"/>
  <c r="CH121" i="17"/>
  <c r="CH122" i="17"/>
  <c r="CH123" i="17"/>
  <c r="CH124" i="17"/>
  <c r="CH125" i="17"/>
  <c r="CH126" i="17"/>
  <c r="CH127" i="17"/>
  <c r="CH128" i="17"/>
  <c r="CH129" i="17"/>
  <c r="CH130" i="17"/>
  <c r="CH131" i="17"/>
  <c r="CH132" i="17"/>
  <c r="CH133" i="17"/>
  <c r="CH134" i="17"/>
  <c r="CH135" i="17"/>
  <c r="CG2" i="17"/>
  <c r="CG3" i="17"/>
  <c r="CG4" i="17"/>
  <c r="CG5" i="17"/>
  <c r="CG6" i="17"/>
  <c r="CG7" i="17"/>
  <c r="CG8" i="17"/>
  <c r="CG9" i="17"/>
  <c r="CG10" i="17"/>
  <c r="CG11" i="17"/>
  <c r="CG12" i="17"/>
  <c r="CG13" i="17"/>
  <c r="CG14" i="17"/>
  <c r="CG15" i="17"/>
  <c r="CG16" i="17"/>
  <c r="CG17" i="17"/>
  <c r="CG18" i="17"/>
  <c r="CG19" i="17"/>
  <c r="CG20" i="17"/>
  <c r="CG21" i="17"/>
  <c r="CG22" i="17"/>
  <c r="CG23" i="17"/>
  <c r="CG24" i="17"/>
  <c r="CG25" i="17"/>
  <c r="CG26" i="17"/>
  <c r="CG27" i="17"/>
  <c r="CG28" i="17"/>
  <c r="CG29" i="17"/>
  <c r="CG30" i="17"/>
  <c r="CG31" i="17"/>
  <c r="CG32" i="17"/>
  <c r="CG33" i="17"/>
  <c r="CG34" i="17"/>
  <c r="CG35" i="17"/>
  <c r="CG36" i="17"/>
  <c r="CG37" i="17"/>
  <c r="CG38" i="17"/>
  <c r="CG39" i="17"/>
  <c r="CG40" i="17"/>
  <c r="CG41" i="17"/>
  <c r="CG42" i="17"/>
  <c r="CG43" i="17"/>
  <c r="CG44" i="17"/>
  <c r="CG45" i="17"/>
  <c r="CG46" i="17"/>
  <c r="CG47" i="17"/>
  <c r="CG48" i="17"/>
  <c r="CG49" i="17"/>
  <c r="CG50" i="17"/>
  <c r="CG51" i="17"/>
  <c r="CG52" i="17"/>
  <c r="CG53" i="17"/>
  <c r="CG54" i="17"/>
  <c r="CG55" i="17"/>
  <c r="CG56" i="17"/>
  <c r="CG57" i="17"/>
  <c r="CG58" i="17"/>
  <c r="CG59" i="17"/>
  <c r="CG60" i="17"/>
  <c r="CG61" i="17"/>
  <c r="CG62" i="17"/>
  <c r="CG63" i="17"/>
  <c r="CG64" i="17"/>
  <c r="CG65" i="17"/>
  <c r="CG66" i="17"/>
  <c r="CG67" i="17"/>
  <c r="CG68" i="17"/>
  <c r="CG69" i="17"/>
  <c r="CG70" i="17"/>
  <c r="CG71" i="17"/>
  <c r="CG72" i="17"/>
  <c r="CG73" i="17"/>
  <c r="CG74" i="17"/>
  <c r="CG75" i="17"/>
  <c r="CG76" i="17"/>
  <c r="CG77" i="17"/>
  <c r="CG78" i="17"/>
  <c r="CG79" i="17"/>
  <c r="CG80" i="17"/>
  <c r="CG81" i="17"/>
  <c r="CG82" i="17"/>
  <c r="CG83" i="17"/>
  <c r="CG84" i="17"/>
  <c r="CG85" i="17"/>
  <c r="CG86" i="17"/>
  <c r="CG87" i="17"/>
  <c r="CG88" i="17"/>
  <c r="CG89" i="17"/>
  <c r="CG90" i="17"/>
  <c r="CG91" i="17"/>
  <c r="CG92" i="17"/>
  <c r="CG93" i="17"/>
  <c r="CG94" i="17"/>
  <c r="CG95" i="17"/>
  <c r="CG96" i="17"/>
  <c r="CG97" i="17"/>
  <c r="CG98" i="17"/>
  <c r="CG99" i="17"/>
  <c r="CG100" i="17"/>
  <c r="CG101" i="17"/>
  <c r="CG102" i="17"/>
  <c r="CG103" i="17"/>
  <c r="CG104" i="17"/>
  <c r="CG105" i="17"/>
  <c r="CG106" i="17"/>
  <c r="CG107" i="17"/>
  <c r="CG108" i="17"/>
  <c r="CG109" i="17"/>
  <c r="CG110" i="17"/>
  <c r="CG111" i="17"/>
  <c r="CG112" i="17"/>
  <c r="CG113" i="17"/>
  <c r="CG114" i="17"/>
  <c r="CG115" i="17"/>
  <c r="CG116" i="17"/>
  <c r="CG117" i="17"/>
  <c r="CG118" i="17"/>
  <c r="CG119" i="17"/>
  <c r="CG120" i="17"/>
  <c r="CG121" i="17"/>
  <c r="CG122" i="17"/>
  <c r="CG123" i="17"/>
  <c r="CG124" i="17"/>
  <c r="CG125" i="17"/>
  <c r="CG126" i="17"/>
  <c r="CG127" i="17"/>
  <c r="CG128" i="17"/>
  <c r="CG129" i="17"/>
  <c r="CG130" i="17"/>
  <c r="CG131" i="17"/>
  <c r="CG132" i="17"/>
  <c r="CG133" i="17"/>
  <c r="CG134" i="17"/>
  <c r="CG135" i="17"/>
  <c r="CF2" i="17"/>
  <c r="CF3" i="17"/>
  <c r="CF4" i="17"/>
  <c r="CF5" i="17"/>
  <c r="CF6" i="17"/>
  <c r="CF7" i="17"/>
  <c r="CF8" i="17"/>
  <c r="CF9" i="17"/>
  <c r="CF10" i="17"/>
  <c r="CF11" i="17"/>
  <c r="CF12" i="17"/>
  <c r="CF13" i="17"/>
  <c r="CF14" i="17"/>
  <c r="CF15" i="17"/>
  <c r="CF16" i="17"/>
  <c r="CF17" i="17"/>
  <c r="CF18" i="17"/>
  <c r="CF19" i="17"/>
  <c r="CF20" i="17"/>
  <c r="CF21" i="17"/>
  <c r="CF22" i="17"/>
  <c r="CF23" i="17"/>
  <c r="CF24" i="17"/>
  <c r="CF25" i="17"/>
  <c r="CF26" i="17"/>
  <c r="CF27" i="17"/>
  <c r="CF28" i="17"/>
  <c r="CF29" i="17"/>
  <c r="CF30" i="17"/>
  <c r="CF31" i="17"/>
  <c r="CF32" i="17"/>
  <c r="CF33" i="17"/>
  <c r="CF34" i="17"/>
  <c r="CF35" i="17"/>
  <c r="CF36" i="17"/>
  <c r="CF37" i="17"/>
  <c r="CF38" i="17"/>
  <c r="CF39" i="17"/>
  <c r="CF40" i="17"/>
  <c r="CF41" i="17"/>
  <c r="CF42" i="17"/>
  <c r="CF43" i="17"/>
  <c r="CF44" i="17"/>
  <c r="CF45" i="17"/>
  <c r="CF46" i="17"/>
  <c r="CF47" i="17"/>
  <c r="CF48" i="17"/>
  <c r="CF49" i="17"/>
  <c r="CF50" i="17"/>
  <c r="CF51" i="17"/>
  <c r="CF52" i="17"/>
  <c r="CF53" i="17"/>
  <c r="CF54" i="17"/>
  <c r="CF55" i="17"/>
  <c r="CF56" i="17"/>
  <c r="CF57" i="17"/>
  <c r="CF58" i="17"/>
  <c r="CF59" i="17"/>
  <c r="CF60" i="17"/>
  <c r="CF61" i="17"/>
  <c r="CF62" i="17"/>
  <c r="CF63" i="17"/>
  <c r="CF64" i="17"/>
  <c r="CF65" i="17"/>
  <c r="CF66" i="17"/>
  <c r="CF67" i="17"/>
  <c r="CF68" i="17"/>
  <c r="CF69" i="17"/>
  <c r="CF70" i="17"/>
  <c r="CF71" i="17"/>
  <c r="CF72" i="17"/>
  <c r="CF73" i="17"/>
  <c r="CF74" i="17"/>
  <c r="CF75" i="17"/>
  <c r="CF76" i="17"/>
  <c r="CF77" i="17"/>
  <c r="CF78" i="17"/>
  <c r="CF79" i="17"/>
  <c r="CF80" i="17"/>
  <c r="CF81" i="17"/>
  <c r="CF82" i="17"/>
  <c r="CF83" i="17"/>
  <c r="CF84" i="17"/>
  <c r="CF85" i="17"/>
  <c r="CF86" i="17"/>
  <c r="CF87" i="17"/>
  <c r="CF88" i="17"/>
  <c r="CF89" i="17"/>
  <c r="CF90" i="17"/>
  <c r="CF91" i="17"/>
  <c r="CF92" i="17"/>
  <c r="CF93" i="17"/>
  <c r="CF94" i="17"/>
  <c r="CF95" i="17"/>
  <c r="CF96" i="17"/>
  <c r="CF97" i="17"/>
  <c r="CF98" i="17"/>
  <c r="CF99" i="17"/>
  <c r="CF100" i="17"/>
  <c r="CF101" i="17"/>
  <c r="CF102" i="17"/>
  <c r="CF103" i="17"/>
  <c r="CF104" i="17"/>
  <c r="CF105" i="17"/>
  <c r="CF106" i="17"/>
  <c r="CF107" i="17"/>
  <c r="CF108" i="17"/>
  <c r="CF109" i="17"/>
  <c r="CF110" i="17"/>
  <c r="CF111" i="17"/>
  <c r="CF112" i="17"/>
  <c r="CF113" i="17"/>
  <c r="CF114" i="17"/>
  <c r="CF115" i="17"/>
  <c r="CF116" i="17"/>
  <c r="CF117" i="17"/>
  <c r="CF118" i="17"/>
  <c r="CF119" i="17"/>
  <c r="CF120" i="17"/>
  <c r="CF121" i="17"/>
  <c r="CF122" i="17"/>
  <c r="CF123" i="17"/>
  <c r="CF124" i="17"/>
  <c r="CF125" i="17"/>
  <c r="CF126" i="17"/>
  <c r="CF127" i="17"/>
  <c r="CF128" i="17"/>
  <c r="CF129" i="17"/>
  <c r="CF130" i="17"/>
  <c r="CF131" i="17"/>
  <c r="CF132" i="17"/>
  <c r="CF133" i="17"/>
  <c r="CF134" i="17"/>
  <c r="CF135" i="17"/>
  <c r="CE2" i="17"/>
  <c r="CE3" i="17"/>
  <c r="CE4" i="17"/>
  <c r="CE5" i="17"/>
  <c r="CE6" i="17"/>
  <c r="CE7" i="17"/>
  <c r="CE8" i="17"/>
  <c r="CE9" i="17"/>
  <c r="CE10" i="17"/>
  <c r="CE11" i="17"/>
  <c r="CE12" i="17"/>
  <c r="CE13" i="17"/>
  <c r="CE14" i="17"/>
  <c r="CE15" i="17"/>
  <c r="CE16" i="17"/>
  <c r="CE17" i="17"/>
  <c r="CE18" i="17"/>
  <c r="CE19" i="17"/>
  <c r="CE20" i="17"/>
  <c r="CE21" i="17"/>
  <c r="CE22" i="17"/>
  <c r="CE23" i="17"/>
  <c r="CE24" i="17"/>
  <c r="CE25" i="17"/>
  <c r="CE26" i="17"/>
  <c r="CE27" i="17"/>
  <c r="CE28" i="17"/>
  <c r="CE29" i="17"/>
  <c r="CE30" i="17"/>
  <c r="CE31" i="17"/>
  <c r="CE32" i="17"/>
  <c r="CE33" i="17"/>
  <c r="CE34" i="17"/>
  <c r="CE35" i="17"/>
  <c r="CE36" i="17"/>
  <c r="CE37" i="17"/>
  <c r="CE38" i="17"/>
  <c r="CE39" i="17"/>
  <c r="CE40" i="17"/>
  <c r="CE41" i="17"/>
  <c r="CE42" i="17"/>
  <c r="CE43" i="17"/>
  <c r="CE44" i="17"/>
  <c r="CE45" i="17"/>
  <c r="CE46" i="17"/>
  <c r="CE47" i="17"/>
  <c r="CE48" i="17"/>
  <c r="CE49" i="17"/>
  <c r="CE50" i="17"/>
  <c r="CE51" i="17"/>
  <c r="CE52" i="17"/>
  <c r="CE53" i="17"/>
  <c r="CE54" i="17"/>
  <c r="CE55" i="17"/>
  <c r="CE56" i="17"/>
  <c r="CE57" i="17"/>
  <c r="CE58" i="17"/>
  <c r="CE59" i="17"/>
  <c r="CE60" i="17"/>
  <c r="CE61" i="17"/>
  <c r="CE62" i="17"/>
  <c r="CE63" i="17"/>
  <c r="CE64" i="17"/>
  <c r="CE65" i="17"/>
  <c r="CE66" i="17"/>
  <c r="CE67" i="17"/>
  <c r="CE68" i="17"/>
  <c r="CE69" i="17"/>
  <c r="CE70" i="17"/>
  <c r="CE71" i="17"/>
  <c r="CE72" i="17"/>
  <c r="CE73" i="17"/>
  <c r="CE74" i="17"/>
  <c r="CE75" i="17"/>
  <c r="CE76" i="17"/>
  <c r="CE77" i="17"/>
  <c r="CE78" i="17"/>
  <c r="CE79" i="17"/>
  <c r="CE80" i="17"/>
  <c r="CE81" i="17"/>
  <c r="CE82" i="17"/>
  <c r="CE83" i="17"/>
  <c r="CE84" i="17"/>
  <c r="CE85" i="17"/>
  <c r="CE86" i="17"/>
  <c r="CE87" i="17"/>
  <c r="CE88" i="17"/>
  <c r="CE89" i="17"/>
  <c r="CE90" i="17"/>
  <c r="CE91" i="17"/>
  <c r="CE92" i="17"/>
  <c r="CE93" i="17"/>
  <c r="CE94" i="17"/>
  <c r="CE95" i="17"/>
  <c r="CE96" i="17"/>
  <c r="CE97" i="17"/>
  <c r="CE98" i="17"/>
  <c r="CE99" i="17"/>
  <c r="CE100" i="17"/>
  <c r="CE101" i="17"/>
  <c r="CE102" i="17"/>
  <c r="CE103" i="17"/>
  <c r="CE104" i="17"/>
  <c r="CE105" i="17"/>
  <c r="CE106" i="17"/>
  <c r="CE107" i="17"/>
  <c r="CE108" i="17"/>
  <c r="CE109" i="17"/>
  <c r="CE110" i="17"/>
  <c r="CE111" i="17"/>
  <c r="CE112" i="17"/>
  <c r="CE113" i="17"/>
  <c r="CE114" i="17"/>
  <c r="CE115" i="17"/>
  <c r="CE116" i="17"/>
  <c r="CE117" i="17"/>
  <c r="CE118" i="17"/>
  <c r="CE119" i="17"/>
  <c r="CE120" i="17"/>
  <c r="CE121" i="17"/>
  <c r="CE122" i="17"/>
  <c r="CE123" i="17"/>
  <c r="CE124" i="17"/>
  <c r="CE125" i="17"/>
  <c r="CE126" i="17"/>
  <c r="CE127" i="17"/>
  <c r="CE128" i="17"/>
  <c r="CE129" i="17"/>
  <c r="CE130" i="17"/>
  <c r="CE131" i="17"/>
  <c r="CE132" i="17"/>
  <c r="CE133" i="17"/>
  <c r="CE134" i="17"/>
  <c r="CE135" i="17"/>
  <c r="CD2" i="17"/>
  <c r="CD3" i="17"/>
  <c r="CD4" i="17"/>
  <c r="CD5" i="17"/>
  <c r="CD6" i="17"/>
  <c r="CD7" i="17"/>
  <c r="CD8" i="17"/>
  <c r="CD9" i="17"/>
  <c r="CD10" i="17"/>
  <c r="CD11" i="17"/>
  <c r="CD12" i="17"/>
  <c r="CD13" i="17"/>
  <c r="CD14" i="17"/>
  <c r="CD15" i="17"/>
  <c r="CD16" i="17"/>
  <c r="CD17" i="17"/>
  <c r="CD18" i="17"/>
  <c r="CD19" i="17"/>
  <c r="CD20" i="17"/>
  <c r="CD21" i="17"/>
  <c r="CD22" i="17"/>
  <c r="CD23" i="17"/>
  <c r="CD24" i="17"/>
  <c r="CD25" i="17"/>
  <c r="CD26" i="17"/>
  <c r="CD27" i="17"/>
  <c r="CD28" i="17"/>
  <c r="CD29" i="17"/>
  <c r="CD30" i="17"/>
  <c r="CD31" i="17"/>
  <c r="CD32" i="17"/>
  <c r="CD33" i="17"/>
  <c r="CD34" i="17"/>
  <c r="CD35" i="17"/>
  <c r="CD36" i="17"/>
  <c r="CD37" i="17"/>
  <c r="CD38" i="17"/>
  <c r="CD39" i="17"/>
  <c r="CD40" i="17"/>
  <c r="CD41" i="17"/>
  <c r="CD42" i="17"/>
  <c r="CD43" i="17"/>
  <c r="CD44" i="17"/>
  <c r="CD45" i="17"/>
  <c r="CD46" i="17"/>
  <c r="CD47" i="17"/>
  <c r="CD48" i="17"/>
  <c r="CD49" i="17"/>
  <c r="CD50" i="17"/>
  <c r="CD51" i="17"/>
  <c r="CD52" i="17"/>
  <c r="CD53" i="17"/>
  <c r="CD54" i="17"/>
  <c r="CD55" i="17"/>
  <c r="CD56" i="17"/>
  <c r="CD57" i="17"/>
  <c r="CD58" i="17"/>
  <c r="CD59" i="17"/>
  <c r="CD60" i="17"/>
  <c r="CD61" i="17"/>
  <c r="CD62" i="17"/>
  <c r="CD63" i="17"/>
  <c r="CD64" i="17"/>
  <c r="CD65" i="17"/>
  <c r="CD66" i="17"/>
  <c r="CD67" i="17"/>
  <c r="CD68" i="17"/>
  <c r="CD69" i="17"/>
  <c r="CD70" i="17"/>
  <c r="CD71" i="17"/>
  <c r="CD72" i="17"/>
  <c r="CD73" i="17"/>
  <c r="CD74" i="17"/>
  <c r="CD75" i="17"/>
  <c r="CD76" i="17"/>
  <c r="CD77" i="17"/>
  <c r="CD78" i="17"/>
  <c r="CD79" i="17"/>
  <c r="CD80" i="17"/>
  <c r="CD81" i="17"/>
  <c r="CD82" i="17"/>
  <c r="CD83" i="17"/>
  <c r="CD84" i="17"/>
  <c r="CD85" i="17"/>
  <c r="CD86" i="17"/>
  <c r="CD87" i="17"/>
  <c r="CD88" i="17"/>
  <c r="CD89" i="17"/>
  <c r="CD90" i="17"/>
  <c r="CD91" i="17"/>
  <c r="CD92" i="17"/>
  <c r="CD93" i="17"/>
  <c r="CD94" i="17"/>
  <c r="CD95" i="17"/>
  <c r="CD96" i="17"/>
  <c r="CD97" i="17"/>
  <c r="CD98" i="17"/>
  <c r="CD99" i="17"/>
  <c r="CD100" i="17"/>
  <c r="CD101" i="17"/>
  <c r="CD102" i="17"/>
  <c r="CD103" i="17"/>
  <c r="CD104" i="17"/>
  <c r="CD105" i="17"/>
  <c r="CD106" i="17"/>
  <c r="CD107" i="17"/>
  <c r="CD108" i="17"/>
  <c r="CD109" i="17"/>
  <c r="CD110" i="17"/>
  <c r="CD111" i="17"/>
  <c r="CD112" i="17"/>
  <c r="CD113" i="17"/>
  <c r="CD114" i="17"/>
  <c r="CD115" i="17"/>
  <c r="CD116" i="17"/>
  <c r="CD117" i="17"/>
  <c r="CD118" i="17"/>
  <c r="CD119" i="17"/>
  <c r="CD120" i="17"/>
  <c r="CD121" i="17"/>
  <c r="CD122" i="17"/>
  <c r="CD123" i="17"/>
  <c r="CD124" i="17"/>
  <c r="CD125" i="17"/>
  <c r="CD126" i="17"/>
  <c r="CD127" i="17"/>
  <c r="CD128" i="17"/>
  <c r="CD129" i="17"/>
  <c r="CD130" i="17"/>
  <c r="CD131" i="17"/>
  <c r="CD132" i="17"/>
  <c r="CD133" i="17"/>
  <c r="CD134" i="17"/>
  <c r="CD135" i="17"/>
  <c r="CC2" i="17"/>
  <c r="CC3" i="17"/>
  <c r="CC4" i="17"/>
  <c r="CC5" i="17"/>
  <c r="CC6" i="17"/>
  <c r="CC7" i="17"/>
  <c r="CC8" i="17"/>
  <c r="CC9" i="17"/>
  <c r="CC10" i="17"/>
  <c r="CC11" i="17"/>
  <c r="CC12" i="17"/>
  <c r="CC13" i="17"/>
  <c r="CC14" i="17"/>
  <c r="CC15" i="17"/>
  <c r="CC16" i="17"/>
  <c r="CC17" i="17"/>
  <c r="CC18" i="17"/>
  <c r="CC19" i="17"/>
  <c r="CC20" i="17"/>
  <c r="CC21" i="17"/>
  <c r="CC22" i="17"/>
  <c r="CC23" i="17"/>
  <c r="CC24" i="17"/>
  <c r="CC25" i="17"/>
  <c r="CC26" i="17"/>
  <c r="CC27" i="17"/>
  <c r="CC28" i="17"/>
  <c r="CC29" i="17"/>
  <c r="CC30" i="17"/>
  <c r="CC31" i="17"/>
  <c r="CC32" i="17"/>
  <c r="CC33" i="17"/>
  <c r="CC34" i="17"/>
  <c r="CC35" i="17"/>
  <c r="CC36" i="17"/>
  <c r="CC37" i="17"/>
  <c r="CC38" i="17"/>
  <c r="CC39" i="17"/>
  <c r="CC40" i="17"/>
  <c r="CC41" i="17"/>
  <c r="CC42" i="17"/>
  <c r="CC43" i="17"/>
  <c r="CC44" i="17"/>
  <c r="CC45" i="17"/>
  <c r="CC46" i="17"/>
  <c r="CC47" i="17"/>
  <c r="CC48" i="17"/>
  <c r="CC49" i="17"/>
  <c r="CC50" i="17"/>
  <c r="CC51" i="17"/>
  <c r="CC52" i="17"/>
  <c r="CC53" i="17"/>
  <c r="CC54" i="17"/>
  <c r="CC55" i="17"/>
  <c r="CC56" i="17"/>
  <c r="CC57" i="17"/>
  <c r="CC58" i="17"/>
  <c r="CC59" i="17"/>
  <c r="CC60" i="17"/>
  <c r="CC61" i="17"/>
  <c r="CC62" i="17"/>
  <c r="CC63" i="17"/>
  <c r="CC64" i="17"/>
  <c r="CC65" i="17"/>
  <c r="CC66" i="17"/>
  <c r="CC67" i="17"/>
  <c r="CC68" i="17"/>
  <c r="CC69" i="17"/>
  <c r="CC70" i="17"/>
  <c r="CC71" i="17"/>
  <c r="CC72" i="17"/>
  <c r="CC73" i="17"/>
  <c r="CC74" i="17"/>
  <c r="CC75" i="17"/>
  <c r="CC76" i="17"/>
  <c r="CC77" i="17"/>
  <c r="CC78" i="17"/>
  <c r="CC79" i="17"/>
  <c r="CC80" i="17"/>
  <c r="CC81" i="17"/>
  <c r="CC82" i="17"/>
  <c r="CC83" i="17"/>
  <c r="CC84" i="17"/>
  <c r="CC85" i="17"/>
  <c r="CC86" i="17"/>
  <c r="CC87" i="17"/>
  <c r="CC88" i="17"/>
  <c r="CC89" i="17"/>
  <c r="CC90" i="17"/>
  <c r="CC91" i="17"/>
  <c r="CC92" i="17"/>
  <c r="CC93" i="17"/>
  <c r="CC94" i="17"/>
  <c r="CC95" i="17"/>
  <c r="CC96" i="17"/>
  <c r="CC97" i="17"/>
  <c r="CC98" i="17"/>
  <c r="CC99" i="17"/>
  <c r="CC100" i="17"/>
  <c r="CC101" i="17"/>
  <c r="CC102" i="17"/>
  <c r="CC103" i="17"/>
  <c r="CC104" i="17"/>
  <c r="CC105" i="17"/>
  <c r="CC106" i="17"/>
  <c r="CC107" i="17"/>
  <c r="CC108" i="17"/>
  <c r="CC109" i="17"/>
  <c r="CC110" i="17"/>
  <c r="CC111" i="17"/>
  <c r="CC112" i="17"/>
  <c r="CC113" i="17"/>
  <c r="CC114" i="17"/>
  <c r="CC115" i="17"/>
  <c r="CC116" i="17"/>
  <c r="CC117" i="17"/>
  <c r="CC118" i="17"/>
  <c r="CC119" i="17"/>
  <c r="CC120" i="17"/>
  <c r="CC121" i="17"/>
  <c r="CC122" i="17"/>
  <c r="CC123" i="17"/>
  <c r="CC124" i="17"/>
  <c r="CC125" i="17"/>
  <c r="CC126" i="17"/>
  <c r="CC127" i="17"/>
  <c r="CC128" i="17"/>
  <c r="CC129" i="17"/>
  <c r="CC130" i="17"/>
  <c r="CC131" i="17"/>
  <c r="CC132" i="17"/>
  <c r="CC133" i="17"/>
  <c r="CC134" i="17"/>
  <c r="CC135" i="17"/>
  <c r="CB2" i="17"/>
  <c r="CB3" i="17"/>
  <c r="CB4" i="17"/>
  <c r="CB5" i="17"/>
  <c r="CB6" i="17"/>
  <c r="CB7" i="17"/>
  <c r="CB8" i="17"/>
  <c r="CB9" i="17"/>
  <c r="CB10" i="17"/>
  <c r="CB11" i="17"/>
  <c r="CB12" i="17"/>
  <c r="CB13" i="17"/>
  <c r="CB14" i="17"/>
  <c r="CB15" i="17"/>
  <c r="CB16" i="17"/>
  <c r="CB17" i="17"/>
  <c r="CB18" i="17"/>
  <c r="CB19" i="17"/>
  <c r="CB20" i="17"/>
  <c r="CB21" i="17"/>
  <c r="CB22" i="17"/>
  <c r="CB23" i="17"/>
  <c r="CB24" i="17"/>
  <c r="CB25" i="17"/>
  <c r="CB26" i="17"/>
  <c r="CB27" i="17"/>
  <c r="CB28" i="17"/>
  <c r="CB29" i="17"/>
  <c r="CB30" i="17"/>
  <c r="CB31" i="17"/>
  <c r="CB32" i="17"/>
  <c r="CB33" i="17"/>
  <c r="CB34" i="17"/>
  <c r="CB35" i="17"/>
  <c r="CB36" i="17"/>
  <c r="CB37" i="17"/>
  <c r="CB38" i="17"/>
  <c r="CB39" i="17"/>
  <c r="CB40" i="17"/>
  <c r="CB41" i="17"/>
  <c r="CB42" i="17"/>
  <c r="CB43" i="17"/>
  <c r="CB44" i="17"/>
  <c r="CB45" i="17"/>
  <c r="CB46" i="17"/>
  <c r="CB47" i="17"/>
  <c r="CB48" i="17"/>
  <c r="CB49" i="17"/>
  <c r="CB50" i="17"/>
  <c r="CB51" i="17"/>
  <c r="CB52" i="17"/>
  <c r="CB53" i="17"/>
  <c r="CB54" i="17"/>
  <c r="CB55" i="17"/>
  <c r="CB56" i="17"/>
  <c r="CB57" i="17"/>
  <c r="CB58" i="17"/>
  <c r="CB59" i="17"/>
  <c r="CB60" i="17"/>
  <c r="CB61" i="17"/>
  <c r="CB62" i="17"/>
  <c r="CB63" i="17"/>
  <c r="CB64" i="17"/>
  <c r="CB65" i="17"/>
  <c r="CB66" i="17"/>
  <c r="CB67" i="17"/>
  <c r="CB68" i="17"/>
  <c r="CB69" i="17"/>
  <c r="CB70" i="17"/>
  <c r="CB71" i="17"/>
  <c r="CB72" i="17"/>
  <c r="CB73" i="17"/>
  <c r="CB74" i="17"/>
  <c r="CB75" i="17"/>
  <c r="CB76" i="17"/>
  <c r="CB77" i="17"/>
  <c r="CB78" i="17"/>
  <c r="CB79" i="17"/>
  <c r="CB80" i="17"/>
  <c r="CB81" i="17"/>
  <c r="CB82" i="17"/>
  <c r="CB83" i="17"/>
  <c r="CB84" i="17"/>
  <c r="CB85" i="17"/>
  <c r="CB86" i="17"/>
  <c r="CB87" i="17"/>
  <c r="CB88" i="17"/>
  <c r="CB89" i="17"/>
  <c r="CB90" i="17"/>
  <c r="CB91" i="17"/>
  <c r="CB92" i="17"/>
  <c r="CB93" i="17"/>
  <c r="CB94" i="17"/>
  <c r="CB95" i="17"/>
  <c r="CB96" i="17"/>
  <c r="CB97" i="17"/>
  <c r="CB98" i="17"/>
  <c r="CB99" i="17"/>
  <c r="CB100" i="17"/>
  <c r="CB101" i="17"/>
  <c r="CB102" i="17"/>
  <c r="CB103" i="17"/>
  <c r="CB104" i="17"/>
  <c r="CB105" i="17"/>
  <c r="CB106" i="17"/>
  <c r="CB107" i="17"/>
  <c r="CB108" i="17"/>
  <c r="CB109" i="17"/>
  <c r="CB110" i="17"/>
  <c r="CB111" i="17"/>
  <c r="CB112" i="17"/>
  <c r="CB113" i="17"/>
  <c r="CB114" i="17"/>
  <c r="CB115" i="17"/>
  <c r="CB116" i="17"/>
  <c r="CB117" i="17"/>
  <c r="CB118" i="17"/>
  <c r="CB119" i="17"/>
  <c r="CB120" i="17"/>
  <c r="CB121" i="17"/>
  <c r="CB122" i="17"/>
  <c r="CB123" i="17"/>
  <c r="CB124" i="17"/>
  <c r="CB125" i="17"/>
  <c r="CB126" i="17"/>
  <c r="CB127" i="17"/>
  <c r="CB128" i="17"/>
  <c r="CB129" i="17"/>
  <c r="CB130" i="17"/>
  <c r="CB131" i="17"/>
  <c r="CB132" i="17"/>
  <c r="CB133" i="17"/>
  <c r="CB134" i="17"/>
  <c r="CB135" i="17"/>
  <c r="CA2" i="17"/>
  <c r="CA3" i="17"/>
  <c r="CA4" i="17"/>
  <c r="CA5" i="17"/>
  <c r="CA6" i="17"/>
  <c r="CA7" i="17"/>
  <c r="CA8" i="17"/>
  <c r="CA9" i="17"/>
  <c r="CA10" i="17"/>
  <c r="CA11" i="17"/>
  <c r="CA12" i="17"/>
  <c r="CA13" i="17"/>
  <c r="CA14" i="17"/>
  <c r="CA15" i="17"/>
  <c r="CA16" i="17"/>
  <c r="CA17" i="17"/>
  <c r="CA18" i="17"/>
  <c r="CA19" i="17"/>
  <c r="CA20" i="17"/>
  <c r="CA21" i="17"/>
  <c r="CA22" i="17"/>
  <c r="CA23" i="17"/>
  <c r="CA24" i="17"/>
  <c r="CA25" i="17"/>
  <c r="CA26" i="17"/>
  <c r="CA27" i="17"/>
  <c r="CA28" i="17"/>
  <c r="CA29" i="17"/>
  <c r="CA30" i="17"/>
  <c r="CA31" i="17"/>
  <c r="CA32" i="17"/>
  <c r="CA33" i="17"/>
  <c r="CA34" i="17"/>
  <c r="CA35" i="17"/>
  <c r="CA36" i="17"/>
  <c r="CA37" i="17"/>
  <c r="CA38" i="17"/>
  <c r="CA39" i="17"/>
  <c r="CA40" i="17"/>
  <c r="CA41" i="17"/>
  <c r="CA42" i="17"/>
  <c r="CA43" i="17"/>
  <c r="CA44" i="17"/>
  <c r="CA45" i="17"/>
  <c r="CA46" i="17"/>
  <c r="CA47" i="17"/>
  <c r="CA48" i="17"/>
  <c r="CA49" i="17"/>
  <c r="CA50" i="17"/>
  <c r="CA51" i="17"/>
  <c r="CA52" i="17"/>
  <c r="CA53" i="17"/>
  <c r="CA54" i="17"/>
  <c r="CA55" i="17"/>
  <c r="CA56" i="17"/>
  <c r="CA57" i="17"/>
  <c r="CA58" i="17"/>
  <c r="CA59" i="17"/>
  <c r="CA60" i="17"/>
  <c r="CA61" i="17"/>
  <c r="CA62" i="17"/>
  <c r="CA63" i="17"/>
  <c r="CA64" i="17"/>
  <c r="CA65" i="17"/>
  <c r="CA66" i="17"/>
  <c r="CA67" i="17"/>
  <c r="CA68" i="17"/>
  <c r="CA69" i="17"/>
  <c r="CA70" i="17"/>
  <c r="CA71" i="17"/>
  <c r="CA72" i="17"/>
  <c r="CA73" i="17"/>
  <c r="CA74" i="17"/>
  <c r="CA75" i="17"/>
  <c r="CA76" i="17"/>
  <c r="CA77" i="17"/>
  <c r="CA78" i="17"/>
  <c r="CA79" i="17"/>
  <c r="CA80" i="17"/>
  <c r="CA81" i="17"/>
  <c r="CA82" i="17"/>
  <c r="CA83" i="17"/>
  <c r="CA84" i="17"/>
  <c r="CA85" i="17"/>
  <c r="CA86" i="17"/>
  <c r="CA87" i="17"/>
  <c r="CA88" i="17"/>
  <c r="CA89" i="17"/>
  <c r="CA90" i="17"/>
  <c r="CA91" i="17"/>
  <c r="CA92" i="17"/>
  <c r="CA93" i="17"/>
  <c r="CA94" i="17"/>
  <c r="CA95" i="17"/>
  <c r="CA96" i="17"/>
  <c r="CA97" i="17"/>
  <c r="CA98" i="17"/>
  <c r="CA99" i="17"/>
  <c r="CA100" i="17"/>
  <c r="CA101" i="17"/>
  <c r="CA102" i="17"/>
  <c r="CA103" i="17"/>
  <c r="CA104" i="17"/>
  <c r="CA105" i="17"/>
  <c r="CA106" i="17"/>
  <c r="CA107" i="17"/>
  <c r="CA108" i="17"/>
  <c r="CA109" i="17"/>
  <c r="CA110" i="17"/>
  <c r="CA111" i="17"/>
  <c r="CA112" i="17"/>
  <c r="CA113" i="17"/>
  <c r="CA114" i="17"/>
  <c r="CA115" i="17"/>
  <c r="CA116" i="17"/>
  <c r="CA117" i="17"/>
  <c r="CA118" i="17"/>
  <c r="CA119" i="17"/>
  <c r="CA120" i="17"/>
  <c r="CA121" i="17"/>
  <c r="CA122" i="17"/>
  <c r="CA123" i="17"/>
  <c r="CA124" i="17"/>
  <c r="CA125" i="17"/>
  <c r="CA126" i="17"/>
  <c r="CA127" i="17"/>
  <c r="CA128" i="17"/>
  <c r="CA129" i="17"/>
  <c r="CA130" i="17"/>
  <c r="CA131" i="17"/>
  <c r="CA132" i="17"/>
  <c r="CA133" i="17"/>
  <c r="CA134" i="17"/>
  <c r="CA135" i="17"/>
  <c r="CF8" i="20" l="1"/>
  <c r="K1428" i="27" s="1"/>
  <c r="CF6" i="20"/>
  <c r="K1426" i="27" s="1"/>
  <c r="CE2" i="23" l="1"/>
  <c r="J922" i="27" s="1"/>
  <c r="CE3" i="23"/>
  <c r="J923" i="27" s="1"/>
  <c r="CE4" i="23"/>
  <c r="J924" i="27" s="1"/>
  <c r="CE5" i="23"/>
  <c r="J925" i="27" s="1"/>
  <c r="CE6" i="23"/>
  <c r="J926" i="27" s="1"/>
  <c r="CE7" i="23"/>
  <c r="J927" i="27" s="1"/>
  <c r="CE8" i="23"/>
  <c r="J928" i="27" s="1"/>
  <c r="CE9" i="23"/>
  <c r="J929" i="27" s="1"/>
  <c r="CE10" i="23"/>
  <c r="J930" i="27" s="1"/>
  <c r="CE11" i="23"/>
  <c r="J931" i="27" s="1"/>
  <c r="CE12" i="23"/>
  <c r="J932" i="27" s="1"/>
  <c r="CE13" i="23"/>
  <c r="J933" i="27" s="1"/>
  <c r="CE14" i="23"/>
  <c r="J934" i="27" s="1"/>
  <c r="CE15" i="23"/>
  <c r="J935" i="27" s="1"/>
  <c r="CE16" i="23"/>
  <c r="J936" i="27" s="1"/>
  <c r="CE17" i="23"/>
  <c r="J937" i="27" s="1"/>
  <c r="CE18" i="23"/>
  <c r="J938" i="27" s="1"/>
  <c r="CE19" i="23"/>
  <c r="J939" i="27" s="1"/>
  <c r="CE20" i="23"/>
  <c r="J940" i="27" s="1"/>
  <c r="CE21" i="23"/>
  <c r="J941" i="27" s="1"/>
  <c r="CE22" i="23"/>
  <c r="J942" i="27" s="1"/>
  <c r="CE23" i="23"/>
  <c r="J943" i="27" s="1"/>
  <c r="CE24" i="23"/>
  <c r="J944" i="27" s="1"/>
  <c r="CE25" i="23"/>
  <c r="J945" i="27" s="1"/>
  <c r="CE26" i="23"/>
  <c r="J946" i="27" s="1"/>
  <c r="CE27" i="23"/>
  <c r="J947" i="27" s="1"/>
  <c r="CE28" i="23"/>
  <c r="J948" i="27" s="1"/>
  <c r="CE29" i="23"/>
  <c r="J949" i="27" s="1"/>
  <c r="CE30" i="23"/>
  <c r="J950" i="27" s="1"/>
  <c r="CE31" i="23"/>
  <c r="J951" i="27" s="1"/>
  <c r="CE32" i="23"/>
  <c r="J952" i="27" s="1"/>
  <c r="CE33" i="23"/>
  <c r="J953" i="27" s="1"/>
  <c r="CE34" i="23"/>
  <c r="J954" i="27" s="1"/>
  <c r="CE35" i="23"/>
  <c r="J955" i="27" s="1"/>
  <c r="CE36" i="23"/>
  <c r="J956" i="27" s="1"/>
  <c r="CE37" i="23"/>
  <c r="J957" i="27" s="1"/>
  <c r="CE38" i="23"/>
  <c r="J958" i="27" s="1"/>
  <c r="CE39" i="23"/>
  <c r="J959" i="27" s="1"/>
  <c r="CE40" i="23"/>
  <c r="J960" i="27" s="1"/>
  <c r="CE41" i="23"/>
  <c r="J961" i="27" s="1"/>
  <c r="CE42" i="23"/>
  <c r="J962" i="27" s="1"/>
  <c r="CE43" i="23"/>
  <c r="J963" i="27" s="1"/>
  <c r="CE44" i="23"/>
  <c r="J964" i="27" s="1"/>
  <c r="CE45" i="23"/>
  <c r="J965" i="27" s="1"/>
  <c r="CE46" i="23"/>
  <c r="J966" i="27" s="1"/>
  <c r="CE47" i="23"/>
  <c r="J967" i="27" s="1"/>
  <c r="CE48" i="23"/>
  <c r="J968" i="27" s="1"/>
  <c r="CE49" i="23"/>
  <c r="J969" i="27" s="1"/>
  <c r="CE50" i="23"/>
  <c r="J970" i="27" s="1"/>
  <c r="CE51" i="23"/>
  <c r="J971" i="27" s="1"/>
  <c r="CE52" i="23"/>
  <c r="J972" i="27" s="1"/>
  <c r="CE53" i="23"/>
  <c r="J973" i="27" s="1"/>
  <c r="CE54" i="23"/>
  <c r="J974" i="27" s="1"/>
  <c r="CE55" i="23"/>
  <c r="J975" i="27" s="1"/>
  <c r="CE56" i="23"/>
  <c r="J976" i="27" s="1"/>
  <c r="CE57" i="23"/>
  <c r="J977" i="27" s="1"/>
  <c r="CE58" i="23"/>
  <c r="J978" i="27" s="1"/>
  <c r="CE59" i="23"/>
  <c r="J979" i="27" s="1"/>
  <c r="CE60" i="23"/>
  <c r="J980" i="27" s="1"/>
  <c r="CE61" i="23"/>
  <c r="J981" i="27" s="1"/>
  <c r="CE62" i="23"/>
  <c r="J982" i="27" s="1"/>
  <c r="CE63" i="23"/>
  <c r="J983" i="27" s="1"/>
  <c r="CE64" i="23"/>
  <c r="J984" i="27" s="1"/>
  <c r="CE65" i="23"/>
  <c r="J985" i="27" s="1"/>
  <c r="CE66" i="23"/>
  <c r="J986" i="27" s="1"/>
  <c r="CE67" i="23"/>
  <c r="J987" i="27" s="1"/>
  <c r="CE68" i="23"/>
  <c r="J988" i="27" s="1"/>
  <c r="CE69" i="23"/>
  <c r="J989" i="27" s="1"/>
  <c r="CE70" i="23"/>
  <c r="J990" i="27" s="1"/>
  <c r="CE71" i="23"/>
  <c r="J991" i="27" s="1"/>
  <c r="CE72" i="23"/>
  <c r="J992" i="27" s="1"/>
  <c r="CE73" i="23"/>
  <c r="J993" i="27" s="1"/>
  <c r="CE74" i="23"/>
  <c r="J994" i="27" s="1"/>
  <c r="CE75" i="23"/>
  <c r="J995" i="27" s="1"/>
  <c r="CE76" i="23"/>
  <c r="J996" i="27" s="1"/>
  <c r="CE77" i="23"/>
  <c r="J997" i="27" s="1"/>
  <c r="CE78" i="23"/>
  <c r="J998" i="27" s="1"/>
  <c r="CE79" i="23"/>
  <c r="J999" i="27" s="1"/>
  <c r="CE80" i="23"/>
  <c r="J1000" i="27" s="1"/>
  <c r="CE81" i="23"/>
  <c r="J1001" i="27" s="1"/>
  <c r="CE82" i="23"/>
  <c r="J1002" i="27" s="1"/>
  <c r="CE83" i="23"/>
  <c r="J1003" i="27" s="1"/>
  <c r="CE84" i="23"/>
  <c r="J1004" i="27" s="1"/>
  <c r="CE85" i="23"/>
  <c r="J1005" i="27" s="1"/>
  <c r="CE86" i="23"/>
  <c r="J1006" i="27" s="1"/>
  <c r="CE87" i="23"/>
  <c r="J1007" i="27" s="1"/>
  <c r="CE88" i="23"/>
  <c r="J1008" i="27" s="1"/>
  <c r="CE89" i="23"/>
  <c r="J1009" i="27" s="1"/>
  <c r="CE90" i="23"/>
  <c r="J1010" i="27" s="1"/>
  <c r="CE91" i="23"/>
  <c r="J1011" i="27" s="1"/>
  <c r="CE92" i="23"/>
  <c r="J1012" i="27" s="1"/>
  <c r="CE93" i="23"/>
  <c r="J1013" i="27" s="1"/>
  <c r="CE94" i="23"/>
  <c r="J1014" i="27" s="1"/>
  <c r="CE95" i="23"/>
  <c r="J1015" i="27" s="1"/>
  <c r="CE96" i="23"/>
  <c r="J1016" i="27" s="1"/>
  <c r="CE97" i="23"/>
  <c r="J1017" i="27" s="1"/>
  <c r="CE98" i="23"/>
  <c r="J1018" i="27" s="1"/>
  <c r="CE99" i="23"/>
  <c r="J1019" i="27" s="1"/>
  <c r="CE100" i="23"/>
  <c r="J1020" i="27" s="1"/>
  <c r="CF2" i="23"/>
  <c r="K922" i="27" s="1"/>
  <c r="CF3" i="23"/>
  <c r="K923" i="27" s="1"/>
  <c r="CF4" i="23"/>
  <c r="K924" i="27" s="1"/>
  <c r="CF5" i="23"/>
  <c r="K925" i="27" s="1"/>
  <c r="CF6" i="23"/>
  <c r="K926" i="27" s="1"/>
  <c r="CF7" i="23"/>
  <c r="K927" i="27" s="1"/>
  <c r="CF8" i="23"/>
  <c r="K928" i="27" s="1"/>
  <c r="CF9" i="23"/>
  <c r="K929" i="27" s="1"/>
  <c r="CF10" i="23"/>
  <c r="K930" i="27" s="1"/>
  <c r="CF11" i="23"/>
  <c r="K931" i="27" s="1"/>
  <c r="CF12" i="23"/>
  <c r="K932" i="27" s="1"/>
  <c r="CF13" i="23"/>
  <c r="K933" i="27" s="1"/>
  <c r="CF14" i="23"/>
  <c r="K934" i="27" s="1"/>
  <c r="CF15" i="23"/>
  <c r="K935" i="27" s="1"/>
  <c r="CF16" i="23"/>
  <c r="K936" i="27" s="1"/>
  <c r="CF17" i="23"/>
  <c r="K937" i="27" s="1"/>
  <c r="CF18" i="23"/>
  <c r="K938" i="27" s="1"/>
  <c r="CF19" i="23"/>
  <c r="K939" i="27" s="1"/>
  <c r="CF20" i="23"/>
  <c r="K940" i="27" s="1"/>
  <c r="CF21" i="23"/>
  <c r="K941" i="27" s="1"/>
  <c r="CF22" i="23"/>
  <c r="K942" i="27" s="1"/>
  <c r="CF23" i="23"/>
  <c r="K943" i="27" s="1"/>
  <c r="CF24" i="23"/>
  <c r="K944" i="27" s="1"/>
  <c r="CF25" i="23"/>
  <c r="K945" i="27" s="1"/>
  <c r="CF26" i="23"/>
  <c r="K946" i="27" s="1"/>
  <c r="CF27" i="23"/>
  <c r="K947" i="27" s="1"/>
  <c r="CF28" i="23"/>
  <c r="K948" i="27" s="1"/>
  <c r="CF29" i="23"/>
  <c r="K949" i="27" s="1"/>
  <c r="CF30" i="23"/>
  <c r="K950" i="27" s="1"/>
  <c r="CF31" i="23"/>
  <c r="K951" i="27" s="1"/>
  <c r="CF32" i="23"/>
  <c r="K952" i="27" s="1"/>
  <c r="CF33" i="23"/>
  <c r="K953" i="27" s="1"/>
  <c r="CF34" i="23"/>
  <c r="K954" i="27" s="1"/>
  <c r="CF35" i="23"/>
  <c r="K955" i="27" s="1"/>
  <c r="CF36" i="23"/>
  <c r="K956" i="27" s="1"/>
  <c r="CF37" i="23"/>
  <c r="K957" i="27" s="1"/>
  <c r="CF38" i="23"/>
  <c r="K958" i="27" s="1"/>
  <c r="CF39" i="23"/>
  <c r="K959" i="27" s="1"/>
  <c r="CF40" i="23"/>
  <c r="K960" i="27" s="1"/>
  <c r="CF41" i="23"/>
  <c r="K961" i="27" s="1"/>
  <c r="CF42" i="23"/>
  <c r="K962" i="27" s="1"/>
  <c r="CF43" i="23"/>
  <c r="K963" i="27" s="1"/>
  <c r="CF44" i="23"/>
  <c r="K964" i="27" s="1"/>
  <c r="CF45" i="23"/>
  <c r="K965" i="27" s="1"/>
  <c r="CF46" i="23"/>
  <c r="K966" i="27" s="1"/>
  <c r="CF47" i="23"/>
  <c r="K967" i="27" s="1"/>
  <c r="CF48" i="23"/>
  <c r="K968" i="27" s="1"/>
  <c r="CF49" i="23"/>
  <c r="K969" i="27" s="1"/>
  <c r="CF50" i="23"/>
  <c r="K970" i="27" s="1"/>
  <c r="CF51" i="23"/>
  <c r="K971" i="27" s="1"/>
  <c r="CF52" i="23"/>
  <c r="K972" i="27" s="1"/>
  <c r="CF53" i="23"/>
  <c r="K973" i="27" s="1"/>
  <c r="CF54" i="23"/>
  <c r="K974" i="27" s="1"/>
  <c r="CF55" i="23"/>
  <c r="K975" i="27" s="1"/>
  <c r="CF56" i="23"/>
  <c r="K976" i="27" s="1"/>
  <c r="CF57" i="23"/>
  <c r="K977" i="27" s="1"/>
  <c r="CF58" i="23"/>
  <c r="K978" i="27" s="1"/>
  <c r="CF59" i="23"/>
  <c r="K979" i="27" s="1"/>
  <c r="CF60" i="23"/>
  <c r="K980" i="27" s="1"/>
  <c r="CF61" i="23"/>
  <c r="K981" i="27" s="1"/>
  <c r="CF62" i="23"/>
  <c r="K982" i="27" s="1"/>
  <c r="CF63" i="23"/>
  <c r="K983" i="27" s="1"/>
  <c r="CF64" i="23"/>
  <c r="K984" i="27" s="1"/>
  <c r="CF65" i="23"/>
  <c r="K985" i="27" s="1"/>
  <c r="CF66" i="23"/>
  <c r="K986" i="27" s="1"/>
  <c r="CF67" i="23"/>
  <c r="K987" i="27" s="1"/>
  <c r="CF68" i="23"/>
  <c r="K988" i="27" s="1"/>
  <c r="CF69" i="23"/>
  <c r="K989" i="27" s="1"/>
  <c r="CF70" i="23"/>
  <c r="K990" i="27" s="1"/>
  <c r="CF71" i="23"/>
  <c r="K991" i="27" s="1"/>
  <c r="CF72" i="23"/>
  <c r="K992" i="27" s="1"/>
  <c r="CF73" i="23"/>
  <c r="K993" i="27" s="1"/>
  <c r="CF74" i="23"/>
  <c r="K994" i="27" s="1"/>
  <c r="CF75" i="23"/>
  <c r="K995" i="27" s="1"/>
  <c r="CF76" i="23"/>
  <c r="K996" i="27" s="1"/>
  <c r="CF77" i="23"/>
  <c r="K997" i="27" s="1"/>
  <c r="CF78" i="23"/>
  <c r="K998" i="27" s="1"/>
  <c r="CF79" i="23"/>
  <c r="K999" i="27" s="1"/>
  <c r="CF80" i="23"/>
  <c r="K1000" i="27" s="1"/>
  <c r="CF81" i="23"/>
  <c r="K1001" i="27" s="1"/>
  <c r="CF82" i="23"/>
  <c r="K1002" i="27" s="1"/>
  <c r="CF83" i="23"/>
  <c r="K1003" i="27" s="1"/>
  <c r="CF84" i="23"/>
  <c r="K1004" i="27" s="1"/>
  <c r="CF85" i="23"/>
  <c r="K1005" i="27" s="1"/>
  <c r="CF86" i="23"/>
  <c r="K1006" i="27" s="1"/>
  <c r="CF87" i="23"/>
  <c r="K1007" i="27" s="1"/>
  <c r="CF88" i="23"/>
  <c r="K1008" i="27" s="1"/>
  <c r="CF89" i="23"/>
  <c r="K1009" i="27" s="1"/>
  <c r="CF90" i="23"/>
  <c r="K1010" i="27" s="1"/>
  <c r="CF91" i="23"/>
  <c r="K1011" i="27" s="1"/>
  <c r="CF92" i="23"/>
  <c r="K1012" i="27" s="1"/>
  <c r="CF93" i="23"/>
  <c r="K1013" i="27" s="1"/>
  <c r="CF94" i="23"/>
  <c r="K1014" i="27" s="1"/>
  <c r="CF95" i="23"/>
  <c r="K1015" i="27" s="1"/>
  <c r="CF96" i="23"/>
  <c r="K1016" i="27" s="1"/>
  <c r="CF97" i="23"/>
  <c r="K1017" i="27" s="1"/>
  <c r="CF98" i="23"/>
  <c r="K1018" i="27" s="1"/>
  <c r="CF99" i="23"/>
  <c r="K1019" i="27" s="1"/>
  <c r="CF100" i="23"/>
  <c r="K1020" i="27" s="1"/>
  <c r="CG2" i="23"/>
  <c r="L922" i="27" s="1"/>
  <c r="CG3" i="23"/>
  <c r="L923" i="27" s="1"/>
  <c r="CG4" i="23"/>
  <c r="L924" i="27" s="1"/>
  <c r="CG5" i="23"/>
  <c r="L925" i="27" s="1"/>
  <c r="CG6" i="23"/>
  <c r="L926" i="27" s="1"/>
  <c r="CG7" i="23"/>
  <c r="L927" i="27" s="1"/>
  <c r="CG8" i="23"/>
  <c r="L928" i="27" s="1"/>
  <c r="CG9" i="23"/>
  <c r="L929" i="27" s="1"/>
  <c r="CG10" i="23"/>
  <c r="L930" i="27" s="1"/>
  <c r="CG11" i="23"/>
  <c r="L931" i="27" s="1"/>
  <c r="CG12" i="23"/>
  <c r="L932" i="27" s="1"/>
  <c r="CG13" i="23"/>
  <c r="L933" i="27" s="1"/>
  <c r="CG14" i="23"/>
  <c r="L934" i="27" s="1"/>
  <c r="CG15" i="23"/>
  <c r="L935" i="27" s="1"/>
  <c r="CG16" i="23"/>
  <c r="L936" i="27" s="1"/>
  <c r="CG17" i="23"/>
  <c r="L937" i="27" s="1"/>
  <c r="CG18" i="23"/>
  <c r="L938" i="27" s="1"/>
  <c r="CG19" i="23"/>
  <c r="L939" i="27" s="1"/>
  <c r="CG20" i="23"/>
  <c r="L940" i="27" s="1"/>
  <c r="CG21" i="23"/>
  <c r="L941" i="27" s="1"/>
  <c r="CG22" i="23"/>
  <c r="L942" i="27" s="1"/>
  <c r="CG23" i="23"/>
  <c r="L943" i="27" s="1"/>
  <c r="CG24" i="23"/>
  <c r="L944" i="27" s="1"/>
  <c r="CG25" i="23"/>
  <c r="L945" i="27" s="1"/>
  <c r="CG26" i="23"/>
  <c r="L946" i="27" s="1"/>
  <c r="CG27" i="23"/>
  <c r="L947" i="27" s="1"/>
  <c r="CG28" i="23"/>
  <c r="L948" i="27" s="1"/>
  <c r="CG29" i="23"/>
  <c r="L949" i="27" s="1"/>
  <c r="CG30" i="23"/>
  <c r="L950" i="27" s="1"/>
  <c r="CG31" i="23"/>
  <c r="L951" i="27" s="1"/>
  <c r="CG32" i="23"/>
  <c r="L952" i="27" s="1"/>
  <c r="CG33" i="23"/>
  <c r="L953" i="27" s="1"/>
  <c r="CG34" i="23"/>
  <c r="L954" i="27" s="1"/>
  <c r="CG35" i="23"/>
  <c r="L955" i="27" s="1"/>
  <c r="CG36" i="23"/>
  <c r="L956" i="27" s="1"/>
  <c r="CG37" i="23"/>
  <c r="L957" i="27" s="1"/>
  <c r="CG38" i="23"/>
  <c r="L958" i="27" s="1"/>
  <c r="CG39" i="23"/>
  <c r="L959" i="27" s="1"/>
  <c r="CG40" i="23"/>
  <c r="L960" i="27" s="1"/>
  <c r="CG41" i="23"/>
  <c r="L961" i="27" s="1"/>
  <c r="CG42" i="23"/>
  <c r="L962" i="27" s="1"/>
  <c r="CG43" i="23"/>
  <c r="L963" i="27" s="1"/>
  <c r="CG44" i="23"/>
  <c r="L964" i="27" s="1"/>
  <c r="CG45" i="23"/>
  <c r="L965" i="27" s="1"/>
  <c r="CG46" i="23"/>
  <c r="L966" i="27" s="1"/>
  <c r="CG47" i="23"/>
  <c r="L967" i="27" s="1"/>
  <c r="CG48" i="23"/>
  <c r="L968" i="27" s="1"/>
  <c r="CG49" i="23"/>
  <c r="L969" i="27" s="1"/>
  <c r="CG50" i="23"/>
  <c r="L970" i="27" s="1"/>
  <c r="CG51" i="23"/>
  <c r="L971" i="27" s="1"/>
  <c r="CG52" i="23"/>
  <c r="L972" i="27" s="1"/>
  <c r="CG53" i="23"/>
  <c r="L973" i="27" s="1"/>
  <c r="CG54" i="23"/>
  <c r="L974" i="27" s="1"/>
  <c r="CG55" i="23"/>
  <c r="L975" i="27" s="1"/>
  <c r="CG56" i="23"/>
  <c r="L976" i="27" s="1"/>
  <c r="CG57" i="23"/>
  <c r="L977" i="27" s="1"/>
  <c r="CG58" i="23"/>
  <c r="L978" i="27" s="1"/>
  <c r="CG59" i="23"/>
  <c r="L979" i="27" s="1"/>
  <c r="CG60" i="23"/>
  <c r="L980" i="27" s="1"/>
  <c r="CG61" i="23"/>
  <c r="L981" i="27" s="1"/>
  <c r="CG62" i="23"/>
  <c r="L982" i="27" s="1"/>
  <c r="CG63" i="23"/>
  <c r="L983" i="27" s="1"/>
  <c r="CG64" i="23"/>
  <c r="L984" i="27" s="1"/>
  <c r="CG65" i="23"/>
  <c r="L985" i="27" s="1"/>
  <c r="CG66" i="23"/>
  <c r="L986" i="27" s="1"/>
  <c r="CG67" i="23"/>
  <c r="L987" i="27" s="1"/>
  <c r="CG68" i="23"/>
  <c r="L988" i="27" s="1"/>
  <c r="CG69" i="23"/>
  <c r="L989" i="27" s="1"/>
  <c r="CG70" i="23"/>
  <c r="L990" i="27" s="1"/>
  <c r="CG71" i="23"/>
  <c r="L991" i="27" s="1"/>
  <c r="CG72" i="23"/>
  <c r="L992" i="27" s="1"/>
  <c r="CG73" i="23"/>
  <c r="L993" i="27" s="1"/>
  <c r="CG74" i="23"/>
  <c r="L994" i="27" s="1"/>
  <c r="CG75" i="23"/>
  <c r="L995" i="27" s="1"/>
  <c r="CG76" i="23"/>
  <c r="L996" i="27" s="1"/>
  <c r="CG77" i="23"/>
  <c r="L997" i="27" s="1"/>
  <c r="CG78" i="23"/>
  <c r="L998" i="27" s="1"/>
  <c r="CG79" i="23"/>
  <c r="L999" i="27" s="1"/>
  <c r="CG80" i="23"/>
  <c r="L1000" i="27" s="1"/>
  <c r="CG81" i="23"/>
  <c r="L1001" i="27" s="1"/>
  <c r="CG82" i="23"/>
  <c r="L1002" i="27" s="1"/>
  <c r="CG83" i="23"/>
  <c r="L1003" i="27" s="1"/>
  <c r="CG84" i="23"/>
  <c r="L1004" i="27" s="1"/>
  <c r="CG85" i="23"/>
  <c r="L1005" i="27" s="1"/>
  <c r="CG86" i="23"/>
  <c r="L1006" i="27" s="1"/>
  <c r="CG87" i="23"/>
  <c r="L1007" i="27" s="1"/>
  <c r="CG88" i="23"/>
  <c r="L1008" i="27" s="1"/>
  <c r="CG89" i="23"/>
  <c r="L1009" i="27" s="1"/>
  <c r="CG90" i="23"/>
  <c r="L1010" i="27" s="1"/>
  <c r="CG91" i="23"/>
  <c r="L1011" i="27" s="1"/>
  <c r="CG92" i="23"/>
  <c r="L1012" i="27" s="1"/>
  <c r="CG93" i="23"/>
  <c r="L1013" i="27" s="1"/>
  <c r="CG94" i="23"/>
  <c r="L1014" i="27" s="1"/>
  <c r="CG95" i="23"/>
  <c r="L1015" i="27" s="1"/>
  <c r="CG96" i="23"/>
  <c r="L1016" i="27" s="1"/>
  <c r="CG97" i="23"/>
  <c r="L1017" i="27" s="1"/>
  <c r="CG98" i="23"/>
  <c r="L1018" i="27" s="1"/>
  <c r="CG99" i="23"/>
  <c r="L1019" i="27" s="1"/>
  <c r="CG100" i="23"/>
  <c r="L1020" i="27" s="1"/>
  <c r="CK3" i="23"/>
  <c r="P923" i="27" s="1"/>
  <c r="CK4" i="23"/>
  <c r="P924" i="27" s="1"/>
  <c r="CK5" i="23"/>
  <c r="P925" i="27" s="1"/>
  <c r="CK6" i="23"/>
  <c r="P926" i="27" s="1"/>
  <c r="CK7" i="23"/>
  <c r="P927" i="27" s="1"/>
  <c r="CK8" i="23"/>
  <c r="P928" i="27" s="1"/>
  <c r="CK9" i="23"/>
  <c r="P929" i="27" s="1"/>
  <c r="CK10" i="23"/>
  <c r="P930" i="27" s="1"/>
  <c r="CK11" i="23"/>
  <c r="P931" i="27" s="1"/>
  <c r="CK12" i="23"/>
  <c r="P932" i="27" s="1"/>
  <c r="CK13" i="23"/>
  <c r="P933" i="27" s="1"/>
  <c r="CK14" i="23"/>
  <c r="P934" i="27" s="1"/>
  <c r="CK15" i="23"/>
  <c r="P935" i="27" s="1"/>
  <c r="CK16" i="23"/>
  <c r="P936" i="27" s="1"/>
  <c r="CK17" i="23"/>
  <c r="P937" i="27" s="1"/>
  <c r="CK18" i="23"/>
  <c r="P938" i="27" s="1"/>
  <c r="CK19" i="23"/>
  <c r="P939" i="27" s="1"/>
  <c r="CK20" i="23"/>
  <c r="P940" i="27" s="1"/>
  <c r="CK21" i="23"/>
  <c r="P941" i="27" s="1"/>
  <c r="CK22" i="23"/>
  <c r="P942" i="27" s="1"/>
  <c r="CK23" i="23"/>
  <c r="P943" i="27" s="1"/>
  <c r="CK24" i="23"/>
  <c r="P944" i="27" s="1"/>
  <c r="CK25" i="23"/>
  <c r="P945" i="27" s="1"/>
  <c r="CK26" i="23"/>
  <c r="P946" i="27" s="1"/>
  <c r="CK27" i="23"/>
  <c r="P947" i="27" s="1"/>
  <c r="CK28" i="23"/>
  <c r="P948" i="27" s="1"/>
  <c r="CK29" i="23"/>
  <c r="P949" i="27" s="1"/>
  <c r="CK30" i="23"/>
  <c r="P950" i="27" s="1"/>
  <c r="CK31" i="23"/>
  <c r="P951" i="27" s="1"/>
  <c r="CK32" i="23"/>
  <c r="P952" i="27" s="1"/>
  <c r="CK33" i="23"/>
  <c r="P953" i="27" s="1"/>
  <c r="CK34" i="23"/>
  <c r="P954" i="27" s="1"/>
  <c r="CK35" i="23"/>
  <c r="P955" i="27" s="1"/>
  <c r="CK36" i="23"/>
  <c r="P956" i="27" s="1"/>
  <c r="CK37" i="23"/>
  <c r="P957" i="27" s="1"/>
  <c r="CK38" i="23"/>
  <c r="P958" i="27" s="1"/>
  <c r="CK39" i="23"/>
  <c r="P959" i="27" s="1"/>
  <c r="CK40" i="23"/>
  <c r="P960" i="27" s="1"/>
  <c r="CK41" i="23"/>
  <c r="P961" i="27" s="1"/>
  <c r="CK42" i="23"/>
  <c r="P962" i="27" s="1"/>
  <c r="CK43" i="23"/>
  <c r="P963" i="27" s="1"/>
  <c r="CK44" i="23"/>
  <c r="P964" i="27" s="1"/>
  <c r="CK45" i="23"/>
  <c r="P965" i="27" s="1"/>
  <c r="CK46" i="23"/>
  <c r="P966" i="27" s="1"/>
  <c r="CK47" i="23"/>
  <c r="P967" i="27" s="1"/>
  <c r="CK48" i="23"/>
  <c r="P968" i="27" s="1"/>
  <c r="CK49" i="23"/>
  <c r="P969" i="27" s="1"/>
  <c r="CK50" i="23"/>
  <c r="P970" i="27" s="1"/>
  <c r="CK51" i="23"/>
  <c r="P971" i="27" s="1"/>
  <c r="CK52" i="23"/>
  <c r="P972" i="27" s="1"/>
  <c r="CK53" i="23"/>
  <c r="P973" i="27" s="1"/>
  <c r="CK54" i="23"/>
  <c r="P974" i="27" s="1"/>
  <c r="CK55" i="23"/>
  <c r="P975" i="27" s="1"/>
  <c r="CK56" i="23"/>
  <c r="P976" i="27" s="1"/>
  <c r="CK57" i="23"/>
  <c r="P977" i="27" s="1"/>
  <c r="CK58" i="23"/>
  <c r="P978" i="27" s="1"/>
  <c r="CK59" i="23"/>
  <c r="P979" i="27" s="1"/>
  <c r="CK60" i="23"/>
  <c r="P980" i="27" s="1"/>
  <c r="CK61" i="23"/>
  <c r="P981" i="27" s="1"/>
  <c r="CK62" i="23"/>
  <c r="P982" i="27" s="1"/>
  <c r="CK63" i="23"/>
  <c r="P983" i="27" s="1"/>
  <c r="CK64" i="23"/>
  <c r="P984" i="27" s="1"/>
  <c r="CK65" i="23"/>
  <c r="P985" i="27" s="1"/>
  <c r="CK66" i="23"/>
  <c r="P986" i="27" s="1"/>
  <c r="CK67" i="23"/>
  <c r="P987" i="27" s="1"/>
  <c r="CK68" i="23"/>
  <c r="P988" i="27" s="1"/>
  <c r="CK69" i="23"/>
  <c r="P989" i="27" s="1"/>
  <c r="CK70" i="23"/>
  <c r="P990" i="27" s="1"/>
  <c r="CK71" i="23"/>
  <c r="P991" i="27" s="1"/>
  <c r="CK72" i="23"/>
  <c r="P992" i="27" s="1"/>
  <c r="CK73" i="23"/>
  <c r="P993" i="27" s="1"/>
  <c r="CK74" i="23"/>
  <c r="P994" i="27" s="1"/>
  <c r="CK75" i="23"/>
  <c r="P995" i="27" s="1"/>
  <c r="CK76" i="23"/>
  <c r="P996" i="27" s="1"/>
  <c r="CK77" i="23"/>
  <c r="P997" i="27" s="1"/>
  <c r="CK78" i="23"/>
  <c r="P998" i="27" s="1"/>
  <c r="CK79" i="23"/>
  <c r="P999" i="27" s="1"/>
  <c r="CK80" i="23"/>
  <c r="P1000" i="27" s="1"/>
  <c r="CK81" i="23"/>
  <c r="P1001" i="27" s="1"/>
  <c r="CK82" i="23"/>
  <c r="P1002" i="27" s="1"/>
  <c r="CK83" i="23"/>
  <c r="P1003" i="27" s="1"/>
  <c r="CK84" i="23"/>
  <c r="P1004" i="27" s="1"/>
  <c r="CK85" i="23"/>
  <c r="P1005" i="27" s="1"/>
  <c r="CK86" i="23"/>
  <c r="P1006" i="27" s="1"/>
  <c r="CK87" i="23"/>
  <c r="P1007" i="27" s="1"/>
  <c r="CK88" i="23"/>
  <c r="P1008" i="27" s="1"/>
  <c r="CK89" i="23"/>
  <c r="P1009" i="27" s="1"/>
  <c r="CK90" i="23"/>
  <c r="P1010" i="27" s="1"/>
  <c r="CK91" i="23"/>
  <c r="P1011" i="27" s="1"/>
  <c r="CK92" i="23"/>
  <c r="P1012" i="27" s="1"/>
  <c r="CK93" i="23"/>
  <c r="P1013" i="27" s="1"/>
  <c r="CK94" i="23"/>
  <c r="P1014" i="27" s="1"/>
  <c r="CK95" i="23"/>
  <c r="P1015" i="27" s="1"/>
  <c r="CK96" i="23"/>
  <c r="P1016" i="27" s="1"/>
  <c r="CK97" i="23"/>
  <c r="P1017" i="27" s="1"/>
  <c r="CK98" i="23"/>
  <c r="P1018" i="27" s="1"/>
  <c r="CK99" i="23"/>
  <c r="P1019" i="27" s="1"/>
  <c r="CK100" i="23"/>
  <c r="P1020" i="27" s="1"/>
  <c r="CH2" i="1"/>
  <c r="L822" i="27" s="1"/>
  <c r="CH3" i="1"/>
  <c r="L823" i="27" s="1"/>
  <c r="CH4" i="1"/>
  <c r="L824" i="27" s="1"/>
  <c r="CH5" i="1"/>
  <c r="L825" i="27" s="1"/>
  <c r="CH6" i="1"/>
  <c r="L826" i="27" s="1"/>
  <c r="CH7" i="1"/>
  <c r="L827" i="27" s="1"/>
  <c r="CH8" i="1"/>
  <c r="L828" i="27" s="1"/>
  <c r="CH9" i="1"/>
  <c r="L829" i="27" s="1"/>
  <c r="CH10" i="1"/>
  <c r="L830" i="27" s="1"/>
  <c r="CH11" i="1"/>
  <c r="L831" i="27" s="1"/>
  <c r="CH12" i="1"/>
  <c r="L832" i="27" s="1"/>
  <c r="CH13" i="1"/>
  <c r="L833" i="27" s="1"/>
  <c r="CH14" i="1"/>
  <c r="L834" i="27" s="1"/>
  <c r="CH15" i="1"/>
  <c r="L835" i="27" s="1"/>
  <c r="CH16" i="1"/>
  <c r="L836" i="27" s="1"/>
  <c r="CH17" i="1"/>
  <c r="L837" i="27" s="1"/>
  <c r="CH18" i="1"/>
  <c r="L838" i="27" s="1"/>
  <c r="CH19" i="1"/>
  <c r="L839" i="27" s="1"/>
  <c r="CH20" i="1"/>
  <c r="L840" i="27" s="1"/>
  <c r="CH21" i="1"/>
  <c r="L841" i="27" s="1"/>
  <c r="CH22" i="1"/>
  <c r="L842" i="27" s="1"/>
  <c r="CH23" i="1"/>
  <c r="L843" i="27" s="1"/>
  <c r="CH24" i="1"/>
  <c r="L844" i="27" s="1"/>
  <c r="CH25" i="1"/>
  <c r="L845" i="27" s="1"/>
  <c r="CH26" i="1"/>
  <c r="L846" i="27" s="1"/>
  <c r="CH27" i="1"/>
  <c r="L847" i="27" s="1"/>
  <c r="CH28" i="1"/>
  <c r="L848" i="27" s="1"/>
  <c r="CH29" i="1"/>
  <c r="L849" i="27" s="1"/>
  <c r="CH30" i="1"/>
  <c r="L850" i="27" s="1"/>
  <c r="CH31" i="1"/>
  <c r="L851" i="27" s="1"/>
  <c r="CH32" i="1"/>
  <c r="L852" i="27" s="1"/>
  <c r="CH33" i="1"/>
  <c r="L853" i="27" s="1"/>
  <c r="CH34" i="1"/>
  <c r="L854" i="27" s="1"/>
  <c r="CH35" i="1"/>
  <c r="L855" i="27" s="1"/>
  <c r="CH36" i="1"/>
  <c r="L856" i="27" s="1"/>
  <c r="CH37" i="1"/>
  <c r="L857" i="27" s="1"/>
  <c r="CH38" i="1"/>
  <c r="L858" i="27" s="1"/>
  <c r="CH39" i="1"/>
  <c r="L859" i="27" s="1"/>
  <c r="CH40" i="1"/>
  <c r="L860" i="27" s="1"/>
  <c r="CH41" i="1"/>
  <c r="L861" i="27" s="1"/>
  <c r="CH42" i="1"/>
  <c r="L862" i="27" s="1"/>
  <c r="CH43" i="1"/>
  <c r="L863" i="27" s="1"/>
  <c r="CH44" i="1"/>
  <c r="L864" i="27" s="1"/>
  <c r="CH45" i="1"/>
  <c r="L865" i="27" s="1"/>
  <c r="CH46" i="1"/>
  <c r="L866" i="27" s="1"/>
  <c r="CH47" i="1"/>
  <c r="L867" i="27" s="1"/>
  <c r="CH48" i="1"/>
  <c r="L868" i="27" s="1"/>
  <c r="CH49" i="1"/>
  <c r="L869" i="27" s="1"/>
  <c r="CH50" i="1"/>
  <c r="L870" i="27" s="1"/>
  <c r="CH51" i="1"/>
  <c r="L871" i="27" s="1"/>
  <c r="CH52" i="1"/>
  <c r="L872" i="27" s="1"/>
  <c r="CH53" i="1"/>
  <c r="L873" i="27" s="1"/>
  <c r="CH54" i="1"/>
  <c r="L874" i="27" s="1"/>
  <c r="CH55" i="1"/>
  <c r="L875" i="27" s="1"/>
  <c r="CH56" i="1"/>
  <c r="L876" i="27" s="1"/>
  <c r="CH57" i="1"/>
  <c r="L877" i="27" s="1"/>
  <c r="CH58" i="1"/>
  <c r="L878" i="27" s="1"/>
  <c r="CH59" i="1"/>
  <c r="L879" i="27" s="1"/>
  <c r="CH60" i="1"/>
  <c r="L880" i="27" s="1"/>
  <c r="CH61" i="1"/>
  <c r="L881" i="27" s="1"/>
  <c r="CH62" i="1"/>
  <c r="L882" i="27" s="1"/>
  <c r="CH63" i="1"/>
  <c r="L883" i="27" s="1"/>
  <c r="CH64" i="1"/>
  <c r="L884" i="27" s="1"/>
  <c r="CH65" i="1"/>
  <c r="L885" i="27" s="1"/>
  <c r="CH66" i="1"/>
  <c r="L886" i="27" s="1"/>
  <c r="CH67" i="1"/>
  <c r="L887" i="27" s="1"/>
  <c r="CH68" i="1"/>
  <c r="L888" i="27" s="1"/>
  <c r="CH69" i="1"/>
  <c r="L889" i="27" s="1"/>
  <c r="CH70" i="1"/>
  <c r="L890" i="27" s="1"/>
  <c r="CH71" i="1"/>
  <c r="L891" i="27" s="1"/>
  <c r="CH72" i="1"/>
  <c r="L892" i="27" s="1"/>
  <c r="CH73" i="1"/>
  <c r="L893" i="27" s="1"/>
  <c r="CH74" i="1"/>
  <c r="L894" i="27" s="1"/>
  <c r="CH75" i="1"/>
  <c r="L895" i="27" s="1"/>
  <c r="CH76" i="1"/>
  <c r="L896" i="27" s="1"/>
  <c r="CH77" i="1"/>
  <c r="L897" i="27" s="1"/>
  <c r="CH78" i="1"/>
  <c r="L898" i="27" s="1"/>
  <c r="CH79" i="1"/>
  <c r="L899" i="27" s="1"/>
  <c r="CH80" i="1"/>
  <c r="L900" i="27" s="1"/>
  <c r="CH81" i="1"/>
  <c r="L901" i="27" s="1"/>
  <c r="CH82" i="1"/>
  <c r="L902" i="27" s="1"/>
  <c r="CH83" i="1"/>
  <c r="L903" i="27" s="1"/>
  <c r="CH84" i="1"/>
  <c r="L904" i="27" s="1"/>
  <c r="CH85" i="1"/>
  <c r="L905" i="27" s="1"/>
  <c r="CH86" i="1"/>
  <c r="L906" i="27" s="1"/>
  <c r="CH87" i="1"/>
  <c r="L907" i="27" s="1"/>
  <c r="CH88" i="1"/>
  <c r="L908" i="27" s="1"/>
  <c r="CH89" i="1"/>
  <c r="L909" i="27" s="1"/>
  <c r="CH90" i="1"/>
  <c r="L910" i="27" s="1"/>
  <c r="CH91" i="1"/>
  <c r="L911" i="27" s="1"/>
  <c r="CH92" i="1"/>
  <c r="L912" i="27" s="1"/>
  <c r="CH93" i="1"/>
  <c r="L913" i="27" s="1"/>
  <c r="CH94" i="1"/>
  <c r="L914" i="27" s="1"/>
  <c r="CH95" i="1"/>
  <c r="L915" i="27" s="1"/>
  <c r="CH96" i="1"/>
  <c r="L916" i="27" s="1"/>
  <c r="CH97" i="1"/>
  <c r="L917" i="27" s="1"/>
  <c r="CH98" i="1"/>
  <c r="L918" i="27" s="1"/>
  <c r="CH99" i="1"/>
  <c r="L919" i="27" s="1"/>
  <c r="CH100" i="1"/>
  <c r="L920" i="27" s="1"/>
  <c r="CG2" i="1"/>
  <c r="K822" i="27" s="1"/>
  <c r="CG3" i="1"/>
  <c r="K823" i="27" s="1"/>
  <c r="CG4" i="1"/>
  <c r="K824" i="27" s="1"/>
  <c r="CG5" i="1"/>
  <c r="K825" i="27" s="1"/>
  <c r="CG6" i="1"/>
  <c r="K826" i="27" s="1"/>
  <c r="CG7" i="1"/>
  <c r="K827" i="27" s="1"/>
  <c r="CG8" i="1"/>
  <c r="K828" i="27" s="1"/>
  <c r="CG9" i="1"/>
  <c r="K829" i="27" s="1"/>
  <c r="CG10" i="1"/>
  <c r="K830" i="27" s="1"/>
  <c r="CG11" i="1"/>
  <c r="K831" i="27" s="1"/>
  <c r="CG12" i="1"/>
  <c r="K832" i="27" s="1"/>
  <c r="CG13" i="1"/>
  <c r="K833" i="27" s="1"/>
  <c r="CG14" i="1"/>
  <c r="K834" i="27" s="1"/>
  <c r="CG15" i="1"/>
  <c r="K835" i="27" s="1"/>
  <c r="CG16" i="1"/>
  <c r="K836" i="27" s="1"/>
  <c r="CG17" i="1"/>
  <c r="K837" i="27" s="1"/>
  <c r="CG18" i="1"/>
  <c r="K838" i="27" s="1"/>
  <c r="CG19" i="1"/>
  <c r="K839" i="27" s="1"/>
  <c r="CG20" i="1"/>
  <c r="K840" i="27" s="1"/>
  <c r="CG21" i="1"/>
  <c r="K841" i="27" s="1"/>
  <c r="CG22" i="1"/>
  <c r="K842" i="27" s="1"/>
  <c r="CG23" i="1"/>
  <c r="K843" i="27" s="1"/>
  <c r="CG24" i="1"/>
  <c r="K844" i="27" s="1"/>
  <c r="CG25" i="1"/>
  <c r="K845" i="27" s="1"/>
  <c r="CG26" i="1"/>
  <c r="K846" i="27" s="1"/>
  <c r="CG27" i="1"/>
  <c r="K847" i="27" s="1"/>
  <c r="CG28" i="1"/>
  <c r="K848" i="27" s="1"/>
  <c r="CG29" i="1"/>
  <c r="K849" i="27" s="1"/>
  <c r="CG30" i="1"/>
  <c r="K850" i="27" s="1"/>
  <c r="CG31" i="1"/>
  <c r="K851" i="27" s="1"/>
  <c r="CG32" i="1"/>
  <c r="K852" i="27" s="1"/>
  <c r="CG33" i="1"/>
  <c r="K853" i="27" s="1"/>
  <c r="CG34" i="1"/>
  <c r="K854" i="27" s="1"/>
  <c r="CG35" i="1"/>
  <c r="K855" i="27" s="1"/>
  <c r="CG36" i="1"/>
  <c r="K856" i="27" s="1"/>
  <c r="CG37" i="1"/>
  <c r="K857" i="27" s="1"/>
  <c r="CG38" i="1"/>
  <c r="K858" i="27" s="1"/>
  <c r="CG39" i="1"/>
  <c r="K859" i="27" s="1"/>
  <c r="CG40" i="1"/>
  <c r="K860" i="27" s="1"/>
  <c r="CG41" i="1"/>
  <c r="K861" i="27" s="1"/>
  <c r="CG42" i="1"/>
  <c r="K862" i="27" s="1"/>
  <c r="CG43" i="1"/>
  <c r="K863" i="27" s="1"/>
  <c r="CG44" i="1"/>
  <c r="K864" i="27" s="1"/>
  <c r="CG45" i="1"/>
  <c r="K865" i="27" s="1"/>
  <c r="CG46" i="1"/>
  <c r="K866" i="27" s="1"/>
  <c r="CG47" i="1"/>
  <c r="K867" i="27" s="1"/>
  <c r="CG48" i="1"/>
  <c r="K868" i="27" s="1"/>
  <c r="CG49" i="1"/>
  <c r="K869" i="27" s="1"/>
  <c r="CG50" i="1"/>
  <c r="K870" i="27" s="1"/>
  <c r="CG51" i="1"/>
  <c r="K871" i="27" s="1"/>
  <c r="CG52" i="1"/>
  <c r="K872" i="27" s="1"/>
  <c r="CG53" i="1"/>
  <c r="K873" i="27" s="1"/>
  <c r="CG54" i="1"/>
  <c r="K874" i="27" s="1"/>
  <c r="CG55" i="1"/>
  <c r="K875" i="27" s="1"/>
  <c r="CG56" i="1"/>
  <c r="K876" i="27" s="1"/>
  <c r="CG57" i="1"/>
  <c r="K877" i="27" s="1"/>
  <c r="CG58" i="1"/>
  <c r="K878" i="27" s="1"/>
  <c r="CG59" i="1"/>
  <c r="K879" i="27" s="1"/>
  <c r="CG60" i="1"/>
  <c r="K880" i="27" s="1"/>
  <c r="CG61" i="1"/>
  <c r="K881" i="27" s="1"/>
  <c r="CG62" i="1"/>
  <c r="K882" i="27" s="1"/>
  <c r="CG63" i="1"/>
  <c r="K883" i="27" s="1"/>
  <c r="CG64" i="1"/>
  <c r="K884" i="27" s="1"/>
  <c r="CG65" i="1"/>
  <c r="K885" i="27" s="1"/>
  <c r="CG66" i="1"/>
  <c r="K886" i="27" s="1"/>
  <c r="CG67" i="1"/>
  <c r="K887" i="27" s="1"/>
  <c r="CG68" i="1"/>
  <c r="K888" i="27" s="1"/>
  <c r="CG69" i="1"/>
  <c r="K889" i="27" s="1"/>
  <c r="CG70" i="1"/>
  <c r="K890" i="27" s="1"/>
  <c r="CG71" i="1"/>
  <c r="K891" i="27" s="1"/>
  <c r="CG72" i="1"/>
  <c r="K892" i="27" s="1"/>
  <c r="CG73" i="1"/>
  <c r="K893" i="27" s="1"/>
  <c r="CG74" i="1"/>
  <c r="K894" i="27" s="1"/>
  <c r="CG75" i="1"/>
  <c r="K895" i="27" s="1"/>
  <c r="CG76" i="1"/>
  <c r="K896" i="27" s="1"/>
  <c r="CG77" i="1"/>
  <c r="K897" i="27" s="1"/>
  <c r="CG78" i="1"/>
  <c r="K898" i="27" s="1"/>
  <c r="CG79" i="1"/>
  <c r="K899" i="27" s="1"/>
  <c r="CG80" i="1"/>
  <c r="K900" i="27" s="1"/>
  <c r="CG81" i="1"/>
  <c r="K901" i="27" s="1"/>
  <c r="CG82" i="1"/>
  <c r="K902" i="27" s="1"/>
  <c r="CG83" i="1"/>
  <c r="K903" i="27" s="1"/>
  <c r="CG84" i="1"/>
  <c r="K904" i="27" s="1"/>
  <c r="CG85" i="1"/>
  <c r="K905" i="27" s="1"/>
  <c r="CG86" i="1"/>
  <c r="K906" i="27" s="1"/>
  <c r="CG87" i="1"/>
  <c r="K907" i="27" s="1"/>
  <c r="CG88" i="1"/>
  <c r="K908" i="27" s="1"/>
  <c r="CG89" i="1"/>
  <c r="K909" i="27" s="1"/>
  <c r="CG90" i="1"/>
  <c r="K910" i="27" s="1"/>
  <c r="CG91" i="1"/>
  <c r="K911" i="27" s="1"/>
  <c r="CG92" i="1"/>
  <c r="K912" i="27" s="1"/>
  <c r="CG93" i="1"/>
  <c r="K913" i="27" s="1"/>
  <c r="CG94" i="1"/>
  <c r="K914" i="27" s="1"/>
  <c r="CG95" i="1"/>
  <c r="K915" i="27" s="1"/>
  <c r="CG96" i="1"/>
  <c r="K916" i="27" s="1"/>
  <c r="CG97" i="1"/>
  <c r="K917" i="27" s="1"/>
  <c r="CG98" i="1"/>
  <c r="K918" i="27" s="1"/>
  <c r="CG99" i="1"/>
  <c r="K919" i="27" s="1"/>
  <c r="CG100" i="1"/>
  <c r="K920" i="27" s="1"/>
  <c r="CF2" i="1"/>
  <c r="J822" i="27" s="1"/>
  <c r="CF3" i="1"/>
  <c r="J823" i="27" s="1"/>
  <c r="CF4" i="1"/>
  <c r="J824" i="27" s="1"/>
  <c r="CF5" i="1"/>
  <c r="J825" i="27" s="1"/>
  <c r="CF6" i="1"/>
  <c r="J826" i="27" s="1"/>
  <c r="CF7" i="1"/>
  <c r="J827" i="27" s="1"/>
  <c r="CF8" i="1"/>
  <c r="J828" i="27" s="1"/>
  <c r="CF9" i="1"/>
  <c r="J829" i="27" s="1"/>
  <c r="CF10" i="1"/>
  <c r="J830" i="27" s="1"/>
  <c r="CF11" i="1"/>
  <c r="J831" i="27" s="1"/>
  <c r="CF12" i="1"/>
  <c r="J832" i="27" s="1"/>
  <c r="CF13" i="1"/>
  <c r="J833" i="27" s="1"/>
  <c r="CF14" i="1"/>
  <c r="J834" i="27" s="1"/>
  <c r="CF15" i="1"/>
  <c r="J835" i="27" s="1"/>
  <c r="CF16" i="1"/>
  <c r="J836" i="27" s="1"/>
  <c r="CF17" i="1"/>
  <c r="J837" i="27" s="1"/>
  <c r="CF18" i="1"/>
  <c r="J838" i="27" s="1"/>
  <c r="CF19" i="1"/>
  <c r="J839" i="27" s="1"/>
  <c r="CF20" i="1"/>
  <c r="J840" i="27" s="1"/>
  <c r="CF21" i="1"/>
  <c r="J841" i="27" s="1"/>
  <c r="CF22" i="1"/>
  <c r="J842" i="27" s="1"/>
  <c r="CF23" i="1"/>
  <c r="J843" i="27" s="1"/>
  <c r="CF24" i="1"/>
  <c r="J844" i="27" s="1"/>
  <c r="CF25" i="1"/>
  <c r="J845" i="27" s="1"/>
  <c r="CF26" i="1"/>
  <c r="J846" i="27" s="1"/>
  <c r="CF27" i="1"/>
  <c r="J847" i="27" s="1"/>
  <c r="CF28" i="1"/>
  <c r="J848" i="27" s="1"/>
  <c r="CF29" i="1"/>
  <c r="J849" i="27" s="1"/>
  <c r="CF30" i="1"/>
  <c r="J850" i="27" s="1"/>
  <c r="CF31" i="1"/>
  <c r="J851" i="27" s="1"/>
  <c r="CF32" i="1"/>
  <c r="J852" i="27" s="1"/>
  <c r="CF33" i="1"/>
  <c r="J853" i="27" s="1"/>
  <c r="CF34" i="1"/>
  <c r="J854" i="27" s="1"/>
  <c r="CF35" i="1"/>
  <c r="J855" i="27" s="1"/>
  <c r="CF36" i="1"/>
  <c r="J856" i="27" s="1"/>
  <c r="CF37" i="1"/>
  <c r="J857" i="27" s="1"/>
  <c r="CF38" i="1"/>
  <c r="J858" i="27" s="1"/>
  <c r="CF39" i="1"/>
  <c r="J859" i="27" s="1"/>
  <c r="CF40" i="1"/>
  <c r="J860" i="27" s="1"/>
  <c r="CF41" i="1"/>
  <c r="J861" i="27" s="1"/>
  <c r="CF42" i="1"/>
  <c r="J862" i="27" s="1"/>
  <c r="CF43" i="1"/>
  <c r="J863" i="27" s="1"/>
  <c r="CF44" i="1"/>
  <c r="J864" i="27" s="1"/>
  <c r="CF45" i="1"/>
  <c r="J865" i="27" s="1"/>
  <c r="CF46" i="1"/>
  <c r="J866" i="27" s="1"/>
  <c r="CF47" i="1"/>
  <c r="J867" i="27" s="1"/>
  <c r="CF48" i="1"/>
  <c r="J868" i="27" s="1"/>
  <c r="CF49" i="1"/>
  <c r="J869" i="27" s="1"/>
  <c r="CF50" i="1"/>
  <c r="J870" i="27" s="1"/>
  <c r="CF51" i="1"/>
  <c r="J871" i="27" s="1"/>
  <c r="CF52" i="1"/>
  <c r="J872" i="27" s="1"/>
  <c r="CF53" i="1"/>
  <c r="J873" i="27" s="1"/>
  <c r="CF54" i="1"/>
  <c r="J874" i="27" s="1"/>
  <c r="CF55" i="1"/>
  <c r="J875" i="27" s="1"/>
  <c r="CF56" i="1"/>
  <c r="J876" i="27" s="1"/>
  <c r="CF57" i="1"/>
  <c r="J877" i="27" s="1"/>
  <c r="CF58" i="1"/>
  <c r="J878" i="27" s="1"/>
  <c r="CF59" i="1"/>
  <c r="J879" i="27" s="1"/>
  <c r="CF60" i="1"/>
  <c r="J880" i="27" s="1"/>
  <c r="CF61" i="1"/>
  <c r="J881" i="27" s="1"/>
  <c r="CF62" i="1"/>
  <c r="J882" i="27" s="1"/>
  <c r="CF63" i="1"/>
  <c r="J883" i="27" s="1"/>
  <c r="CF64" i="1"/>
  <c r="J884" i="27" s="1"/>
  <c r="CF65" i="1"/>
  <c r="J885" i="27" s="1"/>
  <c r="CF66" i="1"/>
  <c r="J886" i="27" s="1"/>
  <c r="CF67" i="1"/>
  <c r="J887" i="27" s="1"/>
  <c r="CF68" i="1"/>
  <c r="J888" i="27" s="1"/>
  <c r="CF69" i="1"/>
  <c r="J889" i="27" s="1"/>
  <c r="CF70" i="1"/>
  <c r="J890" i="27" s="1"/>
  <c r="CF71" i="1"/>
  <c r="J891" i="27" s="1"/>
  <c r="CF72" i="1"/>
  <c r="J892" i="27" s="1"/>
  <c r="CF73" i="1"/>
  <c r="J893" i="27" s="1"/>
  <c r="CF74" i="1"/>
  <c r="J894" i="27" s="1"/>
  <c r="CF75" i="1"/>
  <c r="J895" i="27" s="1"/>
  <c r="CF76" i="1"/>
  <c r="J896" i="27" s="1"/>
  <c r="CF77" i="1"/>
  <c r="J897" i="27" s="1"/>
  <c r="CF78" i="1"/>
  <c r="J898" i="27" s="1"/>
  <c r="CF79" i="1"/>
  <c r="J899" i="27" s="1"/>
  <c r="CF80" i="1"/>
  <c r="J900" i="27" s="1"/>
  <c r="CF81" i="1"/>
  <c r="J901" i="27" s="1"/>
  <c r="CF82" i="1"/>
  <c r="J902" i="27" s="1"/>
  <c r="CF83" i="1"/>
  <c r="J903" i="27" s="1"/>
  <c r="CF84" i="1"/>
  <c r="J904" i="27" s="1"/>
  <c r="CF85" i="1"/>
  <c r="J905" i="27" s="1"/>
  <c r="CF86" i="1"/>
  <c r="J906" i="27" s="1"/>
  <c r="CF87" i="1"/>
  <c r="J907" i="27" s="1"/>
  <c r="CF88" i="1"/>
  <c r="J908" i="27" s="1"/>
  <c r="CF89" i="1"/>
  <c r="J909" i="27" s="1"/>
  <c r="CF90" i="1"/>
  <c r="J910" i="27" s="1"/>
  <c r="CF91" i="1"/>
  <c r="J911" i="27" s="1"/>
  <c r="CF92" i="1"/>
  <c r="J912" i="27" s="1"/>
  <c r="CF93" i="1"/>
  <c r="J913" i="27" s="1"/>
  <c r="CF94" i="1"/>
  <c r="J914" i="27" s="1"/>
  <c r="CF95" i="1"/>
  <c r="J915" i="27" s="1"/>
  <c r="CF96" i="1"/>
  <c r="J916" i="27" s="1"/>
  <c r="CF97" i="1"/>
  <c r="J917" i="27" s="1"/>
  <c r="CF98" i="1"/>
  <c r="J918" i="27" s="1"/>
  <c r="CF99" i="1"/>
  <c r="J919" i="27" s="1"/>
  <c r="CF100" i="1"/>
  <c r="J920" i="27" s="1"/>
  <c r="CL2" i="1"/>
  <c r="P822" i="27" s="1"/>
  <c r="CL3" i="1"/>
  <c r="P823" i="27" s="1"/>
  <c r="CL4" i="1"/>
  <c r="P824" i="27" s="1"/>
  <c r="CL5" i="1"/>
  <c r="P825" i="27" s="1"/>
  <c r="CL6" i="1"/>
  <c r="P826" i="27" s="1"/>
  <c r="CL7" i="1"/>
  <c r="P827" i="27" s="1"/>
  <c r="CL8" i="1"/>
  <c r="P828" i="27" s="1"/>
  <c r="CL9" i="1"/>
  <c r="P829" i="27" s="1"/>
  <c r="CL10" i="1"/>
  <c r="P830" i="27" s="1"/>
  <c r="CL11" i="1"/>
  <c r="P831" i="27" s="1"/>
  <c r="CL12" i="1"/>
  <c r="P832" i="27" s="1"/>
  <c r="CL13" i="1"/>
  <c r="P833" i="27" s="1"/>
  <c r="CL14" i="1"/>
  <c r="P834" i="27" s="1"/>
  <c r="CL15" i="1"/>
  <c r="P835" i="27" s="1"/>
  <c r="CL16" i="1"/>
  <c r="P836" i="27" s="1"/>
  <c r="CL17" i="1"/>
  <c r="P837" i="27" s="1"/>
  <c r="CL18" i="1"/>
  <c r="P838" i="27" s="1"/>
  <c r="CL19" i="1"/>
  <c r="P839" i="27" s="1"/>
  <c r="CL20" i="1"/>
  <c r="P840" i="27" s="1"/>
  <c r="CL21" i="1"/>
  <c r="P841" i="27" s="1"/>
  <c r="CL22" i="1"/>
  <c r="P842" i="27" s="1"/>
  <c r="CL23" i="1"/>
  <c r="P843" i="27" s="1"/>
  <c r="CL24" i="1"/>
  <c r="P844" i="27" s="1"/>
  <c r="CL25" i="1"/>
  <c r="P845" i="27" s="1"/>
  <c r="CL26" i="1"/>
  <c r="P846" i="27" s="1"/>
  <c r="CL27" i="1"/>
  <c r="P847" i="27" s="1"/>
  <c r="CL28" i="1"/>
  <c r="P848" i="27" s="1"/>
  <c r="CL29" i="1"/>
  <c r="P849" i="27" s="1"/>
  <c r="CL30" i="1"/>
  <c r="P850" i="27" s="1"/>
  <c r="CL31" i="1"/>
  <c r="P851" i="27" s="1"/>
  <c r="CL32" i="1"/>
  <c r="P852" i="27" s="1"/>
  <c r="CL33" i="1"/>
  <c r="P853" i="27" s="1"/>
  <c r="CL34" i="1"/>
  <c r="P854" i="27" s="1"/>
  <c r="CL35" i="1"/>
  <c r="P855" i="27" s="1"/>
  <c r="CL36" i="1"/>
  <c r="P856" i="27" s="1"/>
  <c r="CL37" i="1"/>
  <c r="P857" i="27" s="1"/>
  <c r="CL38" i="1"/>
  <c r="P858" i="27" s="1"/>
  <c r="CL39" i="1"/>
  <c r="P859" i="27" s="1"/>
  <c r="CL40" i="1"/>
  <c r="P860" i="27" s="1"/>
  <c r="CL41" i="1"/>
  <c r="P861" i="27" s="1"/>
  <c r="CL42" i="1"/>
  <c r="P862" i="27" s="1"/>
  <c r="CL43" i="1"/>
  <c r="P863" i="27" s="1"/>
  <c r="CL44" i="1"/>
  <c r="P864" i="27" s="1"/>
  <c r="CL45" i="1"/>
  <c r="P865" i="27" s="1"/>
  <c r="CL46" i="1"/>
  <c r="P866" i="27" s="1"/>
  <c r="CL47" i="1"/>
  <c r="P867" i="27" s="1"/>
  <c r="CL48" i="1"/>
  <c r="P868" i="27" s="1"/>
  <c r="CL49" i="1"/>
  <c r="P869" i="27" s="1"/>
  <c r="CL50" i="1"/>
  <c r="P870" i="27" s="1"/>
  <c r="CL51" i="1"/>
  <c r="P871" i="27" s="1"/>
  <c r="CL52" i="1"/>
  <c r="P872" i="27" s="1"/>
  <c r="CL53" i="1"/>
  <c r="P873" i="27" s="1"/>
  <c r="CL54" i="1"/>
  <c r="P874" i="27" s="1"/>
  <c r="CL55" i="1"/>
  <c r="P875" i="27" s="1"/>
  <c r="CL56" i="1"/>
  <c r="P876" i="27" s="1"/>
  <c r="CL57" i="1"/>
  <c r="P877" i="27" s="1"/>
  <c r="CL58" i="1"/>
  <c r="P878" i="27" s="1"/>
  <c r="CL59" i="1"/>
  <c r="P879" i="27" s="1"/>
  <c r="CL60" i="1"/>
  <c r="P880" i="27" s="1"/>
  <c r="CL61" i="1"/>
  <c r="P881" i="27" s="1"/>
  <c r="CL62" i="1"/>
  <c r="P882" i="27" s="1"/>
  <c r="CL63" i="1"/>
  <c r="P883" i="27" s="1"/>
  <c r="CL64" i="1"/>
  <c r="P884" i="27" s="1"/>
  <c r="CL65" i="1"/>
  <c r="P885" i="27" s="1"/>
  <c r="CL66" i="1"/>
  <c r="P886" i="27" s="1"/>
  <c r="CL67" i="1"/>
  <c r="P887" i="27" s="1"/>
  <c r="CL68" i="1"/>
  <c r="P888" i="27" s="1"/>
  <c r="CL69" i="1"/>
  <c r="P889" i="27" s="1"/>
  <c r="CL70" i="1"/>
  <c r="P890" i="27" s="1"/>
  <c r="CL71" i="1"/>
  <c r="P891" i="27" s="1"/>
  <c r="CL72" i="1"/>
  <c r="P892" i="27" s="1"/>
  <c r="CL73" i="1"/>
  <c r="P893" i="27" s="1"/>
  <c r="CL74" i="1"/>
  <c r="P894" i="27" s="1"/>
  <c r="CL75" i="1"/>
  <c r="P895" i="27" s="1"/>
  <c r="CL76" i="1"/>
  <c r="P896" i="27" s="1"/>
  <c r="CL77" i="1"/>
  <c r="P897" i="27" s="1"/>
  <c r="CL78" i="1"/>
  <c r="P898" i="27" s="1"/>
  <c r="CL79" i="1"/>
  <c r="P899" i="27" s="1"/>
  <c r="CL80" i="1"/>
  <c r="P900" i="27" s="1"/>
  <c r="CL81" i="1"/>
  <c r="P901" i="27" s="1"/>
  <c r="CL82" i="1"/>
  <c r="P902" i="27" s="1"/>
  <c r="CL83" i="1"/>
  <c r="P903" i="27" s="1"/>
  <c r="CL84" i="1"/>
  <c r="P904" i="27" s="1"/>
  <c r="CL85" i="1"/>
  <c r="P905" i="27" s="1"/>
  <c r="CL86" i="1"/>
  <c r="P906" i="27" s="1"/>
  <c r="CL87" i="1"/>
  <c r="P907" i="27" s="1"/>
  <c r="CL88" i="1"/>
  <c r="P908" i="27" s="1"/>
  <c r="CL89" i="1"/>
  <c r="P909" i="27" s="1"/>
  <c r="CL90" i="1"/>
  <c r="P910" i="27" s="1"/>
  <c r="CL91" i="1"/>
  <c r="P911" i="27" s="1"/>
  <c r="CL92" i="1"/>
  <c r="P912" i="27" s="1"/>
  <c r="CL93" i="1"/>
  <c r="P913" i="27" s="1"/>
  <c r="CL94" i="1"/>
  <c r="P914" i="27" s="1"/>
  <c r="CL95" i="1"/>
  <c r="P915" i="27" s="1"/>
  <c r="CL96" i="1"/>
  <c r="P916" i="27" s="1"/>
  <c r="CL97" i="1"/>
  <c r="P917" i="27" s="1"/>
  <c r="CL98" i="1"/>
  <c r="P918" i="27" s="1"/>
  <c r="CL99" i="1"/>
  <c r="P919" i="27" s="1"/>
  <c r="CL100" i="1"/>
  <c r="P920" i="27" s="1"/>
  <c r="CK2" i="8"/>
  <c r="P422" i="27" s="1"/>
  <c r="CK3" i="8"/>
  <c r="P423" i="27" s="1"/>
  <c r="CK4" i="8"/>
  <c r="P424" i="27" s="1"/>
  <c r="CK5" i="8"/>
  <c r="P425" i="27" s="1"/>
  <c r="CK6" i="8"/>
  <c r="P426" i="27" s="1"/>
  <c r="CK7" i="8"/>
  <c r="P427" i="27" s="1"/>
  <c r="CK8" i="8"/>
  <c r="P428" i="27" s="1"/>
  <c r="CK9" i="8"/>
  <c r="P429" i="27" s="1"/>
  <c r="CK10" i="8"/>
  <c r="P430" i="27" s="1"/>
  <c r="CK11" i="8"/>
  <c r="P431" i="27" s="1"/>
  <c r="CK12" i="8"/>
  <c r="P432" i="27" s="1"/>
  <c r="CK13" i="8"/>
  <c r="P433" i="27" s="1"/>
  <c r="CK14" i="8"/>
  <c r="P434" i="27" s="1"/>
  <c r="CK15" i="8"/>
  <c r="P435" i="27" s="1"/>
  <c r="CK16" i="8"/>
  <c r="P436" i="27" s="1"/>
  <c r="CK17" i="8"/>
  <c r="P437" i="27" s="1"/>
  <c r="CK18" i="8"/>
  <c r="P438" i="27" s="1"/>
  <c r="CK19" i="8"/>
  <c r="P439" i="27" s="1"/>
  <c r="CK20" i="8"/>
  <c r="P440" i="27" s="1"/>
  <c r="CK21" i="8"/>
  <c r="P441" i="27" s="1"/>
  <c r="CK22" i="8"/>
  <c r="P442" i="27" s="1"/>
  <c r="CK23" i="8"/>
  <c r="P443" i="27" s="1"/>
  <c r="CK24" i="8"/>
  <c r="P444" i="27" s="1"/>
  <c r="CK25" i="8"/>
  <c r="P445" i="27" s="1"/>
  <c r="CK26" i="8"/>
  <c r="P446" i="27" s="1"/>
  <c r="CK27" i="8"/>
  <c r="P447" i="27" s="1"/>
  <c r="CK28" i="8"/>
  <c r="P448" i="27" s="1"/>
  <c r="CK29" i="8"/>
  <c r="P449" i="27" s="1"/>
  <c r="CK30" i="8"/>
  <c r="P450" i="27" s="1"/>
  <c r="CK31" i="8"/>
  <c r="P451" i="27" s="1"/>
  <c r="CK32" i="8"/>
  <c r="P452" i="27" s="1"/>
  <c r="CK33" i="8"/>
  <c r="P453" i="27" s="1"/>
  <c r="CK34" i="8"/>
  <c r="P454" i="27" s="1"/>
  <c r="CK35" i="8"/>
  <c r="P455" i="27" s="1"/>
  <c r="CK36" i="8"/>
  <c r="P456" i="27" s="1"/>
  <c r="CK37" i="8"/>
  <c r="P457" i="27" s="1"/>
  <c r="CK38" i="8"/>
  <c r="P458" i="27" s="1"/>
  <c r="CK39" i="8"/>
  <c r="P459" i="27" s="1"/>
  <c r="CK40" i="8"/>
  <c r="P460" i="27" s="1"/>
  <c r="CK41" i="8"/>
  <c r="P461" i="27" s="1"/>
  <c r="CK42" i="8"/>
  <c r="P462" i="27" s="1"/>
  <c r="CK43" i="8"/>
  <c r="P463" i="27" s="1"/>
  <c r="CK44" i="8"/>
  <c r="P464" i="27" s="1"/>
  <c r="CK45" i="8"/>
  <c r="P465" i="27" s="1"/>
  <c r="CK46" i="8"/>
  <c r="P466" i="27" s="1"/>
  <c r="CK47" i="8"/>
  <c r="P467" i="27" s="1"/>
  <c r="CK48" i="8"/>
  <c r="P468" i="27" s="1"/>
  <c r="CK49" i="8"/>
  <c r="P469" i="27" s="1"/>
  <c r="CK50" i="8"/>
  <c r="P470" i="27" s="1"/>
  <c r="CK51" i="8"/>
  <c r="P471" i="27" s="1"/>
  <c r="CK52" i="8"/>
  <c r="P472" i="27" s="1"/>
  <c r="CK53" i="8"/>
  <c r="P473" i="27" s="1"/>
  <c r="CK54" i="8"/>
  <c r="P474" i="27" s="1"/>
  <c r="CK55" i="8"/>
  <c r="P475" i="27" s="1"/>
  <c r="CK56" i="8"/>
  <c r="P476" i="27" s="1"/>
  <c r="CK57" i="8"/>
  <c r="P477" i="27" s="1"/>
  <c r="CK58" i="8"/>
  <c r="P478" i="27" s="1"/>
  <c r="CK59" i="8"/>
  <c r="P479" i="27" s="1"/>
  <c r="CK60" i="8"/>
  <c r="P480" i="27" s="1"/>
  <c r="CK61" i="8"/>
  <c r="P481" i="27" s="1"/>
  <c r="CK62" i="8"/>
  <c r="P482" i="27" s="1"/>
  <c r="CK63" i="8"/>
  <c r="P483" i="27" s="1"/>
  <c r="CK64" i="8"/>
  <c r="P484" i="27" s="1"/>
  <c r="CK65" i="8"/>
  <c r="P485" i="27" s="1"/>
  <c r="CK66" i="8"/>
  <c r="P486" i="27" s="1"/>
  <c r="CK67" i="8"/>
  <c r="P487" i="27" s="1"/>
  <c r="CK68" i="8"/>
  <c r="P488" i="27" s="1"/>
  <c r="CK69" i="8"/>
  <c r="P489" i="27" s="1"/>
  <c r="CK70" i="8"/>
  <c r="P490" i="27" s="1"/>
  <c r="CK71" i="8"/>
  <c r="P491" i="27" s="1"/>
  <c r="CK72" i="8"/>
  <c r="P492" i="27" s="1"/>
  <c r="CK73" i="8"/>
  <c r="P493" i="27" s="1"/>
  <c r="CK74" i="8"/>
  <c r="P494" i="27" s="1"/>
  <c r="CK75" i="8"/>
  <c r="P495" i="27" s="1"/>
  <c r="CK76" i="8"/>
  <c r="P496" i="27" s="1"/>
  <c r="CK77" i="8"/>
  <c r="P497" i="27" s="1"/>
  <c r="CK78" i="8"/>
  <c r="P498" i="27" s="1"/>
  <c r="CK79" i="8"/>
  <c r="P499" i="27" s="1"/>
  <c r="CK80" i="8"/>
  <c r="P500" i="27" s="1"/>
  <c r="CK81" i="8"/>
  <c r="P501" i="27" s="1"/>
  <c r="CK82" i="8"/>
  <c r="P502" i="27" s="1"/>
  <c r="CK83" i="8"/>
  <c r="P503" i="27" s="1"/>
  <c r="CK84" i="8"/>
  <c r="P504" i="27" s="1"/>
  <c r="CK85" i="8"/>
  <c r="P505" i="27" s="1"/>
  <c r="CK86" i="8"/>
  <c r="P506" i="27" s="1"/>
  <c r="CK87" i="8"/>
  <c r="P507" i="27" s="1"/>
  <c r="CK88" i="8"/>
  <c r="P508" i="27" s="1"/>
  <c r="CK89" i="8"/>
  <c r="P509" i="27" s="1"/>
  <c r="CK90" i="8"/>
  <c r="P510" i="27" s="1"/>
  <c r="CK91" i="8"/>
  <c r="P511" i="27" s="1"/>
  <c r="CK92" i="8"/>
  <c r="P512" i="27" s="1"/>
  <c r="CK93" i="8"/>
  <c r="P513" i="27" s="1"/>
  <c r="CK94" i="8"/>
  <c r="P514" i="27" s="1"/>
  <c r="CK95" i="8"/>
  <c r="P515" i="27" s="1"/>
  <c r="CK96" i="8"/>
  <c r="P516" i="27" s="1"/>
  <c r="CK97" i="8"/>
  <c r="P517" i="27" s="1"/>
  <c r="CK98" i="8"/>
  <c r="P518" i="27" s="1"/>
  <c r="CK99" i="8"/>
  <c r="P519" i="27" s="1"/>
  <c r="CK100" i="8"/>
  <c r="P520" i="27" s="1"/>
  <c r="CK101" i="8"/>
  <c r="P521" i="27" s="1"/>
  <c r="CK102" i="8"/>
  <c r="P522" i="27" s="1"/>
  <c r="CK103" i="8"/>
  <c r="P523" i="27" s="1"/>
  <c r="CK104" i="8"/>
  <c r="P524" i="27" s="1"/>
  <c r="CK105" i="8"/>
  <c r="P525" i="27" s="1"/>
  <c r="CK106" i="8"/>
  <c r="P526" i="27" s="1"/>
  <c r="CK107" i="8"/>
  <c r="P527" i="27" s="1"/>
  <c r="CK108" i="8"/>
  <c r="P528" i="27" s="1"/>
  <c r="CK109" i="8"/>
  <c r="P529" i="27" s="1"/>
  <c r="CK110" i="8"/>
  <c r="P530" i="27" s="1"/>
  <c r="CK111" i="8"/>
  <c r="P531" i="27" s="1"/>
  <c r="CK112" i="8"/>
  <c r="P532" i="27" s="1"/>
  <c r="CK113" i="8"/>
  <c r="P533" i="27" s="1"/>
  <c r="CK114" i="8"/>
  <c r="P534" i="27" s="1"/>
  <c r="CK115" i="8"/>
  <c r="P535" i="27" s="1"/>
  <c r="CK116" i="8"/>
  <c r="P536" i="27" s="1"/>
  <c r="CK117" i="8"/>
  <c r="P537" i="27" s="1"/>
  <c r="CK118" i="8"/>
  <c r="P538" i="27" s="1"/>
  <c r="CK119" i="8"/>
  <c r="P539" i="27" s="1"/>
  <c r="CK120" i="8"/>
  <c r="P540" i="27" s="1"/>
  <c r="CK121" i="8"/>
  <c r="P541" i="27" s="1"/>
  <c r="CK122" i="8"/>
  <c r="P542" i="27" s="1"/>
  <c r="CK123" i="8"/>
  <c r="P543" i="27" s="1"/>
  <c r="CK124" i="8"/>
  <c r="P544" i="27" s="1"/>
  <c r="CK125" i="8"/>
  <c r="P545" i="27" s="1"/>
  <c r="CK126" i="8"/>
  <c r="P546" i="27" s="1"/>
  <c r="CK127" i="8"/>
  <c r="P547" i="27" s="1"/>
  <c r="CK128" i="8"/>
  <c r="P548" i="27" s="1"/>
  <c r="CK129" i="8"/>
  <c r="P549" i="27" s="1"/>
  <c r="CK130" i="8"/>
  <c r="P550" i="27" s="1"/>
  <c r="CK131" i="8"/>
  <c r="P551" i="27" s="1"/>
  <c r="CK132" i="8"/>
  <c r="P552" i="27" s="1"/>
  <c r="CK133" i="8"/>
  <c r="P553" i="27" s="1"/>
  <c r="CK134" i="8"/>
  <c r="P554" i="27" s="1"/>
  <c r="CK135" i="8"/>
  <c r="P555" i="27" s="1"/>
  <c r="CK136" i="8"/>
  <c r="P556" i="27" s="1"/>
  <c r="CK137" i="8"/>
  <c r="P557" i="27" s="1"/>
  <c r="CK138" i="8"/>
  <c r="P558" i="27" s="1"/>
  <c r="CK139" i="8"/>
  <c r="P559" i="27" s="1"/>
  <c r="CK140" i="8"/>
  <c r="P560" i="27" s="1"/>
  <c r="CK141" i="8"/>
  <c r="P561" i="27" s="1"/>
  <c r="CK142" i="8"/>
  <c r="P562" i="27" s="1"/>
  <c r="CK143" i="8"/>
  <c r="P563" i="27" s="1"/>
  <c r="CK144" i="8"/>
  <c r="P564" i="27" s="1"/>
  <c r="CK145" i="8"/>
  <c r="P565" i="27" s="1"/>
  <c r="CK146" i="8"/>
  <c r="P566" i="27" s="1"/>
  <c r="CK147" i="8"/>
  <c r="P567" i="27" s="1"/>
  <c r="CK148" i="8"/>
  <c r="P568" i="27" s="1"/>
  <c r="CK149" i="8"/>
  <c r="P569" i="27" s="1"/>
  <c r="CK150" i="8"/>
  <c r="P570" i="27" s="1"/>
  <c r="CK151" i="8"/>
  <c r="P571" i="27" s="1"/>
  <c r="CK152" i="8"/>
  <c r="P572" i="27" s="1"/>
  <c r="CK153" i="8"/>
  <c r="P573" i="27" s="1"/>
  <c r="CK154" i="8"/>
  <c r="P574" i="27" s="1"/>
  <c r="CK155" i="8"/>
  <c r="P575" i="27" s="1"/>
  <c r="CK156" i="8"/>
  <c r="P576" i="27" s="1"/>
  <c r="CK157" i="8"/>
  <c r="P577" i="27" s="1"/>
  <c r="CK158" i="8"/>
  <c r="P578" i="27" s="1"/>
  <c r="CK159" i="8"/>
  <c r="P579" i="27" s="1"/>
  <c r="CK160" i="8"/>
  <c r="P580" i="27" s="1"/>
  <c r="CK161" i="8"/>
  <c r="P581" i="27" s="1"/>
  <c r="CK162" i="8"/>
  <c r="P582" i="27" s="1"/>
  <c r="CK163" i="8"/>
  <c r="P583" i="27" s="1"/>
  <c r="CK164" i="8"/>
  <c r="P584" i="27" s="1"/>
  <c r="CK165" i="8"/>
  <c r="P585" i="27" s="1"/>
  <c r="CK166" i="8"/>
  <c r="P586" i="27" s="1"/>
  <c r="CK167" i="8"/>
  <c r="P587" i="27" s="1"/>
  <c r="CK168" i="8"/>
  <c r="P588" i="27" s="1"/>
  <c r="CK169" i="8"/>
  <c r="P589" i="27" s="1"/>
  <c r="CK170" i="8"/>
  <c r="P590" i="27" s="1"/>
  <c r="CK171" i="8"/>
  <c r="P591" i="27" s="1"/>
  <c r="CK172" i="8"/>
  <c r="P592" i="27" s="1"/>
  <c r="CK173" i="8"/>
  <c r="P593" i="27" s="1"/>
  <c r="CK174" i="8"/>
  <c r="P594" i="27" s="1"/>
  <c r="CK175" i="8"/>
  <c r="P595" i="27" s="1"/>
  <c r="CK176" i="8"/>
  <c r="P596" i="27" s="1"/>
  <c r="CK177" i="8"/>
  <c r="P597" i="27" s="1"/>
  <c r="CK178" i="8"/>
  <c r="P598" i="27" s="1"/>
  <c r="CK179" i="8"/>
  <c r="P599" i="27" s="1"/>
  <c r="CK180" i="8"/>
  <c r="P600" i="27" s="1"/>
  <c r="CK181" i="8"/>
  <c r="P601" i="27" s="1"/>
  <c r="CK182" i="8"/>
  <c r="P602" i="27" s="1"/>
  <c r="CK183" i="8"/>
  <c r="P603" i="27" s="1"/>
  <c r="CK184" i="8"/>
  <c r="P604" i="27" s="1"/>
  <c r="CK185" i="8"/>
  <c r="P605" i="27" s="1"/>
  <c r="CK186" i="8"/>
  <c r="P606" i="27" s="1"/>
  <c r="CK187" i="8"/>
  <c r="P607" i="27" s="1"/>
  <c r="CK188" i="8"/>
  <c r="P608" i="27" s="1"/>
  <c r="CK189" i="8"/>
  <c r="P609" i="27" s="1"/>
  <c r="CK190" i="8"/>
  <c r="P610" i="27" s="1"/>
  <c r="CK191" i="8"/>
  <c r="P611" i="27" s="1"/>
  <c r="CK192" i="8"/>
  <c r="P612" i="27" s="1"/>
  <c r="CK193" i="8"/>
  <c r="P613" i="27" s="1"/>
  <c r="CK194" i="8"/>
  <c r="P614" i="27" s="1"/>
  <c r="CK195" i="8"/>
  <c r="P615" i="27" s="1"/>
  <c r="CK196" i="8"/>
  <c r="P616" i="27" s="1"/>
  <c r="CK197" i="8"/>
  <c r="P617" i="27" s="1"/>
  <c r="CK198" i="8"/>
  <c r="P618" i="27" s="1"/>
  <c r="CK199" i="8"/>
  <c r="P619" i="27" s="1"/>
  <c r="CK200" i="8"/>
  <c r="P620" i="27" s="1"/>
  <c r="CK201" i="8"/>
  <c r="P621" i="27" s="1"/>
  <c r="CK202" i="8"/>
  <c r="P622" i="27" s="1"/>
  <c r="CK203" i="8"/>
  <c r="P623" i="27" s="1"/>
  <c r="CK204" i="8"/>
  <c r="P624" i="27" s="1"/>
  <c r="CK205" i="8"/>
  <c r="P625" i="27" s="1"/>
  <c r="CK206" i="8"/>
  <c r="P626" i="27" s="1"/>
  <c r="CK207" i="8"/>
  <c r="P627" i="27" s="1"/>
  <c r="CK208" i="8"/>
  <c r="P628" i="27" s="1"/>
  <c r="CK209" i="8"/>
  <c r="P629" i="27" s="1"/>
  <c r="CK210" i="8"/>
  <c r="P630" i="27" s="1"/>
  <c r="CK211" i="8"/>
  <c r="P631" i="27" s="1"/>
  <c r="CK212" i="8"/>
  <c r="P632" i="27" s="1"/>
  <c r="CK213" i="8"/>
  <c r="P633" i="27" s="1"/>
  <c r="CK214" i="8"/>
  <c r="P634" i="27" s="1"/>
  <c r="CK215" i="8"/>
  <c r="P635" i="27" s="1"/>
  <c r="CK216" i="8"/>
  <c r="P636" i="27" s="1"/>
  <c r="CK217" i="8"/>
  <c r="P637" i="27" s="1"/>
  <c r="CK218" i="8"/>
  <c r="P638" i="27" s="1"/>
  <c r="CK219" i="8"/>
  <c r="P639" i="27" s="1"/>
  <c r="CK220" i="8"/>
  <c r="P640" i="27" s="1"/>
  <c r="CK221" i="8"/>
  <c r="P641" i="27" s="1"/>
  <c r="CK222" i="8"/>
  <c r="P642" i="27" s="1"/>
  <c r="CK223" i="8"/>
  <c r="P643" i="27" s="1"/>
  <c r="CK224" i="8"/>
  <c r="P644" i="27" s="1"/>
  <c r="CK225" i="8"/>
  <c r="P645" i="27" s="1"/>
  <c r="CK226" i="8"/>
  <c r="P646" i="27" s="1"/>
  <c r="CK227" i="8"/>
  <c r="P647" i="27" s="1"/>
  <c r="CK228" i="8"/>
  <c r="P648" i="27" s="1"/>
  <c r="CK229" i="8"/>
  <c r="P649" i="27" s="1"/>
  <c r="CK230" i="8"/>
  <c r="P650" i="27" s="1"/>
  <c r="CK231" i="8"/>
  <c r="P651" i="27" s="1"/>
  <c r="CK232" i="8"/>
  <c r="P652" i="27" s="1"/>
  <c r="CK233" i="8"/>
  <c r="P653" i="27" s="1"/>
  <c r="CK234" i="8"/>
  <c r="P654" i="27" s="1"/>
  <c r="CK235" i="8"/>
  <c r="P655" i="27" s="1"/>
  <c r="CK236" i="8"/>
  <c r="P656" i="27" s="1"/>
  <c r="CK237" i="8"/>
  <c r="P657" i="27" s="1"/>
  <c r="CK238" i="8"/>
  <c r="P658" i="27" s="1"/>
  <c r="CK239" i="8"/>
  <c r="P659" i="27" s="1"/>
  <c r="CK240" i="8"/>
  <c r="P660" i="27" s="1"/>
  <c r="CK241" i="8"/>
  <c r="P661" i="27" s="1"/>
  <c r="CK242" i="8"/>
  <c r="P662" i="27" s="1"/>
  <c r="CK243" i="8"/>
  <c r="P663" i="27" s="1"/>
  <c r="CK244" i="8"/>
  <c r="P664" i="27" s="1"/>
  <c r="CK245" i="8"/>
  <c r="P665" i="27" s="1"/>
  <c r="CK246" i="8"/>
  <c r="P666" i="27" s="1"/>
  <c r="CK247" i="8"/>
  <c r="P667" i="27" s="1"/>
  <c r="CK248" i="8"/>
  <c r="P668" i="27" s="1"/>
  <c r="CK249" i="8"/>
  <c r="P669" i="27" s="1"/>
  <c r="CK250" i="8"/>
  <c r="P670" i="27" s="1"/>
  <c r="CK251" i="8"/>
  <c r="P671" i="27" s="1"/>
  <c r="CK252" i="8"/>
  <c r="P672" i="27" s="1"/>
  <c r="CK253" i="8"/>
  <c r="P673" i="27" s="1"/>
  <c r="CK254" i="8"/>
  <c r="P674" i="27" s="1"/>
  <c r="CK255" i="8"/>
  <c r="P675" i="27" s="1"/>
  <c r="CK256" i="8"/>
  <c r="P676" i="27" s="1"/>
  <c r="CK257" i="8"/>
  <c r="P677" i="27" s="1"/>
  <c r="CK258" i="8"/>
  <c r="P678" i="27" s="1"/>
  <c r="CK259" i="8"/>
  <c r="P679" i="27" s="1"/>
  <c r="CK260" i="8"/>
  <c r="P680" i="27" s="1"/>
  <c r="CK261" i="8"/>
  <c r="P681" i="27" s="1"/>
  <c r="CK262" i="8"/>
  <c r="P682" i="27" s="1"/>
  <c r="CK263" i="8"/>
  <c r="P683" i="27" s="1"/>
  <c r="CK264" i="8"/>
  <c r="P684" i="27" s="1"/>
  <c r="CK265" i="8"/>
  <c r="P685" i="27" s="1"/>
  <c r="CK266" i="8"/>
  <c r="P686" i="27" s="1"/>
  <c r="CK267" i="8"/>
  <c r="P687" i="27" s="1"/>
  <c r="CK268" i="8"/>
  <c r="P688" i="27" s="1"/>
  <c r="CK269" i="8"/>
  <c r="P689" i="27" s="1"/>
  <c r="CK270" i="8"/>
  <c r="P690" i="27" s="1"/>
  <c r="CK271" i="8"/>
  <c r="P691" i="27" s="1"/>
  <c r="CK272" i="8"/>
  <c r="P692" i="27" s="1"/>
  <c r="CK273" i="8"/>
  <c r="P693" i="27" s="1"/>
  <c r="CK274" i="8"/>
  <c r="P694" i="27" s="1"/>
  <c r="CK275" i="8"/>
  <c r="P695" i="27" s="1"/>
  <c r="CK276" i="8"/>
  <c r="P696" i="27" s="1"/>
  <c r="CK277" i="8"/>
  <c r="P697" i="27" s="1"/>
  <c r="CK278" i="8"/>
  <c r="P698" i="27" s="1"/>
  <c r="CK279" i="8"/>
  <c r="P699" i="27" s="1"/>
  <c r="CK280" i="8"/>
  <c r="P700" i="27" s="1"/>
  <c r="CK281" i="8"/>
  <c r="P701" i="27" s="1"/>
  <c r="CK282" i="8"/>
  <c r="P702" i="27" s="1"/>
  <c r="CK283" i="8"/>
  <c r="P703" i="27" s="1"/>
  <c r="CK284" i="8"/>
  <c r="P704" i="27" s="1"/>
  <c r="CK285" i="8"/>
  <c r="P705" i="27" s="1"/>
  <c r="CK286" i="8"/>
  <c r="P706" i="27" s="1"/>
  <c r="CK287" i="8"/>
  <c r="P707" i="27" s="1"/>
  <c r="CK288" i="8"/>
  <c r="P708" i="27" s="1"/>
  <c r="CK289" i="8"/>
  <c r="P709" i="27" s="1"/>
  <c r="CK290" i="8"/>
  <c r="P710" i="27" s="1"/>
  <c r="CK291" i="8"/>
  <c r="P711" i="27" s="1"/>
  <c r="CK292" i="8"/>
  <c r="P712" i="27" s="1"/>
  <c r="CK293" i="8"/>
  <c r="P713" i="27" s="1"/>
  <c r="CK294" i="8"/>
  <c r="P714" i="27" s="1"/>
  <c r="CK295" i="8"/>
  <c r="P715" i="27" s="1"/>
  <c r="CK296" i="8"/>
  <c r="P716" i="27" s="1"/>
  <c r="CK297" i="8"/>
  <c r="P717" i="27" s="1"/>
  <c r="CK298" i="8"/>
  <c r="P718" i="27" s="1"/>
  <c r="CK299" i="8"/>
  <c r="P719" i="27" s="1"/>
  <c r="CK300" i="8"/>
  <c r="P720" i="27" s="1"/>
  <c r="CK301" i="8"/>
  <c r="P721" i="27" s="1"/>
  <c r="CK302" i="8"/>
  <c r="P722" i="27" s="1"/>
  <c r="CK303" i="8"/>
  <c r="P723" i="27" s="1"/>
  <c r="CK304" i="8"/>
  <c r="P724" i="27" s="1"/>
  <c r="CK305" i="8"/>
  <c r="P725" i="27" s="1"/>
  <c r="CK306" i="8"/>
  <c r="P726" i="27" s="1"/>
  <c r="CK307" i="8"/>
  <c r="P727" i="27" s="1"/>
  <c r="CK308" i="8"/>
  <c r="P728" i="27" s="1"/>
  <c r="CK309" i="8"/>
  <c r="P729" i="27" s="1"/>
  <c r="CK310" i="8"/>
  <c r="P730" i="27" s="1"/>
  <c r="CK311" i="8"/>
  <c r="P731" i="27" s="1"/>
  <c r="CK312" i="8"/>
  <c r="P732" i="27" s="1"/>
  <c r="CK313" i="8"/>
  <c r="P733" i="27" s="1"/>
  <c r="CK314" i="8"/>
  <c r="P734" i="27" s="1"/>
  <c r="CK315" i="8"/>
  <c r="P735" i="27" s="1"/>
  <c r="CK316" i="8"/>
  <c r="P736" i="27" s="1"/>
  <c r="CK317" i="8"/>
  <c r="P737" i="27" s="1"/>
  <c r="CK318" i="8"/>
  <c r="P738" i="27" s="1"/>
  <c r="CK319" i="8"/>
  <c r="P739" i="27" s="1"/>
  <c r="CK320" i="8"/>
  <c r="P740" i="27" s="1"/>
  <c r="CK321" i="8"/>
  <c r="P741" i="27" s="1"/>
  <c r="CK322" i="8"/>
  <c r="P742" i="27" s="1"/>
  <c r="CK323" i="8"/>
  <c r="P743" i="27" s="1"/>
  <c r="CK324" i="8"/>
  <c r="P744" i="27" s="1"/>
  <c r="CK325" i="8"/>
  <c r="P745" i="27" s="1"/>
  <c r="CK326" i="8"/>
  <c r="P746" i="27" s="1"/>
  <c r="CK327" i="8"/>
  <c r="P747" i="27" s="1"/>
  <c r="CK328" i="8"/>
  <c r="P748" i="27" s="1"/>
  <c r="CK329" i="8"/>
  <c r="P749" i="27" s="1"/>
  <c r="CK330" i="8"/>
  <c r="P750" i="27" s="1"/>
  <c r="CK331" i="8"/>
  <c r="P751" i="27" s="1"/>
  <c r="CK332" i="8"/>
  <c r="P752" i="27" s="1"/>
  <c r="CK333" i="8"/>
  <c r="P753" i="27" s="1"/>
  <c r="CK334" i="8"/>
  <c r="P754" i="27" s="1"/>
  <c r="CK335" i="8"/>
  <c r="P755" i="27" s="1"/>
  <c r="CK336" i="8"/>
  <c r="P756" i="27" s="1"/>
  <c r="CK337" i="8"/>
  <c r="P757" i="27" s="1"/>
  <c r="CK338" i="8"/>
  <c r="P758" i="27" s="1"/>
  <c r="CK339" i="8"/>
  <c r="P759" i="27" s="1"/>
  <c r="CK340" i="8"/>
  <c r="P760" i="27" s="1"/>
  <c r="CK341" i="8"/>
  <c r="P761" i="27" s="1"/>
  <c r="CK342" i="8"/>
  <c r="P762" i="27" s="1"/>
  <c r="CK343" i="8"/>
  <c r="P763" i="27" s="1"/>
  <c r="CK344" i="8"/>
  <c r="P764" i="27" s="1"/>
  <c r="CK345" i="8"/>
  <c r="P765" i="27" s="1"/>
  <c r="CK346" i="8"/>
  <c r="P766" i="27" s="1"/>
  <c r="CK347" i="8"/>
  <c r="P767" i="27" s="1"/>
  <c r="CK348" i="8"/>
  <c r="P768" i="27" s="1"/>
  <c r="CK349" i="8"/>
  <c r="P769" i="27" s="1"/>
  <c r="CK350" i="8"/>
  <c r="P770" i="27" s="1"/>
  <c r="CK351" i="8"/>
  <c r="P771" i="27" s="1"/>
  <c r="CK352" i="8"/>
  <c r="P772" i="27" s="1"/>
  <c r="CK353" i="8"/>
  <c r="P773" i="27" s="1"/>
  <c r="CK354" i="8"/>
  <c r="P774" i="27" s="1"/>
  <c r="CK355" i="8"/>
  <c r="P775" i="27" s="1"/>
  <c r="CK356" i="8"/>
  <c r="P776" i="27" s="1"/>
  <c r="CK357" i="8"/>
  <c r="P777" i="27" s="1"/>
  <c r="CK358" i="8"/>
  <c r="P778" i="27" s="1"/>
  <c r="CK359" i="8"/>
  <c r="P779" i="27" s="1"/>
  <c r="CK360" i="8"/>
  <c r="P780" i="27" s="1"/>
  <c r="CK361" i="8"/>
  <c r="P781" i="27" s="1"/>
  <c r="CK362" i="8"/>
  <c r="P782" i="27" s="1"/>
  <c r="CK363" i="8"/>
  <c r="P783" i="27" s="1"/>
  <c r="CK364" i="8"/>
  <c r="P784" i="27" s="1"/>
  <c r="CK365" i="8"/>
  <c r="P785" i="27" s="1"/>
  <c r="CK366" i="8"/>
  <c r="P786" i="27" s="1"/>
  <c r="CK367" i="8"/>
  <c r="P787" i="27" s="1"/>
  <c r="CK368" i="8"/>
  <c r="P788" i="27" s="1"/>
  <c r="CK369" i="8"/>
  <c r="P789" i="27" s="1"/>
  <c r="CK370" i="8"/>
  <c r="P790" i="27" s="1"/>
  <c r="CK371" i="8"/>
  <c r="P791" i="27" s="1"/>
  <c r="CK372" i="8"/>
  <c r="P792" i="27" s="1"/>
  <c r="CK373" i="8"/>
  <c r="P793" i="27" s="1"/>
  <c r="CK374" i="8"/>
  <c r="P794" i="27" s="1"/>
  <c r="CK375" i="8"/>
  <c r="P795" i="27" s="1"/>
  <c r="CK376" i="8"/>
  <c r="P796" i="27" s="1"/>
  <c r="CK377" i="8"/>
  <c r="P797" i="27" s="1"/>
  <c r="CK378" i="8"/>
  <c r="P798" i="27" s="1"/>
  <c r="CK379" i="8"/>
  <c r="P799" i="27" s="1"/>
  <c r="CK380" i="8"/>
  <c r="P800" i="27" s="1"/>
  <c r="CK381" i="8"/>
  <c r="P801" i="27" s="1"/>
  <c r="CK382" i="8"/>
  <c r="P802" i="27" s="1"/>
  <c r="CK383" i="8"/>
  <c r="P803" i="27" s="1"/>
  <c r="CK384" i="8"/>
  <c r="P804" i="27" s="1"/>
  <c r="CK385" i="8"/>
  <c r="P805" i="27" s="1"/>
  <c r="CK386" i="8"/>
  <c r="P806" i="27" s="1"/>
  <c r="CK387" i="8"/>
  <c r="P807" i="27" s="1"/>
  <c r="CK388" i="8"/>
  <c r="P808" i="27" s="1"/>
  <c r="CK389" i="8"/>
  <c r="P809" i="27" s="1"/>
  <c r="CK390" i="8"/>
  <c r="P810" i="27" s="1"/>
  <c r="CK391" i="8"/>
  <c r="P811" i="27" s="1"/>
  <c r="CK392" i="8"/>
  <c r="P812" i="27" s="1"/>
  <c r="CK393" i="8"/>
  <c r="P813" i="27" s="1"/>
  <c r="CK394" i="8"/>
  <c r="P814" i="27" s="1"/>
  <c r="CK395" i="8"/>
  <c r="P815" i="27" s="1"/>
  <c r="CK396" i="8"/>
  <c r="P816" i="27" s="1"/>
  <c r="CK397" i="8"/>
  <c r="P817" i="27" s="1"/>
  <c r="CK398" i="8"/>
  <c r="P818" i="27" s="1"/>
  <c r="CK399" i="8"/>
  <c r="P819" i="27" s="1"/>
  <c r="CK400" i="8"/>
  <c r="P820" i="27" s="1"/>
  <c r="CK401" i="8"/>
  <c r="P821" i="27" s="1"/>
  <c r="CK402" i="8"/>
  <c r="CK403" i="8"/>
  <c r="CK404" i="8"/>
  <c r="CK405" i="8"/>
  <c r="CK406" i="8"/>
  <c r="CK407" i="8"/>
  <c r="CK408" i="8"/>
  <c r="CK409" i="8"/>
  <c r="CK410" i="8"/>
  <c r="CK411" i="8"/>
  <c r="CK412" i="8"/>
  <c r="CK413" i="8"/>
  <c r="CK414" i="8"/>
  <c r="CK415" i="8"/>
  <c r="CK416" i="8"/>
  <c r="CK417" i="8"/>
  <c r="CK418" i="8"/>
  <c r="CK419" i="8"/>
  <c r="CK420" i="8"/>
  <c r="CK421" i="8"/>
  <c r="CK422" i="8"/>
  <c r="CK423" i="8"/>
  <c r="CK424" i="8"/>
  <c r="CK425" i="8"/>
  <c r="CK426" i="8"/>
  <c r="CK427" i="8"/>
  <c r="CK428" i="8"/>
  <c r="CK429" i="8"/>
  <c r="CK430" i="8"/>
  <c r="CK431" i="8"/>
  <c r="CK432" i="8"/>
  <c r="CK433" i="8"/>
  <c r="CK434" i="8"/>
  <c r="CK435" i="8"/>
  <c r="CK436" i="8"/>
  <c r="CK437" i="8"/>
  <c r="CK438" i="8"/>
  <c r="CK439" i="8"/>
  <c r="CK440" i="8"/>
  <c r="CK441" i="8"/>
  <c r="CK442" i="8"/>
  <c r="CK443" i="8"/>
  <c r="CK444" i="8"/>
  <c r="CK445" i="8"/>
  <c r="CK446" i="8"/>
  <c r="CK447" i="8"/>
  <c r="CK448" i="8"/>
  <c r="CK449" i="8"/>
  <c r="CK450" i="8"/>
  <c r="CK451" i="8"/>
  <c r="CK452" i="8"/>
  <c r="CK453" i="8"/>
  <c r="CK454" i="8"/>
  <c r="CK455" i="8"/>
  <c r="CK456" i="8"/>
  <c r="CK457" i="8"/>
  <c r="CK458" i="8"/>
  <c r="CK459" i="8"/>
  <c r="CK460" i="8"/>
  <c r="CK461" i="8"/>
  <c r="CK462" i="8"/>
  <c r="CK463" i="8"/>
  <c r="CK464" i="8"/>
  <c r="CK465" i="8"/>
  <c r="CK466" i="8"/>
  <c r="CK467" i="8"/>
  <c r="CK468" i="8"/>
  <c r="CK469" i="8"/>
  <c r="CK470" i="8"/>
  <c r="CK471" i="8"/>
  <c r="CK472" i="8"/>
  <c r="CK473" i="8"/>
  <c r="CK474" i="8"/>
  <c r="CK475" i="8"/>
  <c r="CK476" i="8"/>
  <c r="CK477" i="8"/>
  <c r="CK478" i="8"/>
  <c r="CK479" i="8"/>
  <c r="CK480" i="8"/>
  <c r="CK481" i="8"/>
  <c r="CK482" i="8"/>
  <c r="CK483" i="8"/>
  <c r="CK484" i="8"/>
  <c r="CK485" i="8"/>
  <c r="CK486" i="8"/>
  <c r="CK487" i="8"/>
  <c r="CK488" i="8"/>
  <c r="CK489" i="8"/>
  <c r="CK490" i="8"/>
  <c r="CK491" i="8"/>
  <c r="CK492" i="8"/>
  <c r="CK493" i="8"/>
  <c r="CK494" i="8"/>
  <c r="CK495" i="8"/>
  <c r="CK496" i="8"/>
  <c r="CK497" i="8"/>
  <c r="CK498" i="8"/>
  <c r="CK499" i="8"/>
  <c r="CK500" i="8"/>
  <c r="CK501" i="8"/>
  <c r="CK502" i="8"/>
  <c r="CK503" i="8"/>
  <c r="CK504" i="8"/>
  <c r="CK505" i="8"/>
  <c r="CK506" i="8"/>
  <c r="CK507" i="8"/>
  <c r="CK508" i="8"/>
  <c r="CK509" i="8"/>
  <c r="CK510" i="8"/>
  <c r="CK511" i="8"/>
  <c r="CK512" i="8"/>
  <c r="CK513" i="8"/>
  <c r="CK514" i="8"/>
  <c r="CK515" i="8"/>
  <c r="CK516" i="8"/>
  <c r="CK517" i="8"/>
  <c r="CK518" i="8"/>
  <c r="CK519" i="8"/>
  <c r="CK520" i="8"/>
  <c r="CK521" i="8"/>
  <c r="CK522" i="8"/>
  <c r="CK523" i="8"/>
  <c r="CK524" i="8"/>
  <c r="CK525" i="8"/>
  <c r="CK526" i="8"/>
  <c r="CK527" i="8"/>
  <c r="CK528" i="8"/>
  <c r="CK529" i="8"/>
  <c r="CK530" i="8"/>
  <c r="CK531" i="8"/>
  <c r="CK532" i="8"/>
  <c r="CK533" i="8"/>
  <c r="CK534" i="8"/>
  <c r="CK535" i="8"/>
  <c r="CK536" i="8"/>
  <c r="CK537" i="8"/>
  <c r="CK538" i="8"/>
  <c r="CK539" i="8"/>
  <c r="CK540" i="8"/>
  <c r="CK541" i="8"/>
  <c r="CK542" i="8"/>
  <c r="CK543" i="8"/>
  <c r="CK544" i="8"/>
  <c r="CK545" i="8"/>
  <c r="CK546" i="8"/>
  <c r="CK547" i="8"/>
  <c r="CK548" i="8"/>
  <c r="CK549" i="8"/>
  <c r="CK550" i="8"/>
  <c r="CK551" i="8"/>
  <c r="CK552" i="8"/>
  <c r="CK553" i="8"/>
  <c r="CK554" i="8"/>
  <c r="CK555" i="8"/>
  <c r="CK556" i="8"/>
  <c r="CK557" i="8"/>
  <c r="CK558" i="8"/>
  <c r="CK559" i="8"/>
  <c r="CK560" i="8"/>
  <c r="CK561" i="8"/>
  <c r="CK562" i="8"/>
  <c r="CK563" i="8"/>
  <c r="CK564" i="8"/>
  <c r="CK565" i="8"/>
  <c r="CK566" i="8"/>
  <c r="CK567" i="8"/>
  <c r="CK568" i="8"/>
  <c r="CK569" i="8"/>
  <c r="CK570" i="8"/>
  <c r="CK571" i="8"/>
  <c r="CK572" i="8"/>
  <c r="CK573" i="8"/>
  <c r="CK574" i="8"/>
  <c r="CK575" i="8"/>
  <c r="CK576" i="8"/>
  <c r="CK577" i="8"/>
  <c r="CK578" i="8"/>
  <c r="CK579" i="8"/>
  <c r="CK580" i="8"/>
  <c r="CK581" i="8"/>
  <c r="CK582" i="8"/>
  <c r="CK583" i="8"/>
  <c r="CK584" i="8"/>
  <c r="CK585" i="8"/>
  <c r="CK586" i="8"/>
  <c r="CK587" i="8"/>
  <c r="CK588" i="8"/>
  <c r="CK589" i="8"/>
  <c r="CK590" i="8"/>
  <c r="CK591" i="8"/>
  <c r="CK592" i="8"/>
  <c r="CK593" i="8"/>
  <c r="CK594" i="8"/>
  <c r="CK595" i="8"/>
  <c r="CK596" i="8"/>
  <c r="CK597" i="8"/>
  <c r="CK598" i="8"/>
  <c r="CK599" i="8"/>
  <c r="CK600" i="8"/>
  <c r="CK601" i="8"/>
  <c r="CK602" i="8"/>
  <c r="CK603" i="8"/>
  <c r="CK604" i="8"/>
  <c r="CK605" i="8"/>
  <c r="CK606" i="8"/>
  <c r="CK607" i="8"/>
  <c r="CK608" i="8"/>
  <c r="CK609" i="8"/>
  <c r="CK610" i="8"/>
  <c r="CK611" i="8"/>
  <c r="CK612" i="8"/>
  <c r="CK613" i="8"/>
  <c r="CK614" i="8"/>
  <c r="CK615" i="8"/>
  <c r="CK616" i="8"/>
  <c r="CK617" i="8"/>
  <c r="CK618" i="8"/>
  <c r="CK619" i="8"/>
  <c r="CK620" i="8"/>
  <c r="CK621" i="8"/>
  <c r="CK622" i="8"/>
  <c r="CK623" i="8"/>
  <c r="CK624" i="8"/>
  <c r="CK625" i="8"/>
  <c r="CK626" i="8"/>
  <c r="CK627" i="8"/>
  <c r="CK628" i="8"/>
  <c r="CK629" i="8"/>
  <c r="CK630" i="8"/>
  <c r="CK631" i="8"/>
  <c r="CK632" i="8"/>
  <c r="CK633" i="8"/>
  <c r="CK634" i="8"/>
  <c r="CK635" i="8"/>
  <c r="CK636" i="8"/>
  <c r="CK637" i="8"/>
  <c r="CK638" i="8"/>
  <c r="CK639" i="8"/>
  <c r="CK640" i="8"/>
  <c r="CK641" i="8"/>
  <c r="CK642" i="8"/>
  <c r="CK643" i="8"/>
  <c r="CK644" i="8"/>
  <c r="CK645" i="8"/>
  <c r="CK646" i="8"/>
  <c r="CK647" i="8"/>
  <c r="CK648" i="8"/>
  <c r="CK649" i="8"/>
  <c r="CK650" i="8"/>
  <c r="CK651" i="8"/>
  <c r="CK652" i="8"/>
  <c r="CK653" i="8"/>
  <c r="CK654" i="8"/>
  <c r="CK655" i="8"/>
  <c r="CK656" i="8"/>
  <c r="CK657" i="8"/>
  <c r="CK658" i="8"/>
  <c r="CK659" i="8"/>
  <c r="CK660" i="8"/>
  <c r="CK661" i="8"/>
  <c r="CK662" i="8"/>
  <c r="CK663" i="8"/>
  <c r="CK664" i="8"/>
  <c r="CK665" i="8"/>
  <c r="CK666" i="8"/>
  <c r="CK667" i="8"/>
  <c r="CK668" i="8"/>
  <c r="CK669" i="8"/>
  <c r="CK670" i="8"/>
  <c r="CK671" i="8"/>
  <c r="CK672" i="8"/>
  <c r="CK673" i="8"/>
  <c r="CK674" i="8"/>
  <c r="CK675" i="8"/>
  <c r="CK676" i="8"/>
  <c r="CK677" i="8"/>
  <c r="CK678" i="8"/>
  <c r="CK679" i="8"/>
  <c r="CK680" i="8"/>
  <c r="CK681" i="8"/>
  <c r="CK682" i="8"/>
  <c r="CK683" i="8"/>
  <c r="CK684" i="8"/>
  <c r="CK685" i="8"/>
  <c r="CK686" i="8"/>
  <c r="CK687" i="8"/>
  <c r="CK688" i="8"/>
  <c r="CK689" i="8"/>
  <c r="CK690" i="8"/>
  <c r="CK691" i="8"/>
  <c r="CK692" i="8"/>
  <c r="CK693" i="8"/>
  <c r="CK694" i="8"/>
  <c r="CK695" i="8"/>
  <c r="CK696" i="8"/>
  <c r="CK697" i="8"/>
  <c r="CK698" i="8"/>
  <c r="CK699" i="8"/>
  <c r="CK700" i="8"/>
  <c r="CK701" i="8"/>
  <c r="CK702" i="8"/>
  <c r="CK703" i="8"/>
  <c r="CK704" i="8"/>
  <c r="CK705" i="8"/>
  <c r="CK706" i="8"/>
  <c r="CK707" i="8"/>
  <c r="CK708" i="8"/>
  <c r="CK709" i="8"/>
  <c r="CK710" i="8"/>
  <c r="CK711" i="8"/>
  <c r="CK712" i="8"/>
  <c r="CK713" i="8"/>
  <c r="CK714" i="8"/>
  <c r="CK715" i="8"/>
  <c r="CK716" i="8"/>
  <c r="CK717" i="8"/>
  <c r="CK718" i="8"/>
  <c r="CK719" i="8"/>
  <c r="CK720" i="8"/>
  <c r="CK721" i="8"/>
  <c r="CK722" i="8"/>
  <c r="CK723" i="8"/>
  <c r="CK724" i="8"/>
  <c r="CK725" i="8"/>
  <c r="CK726" i="8"/>
  <c r="CK727" i="8"/>
  <c r="CK728" i="8"/>
  <c r="CK729" i="8"/>
  <c r="CK730" i="8"/>
  <c r="CK731" i="8"/>
  <c r="CK732" i="8"/>
  <c r="CK733" i="8"/>
  <c r="CK734" i="8"/>
  <c r="CK735" i="8"/>
  <c r="CK736" i="8"/>
  <c r="CK737" i="8"/>
  <c r="CK738" i="8"/>
  <c r="CK739" i="8"/>
  <c r="CK740" i="8"/>
  <c r="CK741" i="8"/>
  <c r="CK742" i="8"/>
  <c r="CK743" i="8"/>
  <c r="CK744" i="8"/>
  <c r="CK745" i="8"/>
  <c r="CK746" i="8"/>
  <c r="CK747" i="8"/>
  <c r="CK748" i="8"/>
  <c r="CK749" i="8"/>
  <c r="CK750" i="8"/>
  <c r="CK751" i="8"/>
  <c r="CK752" i="8"/>
  <c r="CK753" i="8"/>
  <c r="CK754" i="8"/>
  <c r="CK755" i="8"/>
  <c r="CK756" i="8"/>
  <c r="CK757" i="8"/>
  <c r="CK758" i="8"/>
  <c r="CK759" i="8"/>
  <c r="CK760" i="8"/>
  <c r="CK761" i="8"/>
  <c r="CK762" i="8"/>
  <c r="CK763" i="8"/>
  <c r="CK764" i="8"/>
  <c r="CK765" i="8"/>
  <c r="CK766" i="8"/>
  <c r="CK767" i="8"/>
  <c r="CK768" i="8"/>
  <c r="CK769" i="8"/>
  <c r="CK770" i="8"/>
  <c r="CK771" i="8"/>
  <c r="CK772" i="8"/>
  <c r="CK773" i="8"/>
  <c r="CK774" i="8"/>
  <c r="CK775" i="8"/>
  <c r="CK776" i="8"/>
  <c r="CK777" i="8"/>
  <c r="CK778" i="8"/>
  <c r="CK779" i="8"/>
  <c r="CK780" i="8"/>
  <c r="CK781" i="8"/>
  <c r="CK782" i="8"/>
  <c r="CK783" i="8"/>
  <c r="CK784" i="8"/>
  <c r="CK785" i="8"/>
  <c r="CK786" i="8"/>
  <c r="CK787" i="8"/>
  <c r="CK788" i="8"/>
  <c r="CK789" i="8"/>
  <c r="CK790" i="8"/>
  <c r="CK791" i="8"/>
  <c r="CK792" i="8"/>
  <c r="CK793" i="8"/>
  <c r="CK794" i="8"/>
  <c r="CK795" i="8"/>
  <c r="CK796" i="8"/>
  <c r="CK797" i="8"/>
  <c r="CK798" i="8"/>
  <c r="CK799" i="8"/>
  <c r="CK800" i="8"/>
  <c r="CK801" i="8"/>
  <c r="CK802" i="8"/>
  <c r="CK803" i="8"/>
  <c r="CK804" i="8"/>
  <c r="CK805" i="8"/>
  <c r="CK806" i="8"/>
  <c r="CK807" i="8"/>
  <c r="CK808" i="8"/>
  <c r="CK809" i="8"/>
  <c r="CK810" i="8"/>
  <c r="CK811" i="8"/>
  <c r="CK812" i="8"/>
  <c r="CK813" i="8"/>
  <c r="CK814" i="8"/>
  <c r="CK815" i="8"/>
  <c r="CK816" i="8"/>
  <c r="CK817" i="8"/>
  <c r="CK818" i="8"/>
  <c r="CK819" i="8"/>
  <c r="CK820" i="8"/>
  <c r="CK821" i="8"/>
  <c r="CK822" i="8"/>
  <c r="CK823" i="8"/>
  <c r="CK824" i="8"/>
  <c r="CK825" i="8"/>
  <c r="CK826" i="8"/>
  <c r="CK827" i="8"/>
  <c r="CK828" i="8"/>
  <c r="CK829" i="8"/>
  <c r="CK830" i="8"/>
  <c r="CK831" i="8"/>
  <c r="CK832" i="8"/>
  <c r="CK833" i="8"/>
  <c r="CK834" i="8"/>
  <c r="CK835" i="8"/>
  <c r="CK836" i="8"/>
  <c r="CK837" i="8"/>
  <c r="CK838" i="8"/>
  <c r="CK839" i="8"/>
  <c r="CK840" i="8"/>
  <c r="CK841" i="8"/>
  <c r="CK842" i="8"/>
  <c r="CK843" i="8"/>
  <c r="CK844" i="8"/>
  <c r="CK845" i="8"/>
  <c r="CK846" i="8"/>
  <c r="CK847" i="8"/>
  <c r="CK848" i="8"/>
  <c r="CK849" i="8"/>
  <c r="CK850" i="8"/>
  <c r="CK851" i="8"/>
  <c r="CK852" i="8"/>
  <c r="CK853" i="8"/>
  <c r="CK854" i="8"/>
  <c r="CK855" i="8"/>
  <c r="CK856" i="8"/>
  <c r="CK857" i="8"/>
  <c r="CK858" i="8"/>
  <c r="CK859" i="8"/>
  <c r="CK860" i="8"/>
  <c r="CK861" i="8"/>
  <c r="CK862" i="8"/>
  <c r="CK863" i="8"/>
  <c r="CK864" i="8"/>
  <c r="CK865" i="8"/>
  <c r="CK866" i="8"/>
  <c r="CK867" i="8"/>
  <c r="CK868" i="8"/>
  <c r="CK869" i="8"/>
  <c r="CK870" i="8"/>
  <c r="CK871" i="8"/>
  <c r="CK872" i="8"/>
  <c r="CK873" i="8"/>
  <c r="CK874" i="8"/>
  <c r="CK875" i="8"/>
  <c r="CK876" i="8"/>
  <c r="CK877" i="8"/>
  <c r="CK878" i="8"/>
  <c r="CK879" i="8"/>
  <c r="CK880" i="8"/>
  <c r="CK881" i="8"/>
  <c r="CK882" i="8"/>
  <c r="CK883" i="8"/>
  <c r="CK884" i="8"/>
  <c r="CK885" i="8"/>
  <c r="CK886" i="8"/>
  <c r="CK887" i="8"/>
  <c r="CK888" i="8"/>
  <c r="CK889" i="8"/>
  <c r="CK890" i="8"/>
  <c r="CK891" i="8"/>
  <c r="CK892" i="8"/>
  <c r="CK893" i="8"/>
  <c r="CK894" i="8"/>
  <c r="CK895" i="8"/>
  <c r="CK896" i="8"/>
  <c r="CK897" i="8"/>
  <c r="CK898" i="8"/>
  <c r="CK899" i="8"/>
  <c r="CK900" i="8"/>
  <c r="CK901" i="8"/>
  <c r="CK902" i="8"/>
  <c r="CK903" i="8"/>
  <c r="CK904" i="8"/>
  <c r="CK905" i="8"/>
  <c r="CK906" i="8"/>
  <c r="CK907" i="8"/>
  <c r="CK908" i="8"/>
  <c r="CK909" i="8"/>
  <c r="CK910" i="8"/>
  <c r="CK911" i="8"/>
  <c r="CK912" i="8"/>
  <c r="CK913" i="8"/>
  <c r="CK914" i="8"/>
  <c r="CK915" i="8"/>
  <c r="CK916" i="8"/>
  <c r="CK917" i="8"/>
  <c r="CK918" i="8"/>
  <c r="CK919" i="8"/>
  <c r="CK920" i="8"/>
  <c r="CK921" i="8"/>
  <c r="CK922" i="8"/>
  <c r="CK923" i="8"/>
  <c r="CK924" i="8"/>
  <c r="CK925" i="8"/>
  <c r="CK926" i="8"/>
  <c r="CK927" i="8"/>
  <c r="CK928" i="8"/>
  <c r="CK929" i="8"/>
  <c r="CK930" i="8"/>
  <c r="CK931" i="8"/>
  <c r="CK932" i="8"/>
  <c r="CK933" i="8"/>
  <c r="CK934" i="8"/>
  <c r="CK935" i="8"/>
  <c r="CK936" i="8"/>
  <c r="CK937" i="8"/>
  <c r="CK938" i="8"/>
  <c r="CK939" i="8"/>
  <c r="CK940" i="8"/>
  <c r="CK941" i="8"/>
  <c r="CK942" i="8"/>
  <c r="CK943" i="8"/>
  <c r="CK944" i="8"/>
  <c r="CK945" i="8"/>
  <c r="CK946" i="8"/>
  <c r="CK947" i="8"/>
  <c r="CK948" i="8"/>
  <c r="CK949" i="8"/>
  <c r="CK950" i="8"/>
  <c r="CK951" i="8"/>
  <c r="CK952" i="8"/>
  <c r="CK953" i="8"/>
  <c r="CK954" i="8"/>
  <c r="CK955" i="8"/>
  <c r="CK956" i="8"/>
  <c r="CK957" i="8"/>
  <c r="CK958" i="8"/>
  <c r="CK959" i="8"/>
  <c r="CK960" i="8"/>
  <c r="CK961" i="8"/>
  <c r="CK962" i="8"/>
  <c r="CK963" i="8"/>
  <c r="CK964" i="8"/>
  <c r="CK965" i="8"/>
  <c r="CK966" i="8"/>
  <c r="CK967" i="8"/>
  <c r="CK968" i="8"/>
  <c r="CK969" i="8"/>
  <c r="CK970" i="8"/>
  <c r="CK971" i="8"/>
  <c r="CK972" i="8"/>
  <c r="CK973" i="8"/>
  <c r="CK974" i="8"/>
  <c r="CK975" i="8"/>
  <c r="CK976" i="8"/>
  <c r="CK977" i="8"/>
  <c r="CK978" i="8"/>
  <c r="CK979" i="8"/>
  <c r="CK980" i="8"/>
  <c r="CK981" i="8"/>
  <c r="CK982" i="8"/>
  <c r="CK983" i="8"/>
  <c r="CK984" i="8"/>
  <c r="CK985" i="8"/>
  <c r="CK986" i="8"/>
  <c r="CK987" i="8"/>
  <c r="CK988" i="8"/>
  <c r="CK989" i="8"/>
  <c r="CK990" i="8"/>
  <c r="CK991" i="8"/>
  <c r="CK992" i="8"/>
  <c r="CK993" i="8"/>
  <c r="CK994" i="8"/>
  <c r="CK995" i="8"/>
  <c r="CK996" i="8"/>
  <c r="CK997" i="8"/>
  <c r="CK998" i="8"/>
  <c r="CK999" i="8"/>
  <c r="CK1000" i="8"/>
  <c r="CK1001" i="8"/>
  <c r="CK1002" i="8"/>
  <c r="CK1003" i="8"/>
  <c r="CK1004" i="8"/>
  <c r="CK1005" i="8"/>
  <c r="CK1006" i="8"/>
  <c r="CK1007" i="8"/>
  <c r="CK1008" i="8"/>
  <c r="CK1009" i="8"/>
  <c r="CK1010" i="8"/>
  <c r="CK1011" i="8"/>
  <c r="CK1012" i="8"/>
  <c r="CK1013" i="8"/>
  <c r="CK1014" i="8"/>
  <c r="CK1015" i="8"/>
  <c r="CK1016" i="8"/>
  <c r="CK1017" i="8"/>
  <c r="CK1018" i="8"/>
  <c r="CK1019" i="8"/>
  <c r="CK1020" i="8"/>
  <c r="CK1021" i="8"/>
  <c r="CK1022" i="8"/>
  <c r="CK1023" i="8"/>
  <c r="CK1024" i="8"/>
  <c r="CK1025" i="8"/>
  <c r="CK1026" i="8"/>
  <c r="CK1027" i="8"/>
  <c r="CK1028" i="8"/>
  <c r="CK1029" i="8"/>
  <c r="CK1030" i="8"/>
  <c r="CK1031" i="8"/>
  <c r="CK1032" i="8"/>
  <c r="CK1033" i="8"/>
  <c r="CK1034" i="8"/>
  <c r="CK1035" i="8"/>
  <c r="CK1036" i="8"/>
  <c r="CK1037" i="8"/>
  <c r="CK1038" i="8"/>
  <c r="CK1039" i="8"/>
  <c r="CK1040" i="8"/>
  <c r="CK1041" i="8"/>
  <c r="CK1042" i="8"/>
  <c r="CK1043" i="8"/>
  <c r="CK1044" i="8"/>
  <c r="CK1045" i="8"/>
  <c r="CK1046" i="8"/>
  <c r="CK1047" i="8"/>
  <c r="CK1048" i="8"/>
  <c r="CK1049" i="8"/>
  <c r="CK1050" i="8"/>
  <c r="CK1051" i="8"/>
  <c r="CK1052" i="8"/>
  <c r="CK1053" i="8"/>
  <c r="CK1054" i="8"/>
  <c r="CK1055" i="8"/>
  <c r="CK1056" i="8"/>
  <c r="CG2" i="8"/>
  <c r="L422" i="27" s="1"/>
  <c r="CG3" i="8"/>
  <c r="L423" i="27" s="1"/>
  <c r="CG4" i="8"/>
  <c r="L424" i="27" s="1"/>
  <c r="CG5" i="8"/>
  <c r="L425" i="27" s="1"/>
  <c r="CG6" i="8"/>
  <c r="L426" i="27" s="1"/>
  <c r="CG7" i="8"/>
  <c r="L427" i="27" s="1"/>
  <c r="CG8" i="8"/>
  <c r="L428" i="27" s="1"/>
  <c r="CG9" i="8"/>
  <c r="L429" i="27" s="1"/>
  <c r="CG10" i="8"/>
  <c r="L430" i="27" s="1"/>
  <c r="CG11" i="8"/>
  <c r="L431" i="27" s="1"/>
  <c r="CG12" i="8"/>
  <c r="L432" i="27" s="1"/>
  <c r="CG13" i="8"/>
  <c r="L433" i="27" s="1"/>
  <c r="CG14" i="8"/>
  <c r="L434" i="27" s="1"/>
  <c r="CG15" i="8"/>
  <c r="L435" i="27" s="1"/>
  <c r="CG16" i="8"/>
  <c r="L436" i="27" s="1"/>
  <c r="CG17" i="8"/>
  <c r="L437" i="27" s="1"/>
  <c r="CG18" i="8"/>
  <c r="L438" i="27" s="1"/>
  <c r="CG19" i="8"/>
  <c r="L439" i="27" s="1"/>
  <c r="CG20" i="8"/>
  <c r="L440" i="27" s="1"/>
  <c r="CG21" i="8"/>
  <c r="L441" i="27" s="1"/>
  <c r="CG22" i="8"/>
  <c r="L442" i="27" s="1"/>
  <c r="CG23" i="8"/>
  <c r="L443" i="27" s="1"/>
  <c r="CG24" i="8"/>
  <c r="L444" i="27" s="1"/>
  <c r="CG25" i="8"/>
  <c r="L445" i="27" s="1"/>
  <c r="CG26" i="8"/>
  <c r="L446" i="27" s="1"/>
  <c r="CG27" i="8"/>
  <c r="L447" i="27" s="1"/>
  <c r="CG28" i="8"/>
  <c r="L448" i="27" s="1"/>
  <c r="CG29" i="8"/>
  <c r="L449" i="27" s="1"/>
  <c r="CG30" i="8"/>
  <c r="L450" i="27" s="1"/>
  <c r="CG31" i="8"/>
  <c r="L451" i="27" s="1"/>
  <c r="CG32" i="8"/>
  <c r="L452" i="27" s="1"/>
  <c r="CG33" i="8"/>
  <c r="L453" i="27" s="1"/>
  <c r="CG34" i="8"/>
  <c r="L454" i="27" s="1"/>
  <c r="CG35" i="8"/>
  <c r="L455" i="27" s="1"/>
  <c r="CG36" i="8"/>
  <c r="L456" i="27" s="1"/>
  <c r="CG37" i="8"/>
  <c r="L457" i="27" s="1"/>
  <c r="CG38" i="8"/>
  <c r="L458" i="27" s="1"/>
  <c r="CG39" i="8"/>
  <c r="L459" i="27" s="1"/>
  <c r="CG40" i="8"/>
  <c r="L460" i="27" s="1"/>
  <c r="CG41" i="8"/>
  <c r="L461" i="27" s="1"/>
  <c r="CG42" i="8"/>
  <c r="L462" i="27" s="1"/>
  <c r="CG43" i="8"/>
  <c r="L463" i="27" s="1"/>
  <c r="CG44" i="8"/>
  <c r="L464" i="27" s="1"/>
  <c r="CG45" i="8"/>
  <c r="L465" i="27" s="1"/>
  <c r="CG46" i="8"/>
  <c r="L466" i="27" s="1"/>
  <c r="CG47" i="8"/>
  <c r="L467" i="27" s="1"/>
  <c r="CG48" i="8"/>
  <c r="L468" i="27" s="1"/>
  <c r="CG49" i="8"/>
  <c r="L469" i="27" s="1"/>
  <c r="CG50" i="8"/>
  <c r="L470" i="27" s="1"/>
  <c r="CG51" i="8"/>
  <c r="L471" i="27" s="1"/>
  <c r="CG52" i="8"/>
  <c r="L472" i="27" s="1"/>
  <c r="CG53" i="8"/>
  <c r="L473" i="27" s="1"/>
  <c r="CG54" i="8"/>
  <c r="L474" i="27" s="1"/>
  <c r="CG55" i="8"/>
  <c r="L475" i="27" s="1"/>
  <c r="CG56" i="8"/>
  <c r="L476" i="27" s="1"/>
  <c r="CG57" i="8"/>
  <c r="L477" i="27" s="1"/>
  <c r="CG58" i="8"/>
  <c r="L478" i="27" s="1"/>
  <c r="CG59" i="8"/>
  <c r="L479" i="27" s="1"/>
  <c r="CG60" i="8"/>
  <c r="L480" i="27" s="1"/>
  <c r="CG61" i="8"/>
  <c r="L481" i="27" s="1"/>
  <c r="CG62" i="8"/>
  <c r="L482" i="27" s="1"/>
  <c r="CG63" i="8"/>
  <c r="L483" i="27" s="1"/>
  <c r="CG64" i="8"/>
  <c r="L484" i="27" s="1"/>
  <c r="CG65" i="8"/>
  <c r="L485" i="27" s="1"/>
  <c r="CG66" i="8"/>
  <c r="L486" i="27" s="1"/>
  <c r="CG67" i="8"/>
  <c r="L487" i="27" s="1"/>
  <c r="CG68" i="8"/>
  <c r="L488" i="27" s="1"/>
  <c r="CG69" i="8"/>
  <c r="L489" i="27" s="1"/>
  <c r="CG70" i="8"/>
  <c r="L490" i="27" s="1"/>
  <c r="CG71" i="8"/>
  <c r="L491" i="27" s="1"/>
  <c r="CG72" i="8"/>
  <c r="L492" i="27" s="1"/>
  <c r="CG73" i="8"/>
  <c r="L493" i="27" s="1"/>
  <c r="CG74" i="8"/>
  <c r="L494" i="27" s="1"/>
  <c r="CG75" i="8"/>
  <c r="L495" i="27" s="1"/>
  <c r="CG76" i="8"/>
  <c r="L496" i="27" s="1"/>
  <c r="CG77" i="8"/>
  <c r="L497" i="27" s="1"/>
  <c r="CG78" i="8"/>
  <c r="L498" i="27" s="1"/>
  <c r="CG79" i="8"/>
  <c r="L499" i="27" s="1"/>
  <c r="CG80" i="8"/>
  <c r="L500" i="27" s="1"/>
  <c r="CG81" i="8"/>
  <c r="L501" i="27" s="1"/>
  <c r="CG82" i="8"/>
  <c r="L502" i="27" s="1"/>
  <c r="CG83" i="8"/>
  <c r="L503" i="27" s="1"/>
  <c r="CG84" i="8"/>
  <c r="L504" i="27" s="1"/>
  <c r="CG85" i="8"/>
  <c r="L505" i="27" s="1"/>
  <c r="CG86" i="8"/>
  <c r="L506" i="27" s="1"/>
  <c r="CG87" i="8"/>
  <c r="L507" i="27" s="1"/>
  <c r="CG88" i="8"/>
  <c r="L508" i="27" s="1"/>
  <c r="CG89" i="8"/>
  <c r="L509" i="27" s="1"/>
  <c r="CG90" i="8"/>
  <c r="L510" i="27" s="1"/>
  <c r="CG91" i="8"/>
  <c r="L511" i="27" s="1"/>
  <c r="CG92" i="8"/>
  <c r="L512" i="27" s="1"/>
  <c r="CG93" i="8"/>
  <c r="L513" i="27" s="1"/>
  <c r="CG94" i="8"/>
  <c r="L514" i="27" s="1"/>
  <c r="CG95" i="8"/>
  <c r="L515" i="27" s="1"/>
  <c r="CG96" i="8"/>
  <c r="L516" i="27" s="1"/>
  <c r="CG97" i="8"/>
  <c r="L517" i="27" s="1"/>
  <c r="CG98" i="8"/>
  <c r="L518" i="27" s="1"/>
  <c r="CG99" i="8"/>
  <c r="L519" i="27" s="1"/>
  <c r="CG100" i="8"/>
  <c r="L520" i="27" s="1"/>
  <c r="CG101" i="8"/>
  <c r="L521" i="27" s="1"/>
  <c r="CG102" i="8"/>
  <c r="L522" i="27" s="1"/>
  <c r="CG103" i="8"/>
  <c r="L523" i="27" s="1"/>
  <c r="CG104" i="8"/>
  <c r="L524" i="27" s="1"/>
  <c r="CG105" i="8"/>
  <c r="L525" i="27" s="1"/>
  <c r="CG106" i="8"/>
  <c r="L526" i="27" s="1"/>
  <c r="CG107" i="8"/>
  <c r="L527" i="27" s="1"/>
  <c r="CG108" i="8"/>
  <c r="L528" i="27" s="1"/>
  <c r="CG109" i="8"/>
  <c r="L529" i="27" s="1"/>
  <c r="CG110" i="8"/>
  <c r="L530" i="27" s="1"/>
  <c r="CG111" i="8"/>
  <c r="L531" i="27" s="1"/>
  <c r="CG112" i="8"/>
  <c r="L532" i="27" s="1"/>
  <c r="CG113" i="8"/>
  <c r="L533" i="27" s="1"/>
  <c r="CG114" i="8"/>
  <c r="L534" i="27" s="1"/>
  <c r="CG115" i="8"/>
  <c r="L535" i="27" s="1"/>
  <c r="CG116" i="8"/>
  <c r="L536" i="27" s="1"/>
  <c r="CG117" i="8"/>
  <c r="L537" i="27" s="1"/>
  <c r="CG118" i="8"/>
  <c r="L538" i="27" s="1"/>
  <c r="CG119" i="8"/>
  <c r="L539" i="27" s="1"/>
  <c r="CG120" i="8"/>
  <c r="L540" i="27" s="1"/>
  <c r="CG121" i="8"/>
  <c r="L541" i="27" s="1"/>
  <c r="CG122" i="8"/>
  <c r="L542" i="27" s="1"/>
  <c r="CG123" i="8"/>
  <c r="L543" i="27" s="1"/>
  <c r="CG124" i="8"/>
  <c r="L544" i="27" s="1"/>
  <c r="CG125" i="8"/>
  <c r="L545" i="27" s="1"/>
  <c r="CG126" i="8"/>
  <c r="L546" i="27" s="1"/>
  <c r="CG127" i="8"/>
  <c r="L547" i="27" s="1"/>
  <c r="CG128" i="8"/>
  <c r="L548" i="27" s="1"/>
  <c r="CG129" i="8"/>
  <c r="L549" i="27" s="1"/>
  <c r="CG130" i="8"/>
  <c r="L550" i="27" s="1"/>
  <c r="CG131" i="8"/>
  <c r="L551" i="27" s="1"/>
  <c r="CG132" i="8"/>
  <c r="L552" i="27" s="1"/>
  <c r="CG133" i="8"/>
  <c r="L553" i="27" s="1"/>
  <c r="CG134" i="8"/>
  <c r="L554" i="27" s="1"/>
  <c r="CG135" i="8"/>
  <c r="L555" i="27" s="1"/>
  <c r="CG136" i="8"/>
  <c r="L556" i="27" s="1"/>
  <c r="CG137" i="8"/>
  <c r="L557" i="27" s="1"/>
  <c r="CG138" i="8"/>
  <c r="L558" i="27" s="1"/>
  <c r="CG139" i="8"/>
  <c r="L559" i="27" s="1"/>
  <c r="CG140" i="8"/>
  <c r="L560" i="27" s="1"/>
  <c r="CG141" i="8"/>
  <c r="L561" i="27" s="1"/>
  <c r="CG142" i="8"/>
  <c r="L562" i="27" s="1"/>
  <c r="CG143" i="8"/>
  <c r="L563" i="27" s="1"/>
  <c r="CG144" i="8"/>
  <c r="L564" i="27" s="1"/>
  <c r="CG145" i="8"/>
  <c r="L565" i="27" s="1"/>
  <c r="CG146" i="8"/>
  <c r="L566" i="27" s="1"/>
  <c r="CG147" i="8"/>
  <c r="L567" i="27" s="1"/>
  <c r="CG148" i="8"/>
  <c r="L568" i="27" s="1"/>
  <c r="CG149" i="8"/>
  <c r="L569" i="27" s="1"/>
  <c r="CG150" i="8"/>
  <c r="L570" i="27" s="1"/>
  <c r="CG151" i="8"/>
  <c r="L571" i="27" s="1"/>
  <c r="CG152" i="8"/>
  <c r="L572" i="27" s="1"/>
  <c r="CG153" i="8"/>
  <c r="L573" i="27" s="1"/>
  <c r="CG154" i="8"/>
  <c r="L574" i="27" s="1"/>
  <c r="CG155" i="8"/>
  <c r="L575" i="27" s="1"/>
  <c r="CG156" i="8"/>
  <c r="L576" i="27" s="1"/>
  <c r="CG157" i="8"/>
  <c r="L577" i="27" s="1"/>
  <c r="CG158" i="8"/>
  <c r="L578" i="27" s="1"/>
  <c r="CG159" i="8"/>
  <c r="L579" i="27" s="1"/>
  <c r="CG160" i="8"/>
  <c r="L580" i="27" s="1"/>
  <c r="CG161" i="8"/>
  <c r="L581" i="27" s="1"/>
  <c r="CG162" i="8"/>
  <c r="L582" i="27" s="1"/>
  <c r="CG163" i="8"/>
  <c r="L583" i="27" s="1"/>
  <c r="CG164" i="8"/>
  <c r="L584" i="27" s="1"/>
  <c r="CG165" i="8"/>
  <c r="L585" i="27" s="1"/>
  <c r="CG166" i="8"/>
  <c r="L586" i="27" s="1"/>
  <c r="CG167" i="8"/>
  <c r="L587" i="27" s="1"/>
  <c r="CG168" i="8"/>
  <c r="L588" i="27" s="1"/>
  <c r="CG169" i="8"/>
  <c r="L589" i="27" s="1"/>
  <c r="CG170" i="8"/>
  <c r="L590" i="27" s="1"/>
  <c r="CG171" i="8"/>
  <c r="L591" i="27" s="1"/>
  <c r="CG172" i="8"/>
  <c r="L592" i="27" s="1"/>
  <c r="CG173" i="8"/>
  <c r="L593" i="27" s="1"/>
  <c r="CG174" i="8"/>
  <c r="L594" i="27" s="1"/>
  <c r="CG175" i="8"/>
  <c r="L595" i="27" s="1"/>
  <c r="CG176" i="8"/>
  <c r="L596" i="27" s="1"/>
  <c r="CG177" i="8"/>
  <c r="L597" i="27" s="1"/>
  <c r="CG178" i="8"/>
  <c r="L598" i="27" s="1"/>
  <c r="CG179" i="8"/>
  <c r="L599" i="27" s="1"/>
  <c r="CG180" i="8"/>
  <c r="L600" i="27" s="1"/>
  <c r="CG181" i="8"/>
  <c r="L601" i="27" s="1"/>
  <c r="CG182" i="8"/>
  <c r="L602" i="27" s="1"/>
  <c r="CG183" i="8"/>
  <c r="L603" i="27" s="1"/>
  <c r="CG184" i="8"/>
  <c r="L604" i="27" s="1"/>
  <c r="CG185" i="8"/>
  <c r="L605" i="27" s="1"/>
  <c r="CG186" i="8"/>
  <c r="L606" i="27" s="1"/>
  <c r="CG187" i="8"/>
  <c r="L607" i="27" s="1"/>
  <c r="CG188" i="8"/>
  <c r="L608" i="27" s="1"/>
  <c r="CG189" i="8"/>
  <c r="L609" i="27" s="1"/>
  <c r="CG190" i="8"/>
  <c r="L610" i="27" s="1"/>
  <c r="CG191" i="8"/>
  <c r="L611" i="27" s="1"/>
  <c r="CG192" i="8"/>
  <c r="L612" i="27" s="1"/>
  <c r="CG193" i="8"/>
  <c r="L613" i="27" s="1"/>
  <c r="CG194" i="8"/>
  <c r="L614" i="27" s="1"/>
  <c r="CG195" i="8"/>
  <c r="L615" i="27" s="1"/>
  <c r="CG196" i="8"/>
  <c r="L616" i="27" s="1"/>
  <c r="CG197" i="8"/>
  <c r="L617" i="27" s="1"/>
  <c r="CG198" i="8"/>
  <c r="L618" i="27" s="1"/>
  <c r="CG199" i="8"/>
  <c r="L619" i="27" s="1"/>
  <c r="CG200" i="8"/>
  <c r="L620" i="27" s="1"/>
  <c r="CG201" i="8"/>
  <c r="L621" i="27" s="1"/>
  <c r="CG202" i="8"/>
  <c r="L622" i="27" s="1"/>
  <c r="CG203" i="8"/>
  <c r="L623" i="27" s="1"/>
  <c r="CG204" i="8"/>
  <c r="L624" i="27" s="1"/>
  <c r="CG205" i="8"/>
  <c r="L625" i="27" s="1"/>
  <c r="CG206" i="8"/>
  <c r="L626" i="27" s="1"/>
  <c r="CG207" i="8"/>
  <c r="L627" i="27" s="1"/>
  <c r="CG208" i="8"/>
  <c r="L628" i="27" s="1"/>
  <c r="CG209" i="8"/>
  <c r="L629" i="27" s="1"/>
  <c r="CG210" i="8"/>
  <c r="L630" i="27" s="1"/>
  <c r="CG211" i="8"/>
  <c r="L631" i="27" s="1"/>
  <c r="CG212" i="8"/>
  <c r="L632" i="27" s="1"/>
  <c r="CG213" i="8"/>
  <c r="L633" i="27" s="1"/>
  <c r="CG214" i="8"/>
  <c r="L634" i="27" s="1"/>
  <c r="CG215" i="8"/>
  <c r="L635" i="27" s="1"/>
  <c r="CG216" i="8"/>
  <c r="L636" i="27" s="1"/>
  <c r="CG217" i="8"/>
  <c r="L637" i="27" s="1"/>
  <c r="CG218" i="8"/>
  <c r="L638" i="27" s="1"/>
  <c r="CG219" i="8"/>
  <c r="L639" i="27" s="1"/>
  <c r="CG220" i="8"/>
  <c r="L640" i="27" s="1"/>
  <c r="CG221" i="8"/>
  <c r="L641" i="27" s="1"/>
  <c r="CG222" i="8"/>
  <c r="L642" i="27" s="1"/>
  <c r="CG223" i="8"/>
  <c r="L643" i="27" s="1"/>
  <c r="CG224" i="8"/>
  <c r="L644" i="27" s="1"/>
  <c r="CG225" i="8"/>
  <c r="L645" i="27" s="1"/>
  <c r="CG226" i="8"/>
  <c r="L646" i="27" s="1"/>
  <c r="CG227" i="8"/>
  <c r="L647" i="27" s="1"/>
  <c r="CG228" i="8"/>
  <c r="L648" i="27" s="1"/>
  <c r="CG229" i="8"/>
  <c r="L649" i="27" s="1"/>
  <c r="CG230" i="8"/>
  <c r="L650" i="27" s="1"/>
  <c r="CG231" i="8"/>
  <c r="L651" i="27" s="1"/>
  <c r="CG232" i="8"/>
  <c r="L652" i="27" s="1"/>
  <c r="CG233" i="8"/>
  <c r="L653" i="27" s="1"/>
  <c r="CG234" i="8"/>
  <c r="L654" i="27" s="1"/>
  <c r="CG235" i="8"/>
  <c r="L655" i="27" s="1"/>
  <c r="CG236" i="8"/>
  <c r="L656" i="27" s="1"/>
  <c r="CG237" i="8"/>
  <c r="L657" i="27" s="1"/>
  <c r="CG238" i="8"/>
  <c r="L658" i="27" s="1"/>
  <c r="CG239" i="8"/>
  <c r="L659" i="27" s="1"/>
  <c r="CG240" i="8"/>
  <c r="L660" i="27" s="1"/>
  <c r="CG241" i="8"/>
  <c r="L661" i="27" s="1"/>
  <c r="CG242" i="8"/>
  <c r="L662" i="27" s="1"/>
  <c r="CG243" i="8"/>
  <c r="L663" i="27" s="1"/>
  <c r="CG244" i="8"/>
  <c r="L664" i="27" s="1"/>
  <c r="CG245" i="8"/>
  <c r="L665" i="27" s="1"/>
  <c r="CG246" i="8"/>
  <c r="L666" i="27" s="1"/>
  <c r="CG247" i="8"/>
  <c r="L667" i="27" s="1"/>
  <c r="CG248" i="8"/>
  <c r="L668" i="27" s="1"/>
  <c r="CG249" i="8"/>
  <c r="L669" i="27" s="1"/>
  <c r="CG250" i="8"/>
  <c r="L670" i="27" s="1"/>
  <c r="CG251" i="8"/>
  <c r="L671" i="27" s="1"/>
  <c r="CG252" i="8"/>
  <c r="L672" i="27" s="1"/>
  <c r="CG253" i="8"/>
  <c r="L673" i="27" s="1"/>
  <c r="CG254" i="8"/>
  <c r="L674" i="27" s="1"/>
  <c r="CG255" i="8"/>
  <c r="L675" i="27" s="1"/>
  <c r="CG256" i="8"/>
  <c r="L676" i="27" s="1"/>
  <c r="CG257" i="8"/>
  <c r="L677" i="27" s="1"/>
  <c r="CG258" i="8"/>
  <c r="L678" i="27" s="1"/>
  <c r="CG259" i="8"/>
  <c r="L679" i="27" s="1"/>
  <c r="CG260" i="8"/>
  <c r="L680" i="27" s="1"/>
  <c r="CG261" i="8"/>
  <c r="L681" i="27" s="1"/>
  <c r="CG262" i="8"/>
  <c r="L682" i="27" s="1"/>
  <c r="CG263" i="8"/>
  <c r="L683" i="27" s="1"/>
  <c r="CG264" i="8"/>
  <c r="L684" i="27" s="1"/>
  <c r="CG265" i="8"/>
  <c r="L685" i="27" s="1"/>
  <c r="CG266" i="8"/>
  <c r="L686" i="27" s="1"/>
  <c r="CG267" i="8"/>
  <c r="L687" i="27" s="1"/>
  <c r="CG268" i="8"/>
  <c r="L688" i="27" s="1"/>
  <c r="CG269" i="8"/>
  <c r="L689" i="27" s="1"/>
  <c r="CG270" i="8"/>
  <c r="L690" i="27" s="1"/>
  <c r="CG271" i="8"/>
  <c r="L691" i="27" s="1"/>
  <c r="CG272" i="8"/>
  <c r="L692" i="27" s="1"/>
  <c r="CG273" i="8"/>
  <c r="L693" i="27" s="1"/>
  <c r="CG274" i="8"/>
  <c r="L694" i="27" s="1"/>
  <c r="CG275" i="8"/>
  <c r="L695" i="27" s="1"/>
  <c r="CG276" i="8"/>
  <c r="L696" i="27" s="1"/>
  <c r="CG277" i="8"/>
  <c r="L697" i="27" s="1"/>
  <c r="CG278" i="8"/>
  <c r="L698" i="27" s="1"/>
  <c r="CG279" i="8"/>
  <c r="L699" i="27" s="1"/>
  <c r="CG280" i="8"/>
  <c r="L700" i="27" s="1"/>
  <c r="CG281" i="8"/>
  <c r="L701" i="27" s="1"/>
  <c r="CG282" i="8"/>
  <c r="L702" i="27" s="1"/>
  <c r="CG283" i="8"/>
  <c r="L703" i="27" s="1"/>
  <c r="CG284" i="8"/>
  <c r="L704" i="27" s="1"/>
  <c r="CG285" i="8"/>
  <c r="L705" i="27" s="1"/>
  <c r="CG286" i="8"/>
  <c r="L706" i="27" s="1"/>
  <c r="CG287" i="8"/>
  <c r="L707" i="27" s="1"/>
  <c r="CG288" i="8"/>
  <c r="L708" i="27" s="1"/>
  <c r="CG289" i="8"/>
  <c r="L709" i="27" s="1"/>
  <c r="CG290" i="8"/>
  <c r="L710" i="27" s="1"/>
  <c r="CG291" i="8"/>
  <c r="L711" i="27" s="1"/>
  <c r="CG292" i="8"/>
  <c r="L712" i="27" s="1"/>
  <c r="CG293" i="8"/>
  <c r="L713" i="27" s="1"/>
  <c r="CG294" i="8"/>
  <c r="L714" i="27" s="1"/>
  <c r="CG295" i="8"/>
  <c r="L715" i="27" s="1"/>
  <c r="CG296" i="8"/>
  <c r="L716" i="27" s="1"/>
  <c r="CG297" i="8"/>
  <c r="L717" i="27" s="1"/>
  <c r="CG298" i="8"/>
  <c r="L718" i="27" s="1"/>
  <c r="CG299" i="8"/>
  <c r="L719" i="27" s="1"/>
  <c r="CG300" i="8"/>
  <c r="L720" i="27" s="1"/>
  <c r="CG301" i="8"/>
  <c r="L721" i="27" s="1"/>
  <c r="CG302" i="8"/>
  <c r="L722" i="27" s="1"/>
  <c r="CG303" i="8"/>
  <c r="L723" i="27" s="1"/>
  <c r="CG304" i="8"/>
  <c r="L724" i="27" s="1"/>
  <c r="CG305" i="8"/>
  <c r="L725" i="27" s="1"/>
  <c r="CG306" i="8"/>
  <c r="L726" i="27" s="1"/>
  <c r="CG307" i="8"/>
  <c r="L727" i="27" s="1"/>
  <c r="CG308" i="8"/>
  <c r="L728" i="27" s="1"/>
  <c r="CG309" i="8"/>
  <c r="L729" i="27" s="1"/>
  <c r="CG310" i="8"/>
  <c r="L730" i="27" s="1"/>
  <c r="CG311" i="8"/>
  <c r="L731" i="27" s="1"/>
  <c r="CG312" i="8"/>
  <c r="L732" i="27" s="1"/>
  <c r="CG313" i="8"/>
  <c r="L733" i="27" s="1"/>
  <c r="CG314" i="8"/>
  <c r="L734" i="27" s="1"/>
  <c r="CG315" i="8"/>
  <c r="L735" i="27" s="1"/>
  <c r="CG316" i="8"/>
  <c r="L736" i="27" s="1"/>
  <c r="CG317" i="8"/>
  <c r="L737" i="27" s="1"/>
  <c r="CG318" i="8"/>
  <c r="L738" i="27" s="1"/>
  <c r="CG319" i="8"/>
  <c r="L739" i="27" s="1"/>
  <c r="CG320" i="8"/>
  <c r="L740" i="27" s="1"/>
  <c r="CG321" i="8"/>
  <c r="L741" i="27" s="1"/>
  <c r="CG322" i="8"/>
  <c r="L742" i="27" s="1"/>
  <c r="CG323" i="8"/>
  <c r="L743" i="27" s="1"/>
  <c r="CG324" i="8"/>
  <c r="L744" i="27" s="1"/>
  <c r="CG325" i="8"/>
  <c r="L745" i="27" s="1"/>
  <c r="CG326" i="8"/>
  <c r="L746" i="27" s="1"/>
  <c r="CG327" i="8"/>
  <c r="L747" i="27" s="1"/>
  <c r="CG328" i="8"/>
  <c r="L748" i="27" s="1"/>
  <c r="CG329" i="8"/>
  <c r="L749" i="27" s="1"/>
  <c r="CG330" i="8"/>
  <c r="L750" i="27" s="1"/>
  <c r="CG331" i="8"/>
  <c r="L751" i="27" s="1"/>
  <c r="CG332" i="8"/>
  <c r="L752" i="27" s="1"/>
  <c r="CG333" i="8"/>
  <c r="L753" i="27" s="1"/>
  <c r="CG334" i="8"/>
  <c r="L754" i="27" s="1"/>
  <c r="CG335" i="8"/>
  <c r="L755" i="27" s="1"/>
  <c r="CG336" i="8"/>
  <c r="L756" i="27" s="1"/>
  <c r="CG337" i="8"/>
  <c r="L757" i="27" s="1"/>
  <c r="CG338" i="8"/>
  <c r="L758" i="27" s="1"/>
  <c r="CG339" i="8"/>
  <c r="L759" i="27" s="1"/>
  <c r="CG340" i="8"/>
  <c r="L760" i="27" s="1"/>
  <c r="CG341" i="8"/>
  <c r="L761" i="27" s="1"/>
  <c r="CG342" i="8"/>
  <c r="L762" i="27" s="1"/>
  <c r="CG343" i="8"/>
  <c r="L763" i="27" s="1"/>
  <c r="CG344" i="8"/>
  <c r="L764" i="27" s="1"/>
  <c r="CG345" i="8"/>
  <c r="L765" i="27" s="1"/>
  <c r="CG346" i="8"/>
  <c r="L766" i="27" s="1"/>
  <c r="CG347" i="8"/>
  <c r="L767" i="27" s="1"/>
  <c r="CG348" i="8"/>
  <c r="L768" i="27" s="1"/>
  <c r="CG349" i="8"/>
  <c r="L769" i="27" s="1"/>
  <c r="CG350" i="8"/>
  <c r="L770" i="27" s="1"/>
  <c r="CG351" i="8"/>
  <c r="L771" i="27" s="1"/>
  <c r="CG352" i="8"/>
  <c r="L772" i="27" s="1"/>
  <c r="CG353" i="8"/>
  <c r="L773" i="27" s="1"/>
  <c r="CG354" i="8"/>
  <c r="L774" i="27" s="1"/>
  <c r="CG355" i="8"/>
  <c r="L775" i="27" s="1"/>
  <c r="CG356" i="8"/>
  <c r="L776" i="27" s="1"/>
  <c r="CG357" i="8"/>
  <c r="L777" i="27" s="1"/>
  <c r="CG358" i="8"/>
  <c r="L778" i="27" s="1"/>
  <c r="CG359" i="8"/>
  <c r="L779" i="27" s="1"/>
  <c r="CG360" i="8"/>
  <c r="L780" i="27" s="1"/>
  <c r="CG361" i="8"/>
  <c r="L781" i="27" s="1"/>
  <c r="CG362" i="8"/>
  <c r="L782" i="27" s="1"/>
  <c r="CG363" i="8"/>
  <c r="L783" i="27" s="1"/>
  <c r="CG364" i="8"/>
  <c r="L784" i="27" s="1"/>
  <c r="CG365" i="8"/>
  <c r="L785" i="27" s="1"/>
  <c r="CG366" i="8"/>
  <c r="L786" i="27" s="1"/>
  <c r="CG367" i="8"/>
  <c r="L787" i="27" s="1"/>
  <c r="CG368" i="8"/>
  <c r="L788" i="27" s="1"/>
  <c r="CG369" i="8"/>
  <c r="L789" i="27" s="1"/>
  <c r="CG370" i="8"/>
  <c r="L790" i="27" s="1"/>
  <c r="CG371" i="8"/>
  <c r="L791" i="27" s="1"/>
  <c r="CG372" i="8"/>
  <c r="L792" i="27" s="1"/>
  <c r="CG373" i="8"/>
  <c r="L793" i="27" s="1"/>
  <c r="CG374" i="8"/>
  <c r="L794" i="27" s="1"/>
  <c r="CG375" i="8"/>
  <c r="L795" i="27" s="1"/>
  <c r="CG376" i="8"/>
  <c r="L796" i="27" s="1"/>
  <c r="CG377" i="8"/>
  <c r="L797" i="27" s="1"/>
  <c r="CG378" i="8"/>
  <c r="L798" i="27" s="1"/>
  <c r="CG379" i="8"/>
  <c r="L799" i="27" s="1"/>
  <c r="CG380" i="8"/>
  <c r="L800" i="27" s="1"/>
  <c r="CG381" i="8"/>
  <c r="L801" i="27" s="1"/>
  <c r="CG382" i="8"/>
  <c r="L802" i="27" s="1"/>
  <c r="CG383" i="8"/>
  <c r="L803" i="27" s="1"/>
  <c r="CG384" i="8"/>
  <c r="L804" i="27" s="1"/>
  <c r="CG385" i="8"/>
  <c r="L805" i="27" s="1"/>
  <c r="CG386" i="8"/>
  <c r="L806" i="27" s="1"/>
  <c r="CG387" i="8"/>
  <c r="L807" i="27" s="1"/>
  <c r="CG388" i="8"/>
  <c r="L808" i="27" s="1"/>
  <c r="CG389" i="8"/>
  <c r="L809" i="27" s="1"/>
  <c r="CG390" i="8"/>
  <c r="L810" i="27" s="1"/>
  <c r="CG391" i="8"/>
  <c r="L811" i="27" s="1"/>
  <c r="CG392" i="8"/>
  <c r="L812" i="27" s="1"/>
  <c r="CG393" i="8"/>
  <c r="L813" i="27" s="1"/>
  <c r="CG394" i="8"/>
  <c r="L814" i="27" s="1"/>
  <c r="CG395" i="8"/>
  <c r="L815" i="27" s="1"/>
  <c r="CG396" i="8"/>
  <c r="L816" i="27" s="1"/>
  <c r="CG397" i="8"/>
  <c r="L817" i="27" s="1"/>
  <c r="CG398" i="8"/>
  <c r="L818" i="27" s="1"/>
  <c r="CG399" i="8"/>
  <c r="L819" i="27" s="1"/>
  <c r="CG400" i="8"/>
  <c r="L820" i="27" s="1"/>
  <c r="CG401" i="8"/>
  <c r="L821" i="27" s="1"/>
  <c r="CG402" i="8"/>
  <c r="CG403" i="8"/>
  <c r="CG404" i="8"/>
  <c r="CG405" i="8"/>
  <c r="CG406" i="8"/>
  <c r="CG407" i="8"/>
  <c r="CG408" i="8"/>
  <c r="CG409" i="8"/>
  <c r="CG410" i="8"/>
  <c r="CG411" i="8"/>
  <c r="CG412" i="8"/>
  <c r="CG413" i="8"/>
  <c r="CG414" i="8"/>
  <c r="CG415" i="8"/>
  <c r="CG416" i="8"/>
  <c r="CG417" i="8"/>
  <c r="CG418" i="8"/>
  <c r="CG419" i="8"/>
  <c r="CG420" i="8"/>
  <c r="CG421" i="8"/>
  <c r="CG422" i="8"/>
  <c r="CG423" i="8"/>
  <c r="CG424" i="8"/>
  <c r="CG425" i="8"/>
  <c r="CG426" i="8"/>
  <c r="CG427" i="8"/>
  <c r="CG428" i="8"/>
  <c r="CG429" i="8"/>
  <c r="CG430" i="8"/>
  <c r="CG431" i="8"/>
  <c r="CG432" i="8"/>
  <c r="CG433" i="8"/>
  <c r="CG434" i="8"/>
  <c r="CG435" i="8"/>
  <c r="CG436" i="8"/>
  <c r="CG437" i="8"/>
  <c r="CG438" i="8"/>
  <c r="CG439" i="8"/>
  <c r="CG440" i="8"/>
  <c r="CG441" i="8"/>
  <c r="CG442" i="8"/>
  <c r="CG443" i="8"/>
  <c r="CG444" i="8"/>
  <c r="CG445" i="8"/>
  <c r="CG446" i="8"/>
  <c r="CG447" i="8"/>
  <c r="CG448" i="8"/>
  <c r="CG449" i="8"/>
  <c r="CG450" i="8"/>
  <c r="CG451" i="8"/>
  <c r="CG452" i="8"/>
  <c r="CG453" i="8"/>
  <c r="CG454" i="8"/>
  <c r="CG455" i="8"/>
  <c r="CG456" i="8"/>
  <c r="CG457" i="8"/>
  <c r="CG458" i="8"/>
  <c r="CG459" i="8"/>
  <c r="CG460" i="8"/>
  <c r="CG461" i="8"/>
  <c r="CG462" i="8"/>
  <c r="CG463" i="8"/>
  <c r="CG464" i="8"/>
  <c r="CG465" i="8"/>
  <c r="CG466" i="8"/>
  <c r="CG467" i="8"/>
  <c r="CG468" i="8"/>
  <c r="CG469" i="8"/>
  <c r="CG470" i="8"/>
  <c r="CG471" i="8"/>
  <c r="CG472" i="8"/>
  <c r="CG473" i="8"/>
  <c r="CG474" i="8"/>
  <c r="CG475" i="8"/>
  <c r="CG476" i="8"/>
  <c r="CG477" i="8"/>
  <c r="CG478" i="8"/>
  <c r="CG479" i="8"/>
  <c r="CG480" i="8"/>
  <c r="CG481" i="8"/>
  <c r="CG482" i="8"/>
  <c r="CG483" i="8"/>
  <c r="CG484" i="8"/>
  <c r="CG485" i="8"/>
  <c r="CG486" i="8"/>
  <c r="CG487" i="8"/>
  <c r="CG488" i="8"/>
  <c r="CG489" i="8"/>
  <c r="CG490" i="8"/>
  <c r="CG491" i="8"/>
  <c r="CG492" i="8"/>
  <c r="CG493" i="8"/>
  <c r="CG494" i="8"/>
  <c r="CG495" i="8"/>
  <c r="CG496" i="8"/>
  <c r="CG497" i="8"/>
  <c r="CG498" i="8"/>
  <c r="CG499" i="8"/>
  <c r="CG500" i="8"/>
  <c r="CG501" i="8"/>
  <c r="CG502" i="8"/>
  <c r="CG503" i="8"/>
  <c r="CG504" i="8"/>
  <c r="CG505" i="8"/>
  <c r="CG506" i="8"/>
  <c r="CG507" i="8"/>
  <c r="CG508" i="8"/>
  <c r="CG509" i="8"/>
  <c r="CG510" i="8"/>
  <c r="CG511" i="8"/>
  <c r="CG512" i="8"/>
  <c r="CG513" i="8"/>
  <c r="CG514" i="8"/>
  <c r="CG515" i="8"/>
  <c r="CG516" i="8"/>
  <c r="CG517" i="8"/>
  <c r="CG518" i="8"/>
  <c r="CG519" i="8"/>
  <c r="CG520" i="8"/>
  <c r="CG521" i="8"/>
  <c r="CG522" i="8"/>
  <c r="CG523" i="8"/>
  <c r="CG524" i="8"/>
  <c r="CG525" i="8"/>
  <c r="CG526" i="8"/>
  <c r="CG527" i="8"/>
  <c r="CG528" i="8"/>
  <c r="CG529" i="8"/>
  <c r="CG530" i="8"/>
  <c r="CG531" i="8"/>
  <c r="CG532" i="8"/>
  <c r="CG533" i="8"/>
  <c r="CG534" i="8"/>
  <c r="CG535" i="8"/>
  <c r="CG536" i="8"/>
  <c r="CG537" i="8"/>
  <c r="CG538" i="8"/>
  <c r="CG539" i="8"/>
  <c r="CG540" i="8"/>
  <c r="CG541" i="8"/>
  <c r="CG542" i="8"/>
  <c r="CG543" i="8"/>
  <c r="CG544" i="8"/>
  <c r="CG545" i="8"/>
  <c r="CG546" i="8"/>
  <c r="CG547" i="8"/>
  <c r="CG548" i="8"/>
  <c r="CG549" i="8"/>
  <c r="CG550" i="8"/>
  <c r="CG551" i="8"/>
  <c r="CG552" i="8"/>
  <c r="CG553" i="8"/>
  <c r="CG554" i="8"/>
  <c r="CG555" i="8"/>
  <c r="CG556" i="8"/>
  <c r="CG557" i="8"/>
  <c r="CG558" i="8"/>
  <c r="CG559" i="8"/>
  <c r="CG560" i="8"/>
  <c r="CG561" i="8"/>
  <c r="CG562" i="8"/>
  <c r="CG563" i="8"/>
  <c r="CG564" i="8"/>
  <c r="CG565" i="8"/>
  <c r="CG566" i="8"/>
  <c r="CG567" i="8"/>
  <c r="CG568" i="8"/>
  <c r="CG569" i="8"/>
  <c r="CG570" i="8"/>
  <c r="CG571" i="8"/>
  <c r="CG572" i="8"/>
  <c r="CG573" i="8"/>
  <c r="CG574" i="8"/>
  <c r="CG575" i="8"/>
  <c r="CG576" i="8"/>
  <c r="CG577" i="8"/>
  <c r="CG578" i="8"/>
  <c r="CG579" i="8"/>
  <c r="CG580" i="8"/>
  <c r="CG581" i="8"/>
  <c r="CG582" i="8"/>
  <c r="CG583" i="8"/>
  <c r="CG584" i="8"/>
  <c r="CG585" i="8"/>
  <c r="CG586" i="8"/>
  <c r="CG587" i="8"/>
  <c r="CG588" i="8"/>
  <c r="CG589" i="8"/>
  <c r="CG590" i="8"/>
  <c r="CG591" i="8"/>
  <c r="CG592" i="8"/>
  <c r="CG593" i="8"/>
  <c r="CG594" i="8"/>
  <c r="CG595" i="8"/>
  <c r="CG596" i="8"/>
  <c r="CG597" i="8"/>
  <c r="CG598" i="8"/>
  <c r="CG599" i="8"/>
  <c r="CG600" i="8"/>
  <c r="CG601" i="8"/>
  <c r="CG602" i="8"/>
  <c r="CG603" i="8"/>
  <c r="CG604" i="8"/>
  <c r="CG605" i="8"/>
  <c r="CG606" i="8"/>
  <c r="CG607" i="8"/>
  <c r="CG608" i="8"/>
  <c r="CG609" i="8"/>
  <c r="CG610" i="8"/>
  <c r="CG611" i="8"/>
  <c r="CG612" i="8"/>
  <c r="CG613" i="8"/>
  <c r="CG614" i="8"/>
  <c r="CG615" i="8"/>
  <c r="CG616" i="8"/>
  <c r="CG617" i="8"/>
  <c r="CG618" i="8"/>
  <c r="CG619" i="8"/>
  <c r="CG620" i="8"/>
  <c r="CG621" i="8"/>
  <c r="CG622" i="8"/>
  <c r="CG623" i="8"/>
  <c r="CG624" i="8"/>
  <c r="CG625" i="8"/>
  <c r="CG626" i="8"/>
  <c r="CG627" i="8"/>
  <c r="CG628" i="8"/>
  <c r="CG629" i="8"/>
  <c r="CG630" i="8"/>
  <c r="CG631" i="8"/>
  <c r="CG632" i="8"/>
  <c r="CG633" i="8"/>
  <c r="CG634" i="8"/>
  <c r="CG635" i="8"/>
  <c r="CG636" i="8"/>
  <c r="CG637" i="8"/>
  <c r="CG638" i="8"/>
  <c r="CG639" i="8"/>
  <c r="CG640" i="8"/>
  <c r="CG641" i="8"/>
  <c r="CG642" i="8"/>
  <c r="CG643" i="8"/>
  <c r="CG644" i="8"/>
  <c r="CG645" i="8"/>
  <c r="CG646" i="8"/>
  <c r="CG647" i="8"/>
  <c r="CG648" i="8"/>
  <c r="CG649" i="8"/>
  <c r="CG650" i="8"/>
  <c r="CG651" i="8"/>
  <c r="CG652" i="8"/>
  <c r="CG653" i="8"/>
  <c r="CG654" i="8"/>
  <c r="CG655" i="8"/>
  <c r="CG656" i="8"/>
  <c r="CG657" i="8"/>
  <c r="CG658" i="8"/>
  <c r="CG659" i="8"/>
  <c r="CG660" i="8"/>
  <c r="CG661" i="8"/>
  <c r="CG662" i="8"/>
  <c r="CG663" i="8"/>
  <c r="CG664" i="8"/>
  <c r="CG665" i="8"/>
  <c r="CG666" i="8"/>
  <c r="CG667" i="8"/>
  <c r="CG668" i="8"/>
  <c r="CG669" i="8"/>
  <c r="CG670" i="8"/>
  <c r="CG671" i="8"/>
  <c r="CG672" i="8"/>
  <c r="CG673" i="8"/>
  <c r="CG674" i="8"/>
  <c r="CG675" i="8"/>
  <c r="CG676" i="8"/>
  <c r="CG677" i="8"/>
  <c r="CG678" i="8"/>
  <c r="CG679" i="8"/>
  <c r="CG680" i="8"/>
  <c r="CG681" i="8"/>
  <c r="CG682" i="8"/>
  <c r="CG683" i="8"/>
  <c r="CG684" i="8"/>
  <c r="CG685" i="8"/>
  <c r="CG686" i="8"/>
  <c r="CG687" i="8"/>
  <c r="CG688" i="8"/>
  <c r="CG689" i="8"/>
  <c r="CG690" i="8"/>
  <c r="CG691" i="8"/>
  <c r="CG692" i="8"/>
  <c r="CG693" i="8"/>
  <c r="CG694" i="8"/>
  <c r="CG695" i="8"/>
  <c r="CG696" i="8"/>
  <c r="CG697" i="8"/>
  <c r="CG698" i="8"/>
  <c r="CG699" i="8"/>
  <c r="CG700" i="8"/>
  <c r="CG701" i="8"/>
  <c r="CG702" i="8"/>
  <c r="CG703" i="8"/>
  <c r="CG704" i="8"/>
  <c r="CG705" i="8"/>
  <c r="CG706" i="8"/>
  <c r="CG707" i="8"/>
  <c r="CG708" i="8"/>
  <c r="CG709" i="8"/>
  <c r="CG710" i="8"/>
  <c r="CG711" i="8"/>
  <c r="CG712" i="8"/>
  <c r="CG713" i="8"/>
  <c r="CG714" i="8"/>
  <c r="CG715" i="8"/>
  <c r="CG716" i="8"/>
  <c r="CG717" i="8"/>
  <c r="CG718" i="8"/>
  <c r="CG719" i="8"/>
  <c r="CG720" i="8"/>
  <c r="CG721" i="8"/>
  <c r="CG722" i="8"/>
  <c r="CG723" i="8"/>
  <c r="CG724" i="8"/>
  <c r="CG725" i="8"/>
  <c r="CG726" i="8"/>
  <c r="CG727" i="8"/>
  <c r="CG728" i="8"/>
  <c r="CG729" i="8"/>
  <c r="CG730" i="8"/>
  <c r="CG731" i="8"/>
  <c r="CG732" i="8"/>
  <c r="CG733" i="8"/>
  <c r="CG734" i="8"/>
  <c r="CG735" i="8"/>
  <c r="CG736" i="8"/>
  <c r="CG737" i="8"/>
  <c r="CG738" i="8"/>
  <c r="CG739" i="8"/>
  <c r="CG740" i="8"/>
  <c r="CG741" i="8"/>
  <c r="CG742" i="8"/>
  <c r="CG743" i="8"/>
  <c r="CG744" i="8"/>
  <c r="CG745" i="8"/>
  <c r="CG746" i="8"/>
  <c r="CG747" i="8"/>
  <c r="CG748" i="8"/>
  <c r="CG749" i="8"/>
  <c r="CG750" i="8"/>
  <c r="CG751" i="8"/>
  <c r="CG752" i="8"/>
  <c r="CG753" i="8"/>
  <c r="CG754" i="8"/>
  <c r="CG755" i="8"/>
  <c r="CG756" i="8"/>
  <c r="CG757" i="8"/>
  <c r="CG758" i="8"/>
  <c r="CG759" i="8"/>
  <c r="CG760" i="8"/>
  <c r="CG761" i="8"/>
  <c r="CG762" i="8"/>
  <c r="CG763" i="8"/>
  <c r="CG764" i="8"/>
  <c r="CG765" i="8"/>
  <c r="CG766" i="8"/>
  <c r="CG767" i="8"/>
  <c r="CG768" i="8"/>
  <c r="CG769" i="8"/>
  <c r="CG770" i="8"/>
  <c r="CG771" i="8"/>
  <c r="CG772" i="8"/>
  <c r="CG773" i="8"/>
  <c r="CG774" i="8"/>
  <c r="CG775" i="8"/>
  <c r="CG776" i="8"/>
  <c r="CG777" i="8"/>
  <c r="CG778" i="8"/>
  <c r="CG779" i="8"/>
  <c r="CG780" i="8"/>
  <c r="CG781" i="8"/>
  <c r="CG782" i="8"/>
  <c r="CG783" i="8"/>
  <c r="CG784" i="8"/>
  <c r="CG785" i="8"/>
  <c r="CG786" i="8"/>
  <c r="CG787" i="8"/>
  <c r="CG788" i="8"/>
  <c r="CG789" i="8"/>
  <c r="CG790" i="8"/>
  <c r="CG791" i="8"/>
  <c r="CG792" i="8"/>
  <c r="CG793" i="8"/>
  <c r="CG794" i="8"/>
  <c r="CG795" i="8"/>
  <c r="CG796" i="8"/>
  <c r="CG797" i="8"/>
  <c r="CG798" i="8"/>
  <c r="CG799" i="8"/>
  <c r="CG800" i="8"/>
  <c r="CG801" i="8"/>
  <c r="CG802" i="8"/>
  <c r="CG803" i="8"/>
  <c r="CG804" i="8"/>
  <c r="CG805" i="8"/>
  <c r="CG806" i="8"/>
  <c r="CG807" i="8"/>
  <c r="CG808" i="8"/>
  <c r="CG809" i="8"/>
  <c r="CG810" i="8"/>
  <c r="CG811" i="8"/>
  <c r="CG812" i="8"/>
  <c r="CG813" i="8"/>
  <c r="CG814" i="8"/>
  <c r="CG815" i="8"/>
  <c r="CG816" i="8"/>
  <c r="CG817" i="8"/>
  <c r="CG818" i="8"/>
  <c r="CG819" i="8"/>
  <c r="CG820" i="8"/>
  <c r="CG821" i="8"/>
  <c r="CG822" i="8"/>
  <c r="CG823" i="8"/>
  <c r="CG824" i="8"/>
  <c r="CG825" i="8"/>
  <c r="CG826" i="8"/>
  <c r="CG827" i="8"/>
  <c r="CG828" i="8"/>
  <c r="CG829" i="8"/>
  <c r="CG830" i="8"/>
  <c r="CG831" i="8"/>
  <c r="CG832" i="8"/>
  <c r="CG833" i="8"/>
  <c r="CG834" i="8"/>
  <c r="CG835" i="8"/>
  <c r="CG836" i="8"/>
  <c r="CG837" i="8"/>
  <c r="CG838" i="8"/>
  <c r="CG839" i="8"/>
  <c r="CG840" i="8"/>
  <c r="CG841" i="8"/>
  <c r="CG842" i="8"/>
  <c r="CG843" i="8"/>
  <c r="CG844" i="8"/>
  <c r="CG845" i="8"/>
  <c r="CG846" i="8"/>
  <c r="CG847" i="8"/>
  <c r="CG848" i="8"/>
  <c r="CG849" i="8"/>
  <c r="CG850" i="8"/>
  <c r="CG851" i="8"/>
  <c r="CG852" i="8"/>
  <c r="CG853" i="8"/>
  <c r="CG854" i="8"/>
  <c r="CG855" i="8"/>
  <c r="CG856" i="8"/>
  <c r="CG857" i="8"/>
  <c r="CG858" i="8"/>
  <c r="CG859" i="8"/>
  <c r="CG860" i="8"/>
  <c r="CG861" i="8"/>
  <c r="CG862" i="8"/>
  <c r="CG863" i="8"/>
  <c r="CG864" i="8"/>
  <c r="CG865" i="8"/>
  <c r="CG866" i="8"/>
  <c r="CG867" i="8"/>
  <c r="CG868" i="8"/>
  <c r="CG869" i="8"/>
  <c r="CG870" i="8"/>
  <c r="CG871" i="8"/>
  <c r="CG872" i="8"/>
  <c r="CG873" i="8"/>
  <c r="CG874" i="8"/>
  <c r="CG875" i="8"/>
  <c r="CG876" i="8"/>
  <c r="CG877" i="8"/>
  <c r="CG878" i="8"/>
  <c r="CG879" i="8"/>
  <c r="CG880" i="8"/>
  <c r="CG881" i="8"/>
  <c r="CG882" i="8"/>
  <c r="CG883" i="8"/>
  <c r="CG884" i="8"/>
  <c r="CG885" i="8"/>
  <c r="CG886" i="8"/>
  <c r="CG887" i="8"/>
  <c r="CG888" i="8"/>
  <c r="CG889" i="8"/>
  <c r="CG890" i="8"/>
  <c r="CG891" i="8"/>
  <c r="CG892" i="8"/>
  <c r="CG893" i="8"/>
  <c r="CG894" i="8"/>
  <c r="CG895" i="8"/>
  <c r="CG896" i="8"/>
  <c r="CG897" i="8"/>
  <c r="CG898" i="8"/>
  <c r="CG899" i="8"/>
  <c r="CG900" i="8"/>
  <c r="CG901" i="8"/>
  <c r="CG902" i="8"/>
  <c r="CG903" i="8"/>
  <c r="CG904" i="8"/>
  <c r="CG905" i="8"/>
  <c r="CG906" i="8"/>
  <c r="CG907" i="8"/>
  <c r="CG908" i="8"/>
  <c r="CG909" i="8"/>
  <c r="CG910" i="8"/>
  <c r="CG911" i="8"/>
  <c r="CG912" i="8"/>
  <c r="CG913" i="8"/>
  <c r="CG914" i="8"/>
  <c r="CG915" i="8"/>
  <c r="CG916" i="8"/>
  <c r="CG917" i="8"/>
  <c r="CG918" i="8"/>
  <c r="CG919" i="8"/>
  <c r="CG920" i="8"/>
  <c r="CG921" i="8"/>
  <c r="CG922" i="8"/>
  <c r="CG923" i="8"/>
  <c r="CG924" i="8"/>
  <c r="CG925" i="8"/>
  <c r="CG926" i="8"/>
  <c r="CG927" i="8"/>
  <c r="CG928" i="8"/>
  <c r="CG929" i="8"/>
  <c r="CG930" i="8"/>
  <c r="CG931" i="8"/>
  <c r="CG932" i="8"/>
  <c r="CG933" i="8"/>
  <c r="CG934" i="8"/>
  <c r="CG935" i="8"/>
  <c r="CG936" i="8"/>
  <c r="CG937" i="8"/>
  <c r="CG938" i="8"/>
  <c r="CG939" i="8"/>
  <c r="CG940" i="8"/>
  <c r="CG941" i="8"/>
  <c r="CG942" i="8"/>
  <c r="CG943" i="8"/>
  <c r="CG944" i="8"/>
  <c r="CG945" i="8"/>
  <c r="CG946" i="8"/>
  <c r="CG947" i="8"/>
  <c r="CG948" i="8"/>
  <c r="CG949" i="8"/>
  <c r="CG950" i="8"/>
  <c r="CG951" i="8"/>
  <c r="CG952" i="8"/>
  <c r="CG953" i="8"/>
  <c r="CG954" i="8"/>
  <c r="CG955" i="8"/>
  <c r="CG956" i="8"/>
  <c r="CG957" i="8"/>
  <c r="CG958" i="8"/>
  <c r="CG959" i="8"/>
  <c r="CG960" i="8"/>
  <c r="CG961" i="8"/>
  <c r="CG962" i="8"/>
  <c r="CG963" i="8"/>
  <c r="CG964" i="8"/>
  <c r="CG965" i="8"/>
  <c r="CG966" i="8"/>
  <c r="CG967" i="8"/>
  <c r="CG968" i="8"/>
  <c r="CG969" i="8"/>
  <c r="CG970" i="8"/>
  <c r="CG971" i="8"/>
  <c r="CG972" i="8"/>
  <c r="CG973" i="8"/>
  <c r="CG974" i="8"/>
  <c r="CG975" i="8"/>
  <c r="CG976" i="8"/>
  <c r="CG977" i="8"/>
  <c r="CG978" i="8"/>
  <c r="CG979" i="8"/>
  <c r="CG980" i="8"/>
  <c r="CG981" i="8"/>
  <c r="CG982" i="8"/>
  <c r="CG983" i="8"/>
  <c r="CG984" i="8"/>
  <c r="CG985" i="8"/>
  <c r="CG986" i="8"/>
  <c r="CG987" i="8"/>
  <c r="CG988" i="8"/>
  <c r="CG989" i="8"/>
  <c r="CG990" i="8"/>
  <c r="CG991" i="8"/>
  <c r="CG992" i="8"/>
  <c r="CG993" i="8"/>
  <c r="CG994" i="8"/>
  <c r="CG995" i="8"/>
  <c r="CG996" i="8"/>
  <c r="CG997" i="8"/>
  <c r="CG998" i="8"/>
  <c r="CG999" i="8"/>
  <c r="CG1000" i="8"/>
  <c r="CG1001" i="8"/>
  <c r="CG1002" i="8"/>
  <c r="CG1003" i="8"/>
  <c r="CG1004" i="8"/>
  <c r="CG1005" i="8"/>
  <c r="CG1006" i="8"/>
  <c r="CG1007" i="8"/>
  <c r="CG1008" i="8"/>
  <c r="CG1009" i="8"/>
  <c r="CG1010" i="8"/>
  <c r="CG1011" i="8"/>
  <c r="CG1012" i="8"/>
  <c r="CG1013" i="8"/>
  <c r="CG1014" i="8"/>
  <c r="CG1015" i="8"/>
  <c r="CG1016" i="8"/>
  <c r="CG1017" i="8"/>
  <c r="CG1018" i="8"/>
  <c r="CG1019" i="8"/>
  <c r="CG1020" i="8"/>
  <c r="CG1021" i="8"/>
  <c r="CG1022" i="8"/>
  <c r="CG1023" i="8"/>
  <c r="CG1024" i="8"/>
  <c r="CG1025" i="8"/>
  <c r="CG1026" i="8"/>
  <c r="CG1027" i="8"/>
  <c r="CG1028" i="8"/>
  <c r="CG1029" i="8"/>
  <c r="CG1030" i="8"/>
  <c r="CG1031" i="8"/>
  <c r="CG1032" i="8"/>
  <c r="CG1033" i="8"/>
  <c r="CG1034" i="8"/>
  <c r="CG1035" i="8"/>
  <c r="CG1036" i="8"/>
  <c r="CG1037" i="8"/>
  <c r="CG1038" i="8"/>
  <c r="CG1039" i="8"/>
  <c r="CG1040" i="8"/>
  <c r="CG1041" i="8"/>
  <c r="CG1042" i="8"/>
  <c r="CG1043" i="8"/>
  <c r="CG1044" i="8"/>
  <c r="CG1045" i="8"/>
  <c r="CG1046" i="8"/>
  <c r="CG1047" i="8"/>
  <c r="CG1048" i="8"/>
  <c r="CG1049" i="8"/>
  <c r="CG1050" i="8"/>
  <c r="CG1051" i="8"/>
  <c r="CG1052" i="8"/>
  <c r="CG1053" i="8"/>
  <c r="CG1054" i="8"/>
  <c r="CG1055" i="8"/>
  <c r="CG1056" i="8"/>
  <c r="CF2" i="8"/>
  <c r="K422" i="27" s="1"/>
  <c r="CF3" i="8"/>
  <c r="K423" i="27" s="1"/>
  <c r="CF4" i="8"/>
  <c r="K424" i="27" s="1"/>
  <c r="CF5" i="8"/>
  <c r="K425" i="27" s="1"/>
  <c r="CF6" i="8"/>
  <c r="K426" i="27" s="1"/>
  <c r="CF7" i="8"/>
  <c r="K427" i="27" s="1"/>
  <c r="CF8" i="8"/>
  <c r="K428" i="27" s="1"/>
  <c r="CF9" i="8"/>
  <c r="K429" i="27" s="1"/>
  <c r="CF10" i="8"/>
  <c r="K430" i="27" s="1"/>
  <c r="CF11" i="8"/>
  <c r="K431" i="27" s="1"/>
  <c r="CF12" i="8"/>
  <c r="K432" i="27" s="1"/>
  <c r="CF13" i="8"/>
  <c r="K433" i="27" s="1"/>
  <c r="CF14" i="8"/>
  <c r="K434" i="27" s="1"/>
  <c r="CF15" i="8"/>
  <c r="K435" i="27" s="1"/>
  <c r="CF16" i="8"/>
  <c r="K436" i="27" s="1"/>
  <c r="CF17" i="8"/>
  <c r="K437" i="27" s="1"/>
  <c r="CF18" i="8"/>
  <c r="K438" i="27" s="1"/>
  <c r="CF19" i="8"/>
  <c r="K439" i="27" s="1"/>
  <c r="CF20" i="8"/>
  <c r="K440" i="27" s="1"/>
  <c r="CF21" i="8"/>
  <c r="K441" i="27" s="1"/>
  <c r="CF22" i="8"/>
  <c r="K442" i="27" s="1"/>
  <c r="CF23" i="8"/>
  <c r="K443" i="27" s="1"/>
  <c r="CF24" i="8"/>
  <c r="K444" i="27" s="1"/>
  <c r="CF25" i="8"/>
  <c r="K445" i="27" s="1"/>
  <c r="CF26" i="8"/>
  <c r="K446" i="27" s="1"/>
  <c r="CF27" i="8"/>
  <c r="K447" i="27" s="1"/>
  <c r="CF28" i="8"/>
  <c r="K448" i="27" s="1"/>
  <c r="CF29" i="8"/>
  <c r="K449" i="27" s="1"/>
  <c r="CF30" i="8"/>
  <c r="K450" i="27" s="1"/>
  <c r="CF31" i="8"/>
  <c r="K451" i="27" s="1"/>
  <c r="CF32" i="8"/>
  <c r="K452" i="27" s="1"/>
  <c r="CF33" i="8"/>
  <c r="K453" i="27" s="1"/>
  <c r="CF34" i="8"/>
  <c r="K454" i="27" s="1"/>
  <c r="CF35" i="8"/>
  <c r="K455" i="27" s="1"/>
  <c r="CF36" i="8"/>
  <c r="K456" i="27" s="1"/>
  <c r="CF37" i="8"/>
  <c r="K457" i="27" s="1"/>
  <c r="CF38" i="8"/>
  <c r="K458" i="27" s="1"/>
  <c r="CF39" i="8"/>
  <c r="K459" i="27" s="1"/>
  <c r="CF40" i="8"/>
  <c r="K460" i="27" s="1"/>
  <c r="CF41" i="8"/>
  <c r="K461" i="27" s="1"/>
  <c r="CF42" i="8"/>
  <c r="K462" i="27" s="1"/>
  <c r="CF43" i="8"/>
  <c r="K463" i="27" s="1"/>
  <c r="CF44" i="8"/>
  <c r="K464" i="27" s="1"/>
  <c r="CF45" i="8"/>
  <c r="K465" i="27" s="1"/>
  <c r="CF46" i="8"/>
  <c r="K466" i="27" s="1"/>
  <c r="CF47" i="8"/>
  <c r="K467" i="27" s="1"/>
  <c r="CF48" i="8"/>
  <c r="K468" i="27" s="1"/>
  <c r="CF49" i="8"/>
  <c r="K469" i="27" s="1"/>
  <c r="CF50" i="8"/>
  <c r="K470" i="27" s="1"/>
  <c r="CF51" i="8"/>
  <c r="K471" i="27" s="1"/>
  <c r="CF52" i="8"/>
  <c r="K472" i="27" s="1"/>
  <c r="CF53" i="8"/>
  <c r="K473" i="27" s="1"/>
  <c r="CF54" i="8"/>
  <c r="K474" i="27" s="1"/>
  <c r="CF55" i="8"/>
  <c r="K475" i="27" s="1"/>
  <c r="CF56" i="8"/>
  <c r="K476" i="27" s="1"/>
  <c r="CF57" i="8"/>
  <c r="K477" i="27" s="1"/>
  <c r="CF58" i="8"/>
  <c r="K478" i="27" s="1"/>
  <c r="CF59" i="8"/>
  <c r="K479" i="27" s="1"/>
  <c r="CF60" i="8"/>
  <c r="K480" i="27" s="1"/>
  <c r="CF61" i="8"/>
  <c r="K481" i="27" s="1"/>
  <c r="CF62" i="8"/>
  <c r="K482" i="27" s="1"/>
  <c r="CF63" i="8"/>
  <c r="K483" i="27" s="1"/>
  <c r="CF64" i="8"/>
  <c r="K484" i="27" s="1"/>
  <c r="CF65" i="8"/>
  <c r="K485" i="27" s="1"/>
  <c r="CF66" i="8"/>
  <c r="K486" i="27" s="1"/>
  <c r="CF67" i="8"/>
  <c r="K487" i="27" s="1"/>
  <c r="CF68" i="8"/>
  <c r="K488" i="27" s="1"/>
  <c r="CF69" i="8"/>
  <c r="K489" i="27" s="1"/>
  <c r="CF70" i="8"/>
  <c r="K490" i="27" s="1"/>
  <c r="CF71" i="8"/>
  <c r="K491" i="27" s="1"/>
  <c r="CF72" i="8"/>
  <c r="K492" i="27" s="1"/>
  <c r="CF73" i="8"/>
  <c r="K493" i="27" s="1"/>
  <c r="CF74" i="8"/>
  <c r="K494" i="27" s="1"/>
  <c r="CF75" i="8"/>
  <c r="K495" i="27" s="1"/>
  <c r="CF76" i="8"/>
  <c r="K496" i="27" s="1"/>
  <c r="CF77" i="8"/>
  <c r="K497" i="27" s="1"/>
  <c r="CF78" i="8"/>
  <c r="K498" i="27" s="1"/>
  <c r="CF79" i="8"/>
  <c r="K499" i="27" s="1"/>
  <c r="CF80" i="8"/>
  <c r="K500" i="27" s="1"/>
  <c r="CF81" i="8"/>
  <c r="K501" i="27" s="1"/>
  <c r="CF82" i="8"/>
  <c r="K502" i="27" s="1"/>
  <c r="CF83" i="8"/>
  <c r="K503" i="27" s="1"/>
  <c r="CF84" i="8"/>
  <c r="K504" i="27" s="1"/>
  <c r="CF85" i="8"/>
  <c r="K505" i="27" s="1"/>
  <c r="CF86" i="8"/>
  <c r="K506" i="27" s="1"/>
  <c r="CF87" i="8"/>
  <c r="K507" i="27" s="1"/>
  <c r="CF88" i="8"/>
  <c r="K508" i="27" s="1"/>
  <c r="CF89" i="8"/>
  <c r="K509" i="27" s="1"/>
  <c r="CF90" i="8"/>
  <c r="K510" i="27" s="1"/>
  <c r="CF91" i="8"/>
  <c r="K511" i="27" s="1"/>
  <c r="CF92" i="8"/>
  <c r="K512" i="27" s="1"/>
  <c r="CF93" i="8"/>
  <c r="K513" i="27" s="1"/>
  <c r="CF94" i="8"/>
  <c r="K514" i="27" s="1"/>
  <c r="CF95" i="8"/>
  <c r="K515" i="27" s="1"/>
  <c r="CF96" i="8"/>
  <c r="K516" i="27" s="1"/>
  <c r="CF97" i="8"/>
  <c r="K517" i="27" s="1"/>
  <c r="CF98" i="8"/>
  <c r="K518" i="27" s="1"/>
  <c r="CF99" i="8"/>
  <c r="K519" i="27" s="1"/>
  <c r="CF100" i="8"/>
  <c r="K520" i="27" s="1"/>
  <c r="CF101" i="8"/>
  <c r="K521" i="27" s="1"/>
  <c r="CF102" i="8"/>
  <c r="K522" i="27" s="1"/>
  <c r="CF103" i="8"/>
  <c r="K523" i="27" s="1"/>
  <c r="CF104" i="8"/>
  <c r="K524" i="27" s="1"/>
  <c r="CF105" i="8"/>
  <c r="K525" i="27" s="1"/>
  <c r="CF106" i="8"/>
  <c r="K526" i="27" s="1"/>
  <c r="CF107" i="8"/>
  <c r="K527" i="27" s="1"/>
  <c r="CF108" i="8"/>
  <c r="K528" i="27" s="1"/>
  <c r="CF109" i="8"/>
  <c r="K529" i="27" s="1"/>
  <c r="CF110" i="8"/>
  <c r="K530" i="27" s="1"/>
  <c r="CF111" i="8"/>
  <c r="K531" i="27" s="1"/>
  <c r="CF112" i="8"/>
  <c r="K532" i="27" s="1"/>
  <c r="CF113" i="8"/>
  <c r="K533" i="27" s="1"/>
  <c r="CF114" i="8"/>
  <c r="K534" i="27" s="1"/>
  <c r="CF115" i="8"/>
  <c r="K535" i="27" s="1"/>
  <c r="CF116" i="8"/>
  <c r="K536" i="27" s="1"/>
  <c r="CF117" i="8"/>
  <c r="K537" i="27" s="1"/>
  <c r="CF118" i="8"/>
  <c r="K538" i="27" s="1"/>
  <c r="CF119" i="8"/>
  <c r="K539" i="27" s="1"/>
  <c r="CF120" i="8"/>
  <c r="K540" i="27" s="1"/>
  <c r="CF121" i="8"/>
  <c r="K541" i="27" s="1"/>
  <c r="CF122" i="8"/>
  <c r="K542" i="27" s="1"/>
  <c r="CF123" i="8"/>
  <c r="K543" i="27" s="1"/>
  <c r="CF124" i="8"/>
  <c r="K544" i="27" s="1"/>
  <c r="CF125" i="8"/>
  <c r="K545" i="27" s="1"/>
  <c r="CF126" i="8"/>
  <c r="K546" i="27" s="1"/>
  <c r="CF127" i="8"/>
  <c r="K547" i="27" s="1"/>
  <c r="CF128" i="8"/>
  <c r="K548" i="27" s="1"/>
  <c r="CF129" i="8"/>
  <c r="K549" i="27" s="1"/>
  <c r="CF130" i="8"/>
  <c r="K550" i="27" s="1"/>
  <c r="CF131" i="8"/>
  <c r="K551" i="27" s="1"/>
  <c r="CF132" i="8"/>
  <c r="K552" i="27" s="1"/>
  <c r="CF133" i="8"/>
  <c r="K553" i="27" s="1"/>
  <c r="CF134" i="8"/>
  <c r="K554" i="27" s="1"/>
  <c r="CF135" i="8"/>
  <c r="K555" i="27" s="1"/>
  <c r="CF136" i="8"/>
  <c r="K556" i="27" s="1"/>
  <c r="CF137" i="8"/>
  <c r="K557" i="27" s="1"/>
  <c r="CF138" i="8"/>
  <c r="K558" i="27" s="1"/>
  <c r="CF139" i="8"/>
  <c r="K559" i="27" s="1"/>
  <c r="CF140" i="8"/>
  <c r="K560" i="27" s="1"/>
  <c r="CF141" i="8"/>
  <c r="K561" i="27" s="1"/>
  <c r="CF142" i="8"/>
  <c r="K562" i="27" s="1"/>
  <c r="CF143" i="8"/>
  <c r="K563" i="27" s="1"/>
  <c r="CF144" i="8"/>
  <c r="K564" i="27" s="1"/>
  <c r="CF145" i="8"/>
  <c r="K565" i="27" s="1"/>
  <c r="CF146" i="8"/>
  <c r="K566" i="27" s="1"/>
  <c r="CF147" i="8"/>
  <c r="K567" i="27" s="1"/>
  <c r="CF148" i="8"/>
  <c r="K568" i="27" s="1"/>
  <c r="CF149" i="8"/>
  <c r="K569" i="27" s="1"/>
  <c r="CF150" i="8"/>
  <c r="K570" i="27" s="1"/>
  <c r="CF151" i="8"/>
  <c r="K571" i="27" s="1"/>
  <c r="CF152" i="8"/>
  <c r="K572" i="27" s="1"/>
  <c r="CF153" i="8"/>
  <c r="K573" i="27" s="1"/>
  <c r="CF154" i="8"/>
  <c r="K574" i="27" s="1"/>
  <c r="CF155" i="8"/>
  <c r="K575" i="27" s="1"/>
  <c r="CF156" i="8"/>
  <c r="K576" i="27" s="1"/>
  <c r="CF157" i="8"/>
  <c r="K577" i="27" s="1"/>
  <c r="CF158" i="8"/>
  <c r="K578" i="27" s="1"/>
  <c r="CF159" i="8"/>
  <c r="K579" i="27" s="1"/>
  <c r="CF160" i="8"/>
  <c r="K580" i="27" s="1"/>
  <c r="CF161" i="8"/>
  <c r="K581" i="27" s="1"/>
  <c r="CF162" i="8"/>
  <c r="K582" i="27" s="1"/>
  <c r="CF163" i="8"/>
  <c r="K583" i="27" s="1"/>
  <c r="CF164" i="8"/>
  <c r="K584" i="27" s="1"/>
  <c r="CF165" i="8"/>
  <c r="K585" i="27" s="1"/>
  <c r="CF166" i="8"/>
  <c r="K586" i="27" s="1"/>
  <c r="CF167" i="8"/>
  <c r="K587" i="27" s="1"/>
  <c r="CF168" i="8"/>
  <c r="K588" i="27" s="1"/>
  <c r="CF169" i="8"/>
  <c r="K589" i="27" s="1"/>
  <c r="CF170" i="8"/>
  <c r="K590" i="27" s="1"/>
  <c r="CF171" i="8"/>
  <c r="K591" i="27" s="1"/>
  <c r="CF172" i="8"/>
  <c r="K592" i="27" s="1"/>
  <c r="CF173" i="8"/>
  <c r="K593" i="27" s="1"/>
  <c r="CF174" i="8"/>
  <c r="K594" i="27" s="1"/>
  <c r="CF175" i="8"/>
  <c r="K595" i="27" s="1"/>
  <c r="CF176" i="8"/>
  <c r="K596" i="27" s="1"/>
  <c r="CF177" i="8"/>
  <c r="K597" i="27" s="1"/>
  <c r="CF178" i="8"/>
  <c r="K598" i="27" s="1"/>
  <c r="CF179" i="8"/>
  <c r="K599" i="27" s="1"/>
  <c r="CF180" i="8"/>
  <c r="K600" i="27" s="1"/>
  <c r="CF181" i="8"/>
  <c r="K601" i="27" s="1"/>
  <c r="CF182" i="8"/>
  <c r="K602" i="27" s="1"/>
  <c r="CF183" i="8"/>
  <c r="K603" i="27" s="1"/>
  <c r="CF184" i="8"/>
  <c r="K604" i="27" s="1"/>
  <c r="CF185" i="8"/>
  <c r="K605" i="27" s="1"/>
  <c r="CF186" i="8"/>
  <c r="K606" i="27" s="1"/>
  <c r="CF187" i="8"/>
  <c r="K607" i="27" s="1"/>
  <c r="CF188" i="8"/>
  <c r="K608" i="27" s="1"/>
  <c r="CF189" i="8"/>
  <c r="K609" i="27" s="1"/>
  <c r="CF190" i="8"/>
  <c r="K610" i="27" s="1"/>
  <c r="CF191" i="8"/>
  <c r="K611" i="27" s="1"/>
  <c r="CF192" i="8"/>
  <c r="K612" i="27" s="1"/>
  <c r="CF193" i="8"/>
  <c r="K613" i="27" s="1"/>
  <c r="CF194" i="8"/>
  <c r="K614" i="27" s="1"/>
  <c r="CF195" i="8"/>
  <c r="K615" i="27" s="1"/>
  <c r="CF196" i="8"/>
  <c r="K616" i="27" s="1"/>
  <c r="CF197" i="8"/>
  <c r="K617" i="27" s="1"/>
  <c r="CF198" i="8"/>
  <c r="K618" i="27" s="1"/>
  <c r="CF199" i="8"/>
  <c r="K619" i="27" s="1"/>
  <c r="CF200" i="8"/>
  <c r="K620" i="27" s="1"/>
  <c r="CF201" i="8"/>
  <c r="K621" i="27" s="1"/>
  <c r="CF202" i="8"/>
  <c r="K622" i="27" s="1"/>
  <c r="CF203" i="8"/>
  <c r="K623" i="27" s="1"/>
  <c r="CF204" i="8"/>
  <c r="K624" i="27" s="1"/>
  <c r="CF205" i="8"/>
  <c r="K625" i="27" s="1"/>
  <c r="CF206" i="8"/>
  <c r="K626" i="27" s="1"/>
  <c r="CF207" i="8"/>
  <c r="K627" i="27" s="1"/>
  <c r="CF208" i="8"/>
  <c r="K628" i="27" s="1"/>
  <c r="CF209" i="8"/>
  <c r="K629" i="27" s="1"/>
  <c r="CF210" i="8"/>
  <c r="K630" i="27" s="1"/>
  <c r="CF211" i="8"/>
  <c r="K631" i="27" s="1"/>
  <c r="CF212" i="8"/>
  <c r="K632" i="27" s="1"/>
  <c r="CF213" i="8"/>
  <c r="K633" i="27" s="1"/>
  <c r="CF214" i="8"/>
  <c r="K634" i="27" s="1"/>
  <c r="CF215" i="8"/>
  <c r="K635" i="27" s="1"/>
  <c r="CF216" i="8"/>
  <c r="K636" i="27" s="1"/>
  <c r="CF217" i="8"/>
  <c r="K637" i="27" s="1"/>
  <c r="CF218" i="8"/>
  <c r="K638" i="27" s="1"/>
  <c r="CF219" i="8"/>
  <c r="K639" i="27" s="1"/>
  <c r="CF220" i="8"/>
  <c r="K640" i="27" s="1"/>
  <c r="CF221" i="8"/>
  <c r="K641" i="27" s="1"/>
  <c r="CF222" i="8"/>
  <c r="K642" i="27" s="1"/>
  <c r="CF223" i="8"/>
  <c r="K643" i="27" s="1"/>
  <c r="CF224" i="8"/>
  <c r="K644" i="27" s="1"/>
  <c r="CF225" i="8"/>
  <c r="K645" i="27" s="1"/>
  <c r="CF226" i="8"/>
  <c r="K646" i="27" s="1"/>
  <c r="CF227" i="8"/>
  <c r="K647" i="27" s="1"/>
  <c r="CF228" i="8"/>
  <c r="K648" i="27" s="1"/>
  <c r="CF229" i="8"/>
  <c r="K649" i="27" s="1"/>
  <c r="CF230" i="8"/>
  <c r="K650" i="27" s="1"/>
  <c r="CF231" i="8"/>
  <c r="K651" i="27" s="1"/>
  <c r="CF232" i="8"/>
  <c r="K652" i="27" s="1"/>
  <c r="CF233" i="8"/>
  <c r="K653" i="27" s="1"/>
  <c r="CF234" i="8"/>
  <c r="K654" i="27" s="1"/>
  <c r="CF235" i="8"/>
  <c r="K655" i="27" s="1"/>
  <c r="CF236" i="8"/>
  <c r="K656" i="27" s="1"/>
  <c r="CF237" i="8"/>
  <c r="K657" i="27" s="1"/>
  <c r="CF238" i="8"/>
  <c r="K658" i="27" s="1"/>
  <c r="CF239" i="8"/>
  <c r="K659" i="27" s="1"/>
  <c r="CF240" i="8"/>
  <c r="K660" i="27" s="1"/>
  <c r="CF241" i="8"/>
  <c r="K661" i="27" s="1"/>
  <c r="CF242" i="8"/>
  <c r="K662" i="27" s="1"/>
  <c r="CF243" i="8"/>
  <c r="K663" i="27" s="1"/>
  <c r="CF244" i="8"/>
  <c r="K664" i="27" s="1"/>
  <c r="CF245" i="8"/>
  <c r="K665" i="27" s="1"/>
  <c r="CF246" i="8"/>
  <c r="K666" i="27" s="1"/>
  <c r="CF247" i="8"/>
  <c r="K667" i="27" s="1"/>
  <c r="CF248" i="8"/>
  <c r="K668" i="27" s="1"/>
  <c r="CF249" i="8"/>
  <c r="K669" i="27" s="1"/>
  <c r="CF250" i="8"/>
  <c r="K670" i="27" s="1"/>
  <c r="CF251" i="8"/>
  <c r="K671" i="27" s="1"/>
  <c r="CF252" i="8"/>
  <c r="K672" i="27" s="1"/>
  <c r="CF253" i="8"/>
  <c r="K673" i="27" s="1"/>
  <c r="CF254" i="8"/>
  <c r="K674" i="27" s="1"/>
  <c r="CF255" i="8"/>
  <c r="K675" i="27" s="1"/>
  <c r="CF256" i="8"/>
  <c r="K676" i="27" s="1"/>
  <c r="CF257" i="8"/>
  <c r="K677" i="27" s="1"/>
  <c r="CF258" i="8"/>
  <c r="K678" i="27" s="1"/>
  <c r="CF259" i="8"/>
  <c r="K679" i="27" s="1"/>
  <c r="CF260" i="8"/>
  <c r="K680" i="27" s="1"/>
  <c r="CF261" i="8"/>
  <c r="K681" i="27" s="1"/>
  <c r="CF262" i="8"/>
  <c r="K682" i="27" s="1"/>
  <c r="CF263" i="8"/>
  <c r="K683" i="27" s="1"/>
  <c r="CF264" i="8"/>
  <c r="K684" i="27" s="1"/>
  <c r="CF265" i="8"/>
  <c r="K685" i="27" s="1"/>
  <c r="CF266" i="8"/>
  <c r="K686" i="27" s="1"/>
  <c r="CF267" i="8"/>
  <c r="K687" i="27" s="1"/>
  <c r="CF268" i="8"/>
  <c r="K688" i="27" s="1"/>
  <c r="CF269" i="8"/>
  <c r="K689" i="27" s="1"/>
  <c r="CF270" i="8"/>
  <c r="K690" i="27" s="1"/>
  <c r="CF271" i="8"/>
  <c r="K691" i="27" s="1"/>
  <c r="CF272" i="8"/>
  <c r="K692" i="27" s="1"/>
  <c r="CF273" i="8"/>
  <c r="K693" i="27" s="1"/>
  <c r="CF274" i="8"/>
  <c r="K694" i="27" s="1"/>
  <c r="CF275" i="8"/>
  <c r="K695" i="27" s="1"/>
  <c r="CF276" i="8"/>
  <c r="K696" i="27" s="1"/>
  <c r="CF277" i="8"/>
  <c r="K697" i="27" s="1"/>
  <c r="CF278" i="8"/>
  <c r="K698" i="27" s="1"/>
  <c r="CF279" i="8"/>
  <c r="K699" i="27" s="1"/>
  <c r="CF280" i="8"/>
  <c r="K700" i="27" s="1"/>
  <c r="CF281" i="8"/>
  <c r="K701" i="27" s="1"/>
  <c r="CF282" i="8"/>
  <c r="K702" i="27" s="1"/>
  <c r="CF283" i="8"/>
  <c r="K703" i="27" s="1"/>
  <c r="CF284" i="8"/>
  <c r="K704" i="27" s="1"/>
  <c r="CF285" i="8"/>
  <c r="K705" i="27" s="1"/>
  <c r="CF286" i="8"/>
  <c r="K706" i="27" s="1"/>
  <c r="CF287" i="8"/>
  <c r="K707" i="27" s="1"/>
  <c r="CF288" i="8"/>
  <c r="K708" i="27" s="1"/>
  <c r="CF289" i="8"/>
  <c r="K709" i="27" s="1"/>
  <c r="CF290" i="8"/>
  <c r="K710" i="27" s="1"/>
  <c r="CF291" i="8"/>
  <c r="K711" i="27" s="1"/>
  <c r="CF292" i="8"/>
  <c r="K712" i="27" s="1"/>
  <c r="CF293" i="8"/>
  <c r="K713" i="27" s="1"/>
  <c r="CF294" i="8"/>
  <c r="K714" i="27" s="1"/>
  <c r="CF295" i="8"/>
  <c r="K715" i="27" s="1"/>
  <c r="CF296" i="8"/>
  <c r="K716" i="27" s="1"/>
  <c r="CF297" i="8"/>
  <c r="K717" i="27" s="1"/>
  <c r="CF298" i="8"/>
  <c r="K718" i="27" s="1"/>
  <c r="CF299" i="8"/>
  <c r="K719" i="27" s="1"/>
  <c r="CF300" i="8"/>
  <c r="K720" i="27" s="1"/>
  <c r="CF301" i="8"/>
  <c r="K721" i="27" s="1"/>
  <c r="CF302" i="8"/>
  <c r="K722" i="27" s="1"/>
  <c r="CF303" i="8"/>
  <c r="K723" i="27" s="1"/>
  <c r="CF304" i="8"/>
  <c r="K724" i="27" s="1"/>
  <c r="CF305" i="8"/>
  <c r="K725" i="27" s="1"/>
  <c r="CF306" i="8"/>
  <c r="K726" i="27" s="1"/>
  <c r="CF307" i="8"/>
  <c r="K727" i="27" s="1"/>
  <c r="CF308" i="8"/>
  <c r="K728" i="27" s="1"/>
  <c r="CF309" i="8"/>
  <c r="K729" i="27" s="1"/>
  <c r="CF310" i="8"/>
  <c r="K730" i="27" s="1"/>
  <c r="CF311" i="8"/>
  <c r="K731" i="27" s="1"/>
  <c r="CF312" i="8"/>
  <c r="K732" i="27" s="1"/>
  <c r="CF313" i="8"/>
  <c r="K733" i="27" s="1"/>
  <c r="CF314" i="8"/>
  <c r="K734" i="27" s="1"/>
  <c r="CF315" i="8"/>
  <c r="K735" i="27" s="1"/>
  <c r="CF316" i="8"/>
  <c r="K736" i="27" s="1"/>
  <c r="CF317" i="8"/>
  <c r="K737" i="27" s="1"/>
  <c r="CF318" i="8"/>
  <c r="K738" i="27" s="1"/>
  <c r="CF319" i="8"/>
  <c r="K739" i="27" s="1"/>
  <c r="CF320" i="8"/>
  <c r="K740" i="27" s="1"/>
  <c r="CF321" i="8"/>
  <c r="K741" i="27" s="1"/>
  <c r="CF322" i="8"/>
  <c r="K742" i="27" s="1"/>
  <c r="CF323" i="8"/>
  <c r="K743" i="27" s="1"/>
  <c r="CF324" i="8"/>
  <c r="K744" i="27" s="1"/>
  <c r="CF325" i="8"/>
  <c r="K745" i="27" s="1"/>
  <c r="CF326" i="8"/>
  <c r="K746" i="27" s="1"/>
  <c r="CF327" i="8"/>
  <c r="K747" i="27" s="1"/>
  <c r="CF328" i="8"/>
  <c r="K748" i="27" s="1"/>
  <c r="CF329" i="8"/>
  <c r="K749" i="27" s="1"/>
  <c r="CF330" i="8"/>
  <c r="K750" i="27" s="1"/>
  <c r="CF331" i="8"/>
  <c r="K751" i="27" s="1"/>
  <c r="CF332" i="8"/>
  <c r="K752" i="27" s="1"/>
  <c r="CF333" i="8"/>
  <c r="K753" i="27" s="1"/>
  <c r="CF334" i="8"/>
  <c r="K754" i="27" s="1"/>
  <c r="CF335" i="8"/>
  <c r="K755" i="27" s="1"/>
  <c r="CF336" i="8"/>
  <c r="K756" i="27" s="1"/>
  <c r="CF337" i="8"/>
  <c r="K757" i="27" s="1"/>
  <c r="CF338" i="8"/>
  <c r="K758" i="27" s="1"/>
  <c r="CF339" i="8"/>
  <c r="K759" i="27" s="1"/>
  <c r="CF340" i="8"/>
  <c r="K760" i="27" s="1"/>
  <c r="CF341" i="8"/>
  <c r="K761" i="27" s="1"/>
  <c r="CF342" i="8"/>
  <c r="K762" i="27" s="1"/>
  <c r="CF343" i="8"/>
  <c r="K763" i="27" s="1"/>
  <c r="CF344" i="8"/>
  <c r="K764" i="27" s="1"/>
  <c r="CF345" i="8"/>
  <c r="K765" i="27" s="1"/>
  <c r="CF346" i="8"/>
  <c r="K766" i="27" s="1"/>
  <c r="CF347" i="8"/>
  <c r="K767" i="27" s="1"/>
  <c r="CF348" i="8"/>
  <c r="K768" i="27" s="1"/>
  <c r="CF349" i="8"/>
  <c r="K769" i="27" s="1"/>
  <c r="CF350" i="8"/>
  <c r="K770" i="27" s="1"/>
  <c r="CF351" i="8"/>
  <c r="K771" i="27" s="1"/>
  <c r="CF352" i="8"/>
  <c r="K772" i="27" s="1"/>
  <c r="CF353" i="8"/>
  <c r="K773" i="27" s="1"/>
  <c r="CF354" i="8"/>
  <c r="K774" i="27" s="1"/>
  <c r="CF355" i="8"/>
  <c r="K775" i="27" s="1"/>
  <c r="CF356" i="8"/>
  <c r="K776" i="27" s="1"/>
  <c r="CF357" i="8"/>
  <c r="K777" i="27" s="1"/>
  <c r="CF358" i="8"/>
  <c r="K778" i="27" s="1"/>
  <c r="CF359" i="8"/>
  <c r="K779" i="27" s="1"/>
  <c r="CF360" i="8"/>
  <c r="K780" i="27" s="1"/>
  <c r="CF361" i="8"/>
  <c r="K781" i="27" s="1"/>
  <c r="CF362" i="8"/>
  <c r="K782" i="27" s="1"/>
  <c r="CF363" i="8"/>
  <c r="K783" i="27" s="1"/>
  <c r="CF364" i="8"/>
  <c r="K784" i="27" s="1"/>
  <c r="CF365" i="8"/>
  <c r="K785" i="27" s="1"/>
  <c r="CF366" i="8"/>
  <c r="K786" i="27" s="1"/>
  <c r="CF367" i="8"/>
  <c r="K787" i="27" s="1"/>
  <c r="CF368" i="8"/>
  <c r="K788" i="27" s="1"/>
  <c r="CF369" i="8"/>
  <c r="K789" i="27" s="1"/>
  <c r="CF370" i="8"/>
  <c r="K790" i="27" s="1"/>
  <c r="CF371" i="8"/>
  <c r="K791" i="27" s="1"/>
  <c r="CF372" i="8"/>
  <c r="K792" i="27" s="1"/>
  <c r="CF373" i="8"/>
  <c r="K793" i="27" s="1"/>
  <c r="CF374" i="8"/>
  <c r="K794" i="27" s="1"/>
  <c r="CF375" i="8"/>
  <c r="K795" i="27" s="1"/>
  <c r="CF376" i="8"/>
  <c r="K796" i="27" s="1"/>
  <c r="CF377" i="8"/>
  <c r="K797" i="27" s="1"/>
  <c r="CF378" i="8"/>
  <c r="K798" i="27" s="1"/>
  <c r="CF379" i="8"/>
  <c r="K799" i="27" s="1"/>
  <c r="CF380" i="8"/>
  <c r="K800" i="27" s="1"/>
  <c r="CF381" i="8"/>
  <c r="K801" i="27" s="1"/>
  <c r="CF382" i="8"/>
  <c r="K802" i="27" s="1"/>
  <c r="CF383" i="8"/>
  <c r="K803" i="27" s="1"/>
  <c r="CF384" i="8"/>
  <c r="K804" i="27" s="1"/>
  <c r="CF385" i="8"/>
  <c r="K805" i="27" s="1"/>
  <c r="CF386" i="8"/>
  <c r="K806" i="27" s="1"/>
  <c r="CF387" i="8"/>
  <c r="K807" i="27" s="1"/>
  <c r="CF388" i="8"/>
  <c r="K808" i="27" s="1"/>
  <c r="CF389" i="8"/>
  <c r="K809" i="27" s="1"/>
  <c r="CF390" i="8"/>
  <c r="K810" i="27" s="1"/>
  <c r="CF391" i="8"/>
  <c r="K811" i="27" s="1"/>
  <c r="CF392" i="8"/>
  <c r="K812" i="27" s="1"/>
  <c r="CF393" i="8"/>
  <c r="K813" i="27" s="1"/>
  <c r="CF394" i="8"/>
  <c r="K814" i="27" s="1"/>
  <c r="CF395" i="8"/>
  <c r="K815" i="27" s="1"/>
  <c r="CF396" i="8"/>
  <c r="K816" i="27" s="1"/>
  <c r="CF397" i="8"/>
  <c r="K817" i="27" s="1"/>
  <c r="CF398" i="8"/>
  <c r="K818" i="27" s="1"/>
  <c r="CF399" i="8"/>
  <c r="K819" i="27" s="1"/>
  <c r="CF400" i="8"/>
  <c r="K820" i="27" s="1"/>
  <c r="CF401" i="8"/>
  <c r="K821" i="27" s="1"/>
  <c r="CF402" i="8"/>
  <c r="CF403" i="8"/>
  <c r="CF404" i="8"/>
  <c r="CF405" i="8"/>
  <c r="CF406" i="8"/>
  <c r="CF407" i="8"/>
  <c r="CF408" i="8"/>
  <c r="CF409" i="8"/>
  <c r="CF410" i="8"/>
  <c r="CF411" i="8"/>
  <c r="CF412" i="8"/>
  <c r="CF413" i="8"/>
  <c r="CF414" i="8"/>
  <c r="CF415" i="8"/>
  <c r="CF416" i="8"/>
  <c r="CF417" i="8"/>
  <c r="CF418" i="8"/>
  <c r="CF419" i="8"/>
  <c r="CF420" i="8"/>
  <c r="CF421" i="8"/>
  <c r="CF422" i="8"/>
  <c r="CF423" i="8"/>
  <c r="CF424" i="8"/>
  <c r="CF425" i="8"/>
  <c r="CF426" i="8"/>
  <c r="CF427" i="8"/>
  <c r="CF428" i="8"/>
  <c r="CF429" i="8"/>
  <c r="CF430" i="8"/>
  <c r="CF431" i="8"/>
  <c r="CF432" i="8"/>
  <c r="CF433" i="8"/>
  <c r="CF434" i="8"/>
  <c r="CF435" i="8"/>
  <c r="CF436" i="8"/>
  <c r="CF437" i="8"/>
  <c r="CF438" i="8"/>
  <c r="CF439" i="8"/>
  <c r="CF440" i="8"/>
  <c r="CF441" i="8"/>
  <c r="CF442" i="8"/>
  <c r="CF443" i="8"/>
  <c r="CF444" i="8"/>
  <c r="CF445" i="8"/>
  <c r="CF446" i="8"/>
  <c r="CF447" i="8"/>
  <c r="CF448" i="8"/>
  <c r="CF449" i="8"/>
  <c r="CF450" i="8"/>
  <c r="CF451" i="8"/>
  <c r="CF452" i="8"/>
  <c r="CF453" i="8"/>
  <c r="CF454" i="8"/>
  <c r="CF455" i="8"/>
  <c r="CF456" i="8"/>
  <c r="CF457" i="8"/>
  <c r="CF458" i="8"/>
  <c r="CF459" i="8"/>
  <c r="CF460" i="8"/>
  <c r="CF461" i="8"/>
  <c r="CF462" i="8"/>
  <c r="CF463" i="8"/>
  <c r="CF464" i="8"/>
  <c r="CF465" i="8"/>
  <c r="CF466" i="8"/>
  <c r="CF467" i="8"/>
  <c r="CF468" i="8"/>
  <c r="CF469" i="8"/>
  <c r="CF470" i="8"/>
  <c r="CF471" i="8"/>
  <c r="CF472" i="8"/>
  <c r="CF473" i="8"/>
  <c r="CF474" i="8"/>
  <c r="CF475" i="8"/>
  <c r="CF476" i="8"/>
  <c r="CF477" i="8"/>
  <c r="CF478" i="8"/>
  <c r="CF479" i="8"/>
  <c r="CF480" i="8"/>
  <c r="CF481" i="8"/>
  <c r="CF482" i="8"/>
  <c r="CF483" i="8"/>
  <c r="CF484" i="8"/>
  <c r="CF485" i="8"/>
  <c r="CF486" i="8"/>
  <c r="CF487" i="8"/>
  <c r="CF488" i="8"/>
  <c r="CF489" i="8"/>
  <c r="CF490" i="8"/>
  <c r="CF491" i="8"/>
  <c r="CF492" i="8"/>
  <c r="CF493" i="8"/>
  <c r="CF494" i="8"/>
  <c r="CF495" i="8"/>
  <c r="CF496" i="8"/>
  <c r="CF497" i="8"/>
  <c r="CF498" i="8"/>
  <c r="CF499" i="8"/>
  <c r="CF500" i="8"/>
  <c r="CF501" i="8"/>
  <c r="CF502" i="8"/>
  <c r="CF503" i="8"/>
  <c r="CF504" i="8"/>
  <c r="CF505" i="8"/>
  <c r="CF506" i="8"/>
  <c r="CF507" i="8"/>
  <c r="CF508" i="8"/>
  <c r="CF509" i="8"/>
  <c r="CF510" i="8"/>
  <c r="CF511" i="8"/>
  <c r="CF512" i="8"/>
  <c r="CF513" i="8"/>
  <c r="CF514" i="8"/>
  <c r="CF515" i="8"/>
  <c r="CF516" i="8"/>
  <c r="CF517" i="8"/>
  <c r="CF518" i="8"/>
  <c r="CF519" i="8"/>
  <c r="CF520" i="8"/>
  <c r="CF521" i="8"/>
  <c r="CF522" i="8"/>
  <c r="CF523" i="8"/>
  <c r="CF524" i="8"/>
  <c r="CF525" i="8"/>
  <c r="CF526" i="8"/>
  <c r="CF527" i="8"/>
  <c r="CF528" i="8"/>
  <c r="CF529" i="8"/>
  <c r="CF530" i="8"/>
  <c r="CF531" i="8"/>
  <c r="CF532" i="8"/>
  <c r="CF533" i="8"/>
  <c r="CF534" i="8"/>
  <c r="CF535" i="8"/>
  <c r="CF536" i="8"/>
  <c r="CF537" i="8"/>
  <c r="CF538" i="8"/>
  <c r="CF539" i="8"/>
  <c r="CF540" i="8"/>
  <c r="CF541" i="8"/>
  <c r="CF542" i="8"/>
  <c r="CF543" i="8"/>
  <c r="CF544" i="8"/>
  <c r="CF545" i="8"/>
  <c r="CF546" i="8"/>
  <c r="CF547" i="8"/>
  <c r="CF548" i="8"/>
  <c r="CF549" i="8"/>
  <c r="CF550" i="8"/>
  <c r="CF551" i="8"/>
  <c r="CF552" i="8"/>
  <c r="CF553" i="8"/>
  <c r="CF554" i="8"/>
  <c r="CF555" i="8"/>
  <c r="CF556" i="8"/>
  <c r="CF557" i="8"/>
  <c r="CF558" i="8"/>
  <c r="CF559" i="8"/>
  <c r="CF560" i="8"/>
  <c r="CF561" i="8"/>
  <c r="CF562" i="8"/>
  <c r="CF563" i="8"/>
  <c r="CF564" i="8"/>
  <c r="CF565" i="8"/>
  <c r="CF566" i="8"/>
  <c r="CF567" i="8"/>
  <c r="CF568" i="8"/>
  <c r="CF569" i="8"/>
  <c r="CF570" i="8"/>
  <c r="CF571" i="8"/>
  <c r="CF572" i="8"/>
  <c r="CF573" i="8"/>
  <c r="CF574" i="8"/>
  <c r="CF575" i="8"/>
  <c r="CF576" i="8"/>
  <c r="CF577" i="8"/>
  <c r="CF578" i="8"/>
  <c r="CF579" i="8"/>
  <c r="CF580" i="8"/>
  <c r="CF581" i="8"/>
  <c r="CF582" i="8"/>
  <c r="CF583" i="8"/>
  <c r="CF584" i="8"/>
  <c r="CF585" i="8"/>
  <c r="CF586" i="8"/>
  <c r="CF587" i="8"/>
  <c r="CF588" i="8"/>
  <c r="CF589" i="8"/>
  <c r="CF590" i="8"/>
  <c r="CF591" i="8"/>
  <c r="CF592" i="8"/>
  <c r="CF593" i="8"/>
  <c r="CF594" i="8"/>
  <c r="CF595" i="8"/>
  <c r="CF596" i="8"/>
  <c r="CF597" i="8"/>
  <c r="CF598" i="8"/>
  <c r="CF599" i="8"/>
  <c r="CF600" i="8"/>
  <c r="CF601" i="8"/>
  <c r="CF602" i="8"/>
  <c r="CF603" i="8"/>
  <c r="CF604" i="8"/>
  <c r="CF605" i="8"/>
  <c r="CF606" i="8"/>
  <c r="CF607" i="8"/>
  <c r="CF608" i="8"/>
  <c r="CF609" i="8"/>
  <c r="CF610" i="8"/>
  <c r="CF611" i="8"/>
  <c r="CF612" i="8"/>
  <c r="CF613" i="8"/>
  <c r="CF614" i="8"/>
  <c r="CF615" i="8"/>
  <c r="CF616" i="8"/>
  <c r="CF617" i="8"/>
  <c r="CF618" i="8"/>
  <c r="CF619" i="8"/>
  <c r="CF620" i="8"/>
  <c r="CF621" i="8"/>
  <c r="CF622" i="8"/>
  <c r="CF623" i="8"/>
  <c r="CF624" i="8"/>
  <c r="CF625" i="8"/>
  <c r="CF626" i="8"/>
  <c r="CF627" i="8"/>
  <c r="CF628" i="8"/>
  <c r="CF629" i="8"/>
  <c r="CF630" i="8"/>
  <c r="CF631" i="8"/>
  <c r="CF632" i="8"/>
  <c r="CF633" i="8"/>
  <c r="CF634" i="8"/>
  <c r="CF635" i="8"/>
  <c r="CF636" i="8"/>
  <c r="CF637" i="8"/>
  <c r="CF638" i="8"/>
  <c r="CF639" i="8"/>
  <c r="CF640" i="8"/>
  <c r="CF641" i="8"/>
  <c r="CF642" i="8"/>
  <c r="CF643" i="8"/>
  <c r="CF644" i="8"/>
  <c r="CF645" i="8"/>
  <c r="CF646" i="8"/>
  <c r="CF647" i="8"/>
  <c r="CF648" i="8"/>
  <c r="CF649" i="8"/>
  <c r="CF650" i="8"/>
  <c r="CF651" i="8"/>
  <c r="CF652" i="8"/>
  <c r="CF653" i="8"/>
  <c r="CF654" i="8"/>
  <c r="CF655" i="8"/>
  <c r="CF656" i="8"/>
  <c r="CF657" i="8"/>
  <c r="CF658" i="8"/>
  <c r="CF659" i="8"/>
  <c r="CF660" i="8"/>
  <c r="CF661" i="8"/>
  <c r="CF662" i="8"/>
  <c r="CF663" i="8"/>
  <c r="CF664" i="8"/>
  <c r="CF665" i="8"/>
  <c r="CF666" i="8"/>
  <c r="CF667" i="8"/>
  <c r="CF668" i="8"/>
  <c r="CF669" i="8"/>
  <c r="CF670" i="8"/>
  <c r="CF671" i="8"/>
  <c r="CF672" i="8"/>
  <c r="CF673" i="8"/>
  <c r="CF674" i="8"/>
  <c r="CF675" i="8"/>
  <c r="CF676" i="8"/>
  <c r="CF677" i="8"/>
  <c r="CF678" i="8"/>
  <c r="CF679" i="8"/>
  <c r="CF680" i="8"/>
  <c r="CF681" i="8"/>
  <c r="CF682" i="8"/>
  <c r="CF683" i="8"/>
  <c r="CF684" i="8"/>
  <c r="CF685" i="8"/>
  <c r="CF686" i="8"/>
  <c r="CF687" i="8"/>
  <c r="CF688" i="8"/>
  <c r="CF689" i="8"/>
  <c r="CF690" i="8"/>
  <c r="CF691" i="8"/>
  <c r="CF692" i="8"/>
  <c r="CF693" i="8"/>
  <c r="CF694" i="8"/>
  <c r="CF695" i="8"/>
  <c r="CF696" i="8"/>
  <c r="CF697" i="8"/>
  <c r="CF698" i="8"/>
  <c r="CF699" i="8"/>
  <c r="CF700" i="8"/>
  <c r="CF701" i="8"/>
  <c r="CF702" i="8"/>
  <c r="CF703" i="8"/>
  <c r="CF704" i="8"/>
  <c r="CF705" i="8"/>
  <c r="CF706" i="8"/>
  <c r="CF707" i="8"/>
  <c r="CF708" i="8"/>
  <c r="CF709" i="8"/>
  <c r="CF710" i="8"/>
  <c r="CF711" i="8"/>
  <c r="CF712" i="8"/>
  <c r="CF713" i="8"/>
  <c r="CF714" i="8"/>
  <c r="CF715" i="8"/>
  <c r="CF716" i="8"/>
  <c r="CF717" i="8"/>
  <c r="CF718" i="8"/>
  <c r="CF719" i="8"/>
  <c r="CF720" i="8"/>
  <c r="CF721" i="8"/>
  <c r="CF722" i="8"/>
  <c r="CF723" i="8"/>
  <c r="CF724" i="8"/>
  <c r="CF725" i="8"/>
  <c r="CF726" i="8"/>
  <c r="CF727" i="8"/>
  <c r="CF728" i="8"/>
  <c r="CF729" i="8"/>
  <c r="CF730" i="8"/>
  <c r="CF731" i="8"/>
  <c r="CF732" i="8"/>
  <c r="CF733" i="8"/>
  <c r="CF734" i="8"/>
  <c r="CF735" i="8"/>
  <c r="CF736" i="8"/>
  <c r="CF737" i="8"/>
  <c r="CF738" i="8"/>
  <c r="CF739" i="8"/>
  <c r="CF740" i="8"/>
  <c r="CF741" i="8"/>
  <c r="CF742" i="8"/>
  <c r="CF743" i="8"/>
  <c r="CF744" i="8"/>
  <c r="CF745" i="8"/>
  <c r="CF746" i="8"/>
  <c r="CF747" i="8"/>
  <c r="CF748" i="8"/>
  <c r="CF749" i="8"/>
  <c r="CF750" i="8"/>
  <c r="CF751" i="8"/>
  <c r="CF752" i="8"/>
  <c r="CF753" i="8"/>
  <c r="CF754" i="8"/>
  <c r="CF755" i="8"/>
  <c r="CF756" i="8"/>
  <c r="CF757" i="8"/>
  <c r="CF758" i="8"/>
  <c r="CF759" i="8"/>
  <c r="CF760" i="8"/>
  <c r="CF761" i="8"/>
  <c r="CF762" i="8"/>
  <c r="CF763" i="8"/>
  <c r="CF764" i="8"/>
  <c r="CF765" i="8"/>
  <c r="CF766" i="8"/>
  <c r="CF767" i="8"/>
  <c r="CF768" i="8"/>
  <c r="CF769" i="8"/>
  <c r="CF770" i="8"/>
  <c r="CF771" i="8"/>
  <c r="CF772" i="8"/>
  <c r="CF773" i="8"/>
  <c r="CF774" i="8"/>
  <c r="CF775" i="8"/>
  <c r="CF776" i="8"/>
  <c r="CF777" i="8"/>
  <c r="CF778" i="8"/>
  <c r="CF779" i="8"/>
  <c r="CF780" i="8"/>
  <c r="CF781" i="8"/>
  <c r="CF782" i="8"/>
  <c r="CF783" i="8"/>
  <c r="CF784" i="8"/>
  <c r="CF785" i="8"/>
  <c r="CF786" i="8"/>
  <c r="CF787" i="8"/>
  <c r="CF788" i="8"/>
  <c r="CF789" i="8"/>
  <c r="CF790" i="8"/>
  <c r="CF791" i="8"/>
  <c r="CF792" i="8"/>
  <c r="CF793" i="8"/>
  <c r="CF794" i="8"/>
  <c r="CF795" i="8"/>
  <c r="CF796" i="8"/>
  <c r="CF797" i="8"/>
  <c r="CF798" i="8"/>
  <c r="CF799" i="8"/>
  <c r="CF800" i="8"/>
  <c r="CF801" i="8"/>
  <c r="CF802" i="8"/>
  <c r="CF803" i="8"/>
  <c r="CF804" i="8"/>
  <c r="CF805" i="8"/>
  <c r="CF806" i="8"/>
  <c r="CF807" i="8"/>
  <c r="CF808" i="8"/>
  <c r="CF809" i="8"/>
  <c r="CF810" i="8"/>
  <c r="CF811" i="8"/>
  <c r="CF812" i="8"/>
  <c r="CF813" i="8"/>
  <c r="CF814" i="8"/>
  <c r="CF815" i="8"/>
  <c r="CF816" i="8"/>
  <c r="CF817" i="8"/>
  <c r="CF818" i="8"/>
  <c r="CF819" i="8"/>
  <c r="CF820" i="8"/>
  <c r="CF821" i="8"/>
  <c r="CF822" i="8"/>
  <c r="CF823" i="8"/>
  <c r="CF824" i="8"/>
  <c r="CF825" i="8"/>
  <c r="CF826" i="8"/>
  <c r="CF827" i="8"/>
  <c r="CF828" i="8"/>
  <c r="CF829" i="8"/>
  <c r="CF830" i="8"/>
  <c r="CF831" i="8"/>
  <c r="CF832" i="8"/>
  <c r="CF833" i="8"/>
  <c r="CF834" i="8"/>
  <c r="CF835" i="8"/>
  <c r="CF836" i="8"/>
  <c r="CF837" i="8"/>
  <c r="CF838" i="8"/>
  <c r="CF839" i="8"/>
  <c r="CF840" i="8"/>
  <c r="CF841" i="8"/>
  <c r="CF842" i="8"/>
  <c r="CF843" i="8"/>
  <c r="CF844" i="8"/>
  <c r="CF845" i="8"/>
  <c r="CF846" i="8"/>
  <c r="CF847" i="8"/>
  <c r="CF848" i="8"/>
  <c r="CF849" i="8"/>
  <c r="CF850" i="8"/>
  <c r="CF851" i="8"/>
  <c r="CF852" i="8"/>
  <c r="CF853" i="8"/>
  <c r="CF854" i="8"/>
  <c r="CF855" i="8"/>
  <c r="CF856" i="8"/>
  <c r="CF857" i="8"/>
  <c r="CF858" i="8"/>
  <c r="CF859" i="8"/>
  <c r="CF860" i="8"/>
  <c r="CF861" i="8"/>
  <c r="CF862" i="8"/>
  <c r="CF863" i="8"/>
  <c r="CF864" i="8"/>
  <c r="CF865" i="8"/>
  <c r="CF866" i="8"/>
  <c r="CF867" i="8"/>
  <c r="CF868" i="8"/>
  <c r="CF869" i="8"/>
  <c r="CF870" i="8"/>
  <c r="CF871" i="8"/>
  <c r="CF872" i="8"/>
  <c r="CF873" i="8"/>
  <c r="CF874" i="8"/>
  <c r="CF875" i="8"/>
  <c r="CF876" i="8"/>
  <c r="CF877" i="8"/>
  <c r="CF878" i="8"/>
  <c r="CF879" i="8"/>
  <c r="CF880" i="8"/>
  <c r="CF881" i="8"/>
  <c r="CF882" i="8"/>
  <c r="CF883" i="8"/>
  <c r="CF884" i="8"/>
  <c r="CF885" i="8"/>
  <c r="CF886" i="8"/>
  <c r="CF887" i="8"/>
  <c r="CF888" i="8"/>
  <c r="CF889" i="8"/>
  <c r="CF890" i="8"/>
  <c r="CF891" i="8"/>
  <c r="CF892" i="8"/>
  <c r="CF893" i="8"/>
  <c r="CF894" i="8"/>
  <c r="CF895" i="8"/>
  <c r="CF896" i="8"/>
  <c r="CF897" i="8"/>
  <c r="CF898" i="8"/>
  <c r="CF899" i="8"/>
  <c r="CF900" i="8"/>
  <c r="CF901" i="8"/>
  <c r="CF902" i="8"/>
  <c r="CF903" i="8"/>
  <c r="CF904" i="8"/>
  <c r="CF905" i="8"/>
  <c r="CF906" i="8"/>
  <c r="CF907" i="8"/>
  <c r="CF908" i="8"/>
  <c r="CF909" i="8"/>
  <c r="CF910" i="8"/>
  <c r="CF911" i="8"/>
  <c r="CF912" i="8"/>
  <c r="CF913" i="8"/>
  <c r="CF914" i="8"/>
  <c r="CF915" i="8"/>
  <c r="CF916" i="8"/>
  <c r="CF917" i="8"/>
  <c r="CF918" i="8"/>
  <c r="CF919" i="8"/>
  <c r="CF920" i="8"/>
  <c r="CF921" i="8"/>
  <c r="CF922" i="8"/>
  <c r="CF923" i="8"/>
  <c r="CF924" i="8"/>
  <c r="CF925" i="8"/>
  <c r="CF926" i="8"/>
  <c r="CF927" i="8"/>
  <c r="CF928" i="8"/>
  <c r="CF929" i="8"/>
  <c r="CF930" i="8"/>
  <c r="CF931" i="8"/>
  <c r="CF932" i="8"/>
  <c r="CF933" i="8"/>
  <c r="CF934" i="8"/>
  <c r="CF935" i="8"/>
  <c r="CF936" i="8"/>
  <c r="CF937" i="8"/>
  <c r="CF938" i="8"/>
  <c r="CF939" i="8"/>
  <c r="CF940" i="8"/>
  <c r="CF941" i="8"/>
  <c r="CF942" i="8"/>
  <c r="CF943" i="8"/>
  <c r="CF944" i="8"/>
  <c r="CF945" i="8"/>
  <c r="CF946" i="8"/>
  <c r="CF947" i="8"/>
  <c r="CF948" i="8"/>
  <c r="CF949" i="8"/>
  <c r="CF950" i="8"/>
  <c r="CF951" i="8"/>
  <c r="CF952" i="8"/>
  <c r="CF953" i="8"/>
  <c r="CF954" i="8"/>
  <c r="CF955" i="8"/>
  <c r="CF956" i="8"/>
  <c r="CF957" i="8"/>
  <c r="CF958" i="8"/>
  <c r="CF959" i="8"/>
  <c r="CF960" i="8"/>
  <c r="CF961" i="8"/>
  <c r="CF962" i="8"/>
  <c r="CF963" i="8"/>
  <c r="CF964" i="8"/>
  <c r="CF965" i="8"/>
  <c r="CF966" i="8"/>
  <c r="CF967" i="8"/>
  <c r="CF968" i="8"/>
  <c r="CF969" i="8"/>
  <c r="CF970" i="8"/>
  <c r="CF971" i="8"/>
  <c r="CF972" i="8"/>
  <c r="CF973" i="8"/>
  <c r="CF974" i="8"/>
  <c r="CF975" i="8"/>
  <c r="CF976" i="8"/>
  <c r="CF977" i="8"/>
  <c r="CF978" i="8"/>
  <c r="CF979" i="8"/>
  <c r="CF980" i="8"/>
  <c r="CF981" i="8"/>
  <c r="CF982" i="8"/>
  <c r="CF983" i="8"/>
  <c r="CF984" i="8"/>
  <c r="CF985" i="8"/>
  <c r="CF986" i="8"/>
  <c r="CF987" i="8"/>
  <c r="CF988" i="8"/>
  <c r="CF989" i="8"/>
  <c r="CF990" i="8"/>
  <c r="CF991" i="8"/>
  <c r="CF992" i="8"/>
  <c r="CF993" i="8"/>
  <c r="CF994" i="8"/>
  <c r="CF995" i="8"/>
  <c r="CF996" i="8"/>
  <c r="CF997" i="8"/>
  <c r="CF998" i="8"/>
  <c r="CF999" i="8"/>
  <c r="CF1000" i="8"/>
  <c r="CF1001" i="8"/>
  <c r="CF1002" i="8"/>
  <c r="CF1003" i="8"/>
  <c r="CF1004" i="8"/>
  <c r="CF1005" i="8"/>
  <c r="CF1006" i="8"/>
  <c r="CF1007" i="8"/>
  <c r="CF1008" i="8"/>
  <c r="CF1009" i="8"/>
  <c r="CF1010" i="8"/>
  <c r="CF1011" i="8"/>
  <c r="CF1012" i="8"/>
  <c r="CF1013" i="8"/>
  <c r="CF1014" i="8"/>
  <c r="CF1015" i="8"/>
  <c r="CF1016" i="8"/>
  <c r="CF1017" i="8"/>
  <c r="CF1018" i="8"/>
  <c r="CF1019" i="8"/>
  <c r="CF1020" i="8"/>
  <c r="CF1021" i="8"/>
  <c r="CF1022" i="8"/>
  <c r="CF1023" i="8"/>
  <c r="CF1024" i="8"/>
  <c r="CF1025" i="8"/>
  <c r="CF1026" i="8"/>
  <c r="CF1027" i="8"/>
  <c r="CF1028" i="8"/>
  <c r="CF1029" i="8"/>
  <c r="CF1030" i="8"/>
  <c r="CF1031" i="8"/>
  <c r="CF1032" i="8"/>
  <c r="CF1033" i="8"/>
  <c r="CF1034" i="8"/>
  <c r="CF1035" i="8"/>
  <c r="CF1036" i="8"/>
  <c r="CF1037" i="8"/>
  <c r="CF1038" i="8"/>
  <c r="CF1039" i="8"/>
  <c r="CF1040" i="8"/>
  <c r="CF1041" i="8"/>
  <c r="CF1042" i="8"/>
  <c r="CF1043" i="8"/>
  <c r="CF1044" i="8"/>
  <c r="CF1045" i="8"/>
  <c r="CF1046" i="8"/>
  <c r="CF1047" i="8"/>
  <c r="CF1048" i="8"/>
  <c r="CF1049" i="8"/>
  <c r="CF1050" i="8"/>
  <c r="CF1051" i="8"/>
  <c r="CF1052" i="8"/>
  <c r="CF1053" i="8"/>
  <c r="CF1054" i="8"/>
  <c r="CF1055" i="8"/>
  <c r="CF1056" i="8"/>
  <c r="CE2" i="8"/>
  <c r="J422" i="27" s="1"/>
  <c r="CE3" i="8"/>
  <c r="J423" i="27" s="1"/>
  <c r="CE4" i="8"/>
  <c r="J424" i="27" s="1"/>
  <c r="CE5" i="8"/>
  <c r="J425" i="27" s="1"/>
  <c r="CE6" i="8"/>
  <c r="J426" i="27" s="1"/>
  <c r="CE7" i="8"/>
  <c r="J427" i="27" s="1"/>
  <c r="CE8" i="8"/>
  <c r="J428" i="27" s="1"/>
  <c r="CE9" i="8"/>
  <c r="J429" i="27" s="1"/>
  <c r="CE10" i="8"/>
  <c r="J430" i="27" s="1"/>
  <c r="CE11" i="8"/>
  <c r="J431" i="27" s="1"/>
  <c r="CE12" i="8"/>
  <c r="J432" i="27" s="1"/>
  <c r="CE13" i="8"/>
  <c r="J433" i="27" s="1"/>
  <c r="CE14" i="8"/>
  <c r="J434" i="27" s="1"/>
  <c r="CE15" i="8"/>
  <c r="J435" i="27" s="1"/>
  <c r="CE16" i="8"/>
  <c r="J436" i="27" s="1"/>
  <c r="CE17" i="8"/>
  <c r="J437" i="27" s="1"/>
  <c r="CE18" i="8"/>
  <c r="J438" i="27" s="1"/>
  <c r="CE19" i="8"/>
  <c r="J439" i="27" s="1"/>
  <c r="CE20" i="8"/>
  <c r="J440" i="27" s="1"/>
  <c r="CE21" i="8"/>
  <c r="J441" i="27" s="1"/>
  <c r="CE22" i="8"/>
  <c r="J442" i="27" s="1"/>
  <c r="CE23" i="8"/>
  <c r="J443" i="27" s="1"/>
  <c r="CE24" i="8"/>
  <c r="J444" i="27" s="1"/>
  <c r="CE25" i="8"/>
  <c r="J445" i="27" s="1"/>
  <c r="CE26" i="8"/>
  <c r="J446" i="27" s="1"/>
  <c r="CE27" i="8"/>
  <c r="J447" i="27" s="1"/>
  <c r="CE28" i="8"/>
  <c r="J448" i="27" s="1"/>
  <c r="CE29" i="8"/>
  <c r="J449" i="27" s="1"/>
  <c r="CE30" i="8"/>
  <c r="J450" i="27" s="1"/>
  <c r="CE31" i="8"/>
  <c r="J451" i="27" s="1"/>
  <c r="CE32" i="8"/>
  <c r="J452" i="27" s="1"/>
  <c r="CE33" i="8"/>
  <c r="J453" i="27" s="1"/>
  <c r="CE34" i="8"/>
  <c r="J454" i="27" s="1"/>
  <c r="CE35" i="8"/>
  <c r="J455" i="27" s="1"/>
  <c r="CE36" i="8"/>
  <c r="J456" i="27" s="1"/>
  <c r="CE37" i="8"/>
  <c r="J457" i="27" s="1"/>
  <c r="CE38" i="8"/>
  <c r="J458" i="27" s="1"/>
  <c r="CE39" i="8"/>
  <c r="J459" i="27" s="1"/>
  <c r="CE40" i="8"/>
  <c r="J460" i="27" s="1"/>
  <c r="CE41" i="8"/>
  <c r="J461" i="27" s="1"/>
  <c r="CE42" i="8"/>
  <c r="J462" i="27" s="1"/>
  <c r="CE43" i="8"/>
  <c r="J463" i="27" s="1"/>
  <c r="CE44" i="8"/>
  <c r="J464" i="27" s="1"/>
  <c r="CE45" i="8"/>
  <c r="J465" i="27" s="1"/>
  <c r="CE46" i="8"/>
  <c r="J466" i="27" s="1"/>
  <c r="CE47" i="8"/>
  <c r="J467" i="27" s="1"/>
  <c r="CE48" i="8"/>
  <c r="J468" i="27" s="1"/>
  <c r="CE49" i="8"/>
  <c r="J469" i="27" s="1"/>
  <c r="CE50" i="8"/>
  <c r="J470" i="27" s="1"/>
  <c r="CE51" i="8"/>
  <c r="J471" i="27" s="1"/>
  <c r="CE52" i="8"/>
  <c r="J472" i="27" s="1"/>
  <c r="CE53" i="8"/>
  <c r="J473" i="27" s="1"/>
  <c r="CE54" i="8"/>
  <c r="J474" i="27" s="1"/>
  <c r="CE55" i="8"/>
  <c r="J475" i="27" s="1"/>
  <c r="CE56" i="8"/>
  <c r="J476" i="27" s="1"/>
  <c r="CE57" i="8"/>
  <c r="J477" i="27" s="1"/>
  <c r="CE58" i="8"/>
  <c r="J478" i="27" s="1"/>
  <c r="CE59" i="8"/>
  <c r="J479" i="27" s="1"/>
  <c r="CE60" i="8"/>
  <c r="J480" i="27" s="1"/>
  <c r="CE61" i="8"/>
  <c r="J481" i="27" s="1"/>
  <c r="CE62" i="8"/>
  <c r="J482" i="27" s="1"/>
  <c r="CE63" i="8"/>
  <c r="J483" i="27" s="1"/>
  <c r="CE64" i="8"/>
  <c r="J484" i="27" s="1"/>
  <c r="CE65" i="8"/>
  <c r="J485" i="27" s="1"/>
  <c r="CE66" i="8"/>
  <c r="J486" i="27" s="1"/>
  <c r="CE67" i="8"/>
  <c r="J487" i="27" s="1"/>
  <c r="CE68" i="8"/>
  <c r="J488" i="27" s="1"/>
  <c r="CE69" i="8"/>
  <c r="J489" i="27" s="1"/>
  <c r="CE70" i="8"/>
  <c r="J490" i="27" s="1"/>
  <c r="CE71" i="8"/>
  <c r="J491" i="27" s="1"/>
  <c r="CE72" i="8"/>
  <c r="J492" i="27" s="1"/>
  <c r="CE73" i="8"/>
  <c r="J493" i="27" s="1"/>
  <c r="CE74" i="8"/>
  <c r="J494" i="27" s="1"/>
  <c r="CE75" i="8"/>
  <c r="J495" i="27" s="1"/>
  <c r="CE76" i="8"/>
  <c r="J496" i="27" s="1"/>
  <c r="CE77" i="8"/>
  <c r="J497" i="27" s="1"/>
  <c r="CE78" i="8"/>
  <c r="J498" i="27" s="1"/>
  <c r="CE79" i="8"/>
  <c r="J499" i="27" s="1"/>
  <c r="CE80" i="8"/>
  <c r="J500" i="27" s="1"/>
  <c r="CE81" i="8"/>
  <c r="J501" i="27" s="1"/>
  <c r="CE82" i="8"/>
  <c r="J502" i="27" s="1"/>
  <c r="CE83" i="8"/>
  <c r="J503" i="27" s="1"/>
  <c r="CE84" i="8"/>
  <c r="J504" i="27" s="1"/>
  <c r="CE85" i="8"/>
  <c r="J505" i="27" s="1"/>
  <c r="CE86" i="8"/>
  <c r="J506" i="27" s="1"/>
  <c r="CE87" i="8"/>
  <c r="J507" i="27" s="1"/>
  <c r="CE88" i="8"/>
  <c r="J508" i="27" s="1"/>
  <c r="CE89" i="8"/>
  <c r="J509" i="27" s="1"/>
  <c r="CE90" i="8"/>
  <c r="J510" i="27" s="1"/>
  <c r="CE91" i="8"/>
  <c r="J511" i="27" s="1"/>
  <c r="CE92" i="8"/>
  <c r="J512" i="27" s="1"/>
  <c r="CE93" i="8"/>
  <c r="J513" i="27" s="1"/>
  <c r="CE94" i="8"/>
  <c r="J514" i="27" s="1"/>
  <c r="CE95" i="8"/>
  <c r="J515" i="27" s="1"/>
  <c r="CE96" i="8"/>
  <c r="J516" i="27" s="1"/>
  <c r="CE97" i="8"/>
  <c r="J517" i="27" s="1"/>
  <c r="CE98" i="8"/>
  <c r="J518" i="27" s="1"/>
  <c r="CE99" i="8"/>
  <c r="J519" i="27" s="1"/>
  <c r="CE100" i="8"/>
  <c r="J520" i="27" s="1"/>
  <c r="CE101" i="8"/>
  <c r="J521" i="27" s="1"/>
  <c r="CE102" i="8"/>
  <c r="J522" i="27" s="1"/>
  <c r="CE103" i="8"/>
  <c r="J523" i="27" s="1"/>
  <c r="CE104" i="8"/>
  <c r="J524" i="27" s="1"/>
  <c r="CE105" i="8"/>
  <c r="J525" i="27" s="1"/>
  <c r="CE106" i="8"/>
  <c r="J526" i="27" s="1"/>
  <c r="CE107" i="8"/>
  <c r="J527" i="27" s="1"/>
  <c r="CE108" i="8"/>
  <c r="J528" i="27" s="1"/>
  <c r="CE109" i="8"/>
  <c r="J529" i="27" s="1"/>
  <c r="CE110" i="8"/>
  <c r="J530" i="27" s="1"/>
  <c r="CE111" i="8"/>
  <c r="J531" i="27" s="1"/>
  <c r="CE112" i="8"/>
  <c r="J532" i="27" s="1"/>
  <c r="CE113" i="8"/>
  <c r="J533" i="27" s="1"/>
  <c r="CE114" i="8"/>
  <c r="J534" i="27" s="1"/>
  <c r="CE115" i="8"/>
  <c r="J535" i="27" s="1"/>
  <c r="CE116" i="8"/>
  <c r="J536" i="27" s="1"/>
  <c r="CE117" i="8"/>
  <c r="J537" i="27" s="1"/>
  <c r="CE118" i="8"/>
  <c r="J538" i="27" s="1"/>
  <c r="CE119" i="8"/>
  <c r="J539" i="27" s="1"/>
  <c r="CE120" i="8"/>
  <c r="J540" i="27" s="1"/>
  <c r="CE121" i="8"/>
  <c r="J541" i="27" s="1"/>
  <c r="CE122" i="8"/>
  <c r="J542" i="27" s="1"/>
  <c r="CE123" i="8"/>
  <c r="J543" i="27" s="1"/>
  <c r="CE124" i="8"/>
  <c r="J544" i="27" s="1"/>
  <c r="CE125" i="8"/>
  <c r="J545" i="27" s="1"/>
  <c r="CE126" i="8"/>
  <c r="J546" i="27" s="1"/>
  <c r="CE127" i="8"/>
  <c r="J547" i="27" s="1"/>
  <c r="CE128" i="8"/>
  <c r="J548" i="27" s="1"/>
  <c r="CE129" i="8"/>
  <c r="J549" i="27" s="1"/>
  <c r="CE130" i="8"/>
  <c r="J550" i="27" s="1"/>
  <c r="CE131" i="8"/>
  <c r="J551" i="27" s="1"/>
  <c r="CE132" i="8"/>
  <c r="J552" i="27" s="1"/>
  <c r="CE133" i="8"/>
  <c r="J553" i="27" s="1"/>
  <c r="CE134" i="8"/>
  <c r="J554" i="27" s="1"/>
  <c r="CE135" i="8"/>
  <c r="J555" i="27" s="1"/>
  <c r="CE136" i="8"/>
  <c r="J556" i="27" s="1"/>
  <c r="CE137" i="8"/>
  <c r="J557" i="27" s="1"/>
  <c r="CE138" i="8"/>
  <c r="J558" i="27" s="1"/>
  <c r="CE139" i="8"/>
  <c r="J559" i="27" s="1"/>
  <c r="CE140" i="8"/>
  <c r="J560" i="27" s="1"/>
  <c r="CE141" i="8"/>
  <c r="J561" i="27" s="1"/>
  <c r="CE142" i="8"/>
  <c r="J562" i="27" s="1"/>
  <c r="CE143" i="8"/>
  <c r="J563" i="27" s="1"/>
  <c r="CE144" i="8"/>
  <c r="J564" i="27" s="1"/>
  <c r="CE145" i="8"/>
  <c r="J565" i="27" s="1"/>
  <c r="CE146" i="8"/>
  <c r="J566" i="27" s="1"/>
  <c r="CE147" i="8"/>
  <c r="J567" i="27" s="1"/>
  <c r="CE148" i="8"/>
  <c r="J568" i="27" s="1"/>
  <c r="CE149" i="8"/>
  <c r="J569" i="27" s="1"/>
  <c r="CE150" i="8"/>
  <c r="J570" i="27" s="1"/>
  <c r="CE151" i="8"/>
  <c r="J571" i="27" s="1"/>
  <c r="CE152" i="8"/>
  <c r="J572" i="27" s="1"/>
  <c r="CE153" i="8"/>
  <c r="J573" i="27" s="1"/>
  <c r="CE154" i="8"/>
  <c r="J574" i="27" s="1"/>
  <c r="CE155" i="8"/>
  <c r="J575" i="27" s="1"/>
  <c r="CE156" i="8"/>
  <c r="J576" i="27" s="1"/>
  <c r="CE157" i="8"/>
  <c r="J577" i="27" s="1"/>
  <c r="CE158" i="8"/>
  <c r="J578" i="27" s="1"/>
  <c r="CE159" i="8"/>
  <c r="J579" i="27" s="1"/>
  <c r="CE160" i="8"/>
  <c r="J580" i="27" s="1"/>
  <c r="CE161" i="8"/>
  <c r="J581" i="27" s="1"/>
  <c r="CE162" i="8"/>
  <c r="J582" i="27" s="1"/>
  <c r="CE163" i="8"/>
  <c r="J583" i="27" s="1"/>
  <c r="CE164" i="8"/>
  <c r="J584" i="27" s="1"/>
  <c r="CE165" i="8"/>
  <c r="J585" i="27" s="1"/>
  <c r="CE166" i="8"/>
  <c r="J586" i="27" s="1"/>
  <c r="CE167" i="8"/>
  <c r="J587" i="27" s="1"/>
  <c r="CE168" i="8"/>
  <c r="J588" i="27" s="1"/>
  <c r="CE169" i="8"/>
  <c r="J589" i="27" s="1"/>
  <c r="CE170" i="8"/>
  <c r="J590" i="27" s="1"/>
  <c r="CE171" i="8"/>
  <c r="J591" i="27" s="1"/>
  <c r="CE172" i="8"/>
  <c r="J592" i="27" s="1"/>
  <c r="CE173" i="8"/>
  <c r="J593" i="27" s="1"/>
  <c r="CE174" i="8"/>
  <c r="J594" i="27" s="1"/>
  <c r="CE175" i="8"/>
  <c r="J595" i="27" s="1"/>
  <c r="CE176" i="8"/>
  <c r="J596" i="27" s="1"/>
  <c r="CE177" i="8"/>
  <c r="J597" i="27" s="1"/>
  <c r="CE178" i="8"/>
  <c r="J598" i="27" s="1"/>
  <c r="CE179" i="8"/>
  <c r="J599" i="27" s="1"/>
  <c r="CE180" i="8"/>
  <c r="J600" i="27" s="1"/>
  <c r="CE181" i="8"/>
  <c r="J601" i="27" s="1"/>
  <c r="CE182" i="8"/>
  <c r="J602" i="27" s="1"/>
  <c r="CE183" i="8"/>
  <c r="J603" i="27" s="1"/>
  <c r="CE184" i="8"/>
  <c r="J604" i="27" s="1"/>
  <c r="CE185" i="8"/>
  <c r="J605" i="27" s="1"/>
  <c r="CE186" i="8"/>
  <c r="J606" i="27" s="1"/>
  <c r="CE187" i="8"/>
  <c r="J607" i="27" s="1"/>
  <c r="CE188" i="8"/>
  <c r="J608" i="27" s="1"/>
  <c r="CE189" i="8"/>
  <c r="J609" i="27" s="1"/>
  <c r="CE190" i="8"/>
  <c r="J610" i="27" s="1"/>
  <c r="CE191" i="8"/>
  <c r="J611" i="27" s="1"/>
  <c r="CE192" i="8"/>
  <c r="J612" i="27" s="1"/>
  <c r="CE193" i="8"/>
  <c r="J613" i="27" s="1"/>
  <c r="CE194" i="8"/>
  <c r="J614" i="27" s="1"/>
  <c r="CE195" i="8"/>
  <c r="J615" i="27" s="1"/>
  <c r="CE196" i="8"/>
  <c r="J616" i="27" s="1"/>
  <c r="CE197" i="8"/>
  <c r="J617" i="27" s="1"/>
  <c r="CE198" i="8"/>
  <c r="J618" i="27" s="1"/>
  <c r="CE199" i="8"/>
  <c r="J619" i="27" s="1"/>
  <c r="CE200" i="8"/>
  <c r="J620" i="27" s="1"/>
  <c r="CE201" i="8"/>
  <c r="J621" i="27" s="1"/>
  <c r="CE202" i="8"/>
  <c r="J622" i="27" s="1"/>
  <c r="CE203" i="8"/>
  <c r="J623" i="27" s="1"/>
  <c r="CE204" i="8"/>
  <c r="J624" i="27" s="1"/>
  <c r="CE205" i="8"/>
  <c r="J625" i="27" s="1"/>
  <c r="CE206" i="8"/>
  <c r="J626" i="27" s="1"/>
  <c r="CE207" i="8"/>
  <c r="J627" i="27" s="1"/>
  <c r="CE208" i="8"/>
  <c r="J628" i="27" s="1"/>
  <c r="CE209" i="8"/>
  <c r="J629" i="27" s="1"/>
  <c r="CE210" i="8"/>
  <c r="J630" i="27" s="1"/>
  <c r="CE211" i="8"/>
  <c r="J631" i="27" s="1"/>
  <c r="CE212" i="8"/>
  <c r="J632" i="27" s="1"/>
  <c r="CE213" i="8"/>
  <c r="J633" i="27" s="1"/>
  <c r="CE214" i="8"/>
  <c r="J634" i="27" s="1"/>
  <c r="CE215" i="8"/>
  <c r="J635" i="27" s="1"/>
  <c r="CE216" i="8"/>
  <c r="J636" i="27" s="1"/>
  <c r="CE217" i="8"/>
  <c r="J637" i="27" s="1"/>
  <c r="CE218" i="8"/>
  <c r="J638" i="27" s="1"/>
  <c r="CE219" i="8"/>
  <c r="J639" i="27" s="1"/>
  <c r="CE220" i="8"/>
  <c r="J640" i="27" s="1"/>
  <c r="CE221" i="8"/>
  <c r="J641" i="27" s="1"/>
  <c r="CE222" i="8"/>
  <c r="J642" i="27" s="1"/>
  <c r="CE223" i="8"/>
  <c r="J643" i="27" s="1"/>
  <c r="CE224" i="8"/>
  <c r="J644" i="27" s="1"/>
  <c r="CE225" i="8"/>
  <c r="J645" i="27" s="1"/>
  <c r="CE226" i="8"/>
  <c r="J646" i="27" s="1"/>
  <c r="CE227" i="8"/>
  <c r="J647" i="27" s="1"/>
  <c r="CE228" i="8"/>
  <c r="J648" i="27" s="1"/>
  <c r="CE229" i="8"/>
  <c r="J649" i="27" s="1"/>
  <c r="CE230" i="8"/>
  <c r="J650" i="27" s="1"/>
  <c r="CE231" i="8"/>
  <c r="J651" i="27" s="1"/>
  <c r="CE232" i="8"/>
  <c r="J652" i="27" s="1"/>
  <c r="CE233" i="8"/>
  <c r="J653" i="27" s="1"/>
  <c r="CE234" i="8"/>
  <c r="J654" i="27" s="1"/>
  <c r="CE235" i="8"/>
  <c r="J655" i="27" s="1"/>
  <c r="CE236" i="8"/>
  <c r="J656" i="27" s="1"/>
  <c r="CE237" i="8"/>
  <c r="J657" i="27" s="1"/>
  <c r="CE238" i="8"/>
  <c r="J658" i="27" s="1"/>
  <c r="CE239" i="8"/>
  <c r="J659" i="27" s="1"/>
  <c r="CE240" i="8"/>
  <c r="J660" i="27" s="1"/>
  <c r="CE241" i="8"/>
  <c r="J661" i="27" s="1"/>
  <c r="CE242" i="8"/>
  <c r="J662" i="27" s="1"/>
  <c r="CE243" i="8"/>
  <c r="J663" i="27" s="1"/>
  <c r="CE244" i="8"/>
  <c r="J664" i="27" s="1"/>
  <c r="CE245" i="8"/>
  <c r="J665" i="27" s="1"/>
  <c r="CE246" i="8"/>
  <c r="J666" i="27" s="1"/>
  <c r="CE247" i="8"/>
  <c r="J667" i="27" s="1"/>
  <c r="CE248" i="8"/>
  <c r="J668" i="27" s="1"/>
  <c r="CE249" i="8"/>
  <c r="J669" i="27" s="1"/>
  <c r="CE250" i="8"/>
  <c r="J670" i="27" s="1"/>
  <c r="CE251" i="8"/>
  <c r="J671" i="27" s="1"/>
  <c r="CE252" i="8"/>
  <c r="J672" i="27" s="1"/>
  <c r="CE253" i="8"/>
  <c r="J673" i="27" s="1"/>
  <c r="CE254" i="8"/>
  <c r="J674" i="27" s="1"/>
  <c r="CE255" i="8"/>
  <c r="J675" i="27" s="1"/>
  <c r="CE256" i="8"/>
  <c r="J676" i="27" s="1"/>
  <c r="CE257" i="8"/>
  <c r="J677" i="27" s="1"/>
  <c r="CE258" i="8"/>
  <c r="J678" i="27" s="1"/>
  <c r="CE259" i="8"/>
  <c r="J679" i="27" s="1"/>
  <c r="CE260" i="8"/>
  <c r="J680" i="27" s="1"/>
  <c r="CE261" i="8"/>
  <c r="J681" i="27" s="1"/>
  <c r="CE262" i="8"/>
  <c r="J682" i="27" s="1"/>
  <c r="CE263" i="8"/>
  <c r="J683" i="27" s="1"/>
  <c r="CE264" i="8"/>
  <c r="J684" i="27" s="1"/>
  <c r="CE265" i="8"/>
  <c r="J685" i="27" s="1"/>
  <c r="CE266" i="8"/>
  <c r="J686" i="27" s="1"/>
  <c r="CE267" i="8"/>
  <c r="J687" i="27" s="1"/>
  <c r="CE268" i="8"/>
  <c r="J688" i="27" s="1"/>
  <c r="CE269" i="8"/>
  <c r="J689" i="27" s="1"/>
  <c r="CE270" i="8"/>
  <c r="J690" i="27" s="1"/>
  <c r="CE271" i="8"/>
  <c r="J691" i="27" s="1"/>
  <c r="CE272" i="8"/>
  <c r="J692" i="27" s="1"/>
  <c r="CE273" i="8"/>
  <c r="J693" i="27" s="1"/>
  <c r="CE274" i="8"/>
  <c r="J694" i="27" s="1"/>
  <c r="CE275" i="8"/>
  <c r="J695" i="27" s="1"/>
  <c r="CE276" i="8"/>
  <c r="J696" i="27" s="1"/>
  <c r="CE277" i="8"/>
  <c r="J697" i="27" s="1"/>
  <c r="CE278" i="8"/>
  <c r="J698" i="27" s="1"/>
  <c r="CE279" i="8"/>
  <c r="J699" i="27" s="1"/>
  <c r="CE280" i="8"/>
  <c r="J700" i="27" s="1"/>
  <c r="CE281" i="8"/>
  <c r="J701" i="27" s="1"/>
  <c r="CE282" i="8"/>
  <c r="J702" i="27" s="1"/>
  <c r="CE283" i="8"/>
  <c r="J703" i="27" s="1"/>
  <c r="CE284" i="8"/>
  <c r="J704" i="27" s="1"/>
  <c r="CE285" i="8"/>
  <c r="J705" i="27" s="1"/>
  <c r="CE286" i="8"/>
  <c r="J706" i="27" s="1"/>
  <c r="CE287" i="8"/>
  <c r="J707" i="27" s="1"/>
  <c r="CE288" i="8"/>
  <c r="J708" i="27" s="1"/>
  <c r="CE289" i="8"/>
  <c r="J709" i="27" s="1"/>
  <c r="CE290" i="8"/>
  <c r="J710" i="27" s="1"/>
  <c r="CE291" i="8"/>
  <c r="J711" i="27" s="1"/>
  <c r="CE292" i="8"/>
  <c r="J712" i="27" s="1"/>
  <c r="CE293" i="8"/>
  <c r="J713" i="27" s="1"/>
  <c r="CE294" i="8"/>
  <c r="J714" i="27" s="1"/>
  <c r="CE295" i="8"/>
  <c r="J715" i="27" s="1"/>
  <c r="CE296" i="8"/>
  <c r="J716" i="27" s="1"/>
  <c r="CE297" i="8"/>
  <c r="J717" i="27" s="1"/>
  <c r="CE298" i="8"/>
  <c r="J718" i="27" s="1"/>
  <c r="CE299" i="8"/>
  <c r="J719" i="27" s="1"/>
  <c r="CE300" i="8"/>
  <c r="J720" i="27" s="1"/>
  <c r="CE301" i="8"/>
  <c r="J721" i="27" s="1"/>
  <c r="CE302" i="8"/>
  <c r="J722" i="27" s="1"/>
  <c r="CE303" i="8"/>
  <c r="J723" i="27" s="1"/>
  <c r="CE304" i="8"/>
  <c r="J724" i="27" s="1"/>
  <c r="CE305" i="8"/>
  <c r="J725" i="27" s="1"/>
  <c r="CE306" i="8"/>
  <c r="J726" i="27" s="1"/>
  <c r="CE307" i="8"/>
  <c r="J727" i="27" s="1"/>
  <c r="CE308" i="8"/>
  <c r="J728" i="27" s="1"/>
  <c r="CE309" i="8"/>
  <c r="J729" i="27" s="1"/>
  <c r="CE310" i="8"/>
  <c r="J730" i="27" s="1"/>
  <c r="CE311" i="8"/>
  <c r="J731" i="27" s="1"/>
  <c r="CE312" i="8"/>
  <c r="J732" i="27" s="1"/>
  <c r="CE313" i="8"/>
  <c r="J733" i="27" s="1"/>
  <c r="CE314" i="8"/>
  <c r="J734" i="27" s="1"/>
  <c r="CE315" i="8"/>
  <c r="J735" i="27" s="1"/>
  <c r="CE316" i="8"/>
  <c r="J736" i="27" s="1"/>
  <c r="CE317" i="8"/>
  <c r="J737" i="27" s="1"/>
  <c r="CE318" i="8"/>
  <c r="J738" i="27" s="1"/>
  <c r="CE319" i="8"/>
  <c r="J739" i="27" s="1"/>
  <c r="CE320" i="8"/>
  <c r="J740" i="27" s="1"/>
  <c r="CE321" i="8"/>
  <c r="J741" i="27" s="1"/>
  <c r="CE322" i="8"/>
  <c r="J742" i="27" s="1"/>
  <c r="CE323" i="8"/>
  <c r="J743" i="27" s="1"/>
  <c r="CE324" i="8"/>
  <c r="J744" i="27" s="1"/>
  <c r="CE325" i="8"/>
  <c r="J745" i="27" s="1"/>
  <c r="CE326" i="8"/>
  <c r="J746" i="27" s="1"/>
  <c r="CE327" i="8"/>
  <c r="J747" i="27" s="1"/>
  <c r="CE328" i="8"/>
  <c r="J748" i="27" s="1"/>
  <c r="CE329" i="8"/>
  <c r="J749" i="27" s="1"/>
  <c r="CE330" i="8"/>
  <c r="J750" i="27" s="1"/>
  <c r="CE331" i="8"/>
  <c r="J751" i="27" s="1"/>
  <c r="CE332" i="8"/>
  <c r="J752" i="27" s="1"/>
  <c r="CE333" i="8"/>
  <c r="J753" i="27" s="1"/>
  <c r="CE334" i="8"/>
  <c r="J754" i="27" s="1"/>
  <c r="CE335" i="8"/>
  <c r="J755" i="27" s="1"/>
  <c r="CE336" i="8"/>
  <c r="J756" i="27" s="1"/>
  <c r="CE337" i="8"/>
  <c r="J757" i="27" s="1"/>
  <c r="CE338" i="8"/>
  <c r="J758" i="27" s="1"/>
  <c r="CE339" i="8"/>
  <c r="J759" i="27" s="1"/>
  <c r="CE340" i="8"/>
  <c r="J760" i="27" s="1"/>
  <c r="CE341" i="8"/>
  <c r="J761" i="27" s="1"/>
  <c r="CE342" i="8"/>
  <c r="J762" i="27" s="1"/>
  <c r="CE343" i="8"/>
  <c r="J763" i="27" s="1"/>
  <c r="CE344" i="8"/>
  <c r="J764" i="27" s="1"/>
  <c r="CE345" i="8"/>
  <c r="J765" i="27" s="1"/>
  <c r="CE346" i="8"/>
  <c r="J766" i="27" s="1"/>
  <c r="CE347" i="8"/>
  <c r="J767" i="27" s="1"/>
  <c r="CE348" i="8"/>
  <c r="J768" i="27" s="1"/>
  <c r="CE349" i="8"/>
  <c r="J769" i="27" s="1"/>
  <c r="CE350" i="8"/>
  <c r="J770" i="27" s="1"/>
  <c r="CE351" i="8"/>
  <c r="J771" i="27" s="1"/>
  <c r="CE352" i="8"/>
  <c r="J772" i="27" s="1"/>
  <c r="CE353" i="8"/>
  <c r="J773" i="27" s="1"/>
  <c r="CE354" i="8"/>
  <c r="J774" i="27" s="1"/>
  <c r="CE355" i="8"/>
  <c r="J775" i="27" s="1"/>
  <c r="CE356" i="8"/>
  <c r="J776" i="27" s="1"/>
  <c r="CE357" i="8"/>
  <c r="J777" i="27" s="1"/>
  <c r="CE358" i="8"/>
  <c r="J778" i="27" s="1"/>
  <c r="CE359" i="8"/>
  <c r="J779" i="27" s="1"/>
  <c r="CE360" i="8"/>
  <c r="J780" i="27" s="1"/>
  <c r="CE361" i="8"/>
  <c r="J781" i="27" s="1"/>
  <c r="CE362" i="8"/>
  <c r="J782" i="27" s="1"/>
  <c r="CE363" i="8"/>
  <c r="J783" i="27" s="1"/>
  <c r="CE364" i="8"/>
  <c r="J784" i="27" s="1"/>
  <c r="CE365" i="8"/>
  <c r="J785" i="27" s="1"/>
  <c r="CE366" i="8"/>
  <c r="J786" i="27" s="1"/>
  <c r="CE367" i="8"/>
  <c r="J787" i="27" s="1"/>
  <c r="CE368" i="8"/>
  <c r="J788" i="27" s="1"/>
  <c r="CE369" i="8"/>
  <c r="J789" i="27" s="1"/>
  <c r="CE370" i="8"/>
  <c r="J790" i="27" s="1"/>
  <c r="CE371" i="8"/>
  <c r="J791" i="27" s="1"/>
  <c r="CE372" i="8"/>
  <c r="J792" i="27" s="1"/>
  <c r="CE373" i="8"/>
  <c r="J793" i="27" s="1"/>
  <c r="CE374" i="8"/>
  <c r="J794" i="27" s="1"/>
  <c r="CE375" i="8"/>
  <c r="J795" i="27" s="1"/>
  <c r="CE376" i="8"/>
  <c r="J796" i="27" s="1"/>
  <c r="CE377" i="8"/>
  <c r="J797" i="27" s="1"/>
  <c r="CE378" i="8"/>
  <c r="J798" i="27" s="1"/>
  <c r="CE379" i="8"/>
  <c r="J799" i="27" s="1"/>
  <c r="CE380" i="8"/>
  <c r="J800" i="27" s="1"/>
  <c r="CE381" i="8"/>
  <c r="J801" i="27" s="1"/>
  <c r="CE382" i="8"/>
  <c r="J802" i="27" s="1"/>
  <c r="CE383" i="8"/>
  <c r="J803" i="27" s="1"/>
  <c r="CE384" i="8"/>
  <c r="J804" i="27" s="1"/>
  <c r="CE385" i="8"/>
  <c r="J805" i="27" s="1"/>
  <c r="CE386" i="8"/>
  <c r="J806" i="27" s="1"/>
  <c r="CE387" i="8"/>
  <c r="J807" i="27" s="1"/>
  <c r="CE388" i="8"/>
  <c r="J808" i="27" s="1"/>
  <c r="CE389" i="8"/>
  <c r="J809" i="27" s="1"/>
  <c r="CE390" i="8"/>
  <c r="J810" i="27" s="1"/>
  <c r="CE391" i="8"/>
  <c r="J811" i="27" s="1"/>
  <c r="CE392" i="8"/>
  <c r="J812" i="27" s="1"/>
  <c r="CE393" i="8"/>
  <c r="J813" i="27" s="1"/>
  <c r="CE394" i="8"/>
  <c r="J814" i="27" s="1"/>
  <c r="CE395" i="8"/>
  <c r="J815" i="27" s="1"/>
  <c r="CE396" i="8"/>
  <c r="J816" i="27" s="1"/>
  <c r="CE397" i="8"/>
  <c r="J817" i="27" s="1"/>
  <c r="CE398" i="8"/>
  <c r="J818" i="27" s="1"/>
  <c r="CE399" i="8"/>
  <c r="J819" i="27" s="1"/>
  <c r="CE400" i="8"/>
  <c r="J820" i="27" s="1"/>
  <c r="CE401" i="8"/>
  <c r="J821" i="27" s="1"/>
  <c r="CE402" i="8"/>
  <c r="CE403" i="8"/>
  <c r="CE404" i="8"/>
  <c r="CE405" i="8"/>
  <c r="CE406" i="8"/>
  <c r="CE407" i="8"/>
  <c r="CE408" i="8"/>
  <c r="CE409" i="8"/>
  <c r="CE410" i="8"/>
  <c r="CE411" i="8"/>
  <c r="CE412" i="8"/>
  <c r="CE413" i="8"/>
  <c r="CE414" i="8"/>
  <c r="CE415" i="8"/>
  <c r="CE416" i="8"/>
  <c r="CE417" i="8"/>
  <c r="CE418" i="8"/>
  <c r="CE419" i="8"/>
  <c r="CE420" i="8"/>
  <c r="CE421" i="8"/>
  <c r="CE422" i="8"/>
  <c r="CE423" i="8"/>
  <c r="CE424" i="8"/>
  <c r="CE425" i="8"/>
  <c r="CE426" i="8"/>
  <c r="CE427" i="8"/>
  <c r="CE428" i="8"/>
  <c r="CE429" i="8"/>
  <c r="CE430" i="8"/>
  <c r="CE431" i="8"/>
  <c r="CE432" i="8"/>
  <c r="CE433" i="8"/>
  <c r="CE434" i="8"/>
  <c r="CE435" i="8"/>
  <c r="CE436" i="8"/>
  <c r="CE437" i="8"/>
  <c r="CE438" i="8"/>
  <c r="CE439" i="8"/>
  <c r="CE440" i="8"/>
  <c r="CE441" i="8"/>
  <c r="CE442" i="8"/>
  <c r="CE443" i="8"/>
  <c r="CE444" i="8"/>
  <c r="CE445" i="8"/>
  <c r="CE446" i="8"/>
  <c r="CE447" i="8"/>
  <c r="CE448" i="8"/>
  <c r="CE449" i="8"/>
  <c r="CE450" i="8"/>
  <c r="CE451" i="8"/>
  <c r="CE452" i="8"/>
  <c r="CE453" i="8"/>
  <c r="CE454" i="8"/>
  <c r="CE455" i="8"/>
  <c r="CE456" i="8"/>
  <c r="CE457" i="8"/>
  <c r="CE458" i="8"/>
  <c r="CE459" i="8"/>
  <c r="CE460" i="8"/>
  <c r="CE461" i="8"/>
  <c r="CE462" i="8"/>
  <c r="CE463" i="8"/>
  <c r="CE464" i="8"/>
  <c r="CE465" i="8"/>
  <c r="CE466" i="8"/>
  <c r="CE467" i="8"/>
  <c r="CE468" i="8"/>
  <c r="CE469" i="8"/>
  <c r="CE470" i="8"/>
  <c r="CE471" i="8"/>
  <c r="CE472" i="8"/>
  <c r="CE473" i="8"/>
  <c r="CE474" i="8"/>
  <c r="CE475" i="8"/>
  <c r="CE476" i="8"/>
  <c r="CE477" i="8"/>
  <c r="CE478" i="8"/>
  <c r="CE479" i="8"/>
  <c r="CE480" i="8"/>
  <c r="CE481" i="8"/>
  <c r="CE482" i="8"/>
  <c r="CE483" i="8"/>
  <c r="CE484" i="8"/>
  <c r="CE485" i="8"/>
  <c r="CE486" i="8"/>
  <c r="CE487" i="8"/>
  <c r="CE488" i="8"/>
  <c r="CE489" i="8"/>
  <c r="CE490" i="8"/>
  <c r="CE491" i="8"/>
  <c r="CE492" i="8"/>
  <c r="CE493" i="8"/>
  <c r="CE494" i="8"/>
  <c r="CE495" i="8"/>
  <c r="CE496" i="8"/>
  <c r="CE497" i="8"/>
  <c r="CE498" i="8"/>
  <c r="CE499" i="8"/>
  <c r="CE500" i="8"/>
  <c r="CE501" i="8"/>
  <c r="CE502" i="8"/>
  <c r="CE503" i="8"/>
  <c r="CE504" i="8"/>
  <c r="CE505" i="8"/>
  <c r="CE506" i="8"/>
  <c r="CE507" i="8"/>
  <c r="CE508" i="8"/>
  <c r="CE509" i="8"/>
  <c r="CE510" i="8"/>
  <c r="CE511" i="8"/>
  <c r="CE512" i="8"/>
  <c r="CE513" i="8"/>
  <c r="CE514" i="8"/>
  <c r="CE515" i="8"/>
  <c r="CE516" i="8"/>
  <c r="CE517" i="8"/>
  <c r="CE518" i="8"/>
  <c r="CE519" i="8"/>
  <c r="CE520" i="8"/>
  <c r="CE521" i="8"/>
  <c r="CE522" i="8"/>
  <c r="CE523" i="8"/>
  <c r="CE524" i="8"/>
  <c r="CE525" i="8"/>
  <c r="CE526" i="8"/>
  <c r="CE527" i="8"/>
  <c r="CE528" i="8"/>
  <c r="CE529" i="8"/>
  <c r="CE530" i="8"/>
  <c r="CE531" i="8"/>
  <c r="CE532" i="8"/>
  <c r="CE533" i="8"/>
  <c r="CE534" i="8"/>
  <c r="CE535" i="8"/>
  <c r="CE536" i="8"/>
  <c r="CE537" i="8"/>
  <c r="CE538" i="8"/>
  <c r="CE539" i="8"/>
  <c r="CE540" i="8"/>
  <c r="CE541" i="8"/>
  <c r="CE542" i="8"/>
  <c r="CE543" i="8"/>
  <c r="CE544" i="8"/>
  <c r="CE545" i="8"/>
  <c r="CE546" i="8"/>
  <c r="CE547" i="8"/>
  <c r="CE548" i="8"/>
  <c r="CE549" i="8"/>
  <c r="CE550" i="8"/>
  <c r="CE551" i="8"/>
  <c r="CE552" i="8"/>
  <c r="CE553" i="8"/>
  <c r="CE554" i="8"/>
  <c r="CE555" i="8"/>
  <c r="CE556" i="8"/>
  <c r="CE557" i="8"/>
  <c r="CE558" i="8"/>
  <c r="CE559" i="8"/>
  <c r="CE560" i="8"/>
  <c r="CE561" i="8"/>
  <c r="CE562" i="8"/>
  <c r="CE563" i="8"/>
  <c r="CE564" i="8"/>
  <c r="CE565" i="8"/>
  <c r="CE566" i="8"/>
  <c r="CE567" i="8"/>
  <c r="CE568" i="8"/>
  <c r="CE569" i="8"/>
  <c r="CE570" i="8"/>
  <c r="CE571" i="8"/>
  <c r="CE572" i="8"/>
  <c r="CE573" i="8"/>
  <c r="CE574" i="8"/>
  <c r="CE575" i="8"/>
  <c r="CE576" i="8"/>
  <c r="CE577" i="8"/>
  <c r="CE578" i="8"/>
  <c r="CE579" i="8"/>
  <c r="CE580" i="8"/>
  <c r="CE581" i="8"/>
  <c r="CE582" i="8"/>
  <c r="CE583" i="8"/>
  <c r="CE584" i="8"/>
  <c r="CE585" i="8"/>
  <c r="CE586" i="8"/>
  <c r="CE587" i="8"/>
  <c r="CE588" i="8"/>
  <c r="CE589" i="8"/>
  <c r="CE590" i="8"/>
  <c r="CE591" i="8"/>
  <c r="CE592" i="8"/>
  <c r="CE593" i="8"/>
  <c r="CE594" i="8"/>
  <c r="CE595" i="8"/>
  <c r="CE596" i="8"/>
  <c r="CE597" i="8"/>
  <c r="CE598" i="8"/>
  <c r="CE599" i="8"/>
  <c r="CE600" i="8"/>
  <c r="CE601" i="8"/>
  <c r="CE602" i="8"/>
  <c r="CE603" i="8"/>
  <c r="CE604" i="8"/>
  <c r="CE605" i="8"/>
  <c r="CE606" i="8"/>
  <c r="CE607" i="8"/>
  <c r="CE608" i="8"/>
  <c r="CE609" i="8"/>
  <c r="CE610" i="8"/>
  <c r="CE611" i="8"/>
  <c r="CE612" i="8"/>
  <c r="CE613" i="8"/>
  <c r="CE614" i="8"/>
  <c r="CE615" i="8"/>
  <c r="CE616" i="8"/>
  <c r="CE617" i="8"/>
  <c r="CE618" i="8"/>
  <c r="CE619" i="8"/>
  <c r="CE620" i="8"/>
  <c r="CE621" i="8"/>
  <c r="CE622" i="8"/>
  <c r="CE623" i="8"/>
  <c r="CE624" i="8"/>
  <c r="CE625" i="8"/>
  <c r="CE626" i="8"/>
  <c r="CE627" i="8"/>
  <c r="CE628" i="8"/>
  <c r="CE629" i="8"/>
  <c r="CE630" i="8"/>
  <c r="CE631" i="8"/>
  <c r="CE632" i="8"/>
  <c r="CE633" i="8"/>
  <c r="CE634" i="8"/>
  <c r="CE635" i="8"/>
  <c r="CE636" i="8"/>
  <c r="CE637" i="8"/>
  <c r="CE638" i="8"/>
  <c r="CE639" i="8"/>
  <c r="CE640" i="8"/>
  <c r="CE641" i="8"/>
  <c r="CE642" i="8"/>
  <c r="CE643" i="8"/>
  <c r="CE644" i="8"/>
  <c r="CE645" i="8"/>
  <c r="CE646" i="8"/>
  <c r="CE647" i="8"/>
  <c r="CE648" i="8"/>
  <c r="CE649" i="8"/>
  <c r="CE650" i="8"/>
  <c r="CE651" i="8"/>
  <c r="CE652" i="8"/>
  <c r="CE653" i="8"/>
  <c r="CE654" i="8"/>
  <c r="CE655" i="8"/>
  <c r="CE656" i="8"/>
  <c r="CE657" i="8"/>
  <c r="CE658" i="8"/>
  <c r="CE659" i="8"/>
  <c r="CE660" i="8"/>
  <c r="CE661" i="8"/>
  <c r="CE662" i="8"/>
  <c r="CE663" i="8"/>
  <c r="CE664" i="8"/>
  <c r="CE665" i="8"/>
  <c r="CE666" i="8"/>
  <c r="CE667" i="8"/>
  <c r="CE668" i="8"/>
  <c r="CE669" i="8"/>
  <c r="CE670" i="8"/>
  <c r="CE671" i="8"/>
  <c r="CE672" i="8"/>
  <c r="CE673" i="8"/>
  <c r="CE674" i="8"/>
  <c r="CE675" i="8"/>
  <c r="CE676" i="8"/>
  <c r="CE677" i="8"/>
  <c r="CE678" i="8"/>
  <c r="CE679" i="8"/>
  <c r="CE680" i="8"/>
  <c r="CE681" i="8"/>
  <c r="CE682" i="8"/>
  <c r="CE683" i="8"/>
  <c r="CE684" i="8"/>
  <c r="CE685" i="8"/>
  <c r="CE686" i="8"/>
  <c r="CE687" i="8"/>
  <c r="CE688" i="8"/>
  <c r="CE689" i="8"/>
  <c r="CE690" i="8"/>
  <c r="CE691" i="8"/>
  <c r="CE692" i="8"/>
  <c r="CE693" i="8"/>
  <c r="CE694" i="8"/>
  <c r="CE695" i="8"/>
  <c r="CE696" i="8"/>
  <c r="CE697" i="8"/>
  <c r="CE698" i="8"/>
  <c r="CE699" i="8"/>
  <c r="CE700" i="8"/>
  <c r="CE701" i="8"/>
  <c r="CE702" i="8"/>
  <c r="CE703" i="8"/>
  <c r="CE704" i="8"/>
  <c r="CE705" i="8"/>
  <c r="CE706" i="8"/>
  <c r="CE707" i="8"/>
  <c r="CE708" i="8"/>
  <c r="CE709" i="8"/>
  <c r="CE710" i="8"/>
  <c r="CE711" i="8"/>
  <c r="CE712" i="8"/>
  <c r="CE713" i="8"/>
  <c r="CE714" i="8"/>
  <c r="CE715" i="8"/>
  <c r="CE716" i="8"/>
  <c r="CE717" i="8"/>
  <c r="CE718" i="8"/>
  <c r="CE719" i="8"/>
  <c r="CE720" i="8"/>
  <c r="CE721" i="8"/>
  <c r="CE722" i="8"/>
  <c r="CE723" i="8"/>
  <c r="CE724" i="8"/>
  <c r="CE725" i="8"/>
  <c r="CE726" i="8"/>
  <c r="CE727" i="8"/>
  <c r="CE728" i="8"/>
  <c r="CE729" i="8"/>
  <c r="CE730" i="8"/>
  <c r="CE731" i="8"/>
  <c r="CE732" i="8"/>
  <c r="CE733" i="8"/>
  <c r="CE734" i="8"/>
  <c r="CE735" i="8"/>
  <c r="CE736" i="8"/>
  <c r="CE737" i="8"/>
  <c r="CE738" i="8"/>
  <c r="CE739" i="8"/>
  <c r="CE740" i="8"/>
  <c r="CE741" i="8"/>
  <c r="CE742" i="8"/>
  <c r="CE743" i="8"/>
  <c r="CE744" i="8"/>
  <c r="CE745" i="8"/>
  <c r="CE746" i="8"/>
  <c r="CE747" i="8"/>
  <c r="CE748" i="8"/>
  <c r="CE749" i="8"/>
  <c r="CE750" i="8"/>
  <c r="CE751" i="8"/>
  <c r="CE752" i="8"/>
  <c r="CE753" i="8"/>
  <c r="CE754" i="8"/>
  <c r="CE755" i="8"/>
  <c r="CE756" i="8"/>
  <c r="CE757" i="8"/>
  <c r="CE758" i="8"/>
  <c r="CE759" i="8"/>
  <c r="CE760" i="8"/>
  <c r="CE761" i="8"/>
  <c r="CE762" i="8"/>
  <c r="CE763" i="8"/>
  <c r="CE764" i="8"/>
  <c r="CE765" i="8"/>
  <c r="CE766" i="8"/>
  <c r="CE767" i="8"/>
  <c r="CE768" i="8"/>
  <c r="CE769" i="8"/>
  <c r="CE770" i="8"/>
  <c r="CE771" i="8"/>
  <c r="CE772" i="8"/>
  <c r="CE773" i="8"/>
  <c r="CE774" i="8"/>
  <c r="CE775" i="8"/>
  <c r="CE776" i="8"/>
  <c r="CE777" i="8"/>
  <c r="CE778" i="8"/>
  <c r="CE779" i="8"/>
  <c r="CE780" i="8"/>
  <c r="CE781" i="8"/>
  <c r="CE782" i="8"/>
  <c r="CE783" i="8"/>
  <c r="CE784" i="8"/>
  <c r="CE785" i="8"/>
  <c r="CE786" i="8"/>
  <c r="CE787" i="8"/>
  <c r="CE788" i="8"/>
  <c r="CE789" i="8"/>
  <c r="CE790" i="8"/>
  <c r="CE791" i="8"/>
  <c r="CE792" i="8"/>
  <c r="CE793" i="8"/>
  <c r="CE794" i="8"/>
  <c r="CE795" i="8"/>
  <c r="CE796" i="8"/>
  <c r="CE797" i="8"/>
  <c r="CE798" i="8"/>
  <c r="CE799" i="8"/>
  <c r="CE800" i="8"/>
  <c r="CE801" i="8"/>
  <c r="CE802" i="8"/>
  <c r="CE803" i="8"/>
  <c r="CE804" i="8"/>
  <c r="CE805" i="8"/>
  <c r="CE806" i="8"/>
  <c r="CE807" i="8"/>
  <c r="CE808" i="8"/>
  <c r="CE809" i="8"/>
  <c r="CE810" i="8"/>
  <c r="CE811" i="8"/>
  <c r="CE812" i="8"/>
  <c r="CE813" i="8"/>
  <c r="CE814" i="8"/>
  <c r="CE815" i="8"/>
  <c r="CE816" i="8"/>
  <c r="CE817" i="8"/>
  <c r="CE818" i="8"/>
  <c r="CE819" i="8"/>
  <c r="CE820" i="8"/>
  <c r="CE821" i="8"/>
  <c r="CE822" i="8"/>
  <c r="CE823" i="8"/>
  <c r="CE824" i="8"/>
  <c r="CE825" i="8"/>
  <c r="CE826" i="8"/>
  <c r="CE827" i="8"/>
  <c r="CE828" i="8"/>
  <c r="CE829" i="8"/>
  <c r="CE830" i="8"/>
  <c r="CE831" i="8"/>
  <c r="CE832" i="8"/>
  <c r="CE833" i="8"/>
  <c r="CE834" i="8"/>
  <c r="CE835" i="8"/>
  <c r="CE836" i="8"/>
  <c r="CE837" i="8"/>
  <c r="CE838" i="8"/>
  <c r="CE839" i="8"/>
  <c r="CE840" i="8"/>
  <c r="CE841" i="8"/>
  <c r="CE842" i="8"/>
  <c r="CE843" i="8"/>
  <c r="CE844" i="8"/>
  <c r="CE845" i="8"/>
  <c r="CE846" i="8"/>
  <c r="CE847" i="8"/>
  <c r="CE848" i="8"/>
  <c r="CE849" i="8"/>
  <c r="CE850" i="8"/>
  <c r="CE851" i="8"/>
  <c r="CE852" i="8"/>
  <c r="CE853" i="8"/>
  <c r="CE854" i="8"/>
  <c r="CE855" i="8"/>
  <c r="CE856" i="8"/>
  <c r="CE857" i="8"/>
  <c r="CE858" i="8"/>
  <c r="CE859" i="8"/>
  <c r="CE860" i="8"/>
  <c r="CE861" i="8"/>
  <c r="CE862" i="8"/>
  <c r="CE863" i="8"/>
  <c r="CE864" i="8"/>
  <c r="CE865" i="8"/>
  <c r="CE866" i="8"/>
  <c r="CE867" i="8"/>
  <c r="CE868" i="8"/>
  <c r="CE869" i="8"/>
  <c r="CE870" i="8"/>
  <c r="CE871" i="8"/>
  <c r="CE872" i="8"/>
  <c r="CE873" i="8"/>
  <c r="CE874" i="8"/>
  <c r="CE875" i="8"/>
  <c r="CE876" i="8"/>
  <c r="CE877" i="8"/>
  <c r="CE878" i="8"/>
  <c r="CE879" i="8"/>
  <c r="CE880" i="8"/>
  <c r="CE881" i="8"/>
  <c r="CE882" i="8"/>
  <c r="CE883" i="8"/>
  <c r="CE884" i="8"/>
  <c r="CE885" i="8"/>
  <c r="CE886" i="8"/>
  <c r="CE887" i="8"/>
  <c r="CE888" i="8"/>
  <c r="CE889" i="8"/>
  <c r="CE890" i="8"/>
  <c r="CE891" i="8"/>
  <c r="CE892" i="8"/>
  <c r="CE893" i="8"/>
  <c r="CE894" i="8"/>
  <c r="CE895" i="8"/>
  <c r="CE896" i="8"/>
  <c r="CE897" i="8"/>
  <c r="CE898" i="8"/>
  <c r="CE899" i="8"/>
  <c r="CE900" i="8"/>
  <c r="CE901" i="8"/>
  <c r="CE902" i="8"/>
  <c r="CE903" i="8"/>
  <c r="CE904" i="8"/>
  <c r="CE905" i="8"/>
  <c r="CE906" i="8"/>
  <c r="CE907" i="8"/>
  <c r="CE908" i="8"/>
  <c r="CE909" i="8"/>
  <c r="CE910" i="8"/>
  <c r="CE911" i="8"/>
  <c r="CE912" i="8"/>
  <c r="CE913" i="8"/>
  <c r="CE914" i="8"/>
  <c r="CE915" i="8"/>
  <c r="CE916" i="8"/>
  <c r="CE917" i="8"/>
  <c r="CE918" i="8"/>
  <c r="CE919" i="8"/>
  <c r="CE920" i="8"/>
  <c r="CE921" i="8"/>
  <c r="CE922" i="8"/>
  <c r="CE923" i="8"/>
  <c r="CE924" i="8"/>
  <c r="CE925" i="8"/>
  <c r="CE926" i="8"/>
  <c r="CE927" i="8"/>
  <c r="CE928" i="8"/>
  <c r="CE929" i="8"/>
  <c r="CE930" i="8"/>
  <c r="CE931" i="8"/>
  <c r="CE932" i="8"/>
  <c r="CE933" i="8"/>
  <c r="CE934" i="8"/>
  <c r="CE935" i="8"/>
  <c r="CE936" i="8"/>
  <c r="CE937" i="8"/>
  <c r="CE938" i="8"/>
  <c r="CE939" i="8"/>
  <c r="CE940" i="8"/>
  <c r="CE941" i="8"/>
  <c r="CE942" i="8"/>
  <c r="CE943" i="8"/>
  <c r="CE944" i="8"/>
  <c r="CE945" i="8"/>
  <c r="CE946" i="8"/>
  <c r="CE947" i="8"/>
  <c r="CE948" i="8"/>
  <c r="CE949" i="8"/>
  <c r="CE950" i="8"/>
  <c r="CE951" i="8"/>
  <c r="CE952" i="8"/>
  <c r="CE953" i="8"/>
  <c r="CE954" i="8"/>
  <c r="CE955" i="8"/>
  <c r="CE956" i="8"/>
  <c r="CE957" i="8"/>
  <c r="CE958" i="8"/>
  <c r="CE959" i="8"/>
  <c r="CE960" i="8"/>
  <c r="CE961" i="8"/>
  <c r="CE962" i="8"/>
  <c r="CE963" i="8"/>
  <c r="CE964" i="8"/>
  <c r="CE965" i="8"/>
  <c r="CE966" i="8"/>
  <c r="CE967" i="8"/>
  <c r="CE968" i="8"/>
  <c r="CE969" i="8"/>
  <c r="CE970" i="8"/>
  <c r="CE971" i="8"/>
  <c r="CE972" i="8"/>
  <c r="CE973" i="8"/>
  <c r="CE974" i="8"/>
  <c r="CE975" i="8"/>
  <c r="CE976" i="8"/>
  <c r="CE977" i="8"/>
  <c r="CE978" i="8"/>
  <c r="CE979" i="8"/>
  <c r="CE980" i="8"/>
  <c r="CE981" i="8"/>
  <c r="CE982" i="8"/>
  <c r="CE983" i="8"/>
  <c r="CE984" i="8"/>
  <c r="CE985" i="8"/>
  <c r="CE986" i="8"/>
  <c r="CE987" i="8"/>
  <c r="CE988" i="8"/>
  <c r="CE989" i="8"/>
  <c r="CE990" i="8"/>
  <c r="CE991" i="8"/>
  <c r="CE992" i="8"/>
  <c r="CE993" i="8"/>
  <c r="CE994" i="8"/>
  <c r="CE995" i="8"/>
  <c r="CE996" i="8"/>
  <c r="CE997" i="8"/>
  <c r="CE998" i="8"/>
  <c r="CE999" i="8"/>
  <c r="CE1000" i="8"/>
  <c r="CE1001" i="8"/>
  <c r="CE1002" i="8"/>
  <c r="CE1003" i="8"/>
  <c r="CE1004" i="8"/>
  <c r="CE1005" i="8"/>
  <c r="CE1006" i="8"/>
  <c r="CE1007" i="8"/>
  <c r="CE1008" i="8"/>
  <c r="CE1009" i="8"/>
  <c r="CE1010" i="8"/>
  <c r="CE1011" i="8"/>
  <c r="CE1012" i="8"/>
  <c r="CE1013" i="8"/>
  <c r="CE1014" i="8"/>
  <c r="CE1015" i="8"/>
  <c r="CE1016" i="8"/>
  <c r="CE1017" i="8"/>
  <c r="CE1018" i="8"/>
  <c r="CE1019" i="8"/>
  <c r="CE1020" i="8"/>
  <c r="CE1021" i="8"/>
  <c r="CE1022" i="8"/>
  <c r="CE1023" i="8"/>
  <c r="CE1024" i="8"/>
  <c r="CE1025" i="8"/>
  <c r="CE1026" i="8"/>
  <c r="CE1027" i="8"/>
  <c r="CE1028" i="8"/>
  <c r="CE1029" i="8"/>
  <c r="CE1030" i="8"/>
  <c r="CE1031" i="8"/>
  <c r="CE1032" i="8"/>
  <c r="CE1033" i="8"/>
  <c r="CE1034" i="8"/>
  <c r="CE1035" i="8"/>
  <c r="CE1036" i="8"/>
  <c r="CE1037" i="8"/>
  <c r="CE1038" i="8"/>
  <c r="CE1039" i="8"/>
  <c r="CE1040" i="8"/>
  <c r="CE1041" i="8"/>
  <c r="CE1042" i="8"/>
  <c r="CE1043" i="8"/>
  <c r="CE1044" i="8"/>
  <c r="CE1045" i="8"/>
  <c r="CE1046" i="8"/>
  <c r="CE1047" i="8"/>
  <c r="CE1048" i="8"/>
  <c r="CE1049" i="8"/>
  <c r="CE1050" i="8"/>
  <c r="CE1051" i="8"/>
  <c r="CE1052" i="8"/>
  <c r="CE1053" i="8"/>
  <c r="CE1054" i="8"/>
  <c r="CE1055" i="8"/>
  <c r="CE1056" i="8"/>
  <c r="CE2" i="34"/>
  <c r="J372" i="27" s="1"/>
  <c r="CE3" i="34"/>
  <c r="J373" i="27" s="1"/>
  <c r="CE4" i="34"/>
  <c r="J374" i="27" s="1"/>
  <c r="CE5" i="34"/>
  <c r="J375" i="27" s="1"/>
  <c r="CE6" i="34"/>
  <c r="J376" i="27" s="1"/>
  <c r="CE7" i="34"/>
  <c r="J377" i="27" s="1"/>
  <c r="CE8" i="34"/>
  <c r="J378" i="27" s="1"/>
  <c r="CE9" i="34"/>
  <c r="J379" i="27" s="1"/>
  <c r="CE10" i="34"/>
  <c r="J380" i="27" s="1"/>
  <c r="CE11" i="34"/>
  <c r="J381" i="27" s="1"/>
  <c r="CE12" i="34"/>
  <c r="J382" i="27" s="1"/>
  <c r="CE13" i="34"/>
  <c r="J383" i="27" s="1"/>
  <c r="CE14" i="34"/>
  <c r="J384" i="27" s="1"/>
  <c r="CE15" i="34"/>
  <c r="J385" i="27" s="1"/>
  <c r="CE16" i="34"/>
  <c r="J386" i="27" s="1"/>
  <c r="CE17" i="34"/>
  <c r="J387" i="27" s="1"/>
  <c r="CE18" i="34"/>
  <c r="J388" i="27" s="1"/>
  <c r="CE19" i="34"/>
  <c r="J389" i="27" s="1"/>
  <c r="CE20" i="34"/>
  <c r="J390" i="27" s="1"/>
  <c r="CE21" i="34"/>
  <c r="J391" i="27" s="1"/>
  <c r="CE22" i="34"/>
  <c r="J392" i="27" s="1"/>
  <c r="CE23" i="34"/>
  <c r="J393" i="27" s="1"/>
  <c r="CE24" i="34"/>
  <c r="J394" i="27" s="1"/>
  <c r="CE25" i="34"/>
  <c r="J395" i="27" s="1"/>
  <c r="CE26" i="34"/>
  <c r="J396" i="27" s="1"/>
  <c r="CE27" i="34"/>
  <c r="J397" i="27" s="1"/>
  <c r="CE28" i="34"/>
  <c r="J398" i="27" s="1"/>
  <c r="CE29" i="34"/>
  <c r="J399" i="27" s="1"/>
  <c r="CE30" i="34"/>
  <c r="J400" i="27" s="1"/>
  <c r="CE31" i="34"/>
  <c r="J401" i="27" s="1"/>
  <c r="CE32" i="34"/>
  <c r="J402" i="27" s="1"/>
  <c r="CE33" i="34"/>
  <c r="J403" i="27" s="1"/>
  <c r="CE34" i="34"/>
  <c r="J404" i="27" s="1"/>
  <c r="CE35" i="34"/>
  <c r="J405" i="27" s="1"/>
  <c r="CE36" i="34"/>
  <c r="J406" i="27" s="1"/>
  <c r="CE37" i="34"/>
  <c r="J407" i="27" s="1"/>
  <c r="CE38" i="34"/>
  <c r="J408" i="27" s="1"/>
  <c r="CE39" i="34"/>
  <c r="J409" i="27" s="1"/>
  <c r="CE40" i="34"/>
  <c r="J410" i="27" s="1"/>
  <c r="CE41" i="34"/>
  <c r="J411" i="27" s="1"/>
  <c r="CE42" i="34"/>
  <c r="J412" i="27" s="1"/>
  <c r="CE43" i="34"/>
  <c r="J413" i="27" s="1"/>
  <c r="CE44" i="34"/>
  <c r="J414" i="27" s="1"/>
  <c r="CE45" i="34"/>
  <c r="J415" i="27" s="1"/>
  <c r="CE46" i="34"/>
  <c r="J416" i="27" s="1"/>
  <c r="CE47" i="34"/>
  <c r="J417" i="27" s="1"/>
  <c r="CE48" i="34"/>
  <c r="J418" i="27" s="1"/>
  <c r="CE49" i="34"/>
  <c r="J419" i="27" s="1"/>
  <c r="CE50" i="34"/>
  <c r="J420" i="27" s="1"/>
  <c r="CK2" i="34"/>
  <c r="P372" i="27" s="1"/>
  <c r="CK3" i="34"/>
  <c r="P373" i="27" s="1"/>
  <c r="CK4" i="34"/>
  <c r="P374" i="27" s="1"/>
  <c r="CK5" i="34"/>
  <c r="P375" i="27" s="1"/>
  <c r="CK6" i="34"/>
  <c r="P376" i="27" s="1"/>
  <c r="CK7" i="34"/>
  <c r="P377" i="27" s="1"/>
  <c r="CK8" i="34"/>
  <c r="P378" i="27" s="1"/>
  <c r="CK9" i="34"/>
  <c r="P379" i="27" s="1"/>
  <c r="CK10" i="34"/>
  <c r="P380" i="27" s="1"/>
  <c r="CK11" i="34"/>
  <c r="P381" i="27" s="1"/>
  <c r="CK12" i="34"/>
  <c r="P382" i="27" s="1"/>
  <c r="CK13" i="34"/>
  <c r="P383" i="27" s="1"/>
  <c r="CK14" i="34"/>
  <c r="P384" i="27" s="1"/>
  <c r="CK15" i="34"/>
  <c r="P385" i="27" s="1"/>
  <c r="CK16" i="34"/>
  <c r="P386" i="27" s="1"/>
  <c r="CK17" i="34"/>
  <c r="P387" i="27" s="1"/>
  <c r="CK18" i="34"/>
  <c r="P388" i="27" s="1"/>
  <c r="CK19" i="34"/>
  <c r="P389" i="27" s="1"/>
  <c r="CK20" i="34"/>
  <c r="P390" i="27" s="1"/>
  <c r="CK21" i="34"/>
  <c r="P391" i="27" s="1"/>
  <c r="CK22" i="34"/>
  <c r="P392" i="27" s="1"/>
  <c r="CK23" i="34"/>
  <c r="P393" i="27" s="1"/>
  <c r="CK24" i="34"/>
  <c r="P394" i="27" s="1"/>
  <c r="CK25" i="34"/>
  <c r="P395" i="27" s="1"/>
  <c r="CK26" i="34"/>
  <c r="P396" i="27" s="1"/>
  <c r="CK27" i="34"/>
  <c r="P397" i="27" s="1"/>
  <c r="CK28" i="34"/>
  <c r="P398" i="27" s="1"/>
  <c r="CK29" i="34"/>
  <c r="P399" i="27" s="1"/>
  <c r="CK30" i="34"/>
  <c r="P400" i="27" s="1"/>
  <c r="CK31" i="34"/>
  <c r="P401" i="27" s="1"/>
  <c r="CK32" i="34"/>
  <c r="P402" i="27" s="1"/>
  <c r="CK33" i="34"/>
  <c r="P403" i="27" s="1"/>
  <c r="CK34" i="34"/>
  <c r="P404" i="27" s="1"/>
  <c r="CK35" i="34"/>
  <c r="P405" i="27" s="1"/>
  <c r="CK36" i="34"/>
  <c r="P406" i="27" s="1"/>
  <c r="CK37" i="34"/>
  <c r="P407" i="27" s="1"/>
  <c r="CK38" i="34"/>
  <c r="P408" i="27" s="1"/>
  <c r="CK39" i="34"/>
  <c r="P409" i="27" s="1"/>
  <c r="CK40" i="34"/>
  <c r="P410" i="27" s="1"/>
  <c r="CK41" i="34"/>
  <c r="P411" i="27" s="1"/>
  <c r="CK42" i="34"/>
  <c r="P412" i="27" s="1"/>
  <c r="CK43" i="34"/>
  <c r="P413" i="27" s="1"/>
  <c r="CK44" i="34"/>
  <c r="P414" i="27" s="1"/>
  <c r="CK45" i="34"/>
  <c r="P415" i="27" s="1"/>
  <c r="CK46" i="34"/>
  <c r="P416" i="27" s="1"/>
  <c r="CK47" i="34"/>
  <c r="P417" i="27" s="1"/>
  <c r="CK48" i="34"/>
  <c r="P418" i="27" s="1"/>
  <c r="CK49" i="34"/>
  <c r="P419" i="27" s="1"/>
  <c r="CK50" i="34"/>
  <c r="P420" i="27" s="1"/>
  <c r="CG2" i="34"/>
  <c r="L372" i="27" s="1"/>
  <c r="CG3" i="34"/>
  <c r="L373" i="27" s="1"/>
  <c r="CG4" i="34"/>
  <c r="L374" i="27" s="1"/>
  <c r="CG5" i="34"/>
  <c r="L375" i="27" s="1"/>
  <c r="CG6" i="34"/>
  <c r="L376" i="27" s="1"/>
  <c r="CG7" i="34"/>
  <c r="L377" i="27" s="1"/>
  <c r="CG8" i="34"/>
  <c r="L378" i="27" s="1"/>
  <c r="CG9" i="34"/>
  <c r="L379" i="27" s="1"/>
  <c r="CG10" i="34"/>
  <c r="L380" i="27" s="1"/>
  <c r="CG11" i="34"/>
  <c r="L381" i="27" s="1"/>
  <c r="CG12" i="34"/>
  <c r="L382" i="27" s="1"/>
  <c r="CG13" i="34"/>
  <c r="L383" i="27" s="1"/>
  <c r="CG14" i="34"/>
  <c r="L384" i="27" s="1"/>
  <c r="CG15" i="34"/>
  <c r="L385" i="27" s="1"/>
  <c r="CG16" i="34"/>
  <c r="L386" i="27" s="1"/>
  <c r="CG17" i="34"/>
  <c r="L387" i="27" s="1"/>
  <c r="CG18" i="34"/>
  <c r="L388" i="27" s="1"/>
  <c r="CG19" i="34"/>
  <c r="L389" i="27" s="1"/>
  <c r="CG20" i="34"/>
  <c r="L390" i="27" s="1"/>
  <c r="CG21" i="34"/>
  <c r="L391" i="27" s="1"/>
  <c r="CG22" i="34"/>
  <c r="L392" i="27" s="1"/>
  <c r="CG23" i="34"/>
  <c r="L393" i="27" s="1"/>
  <c r="CG24" i="34"/>
  <c r="L394" i="27" s="1"/>
  <c r="CG25" i="34"/>
  <c r="L395" i="27" s="1"/>
  <c r="CG26" i="34"/>
  <c r="L396" i="27" s="1"/>
  <c r="CG27" i="34"/>
  <c r="L397" i="27" s="1"/>
  <c r="CG28" i="34"/>
  <c r="L398" i="27" s="1"/>
  <c r="CG29" i="34"/>
  <c r="L399" i="27" s="1"/>
  <c r="CG30" i="34"/>
  <c r="L400" i="27" s="1"/>
  <c r="CG31" i="34"/>
  <c r="L401" i="27" s="1"/>
  <c r="CG32" i="34"/>
  <c r="L402" i="27" s="1"/>
  <c r="CG33" i="34"/>
  <c r="L403" i="27" s="1"/>
  <c r="CG34" i="34"/>
  <c r="L404" i="27" s="1"/>
  <c r="CG35" i="34"/>
  <c r="L405" i="27" s="1"/>
  <c r="CG36" i="34"/>
  <c r="L406" i="27" s="1"/>
  <c r="CG37" i="34"/>
  <c r="L407" i="27" s="1"/>
  <c r="CG38" i="34"/>
  <c r="L408" i="27" s="1"/>
  <c r="CG39" i="34"/>
  <c r="L409" i="27" s="1"/>
  <c r="CG40" i="34"/>
  <c r="L410" i="27" s="1"/>
  <c r="CG41" i="34"/>
  <c r="L411" i="27" s="1"/>
  <c r="CG42" i="34"/>
  <c r="L412" i="27" s="1"/>
  <c r="CG43" i="34"/>
  <c r="L413" i="27" s="1"/>
  <c r="CG44" i="34"/>
  <c r="L414" i="27" s="1"/>
  <c r="CG45" i="34"/>
  <c r="L415" i="27" s="1"/>
  <c r="CG46" i="34"/>
  <c r="L416" i="27" s="1"/>
  <c r="CG47" i="34"/>
  <c r="L417" i="27" s="1"/>
  <c r="CG48" i="34"/>
  <c r="L418" i="27" s="1"/>
  <c r="CG49" i="34"/>
  <c r="L419" i="27" s="1"/>
  <c r="CG50" i="34"/>
  <c r="L420" i="27" s="1"/>
  <c r="CF2" i="34"/>
  <c r="K372" i="27" s="1"/>
  <c r="CF3" i="34"/>
  <c r="K373" i="27" s="1"/>
  <c r="CF4" i="34"/>
  <c r="K374" i="27" s="1"/>
  <c r="CF5" i="34"/>
  <c r="K375" i="27" s="1"/>
  <c r="CF6" i="34"/>
  <c r="K376" i="27" s="1"/>
  <c r="CF7" i="34"/>
  <c r="K377" i="27" s="1"/>
  <c r="CF8" i="34"/>
  <c r="K378" i="27" s="1"/>
  <c r="CF9" i="34"/>
  <c r="K379" i="27" s="1"/>
  <c r="CF10" i="34"/>
  <c r="K380" i="27" s="1"/>
  <c r="CF11" i="34"/>
  <c r="K381" i="27" s="1"/>
  <c r="CF12" i="34"/>
  <c r="K382" i="27" s="1"/>
  <c r="CF13" i="34"/>
  <c r="K383" i="27" s="1"/>
  <c r="CF14" i="34"/>
  <c r="K384" i="27" s="1"/>
  <c r="CF15" i="34"/>
  <c r="K385" i="27" s="1"/>
  <c r="CF16" i="34"/>
  <c r="K386" i="27" s="1"/>
  <c r="CF17" i="34"/>
  <c r="K387" i="27" s="1"/>
  <c r="CF18" i="34"/>
  <c r="K388" i="27" s="1"/>
  <c r="CF19" i="34"/>
  <c r="K389" i="27" s="1"/>
  <c r="CF20" i="34"/>
  <c r="K390" i="27" s="1"/>
  <c r="CF21" i="34"/>
  <c r="K391" i="27" s="1"/>
  <c r="CF22" i="34"/>
  <c r="K392" i="27" s="1"/>
  <c r="CF23" i="34"/>
  <c r="K393" i="27" s="1"/>
  <c r="CF24" i="34"/>
  <c r="K394" i="27" s="1"/>
  <c r="CF25" i="34"/>
  <c r="K395" i="27" s="1"/>
  <c r="CF26" i="34"/>
  <c r="K396" i="27" s="1"/>
  <c r="CF27" i="34"/>
  <c r="K397" i="27" s="1"/>
  <c r="CF28" i="34"/>
  <c r="K398" i="27" s="1"/>
  <c r="CF29" i="34"/>
  <c r="K399" i="27" s="1"/>
  <c r="CF30" i="34"/>
  <c r="K400" i="27" s="1"/>
  <c r="CF31" i="34"/>
  <c r="K401" i="27" s="1"/>
  <c r="CF32" i="34"/>
  <c r="K402" i="27" s="1"/>
  <c r="CF33" i="34"/>
  <c r="K403" i="27" s="1"/>
  <c r="CF34" i="34"/>
  <c r="K404" i="27" s="1"/>
  <c r="CF35" i="34"/>
  <c r="K405" i="27" s="1"/>
  <c r="CF36" i="34"/>
  <c r="K406" i="27" s="1"/>
  <c r="CF37" i="34"/>
  <c r="K407" i="27" s="1"/>
  <c r="CF38" i="34"/>
  <c r="K408" i="27" s="1"/>
  <c r="CF39" i="34"/>
  <c r="K409" i="27" s="1"/>
  <c r="CF40" i="34"/>
  <c r="K410" i="27" s="1"/>
  <c r="CF41" i="34"/>
  <c r="K411" i="27" s="1"/>
  <c r="CF42" i="34"/>
  <c r="K412" i="27" s="1"/>
  <c r="CF43" i="34"/>
  <c r="K413" i="27" s="1"/>
  <c r="CF44" i="34"/>
  <c r="K414" i="27" s="1"/>
  <c r="CF45" i="34"/>
  <c r="K415" i="27" s="1"/>
  <c r="CF46" i="34"/>
  <c r="K416" i="27" s="1"/>
  <c r="CF47" i="34"/>
  <c r="K417" i="27" s="1"/>
  <c r="CF48" i="34"/>
  <c r="K418" i="27" s="1"/>
  <c r="CF49" i="34"/>
  <c r="K419" i="27" s="1"/>
  <c r="CF50" i="34"/>
  <c r="K420" i="27" s="1"/>
  <c r="E15" i="34"/>
  <c r="E16" i="34"/>
  <c r="E17" i="34"/>
  <c r="E18" i="34"/>
  <c r="E19" i="34"/>
  <c r="E20" i="34"/>
  <c r="E21" i="34"/>
  <c r="E22" i="34"/>
  <c r="E23" i="34"/>
  <c r="E24" i="34"/>
  <c r="E25" i="34"/>
  <c r="E26" i="34"/>
  <c r="E27" i="34"/>
  <c r="E28" i="34"/>
  <c r="E29" i="34"/>
  <c r="E30" i="34"/>
  <c r="E31" i="34"/>
  <c r="E32" i="34"/>
  <c r="E33" i="34"/>
  <c r="E34" i="34"/>
  <c r="E35" i="34"/>
  <c r="E36" i="34"/>
  <c r="E37" i="34"/>
  <c r="E38" i="34"/>
  <c r="E39" i="34"/>
  <c r="E40" i="34"/>
  <c r="E41" i="34"/>
  <c r="E42" i="34"/>
  <c r="E43" i="34"/>
  <c r="E44" i="34"/>
  <c r="E45" i="34"/>
  <c r="E46" i="34"/>
  <c r="E47" i="34"/>
  <c r="E48" i="34"/>
  <c r="E49" i="34"/>
  <c r="E50" i="34"/>
  <c r="CK2" i="37"/>
  <c r="P322" i="27" s="1"/>
  <c r="CK3" i="37"/>
  <c r="P323" i="27" s="1"/>
  <c r="CK4" i="37"/>
  <c r="P324" i="27" s="1"/>
  <c r="CK5" i="37"/>
  <c r="P325" i="27" s="1"/>
  <c r="CK6" i="37"/>
  <c r="P326" i="27" s="1"/>
  <c r="CK7" i="37"/>
  <c r="P327" i="27" s="1"/>
  <c r="CK8" i="37"/>
  <c r="P328" i="27" s="1"/>
  <c r="CK9" i="37"/>
  <c r="P329" i="27" s="1"/>
  <c r="CK10" i="37"/>
  <c r="P330" i="27" s="1"/>
  <c r="CK11" i="37"/>
  <c r="P331" i="27" s="1"/>
  <c r="CK12" i="37"/>
  <c r="P332" i="27" s="1"/>
  <c r="CK13" i="37"/>
  <c r="P333" i="27" s="1"/>
  <c r="CK14" i="37"/>
  <c r="P334" i="27" s="1"/>
  <c r="CK15" i="37"/>
  <c r="P335" i="27" s="1"/>
  <c r="CK16" i="37"/>
  <c r="P336" i="27" s="1"/>
  <c r="CK17" i="37"/>
  <c r="P337" i="27" s="1"/>
  <c r="CK18" i="37"/>
  <c r="P338" i="27" s="1"/>
  <c r="CK19" i="37"/>
  <c r="P339" i="27" s="1"/>
  <c r="CK20" i="37"/>
  <c r="P340" i="27" s="1"/>
  <c r="CK21" i="37"/>
  <c r="P341" i="27" s="1"/>
  <c r="CK22" i="37"/>
  <c r="P342" i="27" s="1"/>
  <c r="CK23" i="37"/>
  <c r="P343" i="27" s="1"/>
  <c r="CK24" i="37"/>
  <c r="P344" i="27" s="1"/>
  <c r="CK25" i="37"/>
  <c r="P345" i="27" s="1"/>
  <c r="CK26" i="37"/>
  <c r="P346" i="27" s="1"/>
  <c r="CK27" i="37"/>
  <c r="P347" i="27" s="1"/>
  <c r="CK28" i="37"/>
  <c r="P348" i="27" s="1"/>
  <c r="CK29" i="37"/>
  <c r="P349" i="27" s="1"/>
  <c r="CK30" i="37"/>
  <c r="P350" i="27" s="1"/>
  <c r="CK31" i="37"/>
  <c r="P351" i="27" s="1"/>
  <c r="CK32" i="37"/>
  <c r="P352" i="27" s="1"/>
  <c r="CK33" i="37"/>
  <c r="P353" i="27" s="1"/>
  <c r="CK34" i="37"/>
  <c r="P354" i="27" s="1"/>
  <c r="CK35" i="37"/>
  <c r="P355" i="27" s="1"/>
  <c r="CK36" i="37"/>
  <c r="P356" i="27" s="1"/>
  <c r="CK37" i="37"/>
  <c r="P357" i="27" s="1"/>
  <c r="CK38" i="37"/>
  <c r="P358" i="27" s="1"/>
  <c r="CK39" i="37"/>
  <c r="P359" i="27" s="1"/>
  <c r="CK40" i="37"/>
  <c r="P360" i="27" s="1"/>
  <c r="CK41" i="37"/>
  <c r="P361" i="27" s="1"/>
  <c r="CK42" i="37"/>
  <c r="P362" i="27" s="1"/>
  <c r="CK43" i="37"/>
  <c r="P363" i="27" s="1"/>
  <c r="CK44" i="37"/>
  <c r="P364" i="27" s="1"/>
  <c r="CK45" i="37"/>
  <c r="P365" i="27" s="1"/>
  <c r="CK46" i="37"/>
  <c r="P366" i="27" s="1"/>
  <c r="CK47" i="37"/>
  <c r="P367" i="27" s="1"/>
  <c r="CK48" i="37"/>
  <c r="P368" i="27" s="1"/>
  <c r="CK49" i="37"/>
  <c r="P369" i="27" s="1"/>
  <c r="CK50" i="37"/>
  <c r="P370" i="27" s="1"/>
  <c r="CF2" i="37"/>
  <c r="K322" i="27" s="1"/>
  <c r="CF3" i="37"/>
  <c r="K323" i="27" s="1"/>
  <c r="CF4" i="37"/>
  <c r="K324" i="27" s="1"/>
  <c r="CF5" i="37"/>
  <c r="K325" i="27" s="1"/>
  <c r="CF6" i="37"/>
  <c r="K326" i="27" s="1"/>
  <c r="CF7" i="37"/>
  <c r="K327" i="27" s="1"/>
  <c r="CF8" i="37"/>
  <c r="K328" i="27" s="1"/>
  <c r="CF9" i="37"/>
  <c r="K329" i="27" s="1"/>
  <c r="CF10" i="37"/>
  <c r="K330" i="27" s="1"/>
  <c r="CF11" i="37"/>
  <c r="K331" i="27" s="1"/>
  <c r="CF12" i="37"/>
  <c r="K332" i="27" s="1"/>
  <c r="CF13" i="37"/>
  <c r="K333" i="27" s="1"/>
  <c r="CF14" i="37"/>
  <c r="K334" i="27" s="1"/>
  <c r="CF15" i="37"/>
  <c r="K335" i="27" s="1"/>
  <c r="CF16" i="37"/>
  <c r="K336" i="27" s="1"/>
  <c r="CF17" i="37"/>
  <c r="K337" i="27" s="1"/>
  <c r="CF18" i="37"/>
  <c r="K338" i="27" s="1"/>
  <c r="CF19" i="37"/>
  <c r="K339" i="27" s="1"/>
  <c r="CF20" i="37"/>
  <c r="K340" i="27" s="1"/>
  <c r="CF21" i="37"/>
  <c r="K341" i="27" s="1"/>
  <c r="CF22" i="37"/>
  <c r="K342" i="27" s="1"/>
  <c r="CF23" i="37"/>
  <c r="K343" i="27" s="1"/>
  <c r="CF24" i="37"/>
  <c r="K344" i="27" s="1"/>
  <c r="CF25" i="37"/>
  <c r="K345" i="27" s="1"/>
  <c r="CF26" i="37"/>
  <c r="K346" i="27" s="1"/>
  <c r="CF27" i="37"/>
  <c r="K347" i="27" s="1"/>
  <c r="CF28" i="37"/>
  <c r="K348" i="27" s="1"/>
  <c r="CF29" i="37"/>
  <c r="K349" i="27" s="1"/>
  <c r="CF30" i="37"/>
  <c r="K350" i="27" s="1"/>
  <c r="CF31" i="37"/>
  <c r="K351" i="27" s="1"/>
  <c r="CF32" i="37"/>
  <c r="K352" i="27" s="1"/>
  <c r="CF33" i="37"/>
  <c r="K353" i="27" s="1"/>
  <c r="CF34" i="37"/>
  <c r="K354" i="27" s="1"/>
  <c r="CF35" i="37"/>
  <c r="K355" i="27" s="1"/>
  <c r="CF36" i="37"/>
  <c r="K356" i="27" s="1"/>
  <c r="CF37" i="37"/>
  <c r="K357" i="27" s="1"/>
  <c r="CF38" i="37"/>
  <c r="K358" i="27" s="1"/>
  <c r="CF39" i="37"/>
  <c r="K359" i="27" s="1"/>
  <c r="CF40" i="37"/>
  <c r="K360" i="27" s="1"/>
  <c r="CF41" i="37"/>
  <c r="K361" i="27" s="1"/>
  <c r="CF42" i="37"/>
  <c r="K362" i="27" s="1"/>
  <c r="CF43" i="37"/>
  <c r="K363" i="27" s="1"/>
  <c r="CF44" i="37"/>
  <c r="K364" i="27" s="1"/>
  <c r="CF45" i="37"/>
  <c r="K365" i="27" s="1"/>
  <c r="CF46" i="37"/>
  <c r="K366" i="27" s="1"/>
  <c r="CF47" i="37"/>
  <c r="K367" i="27" s="1"/>
  <c r="CF48" i="37"/>
  <c r="K368" i="27" s="1"/>
  <c r="CF49" i="37"/>
  <c r="K369" i="27" s="1"/>
  <c r="CF50" i="37"/>
  <c r="K370" i="27" s="1"/>
  <c r="CG2" i="37"/>
  <c r="L322" i="27" s="1"/>
  <c r="CG3" i="37"/>
  <c r="L323" i="27" s="1"/>
  <c r="CG4" i="37"/>
  <c r="L324" i="27" s="1"/>
  <c r="CG5" i="37"/>
  <c r="L325" i="27" s="1"/>
  <c r="CG6" i="37"/>
  <c r="L326" i="27" s="1"/>
  <c r="CG7" i="37"/>
  <c r="L327" i="27" s="1"/>
  <c r="CG8" i="37"/>
  <c r="L328" i="27" s="1"/>
  <c r="CG9" i="37"/>
  <c r="L329" i="27" s="1"/>
  <c r="CG10" i="37"/>
  <c r="L330" i="27" s="1"/>
  <c r="CG11" i="37"/>
  <c r="L331" i="27" s="1"/>
  <c r="CG12" i="37"/>
  <c r="L332" i="27" s="1"/>
  <c r="CG13" i="37"/>
  <c r="L333" i="27" s="1"/>
  <c r="CG14" i="37"/>
  <c r="L334" i="27" s="1"/>
  <c r="CG15" i="37"/>
  <c r="L335" i="27" s="1"/>
  <c r="CG16" i="37"/>
  <c r="L336" i="27" s="1"/>
  <c r="CG17" i="37"/>
  <c r="L337" i="27" s="1"/>
  <c r="CG18" i="37"/>
  <c r="L338" i="27" s="1"/>
  <c r="CG19" i="37"/>
  <c r="L339" i="27" s="1"/>
  <c r="CG20" i="37"/>
  <c r="L340" i="27" s="1"/>
  <c r="CG21" i="37"/>
  <c r="L341" i="27" s="1"/>
  <c r="CG22" i="37"/>
  <c r="L342" i="27" s="1"/>
  <c r="CG23" i="37"/>
  <c r="L343" i="27" s="1"/>
  <c r="CG24" i="37"/>
  <c r="L344" i="27" s="1"/>
  <c r="CG25" i="37"/>
  <c r="L345" i="27" s="1"/>
  <c r="CG26" i="37"/>
  <c r="L346" i="27" s="1"/>
  <c r="CG27" i="37"/>
  <c r="L347" i="27" s="1"/>
  <c r="CG28" i="37"/>
  <c r="L348" i="27" s="1"/>
  <c r="CG29" i="37"/>
  <c r="L349" i="27" s="1"/>
  <c r="CG30" i="37"/>
  <c r="L350" i="27" s="1"/>
  <c r="CG31" i="37"/>
  <c r="L351" i="27" s="1"/>
  <c r="CG32" i="37"/>
  <c r="L352" i="27" s="1"/>
  <c r="CG33" i="37"/>
  <c r="L353" i="27" s="1"/>
  <c r="CG34" i="37"/>
  <c r="L354" i="27" s="1"/>
  <c r="CG35" i="37"/>
  <c r="L355" i="27" s="1"/>
  <c r="CG36" i="37"/>
  <c r="L356" i="27" s="1"/>
  <c r="CG37" i="37"/>
  <c r="L357" i="27" s="1"/>
  <c r="CG38" i="37"/>
  <c r="L358" i="27" s="1"/>
  <c r="CG39" i="37"/>
  <c r="L359" i="27" s="1"/>
  <c r="CG40" i="37"/>
  <c r="L360" i="27" s="1"/>
  <c r="CG41" i="37"/>
  <c r="L361" i="27" s="1"/>
  <c r="CG42" i="37"/>
  <c r="L362" i="27" s="1"/>
  <c r="CG43" i="37"/>
  <c r="L363" i="27" s="1"/>
  <c r="CG44" i="37"/>
  <c r="L364" i="27" s="1"/>
  <c r="CG45" i="37"/>
  <c r="L365" i="27" s="1"/>
  <c r="CG46" i="37"/>
  <c r="L366" i="27" s="1"/>
  <c r="CG47" i="37"/>
  <c r="L367" i="27" s="1"/>
  <c r="CG48" i="37"/>
  <c r="L368" i="27" s="1"/>
  <c r="CG49" i="37"/>
  <c r="L369" i="27" s="1"/>
  <c r="CG50" i="37"/>
  <c r="L370" i="27" s="1"/>
  <c r="CE2" i="37"/>
  <c r="J322" i="27" s="1"/>
  <c r="CE3" i="37"/>
  <c r="J323" i="27" s="1"/>
  <c r="CE4" i="37"/>
  <c r="J324" i="27" s="1"/>
  <c r="CE5" i="37"/>
  <c r="J325" i="27" s="1"/>
  <c r="CE6" i="37"/>
  <c r="J326" i="27" s="1"/>
  <c r="CE7" i="37"/>
  <c r="J327" i="27" s="1"/>
  <c r="CE8" i="37"/>
  <c r="J328" i="27" s="1"/>
  <c r="CE9" i="37"/>
  <c r="J329" i="27" s="1"/>
  <c r="CE10" i="37"/>
  <c r="J330" i="27" s="1"/>
  <c r="CE11" i="37"/>
  <c r="J331" i="27" s="1"/>
  <c r="CE12" i="37"/>
  <c r="J332" i="27" s="1"/>
  <c r="CE13" i="37"/>
  <c r="J333" i="27" s="1"/>
  <c r="CE14" i="37"/>
  <c r="J334" i="27" s="1"/>
  <c r="CE15" i="37"/>
  <c r="J335" i="27" s="1"/>
  <c r="CE16" i="37"/>
  <c r="J336" i="27" s="1"/>
  <c r="CE17" i="37"/>
  <c r="J337" i="27" s="1"/>
  <c r="CE18" i="37"/>
  <c r="J338" i="27" s="1"/>
  <c r="CE19" i="37"/>
  <c r="J339" i="27" s="1"/>
  <c r="CE20" i="37"/>
  <c r="J340" i="27" s="1"/>
  <c r="CE21" i="37"/>
  <c r="J341" i="27" s="1"/>
  <c r="CE22" i="37"/>
  <c r="J342" i="27" s="1"/>
  <c r="CE23" i="37"/>
  <c r="J343" i="27" s="1"/>
  <c r="CE24" i="37"/>
  <c r="J344" i="27" s="1"/>
  <c r="CE25" i="37"/>
  <c r="J345" i="27" s="1"/>
  <c r="CE26" i="37"/>
  <c r="J346" i="27" s="1"/>
  <c r="CE27" i="37"/>
  <c r="J347" i="27" s="1"/>
  <c r="CE28" i="37"/>
  <c r="J348" i="27" s="1"/>
  <c r="CE29" i="37"/>
  <c r="J349" i="27" s="1"/>
  <c r="CE30" i="37"/>
  <c r="J350" i="27" s="1"/>
  <c r="CE31" i="37"/>
  <c r="J351" i="27" s="1"/>
  <c r="CE32" i="37"/>
  <c r="J352" i="27" s="1"/>
  <c r="CE33" i="37"/>
  <c r="J353" i="27" s="1"/>
  <c r="CE34" i="37"/>
  <c r="J354" i="27" s="1"/>
  <c r="CE35" i="37"/>
  <c r="J355" i="27" s="1"/>
  <c r="CE36" i="37"/>
  <c r="J356" i="27" s="1"/>
  <c r="CE37" i="37"/>
  <c r="J357" i="27" s="1"/>
  <c r="CE38" i="37"/>
  <c r="J358" i="27" s="1"/>
  <c r="CE39" i="37"/>
  <c r="J359" i="27" s="1"/>
  <c r="CE40" i="37"/>
  <c r="J360" i="27" s="1"/>
  <c r="CE41" i="37"/>
  <c r="J361" i="27" s="1"/>
  <c r="CE42" i="37"/>
  <c r="J362" i="27" s="1"/>
  <c r="CE43" i="37"/>
  <c r="J363" i="27" s="1"/>
  <c r="CE44" i="37"/>
  <c r="J364" i="27" s="1"/>
  <c r="CE45" i="37"/>
  <c r="J365" i="27" s="1"/>
  <c r="CE46" i="37"/>
  <c r="J366" i="27" s="1"/>
  <c r="CE47" i="37"/>
  <c r="J367" i="27" s="1"/>
  <c r="CE48" i="37"/>
  <c r="J368" i="27" s="1"/>
  <c r="CE49" i="37"/>
  <c r="J369" i="27" s="1"/>
  <c r="CE50" i="37"/>
  <c r="J370" i="27" s="1"/>
  <c r="CG2" i="24"/>
  <c r="K272" i="27" s="1"/>
  <c r="CG3" i="24"/>
  <c r="K273" i="27" s="1"/>
  <c r="CG4" i="24"/>
  <c r="K274" i="27" s="1"/>
  <c r="CG5" i="24"/>
  <c r="K275" i="27" s="1"/>
  <c r="CG6" i="24"/>
  <c r="K276" i="27" s="1"/>
  <c r="CG7" i="24"/>
  <c r="K277" i="27" s="1"/>
  <c r="CG8" i="24"/>
  <c r="K278" i="27" s="1"/>
  <c r="CG9" i="24"/>
  <c r="K279" i="27" s="1"/>
  <c r="CG10" i="24"/>
  <c r="K280" i="27" s="1"/>
  <c r="CG11" i="24"/>
  <c r="K281" i="27" s="1"/>
  <c r="CG12" i="24"/>
  <c r="K282" i="27" s="1"/>
  <c r="CG13" i="24"/>
  <c r="K283" i="27" s="1"/>
  <c r="CG14" i="24"/>
  <c r="K284" i="27" s="1"/>
  <c r="CG15" i="24"/>
  <c r="K285" i="27" s="1"/>
  <c r="CG16" i="24"/>
  <c r="K286" i="27" s="1"/>
  <c r="CG17" i="24"/>
  <c r="K287" i="27" s="1"/>
  <c r="CG18" i="24"/>
  <c r="K288" i="27" s="1"/>
  <c r="CG19" i="24"/>
  <c r="K289" i="27" s="1"/>
  <c r="CG20" i="24"/>
  <c r="K290" i="27" s="1"/>
  <c r="CG21" i="24"/>
  <c r="K291" i="27" s="1"/>
  <c r="CG22" i="24"/>
  <c r="K292" i="27" s="1"/>
  <c r="CG23" i="24"/>
  <c r="K293" i="27" s="1"/>
  <c r="CG24" i="24"/>
  <c r="K294" i="27" s="1"/>
  <c r="CG25" i="24"/>
  <c r="K295" i="27" s="1"/>
  <c r="CG26" i="24"/>
  <c r="K296" i="27" s="1"/>
  <c r="CG27" i="24"/>
  <c r="K297" i="27" s="1"/>
  <c r="CG28" i="24"/>
  <c r="K298" i="27" s="1"/>
  <c r="CG29" i="24"/>
  <c r="K299" i="27" s="1"/>
  <c r="CG30" i="24"/>
  <c r="K300" i="27" s="1"/>
  <c r="CG31" i="24"/>
  <c r="K301" i="27" s="1"/>
  <c r="CG32" i="24"/>
  <c r="K302" i="27" s="1"/>
  <c r="CG33" i="24"/>
  <c r="K303" i="27" s="1"/>
  <c r="CG34" i="24"/>
  <c r="K304" i="27" s="1"/>
  <c r="CL2" i="24"/>
  <c r="P272" i="27" s="1"/>
  <c r="CL3" i="24"/>
  <c r="P273" i="27" s="1"/>
  <c r="CL4" i="24"/>
  <c r="P274" i="27" s="1"/>
  <c r="CL5" i="24"/>
  <c r="P275" i="27" s="1"/>
  <c r="CL6" i="24"/>
  <c r="P276" i="27" s="1"/>
  <c r="CL7" i="24"/>
  <c r="P277" i="27" s="1"/>
  <c r="CL8" i="24"/>
  <c r="P278" i="27" s="1"/>
  <c r="CL9" i="24"/>
  <c r="P279" i="27" s="1"/>
  <c r="CL10" i="24"/>
  <c r="P280" i="27" s="1"/>
  <c r="CL11" i="24"/>
  <c r="P281" i="27" s="1"/>
  <c r="CL12" i="24"/>
  <c r="P282" i="27" s="1"/>
  <c r="CL13" i="24"/>
  <c r="P283" i="27" s="1"/>
  <c r="CL14" i="24"/>
  <c r="P284" i="27" s="1"/>
  <c r="CL15" i="24"/>
  <c r="P285" i="27" s="1"/>
  <c r="CL16" i="24"/>
  <c r="P286" i="27" s="1"/>
  <c r="CL17" i="24"/>
  <c r="P287" i="27" s="1"/>
  <c r="CL18" i="24"/>
  <c r="P288" i="27" s="1"/>
  <c r="CL19" i="24"/>
  <c r="P289" i="27" s="1"/>
  <c r="CL20" i="24"/>
  <c r="P290" i="27" s="1"/>
  <c r="CL21" i="24"/>
  <c r="P291" i="27" s="1"/>
  <c r="CL22" i="24"/>
  <c r="P292" i="27" s="1"/>
  <c r="CL23" i="24"/>
  <c r="P293" i="27" s="1"/>
  <c r="CL24" i="24"/>
  <c r="P294" i="27" s="1"/>
  <c r="CL25" i="24"/>
  <c r="P295" i="27" s="1"/>
  <c r="CL26" i="24"/>
  <c r="P296" i="27" s="1"/>
  <c r="CL27" i="24"/>
  <c r="P297" i="27" s="1"/>
  <c r="CL28" i="24"/>
  <c r="P298" i="27" s="1"/>
  <c r="CL29" i="24"/>
  <c r="P299" i="27" s="1"/>
  <c r="CL30" i="24"/>
  <c r="P300" i="27" s="1"/>
  <c r="CL31" i="24"/>
  <c r="P301" i="27" s="1"/>
  <c r="CL32" i="24"/>
  <c r="P302" i="27" s="1"/>
  <c r="CL33" i="24"/>
  <c r="P303" i="27" s="1"/>
  <c r="CL34" i="24"/>
  <c r="P304" i="27" s="1"/>
  <c r="CH2" i="24"/>
  <c r="L272" i="27" s="1"/>
  <c r="CH3" i="24"/>
  <c r="L273" i="27" s="1"/>
  <c r="CH4" i="24"/>
  <c r="L274" i="27" s="1"/>
  <c r="CH5" i="24"/>
  <c r="L275" i="27" s="1"/>
  <c r="CH6" i="24"/>
  <c r="L276" i="27" s="1"/>
  <c r="CH7" i="24"/>
  <c r="L277" i="27" s="1"/>
  <c r="CH8" i="24"/>
  <c r="L278" i="27" s="1"/>
  <c r="CH9" i="24"/>
  <c r="L279" i="27" s="1"/>
  <c r="CH10" i="24"/>
  <c r="L280" i="27" s="1"/>
  <c r="CH11" i="24"/>
  <c r="L281" i="27" s="1"/>
  <c r="CH12" i="24"/>
  <c r="L282" i="27" s="1"/>
  <c r="CH13" i="24"/>
  <c r="L283" i="27" s="1"/>
  <c r="CH14" i="24"/>
  <c r="L284" i="27" s="1"/>
  <c r="CH15" i="24"/>
  <c r="L285" i="27" s="1"/>
  <c r="CH16" i="24"/>
  <c r="L286" i="27" s="1"/>
  <c r="CH17" i="24"/>
  <c r="L287" i="27" s="1"/>
  <c r="CH18" i="24"/>
  <c r="L288" i="27" s="1"/>
  <c r="CH19" i="24"/>
  <c r="L289" i="27" s="1"/>
  <c r="CH20" i="24"/>
  <c r="L290" i="27" s="1"/>
  <c r="CH21" i="24"/>
  <c r="L291" i="27" s="1"/>
  <c r="CH22" i="24"/>
  <c r="L292" i="27" s="1"/>
  <c r="CH23" i="24"/>
  <c r="L293" i="27" s="1"/>
  <c r="CH24" i="24"/>
  <c r="L294" i="27" s="1"/>
  <c r="CH25" i="24"/>
  <c r="L295" i="27" s="1"/>
  <c r="CH26" i="24"/>
  <c r="L296" i="27" s="1"/>
  <c r="CH27" i="24"/>
  <c r="L297" i="27" s="1"/>
  <c r="CH28" i="24"/>
  <c r="L298" i="27" s="1"/>
  <c r="CH29" i="24"/>
  <c r="L299" i="27" s="1"/>
  <c r="CH30" i="24"/>
  <c r="L300" i="27" s="1"/>
  <c r="CH31" i="24"/>
  <c r="L301" i="27" s="1"/>
  <c r="CH32" i="24"/>
  <c r="L302" i="27" s="1"/>
  <c r="CH33" i="24"/>
  <c r="L303" i="27" s="1"/>
  <c r="CH34" i="24"/>
  <c r="L304" i="27" s="1"/>
  <c r="CF2" i="24"/>
  <c r="J272" i="27" s="1"/>
  <c r="CF3" i="24"/>
  <c r="J273" i="27" s="1"/>
  <c r="CF4" i="24"/>
  <c r="J274" i="27" s="1"/>
  <c r="CF5" i="24"/>
  <c r="J275" i="27" s="1"/>
  <c r="CF6" i="24"/>
  <c r="J276" i="27" s="1"/>
  <c r="CF7" i="24"/>
  <c r="J277" i="27" s="1"/>
  <c r="CF8" i="24"/>
  <c r="J278" i="27" s="1"/>
  <c r="CF9" i="24"/>
  <c r="J279" i="27" s="1"/>
  <c r="CF10" i="24"/>
  <c r="J280" i="27" s="1"/>
  <c r="CF11" i="24"/>
  <c r="J281" i="27" s="1"/>
  <c r="CF12" i="24"/>
  <c r="J282" i="27" s="1"/>
  <c r="CF13" i="24"/>
  <c r="J283" i="27" s="1"/>
  <c r="CF14" i="24"/>
  <c r="J284" i="27" s="1"/>
  <c r="CF15" i="24"/>
  <c r="J285" i="27" s="1"/>
  <c r="CF16" i="24"/>
  <c r="J286" i="27" s="1"/>
  <c r="CF17" i="24"/>
  <c r="J287" i="27" s="1"/>
  <c r="CF18" i="24"/>
  <c r="J288" i="27" s="1"/>
  <c r="CF19" i="24"/>
  <c r="J289" i="27" s="1"/>
  <c r="CF20" i="24"/>
  <c r="J290" i="27" s="1"/>
  <c r="CF21" i="24"/>
  <c r="J291" i="27" s="1"/>
  <c r="CF22" i="24"/>
  <c r="J292" i="27" s="1"/>
  <c r="CF23" i="24"/>
  <c r="J293" i="27" s="1"/>
  <c r="CF24" i="24"/>
  <c r="J294" i="27" s="1"/>
  <c r="CF25" i="24"/>
  <c r="J295" i="27" s="1"/>
  <c r="CF26" i="24"/>
  <c r="J296" i="27" s="1"/>
  <c r="CF27" i="24"/>
  <c r="J297" i="27" s="1"/>
  <c r="CF28" i="24"/>
  <c r="J298" i="27" s="1"/>
  <c r="CF29" i="24"/>
  <c r="J299" i="27" s="1"/>
  <c r="CF30" i="24"/>
  <c r="J300" i="27" s="1"/>
  <c r="CF31" i="24"/>
  <c r="J301" i="27" s="1"/>
  <c r="CF32" i="24"/>
  <c r="J302" i="27" s="1"/>
  <c r="CF33" i="24"/>
  <c r="J303" i="27" s="1"/>
  <c r="CF34" i="24"/>
  <c r="J304" i="27" s="1"/>
  <c r="CK2" i="35"/>
  <c r="P212" i="27" s="1"/>
  <c r="CK3" i="35"/>
  <c r="P213" i="27" s="1"/>
  <c r="CK4" i="35"/>
  <c r="P214" i="27" s="1"/>
  <c r="CK5" i="35"/>
  <c r="P215" i="27" s="1"/>
  <c r="CK6" i="35"/>
  <c r="P216" i="27" s="1"/>
  <c r="CK7" i="35"/>
  <c r="P217" i="27" s="1"/>
  <c r="CK8" i="35"/>
  <c r="P218" i="27" s="1"/>
  <c r="CK9" i="35"/>
  <c r="P219" i="27" s="1"/>
  <c r="CK10" i="35"/>
  <c r="P220" i="27" s="1"/>
  <c r="CK11" i="35"/>
  <c r="P221" i="27" s="1"/>
  <c r="CK12" i="35"/>
  <c r="P222" i="27" s="1"/>
  <c r="CK13" i="35"/>
  <c r="P223" i="27" s="1"/>
  <c r="CK14" i="35"/>
  <c r="P224" i="27" s="1"/>
  <c r="CK15" i="35"/>
  <c r="P225" i="27" s="1"/>
  <c r="CK16" i="35"/>
  <c r="P226" i="27" s="1"/>
  <c r="CK17" i="35"/>
  <c r="P227" i="27" s="1"/>
  <c r="CK18" i="35"/>
  <c r="P228" i="27" s="1"/>
  <c r="CK19" i="35"/>
  <c r="P229" i="27" s="1"/>
  <c r="CK20" i="35"/>
  <c r="P230" i="27" s="1"/>
  <c r="CK21" i="35"/>
  <c r="P231" i="27" s="1"/>
  <c r="CK22" i="35"/>
  <c r="P232" i="27" s="1"/>
  <c r="CK23" i="35"/>
  <c r="P233" i="27" s="1"/>
  <c r="CK24" i="35"/>
  <c r="P234" i="27" s="1"/>
  <c r="CK25" i="35"/>
  <c r="P235" i="27" s="1"/>
  <c r="CK26" i="35"/>
  <c r="P236" i="27" s="1"/>
  <c r="CK27" i="35"/>
  <c r="P237" i="27" s="1"/>
  <c r="CK28" i="35"/>
  <c r="P238" i="27" s="1"/>
  <c r="CK29" i="35"/>
  <c r="P239" i="27" s="1"/>
  <c r="CK30" i="35"/>
  <c r="P240" i="27" s="1"/>
  <c r="CK31" i="35"/>
  <c r="P241" i="27" s="1"/>
  <c r="CK32" i="35"/>
  <c r="P242" i="27" s="1"/>
  <c r="CK33" i="35"/>
  <c r="P243" i="27" s="1"/>
  <c r="CK34" i="35"/>
  <c r="P244" i="27" s="1"/>
  <c r="CK35" i="35"/>
  <c r="P245" i="27" s="1"/>
  <c r="CK36" i="35"/>
  <c r="P246" i="27" s="1"/>
  <c r="CK37" i="35"/>
  <c r="P247" i="27" s="1"/>
  <c r="CK38" i="35"/>
  <c r="P248" i="27" s="1"/>
  <c r="CK39" i="35"/>
  <c r="P249" i="27" s="1"/>
  <c r="CK40" i="35"/>
  <c r="P250" i="27" s="1"/>
  <c r="CK41" i="35"/>
  <c r="P251" i="27" s="1"/>
  <c r="CK42" i="35"/>
  <c r="P252" i="27" s="1"/>
  <c r="CK43" i="35"/>
  <c r="P253" i="27" s="1"/>
  <c r="CK44" i="35"/>
  <c r="P254" i="27" s="1"/>
  <c r="CK45" i="35"/>
  <c r="P255" i="27" s="1"/>
  <c r="CK46" i="35"/>
  <c r="P256" i="27" s="1"/>
  <c r="CK47" i="35"/>
  <c r="P257" i="27" s="1"/>
  <c r="CK48" i="35"/>
  <c r="P258" i="27" s="1"/>
  <c r="CK49" i="35"/>
  <c r="P259" i="27" s="1"/>
  <c r="CK50" i="35"/>
  <c r="P260" i="27" s="1"/>
  <c r="CK51" i="35"/>
  <c r="P261" i="27" s="1"/>
  <c r="CK52" i="35"/>
  <c r="P262" i="27" s="1"/>
  <c r="CK53" i="35"/>
  <c r="P263" i="27" s="1"/>
  <c r="CK54" i="35"/>
  <c r="P264" i="27" s="1"/>
  <c r="CK55" i="35"/>
  <c r="P265" i="27" s="1"/>
  <c r="CK56" i="35"/>
  <c r="P266" i="27" s="1"/>
  <c r="CK57" i="35"/>
  <c r="P267" i="27" s="1"/>
  <c r="CK58" i="35"/>
  <c r="P268" i="27" s="1"/>
  <c r="CK59" i="35"/>
  <c r="P269" i="27" s="1"/>
  <c r="CK60" i="35"/>
  <c r="P270" i="27" s="1"/>
  <c r="CG2" i="35"/>
  <c r="L212" i="27" s="1"/>
  <c r="CG3" i="35"/>
  <c r="L213" i="27" s="1"/>
  <c r="CG4" i="35"/>
  <c r="L214" i="27" s="1"/>
  <c r="CG5" i="35"/>
  <c r="L215" i="27" s="1"/>
  <c r="CG6" i="35"/>
  <c r="L216" i="27" s="1"/>
  <c r="CG7" i="35"/>
  <c r="L217" i="27" s="1"/>
  <c r="CG8" i="35"/>
  <c r="L218" i="27" s="1"/>
  <c r="CG9" i="35"/>
  <c r="L219" i="27" s="1"/>
  <c r="CG10" i="35"/>
  <c r="L220" i="27" s="1"/>
  <c r="CG11" i="35"/>
  <c r="L221" i="27" s="1"/>
  <c r="CG12" i="35"/>
  <c r="L222" i="27" s="1"/>
  <c r="CG13" i="35"/>
  <c r="L223" i="27" s="1"/>
  <c r="CG14" i="35"/>
  <c r="L224" i="27" s="1"/>
  <c r="CG15" i="35"/>
  <c r="L225" i="27" s="1"/>
  <c r="CG16" i="35"/>
  <c r="L226" i="27" s="1"/>
  <c r="CG17" i="35"/>
  <c r="L227" i="27" s="1"/>
  <c r="CG18" i="35"/>
  <c r="L228" i="27" s="1"/>
  <c r="CG19" i="35"/>
  <c r="L229" i="27" s="1"/>
  <c r="CG20" i="35"/>
  <c r="L230" i="27" s="1"/>
  <c r="CG21" i="35"/>
  <c r="L231" i="27" s="1"/>
  <c r="CG22" i="35"/>
  <c r="L232" i="27" s="1"/>
  <c r="CG23" i="35"/>
  <c r="L233" i="27" s="1"/>
  <c r="CG24" i="35"/>
  <c r="L234" i="27" s="1"/>
  <c r="CG25" i="35"/>
  <c r="L235" i="27" s="1"/>
  <c r="CG26" i="35"/>
  <c r="L236" i="27" s="1"/>
  <c r="CG27" i="35"/>
  <c r="L237" i="27" s="1"/>
  <c r="CG28" i="35"/>
  <c r="L238" i="27" s="1"/>
  <c r="CG29" i="35"/>
  <c r="L239" i="27" s="1"/>
  <c r="CG30" i="35"/>
  <c r="L240" i="27" s="1"/>
  <c r="CG31" i="35"/>
  <c r="L241" i="27" s="1"/>
  <c r="CG32" i="35"/>
  <c r="L242" i="27" s="1"/>
  <c r="CG33" i="35"/>
  <c r="L243" i="27" s="1"/>
  <c r="CG34" i="35"/>
  <c r="L244" i="27" s="1"/>
  <c r="CG35" i="35"/>
  <c r="L245" i="27" s="1"/>
  <c r="CG36" i="35"/>
  <c r="L246" i="27" s="1"/>
  <c r="CG37" i="35"/>
  <c r="L247" i="27" s="1"/>
  <c r="CG38" i="35"/>
  <c r="L248" i="27" s="1"/>
  <c r="CG39" i="35"/>
  <c r="L249" i="27" s="1"/>
  <c r="CG40" i="35"/>
  <c r="L250" i="27" s="1"/>
  <c r="CG41" i="35"/>
  <c r="L251" i="27" s="1"/>
  <c r="CG42" i="35"/>
  <c r="L252" i="27" s="1"/>
  <c r="CG43" i="35"/>
  <c r="L253" i="27" s="1"/>
  <c r="CG44" i="35"/>
  <c r="L254" i="27" s="1"/>
  <c r="CG45" i="35"/>
  <c r="L255" i="27" s="1"/>
  <c r="CG46" i="35"/>
  <c r="L256" i="27" s="1"/>
  <c r="CG47" i="35"/>
  <c r="L257" i="27" s="1"/>
  <c r="CG48" i="35"/>
  <c r="L258" i="27" s="1"/>
  <c r="CG49" i="35"/>
  <c r="L259" i="27" s="1"/>
  <c r="CG50" i="35"/>
  <c r="L260" i="27" s="1"/>
  <c r="CG51" i="35"/>
  <c r="L261" i="27" s="1"/>
  <c r="CG52" i="35"/>
  <c r="L262" i="27" s="1"/>
  <c r="CG53" i="35"/>
  <c r="L263" i="27" s="1"/>
  <c r="CG54" i="35"/>
  <c r="L264" i="27" s="1"/>
  <c r="CG55" i="35"/>
  <c r="L265" i="27" s="1"/>
  <c r="CG56" i="35"/>
  <c r="L266" i="27" s="1"/>
  <c r="CG57" i="35"/>
  <c r="L267" i="27" s="1"/>
  <c r="CG58" i="35"/>
  <c r="L268" i="27" s="1"/>
  <c r="CG59" i="35"/>
  <c r="L269" i="27" s="1"/>
  <c r="CG60" i="35"/>
  <c r="L270" i="27" s="1"/>
  <c r="CF2" i="35"/>
  <c r="K212" i="27" s="1"/>
  <c r="CF3" i="35"/>
  <c r="K213" i="27" s="1"/>
  <c r="CF4" i="35"/>
  <c r="K214" i="27" s="1"/>
  <c r="CF5" i="35"/>
  <c r="K215" i="27" s="1"/>
  <c r="CF6" i="35"/>
  <c r="K216" i="27" s="1"/>
  <c r="CF7" i="35"/>
  <c r="K217" i="27" s="1"/>
  <c r="CF8" i="35"/>
  <c r="K218" i="27" s="1"/>
  <c r="CF9" i="35"/>
  <c r="K219" i="27" s="1"/>
  <c r="CF10" i="35"/>
  <c r="K220" i="27" s="1"/>
  <c r="CF11" i="35"/>
  <c r="K221" i="27" s="1"/>
  <c r="CF12" i="35"/>
  <c r="K222" i="27" s="1"/>
  <c r="CF13" i="35"/>
  <c r="K223" i="27" s="1"/>
  <c r="CF14" i="35"/>
  <c r="K224" i="27" s="1"/>
  <c r="CF15" i="35"/>
  <c r="K225" i="27" s="1"/>
  <c r="CF16" i="35"/>
  <c r="K226" i="27" s="1"/>
  <c r="CF17" i="35"/>
  <c r="K227" i="27" s="1"/>
  <c r="CF18" i="35"/>
  <c r="K228" i="27" s="1"/>
  <c r="CF19" i="35"/>
  <c r="K229" i="27" s="1"/>
  <c r="CF20" i="35"/>
  <c r="K230" i="27" s="1"/>
  <c r="CF21" i="35"/>
  <c r="K231" i="27" s="1"/>
  <c r="CF22" i="35"/>
  <c r="K232" i="27" s="1"/>
  <c r="CF23" i="35"/>
  <c r="K233" i="27" s="1"/>
  <c r="CF24" i="35"/>
  <c r="K234" i="27" s="1"/>
  <c r="CF25" i="35"/>
  <c r="K235" i="27" s="1"/>
  <c r="CF26" i="35"/>
  <c r="K236" i="27" s="1"/>
  <c r="CF27" i="35"/>
  <c r="K237" i="27" s="1"/>
  <c r="CF28" i="35"/>
  <c r="K238" i="27" s="1"/>
  <c r="CF29" i="35"/>
  <c r="K239" i="27" s="1"/>
  <c r="CF30" i="35"/>
  <c r="K240" i="27" s="1"/>
  <c r="CF31" i="35"/>
  <c r="K241" i="27" s="1"/>
  <c r="CF32" i="35"/>
  <c r="K242" i="27" s="1"/>
  <c r="CF33" i="35"/>
  <c r="K243" i="27" s="1"/>
  <c r="CF34" i="35"/>
  <c r="K244" i="27" s="1"/>
  <c r="CF35" i="35"/>
  <c r="K245" i="27" s="1"/>
  <c r="CF36" i="35"/>
  <c r="K246" i="27" s="1"/>
  <c r="CF37" i="35"/>
  <c r="K247" i="27" s="1"/>
  <c r="CF38" i="35"/>
  <c r="K248" i="27" s="1"/>
  <c r="CF39" i="35"/>
  <c r="K249" i="27" s="1"/>
  <c r="CF40" i="35"/>
  <c r="K250" i="27" s="1"/>
  <c r="CF41" i="35"/>
  <c r="K251" i="27" s="1"/>
  <c r="CF42" i="35"/>
  <c r="K252" i="27" s="1"/>
  <c r="CF43" i="35"/>
  <c r="K253" i="27" s="1"/>
  <c r="CF44" i="35"/>
  <c r="K254" i="27" s="1"/>
  <c r="CF45" i="35"/>
  <c r="K255" i="27" s="1"/>
  <c r="CF46" i="35"/>
  <c r="K256" i="27" s="1"/>
  <c r="CF47" i="35"/>
  <c r="K257" i="27" s="1"/>
  <c r="CF48" i="35"/>
  <c r="K258" i="27" s="1"/>
  <c r="CF49" i="35"/>
  <c r="K259" i="27" s="1"/>
  <c r="CF50" i="35"/>
  <c r="K260" i="27" s="1"/>
  <c r="CF51" i="35"/>
  <c r="K261" i="27" s="1"/>
  <c r="CF52" i="35"/>
  <c r="K262" i="27" s="1"/>
  <c r="CF53" i="35"/>
  <c r="K263" i="27" s="1"/>
  <c r="CF54" i="35"/>
  <c r="K264" i="27" s="1"/>
  <c r="CF55" i="35"/>
  <c r="K265" i="27" s="1"/>
  <c r="CF56" i="35"/>
  <c r="K266" i="27" s="1"/>
  <c r="CF57" i="35"/>
  <c r="K267" i="27" s="1"/>
  <c r="CF58" i="35"/>
  <c r="K268" i="27" s="1"/>
  <c r="CF59" i="35"/>
  <c r="K269" i="27" s="1"/>
  <c r="CF60" i="35"/>
  <c r="K270" i="27" s="1"/>
  <c r="CE2" i="35"/>
  <c r="J212" i="27" s="1"/>
  <c r="CE3" i="35"/>
  <c r="J213" i="27" s="1"/>
  <c r="CE4" i="35"/>
  <c r="J214" i="27" s="1"/>
  <c r="CE5" i="35"/>
  <c r="J215" i="27" s="1"/>
  <c r="CE6" i="35"/>
  <c r="J216" i="27" s="1"/>
  <c r="CE7" i="35"/>
  <c r="J217" i="27" s="1"/>
  <c r="CE8" i="35"/>
  <c r="J218" i="27" s="1"/>
  <c r="CE9" i="35"/>
  <c r="J219" i="27" s="1"/>
  <c r="CE10" i="35"/>
  <c r="J220" i="27" s="1"/>
  <c r="CE11" i="35"/>
  <c r="J221" i="27" s="1"/>
  <c r="CE12" i="35"/>
  <c r="J222" i="27" s="1"/>
  <c r="CE13" i="35"/>
  <c r="J223" i="27" s="1"/>
  <c r="CE14" i="35"/>
  <c r="J224" i="27" s="1"/>
  <c r="CE15" i="35"/>
  <c r="J225" i="27" s="1"/>
  <c r="CE16" i="35"/>
  <c r="J226" i="27" s="1"/>
  <c r="CE17" i="35"/>
  <c r="J227" i="27" s="1"/>
  <c r="CE18" i="35"/>
  <c r="J228" i="27" s="1"/>
  <c r="CE19" i="35"/>
  <c r="J229" i="27" s="1"/>
  <c r="CE20" i="35"/>
  <c r="J230" i="27" s="1"/>
  <c r="CE21" i="35"/>
  <c r="J231" i="27" s="1"/>
  <c r="CE22" i="35"/>
  <c r="J232" i="27" s="1"/>
  <c r="CE23" i="35"/>
  <c r="J233" i="27" s="1"/>
  <c r="CE24" i="35"/>
  <c r="J234" i="27" s="1"/>
  <c r="CE25" i="35"/>
  <c r="J235" i="27" s="1"/>
  <c r="CE26" i="35"/>
  <c r="J236" i="27" s="1"/>
  <c r="CE27" i="35"/>
  <c r="J237" i="27" s="1"/>
  <c r="CE28" i="35"/>
  <c r="J238" i="27" s="1"/>
  <c r="CE29" i="35"/>
  <c r="J239" i="27" s="1"/>
  <c r="CE30" i="35"/>
  <c r="J240" i="27" s="1"/>
  <c r="CE31" i="35"/>
  <c r="J241" i="27" s="1"/>
  <c r="CE32" i="35"/>
  <c r="J242" i="27" s="1"/>
  <c r="CE33" i="35"/>
  <c r="J243" i="27" s="1"/>
  <c r="CE34" i="35"/>
  <c r="J244" i="27" s="1"/>
  <c r="CE35" i="35"/>
  <c r="J245" i="27" s="1"/>
  <c r="CE36" i="35"/>
  <c r="J246" i="27" s="1"/>
  <c r="CE37" i="35"/>
  <c r="J247" i="27" s="1"/>
  <c r="CE38" i="35"/>
  <c r="J248" i="27" s="1"/>
  <c r="CE39" i="35"/>
  <c r="J249" i="27" s="1"/>
  <c r="CE40" i="35"/>
  <c r="J250" i="27" s="1"/>
  <c r="CE41" i="35"/>
  <c r="J251" i="27" s="1"/>
  <c r="CE42" i="35"/>
  <c r="J252" i="27" s="1"/>
  <c r="CE43" i="35"/>
  <c r="J253" i="27" s="1"/>
  <c r="CE44" i="35"/>
  <c r="J254" i="27" s="1"/>
  <c r="CE45" i="35"/>
  <c r="J255" i="27" s="1"/>
  <c r="CE46" i="35"/>
  <c r="J256" i="27" s="1"/>
  <c r="CE47" i="35"/>
  <c r="J257" i="27" s="1"/>
  <c r="CE48" i="35"/>
  <c r="J258" i="27" s="1"/>
  <c r="CE49" i="35"/>
  <c r="J259" i="27" s="1"/>
  <c r="CE50" i="35"/>
  <c r="J260" i="27" s="1"/>
  <c r="CE51" i="35"/>
  <c r="J261" i="27" s="1"/>
  <c r="CE52" i="35"/>
  <c r="J262" i="27" s="1"/>
  <c r="CE53" i="35"/>
  <c r="J263" i="27" s="1"/>
  <c r="CE54" i="35"/>
  <c r="J264" i="27" s="1"/>
  <c r="CE55" i="35"/>
  <c r="J265" i="27" s="1"/>
  <c r="CE56" i="35"/>
  <c r="J266" i="27" s="1"/>
  <c r="CE57" i="35"/>
  <c r="J267" i="27" s="1"/>
  <c r="CE58" i="35"/>
  <c r="J268" i="27" s="1"/>
  <c r="CE59" i="35"/>
  <c r="J269" i="27" s="1"/>
  <c r="CE60" i="35"/>
  <c r="J270" i="27" s="1"/>
  <c r="CL2" i="2"/>
  <c r="P2" i="27" s="1"/>
  <c r="CL3" i="2"/>
  <c r="P3" i="27" s="1"/>
  <c r="CL4" i="2"/>
  <c r="P4" i="27" s="1"/>
  <c r="CL5" i="2"/>
  <c r="P5" i="27" s="1"/>
  <c r="CL6" i="2"/>
  <c r="P6" i="27" s="1"/>
  <c r="CL7" i="2"/>
  <c r="P7" i="27" s="1"/>
  <c r="CL8" i="2"/>
  <c r="P8" i="27" s="1"/>
  <c r="CL9" i="2"/>
  <c r="P9" i="27" s="1"/>
  <c r="CL10" i="2"/>
  <c r="P10" i="27" s="1"/>
  <c r="CL11" i="2"/>
  <c r="P11" i="27" s="1"/>
  <c r="CL12" i="2"/>
  <c r="P12" i="27" s="1"/>
  <c r="CL13" i="2"/>
  <c r="P13" i="27" s="1"/>
  <c r="CL14" i="2"/>
  <c r="P14" i="27" s="1"/>
  <c r="CL15" i="2"/>
  <c r="P15" i="27" s="1"/>
  <c r="CL16" i="2"/>
  <c r="P16" i="27" s="1"/>
  <c r="CL17" i="2"/>
  <c r="P17" i="27" s="1"/>
  <c r="CL18" i="2"/>
  <c r="P18" i="27" s="1"/>
  <c r="CL19" i="2"/>
  <c r="P19" i="27" s="1"/>
  <c r="CL20" i="2"/>
  <c r="P20" i="27" s="1"/>
  <c r="CL21" i="2"/>
  <c r="P21" i="27" s="1"/>
  <c r="CL22" i="2"/>
  <c r="P22" i="27" s="1"/>
  <c r="CL23" i="2"/>
  <c r="P23" i="27" s="1"/>
  <c r="CL24" i="2"/>
  <c r="P24" i="27" s="1"/>
  <c r="CL25" i="2"/>
  <c r="P25" i="27" s="1"/>
  <c r="CL26" i="2"/>
  <c r="P26" i="27" s="1"/>
  <c r="CL27" i="2"/>
  <c r="P27" i="27" s="1"/>
  <c r="CL28" i="2"/>
  <c r="P28" i="27" s="1"/>
  <c r="CL29" i="2"/>
  <c r="P29" i="27" s="1"/>
  <c r="CL30" i="2"/>
  <c r="P30" i="27" s="1"/>
  <c r="CL31" i="2"/>
  <c r="P31" i="27" s="1"/>
  <c r="CL32" i="2"/>
  <c r="P32" i="27" s="1"/>
  <c r="CL33" i="2"/>
  <c r="P33" i="27" s="1"/>
  <c r="P34" i="27"/>
  <c r="CL35" i="2"/>
  <c r="P35" i="27" s="1"/>
  <c r="CL36" i="2"/>
  <c r="P36" i="27" s="1"/>
  <c r="CL37" i="2"/>
  <c r="P37" i="27" s="1"/>
  <c r="CL38" i="2"/>
  <c r="P38" i="27" s="1"/>
  <c r="CL39" i="2"/>
  <c r="P39" i="27" s="1"/>
  <c r="CL40" i="2"/>
  <c r="P40" i="27" s="1"/>
  <c r="CL41" i="2"/>
  <c r="P41" i="27" s="1"/>
  <c r="CK2" i="38"/>
  <c r="P102" i="27" s="1"/>
  <c r="CK3" i="38"/>
  <c r="P103" i="27" s="1"/>
  <c r="CK4" i="38"/>
  <c r="P104" i="27" s="1"/>
  <c r="CK5" i="38"/>
  <c r="P105" i="27" s="1"/>
  <c r="CK6" i="38"/>
  <c r="P106" i="27" s="1"/>
  <c r="CK7" i="38"/>
  <c r="P107" i="27" s="1"/>
  <c r="CK8" i="38"/>
  <c r="P108" i="27" s="1"/>
  <c r="CK9" i="38"/>
  <c r="P109" i="27" s="1"/>
  <c r="CK10" i="38"/>
  <c r="P110" i="27" s="1"/>
  <c r="CK11" i="38"/>
  <c r="P111" i="27" s="1"/>
  <c r="CK12" i="38"/>
  <c r="P112" i="27" s="1"/>
  <c r="CK13" i="38"/>
  <c r="P113" i="27" s="1"/>
  <c r="CK14" i="38"/>
  <c r="P114" i="27" s="1"/>
  <c r="CK15" i="38"/>
  <c r="P115" i="27" s="1"/>
  <c r="CK16" i="38"/>
  <c r="P116" i="27" s="1"/>
  <c r="CK17" i="38"/>
  <c r="P117" i="27" s="1"/>
  <c r="CK18" i="38"/>
  <c r="P118" i="27" s="1"/>
  <c r="CK19" i="38"/>
  <c r="P119" i="27" s="1"/>
  <c r="CK20" i="38"/>
  <c r="P120" i="27" s="1"/>
  <c r="CK21" i="38"/>
  <c r="P121" i="27" s="1"/>
  <c r="CK22" i="38"/>
  <c r="P122" i="27" s="1"/>
  <c r="CK23" i="38"/>
  <c r="P123" i="27" s="1"/>
  <c r="CK24" i="38"/>
  <c r="P124" i="27" s="1"/>
  <c r="CK25" i="38"/>
  <c r="P125" i="27" s="1"/>
  <c r="CK26" i="38"/>
  <c r="P126" i="27" s="1"/>
  <c r="CK27" i="38"/>
  <c r="P127" i="27" s="1"/>
  <c r="CK28" i="38"/>
  <c r="P128" i="27" s="1"/>
  <c r="CK29" i="38"/>
  <c r="P129" i="27" s="1"/>
  <c r="CK30" i="38"/>
  <c r="P130" i="27" s="1"/>
  <c r="CK31" i="38"/>
  <c r="P131" i="27" s="1"/>
  <c r="CK32" i="38"/>
  <c r="P132" i="27" s="1"/>
  <c r="CK33" i="38"/>
  <c r="P133" i="27" s="1"/>
  <c r="CK34" i="38"/>
  <c r="P134" i="27" s="1"/>
  <c r="CK35" i="38"/>
  <c r="P135" i="27" s="1"/>
  <c r="CK36" i="38"/>
  <c r="P136" i="27" s="1"/>
  <c r="CK37" i="38"/>
  <c r="P137" i="27" s="1"/>
  <c r="CK38" i="38"/>
  <c r="P138" i="27" s="1"/>
  <c r="CK39" i="38"/>
  <c r="P139" i="27" s="1"/>
  <c r="CK40" i="38"/>
  <c r="P140" i="27" s="1"/>
  <c r="CK41" i="38"/>
  <c r="P141" i="27" s="1"/>
  <c r="CK42" i="38"/>
  <c r="P142" i="27" s="1"/>
  <c r="CK43" i="38"/>
  <c r="P143" i="27" s="1"/>
  <c r="CK44" i="38"/>
  <c r="P144" i="27" s="1"/>
  <c r="CK45" i="38"/>
  <c r="P145" i="27" s="1"/>
  <c r="CK46" i="38"/>
  <c r="P146" i="27" s="1"/>
  <c r="CK47" i="38"/>
  <c r="P147" i="27" s="1"/>
  <c r="CK48" i="38"/>
  <c r="P148" i="27" s="1"/>
  <c r="CK49" i="38"/>
  <c r="P149" i="27" s="1"/>
  <c r="CK50" i="38"/>
  <c r="P150" i="27" s="1"/>
  <c r="CK51" i="38"/>
  <c r="P151" i="27" s="1"/>
  <c r="CK52" i="38"/>
  <c r="P152" i="27" s="1"/>
  <c r="CK53" i="38"/>
  <c r="P153" i="27" s="1"/>
  <c r="CK54" i="38"/>
  <c r="P154" i="27" s="1"/>
  <c r="CK55" i="38"/>
  <c r="P155" i="27" s="1"/>
  <c r="CK56" i="38"/>
  <c r="P156" i="27" s="1"/>
  <c r="CK57" i="38"/>
  <c r="P157" i="27" s="1"/>
  <c r="CK58" i="38"/>
  <c r="P158" i="27" s="1"/>
  <c r="CK59" i="38"/>
  <c r="P159" i="27" s="1"/>
  <c r="CK60" i="38"/>
  <c r="P160" i="27" s="1"/>
  <c r="CK61" i="38"/>
  <c r="P161" i="27" s="1"/>
  <c r="CK62" i="38"/>
  <c r="P162" i="27" s="1"/>
  <c r="CK63" i="38"/>
  <c r="P163" i="27" s="1"/>
  <c r="CK64" i="38"/>
  <c r="P164" i="27" s="1"/>
  <c r="CK65" i="38"/>
  <c r="P165" i="27" s="1"/>
  <c r="CK66" i="38"/>
  <c r="P166" i="27" s="1"/>
  <c r="CK67" i="38"/>
  <c r="P167" i="27" s="1"/>
  <c r="CK68" i="38"/>
  <c r="P168" i="27" s="1"/>
  <c r="CK69" i="38"/>
  <c r="P169" i="27" s="1"/>
  <c r="CK70" i="38"/>
  <c r="P170" i="27" s="1"/>
  <c r="CK71" i="38"/>
  <c r="P171" i="27" s="1"/>
  <c r="CK72" i="38"/>
  <c r="P172" i="27" s="1"/>
  <c r="CK73" i="38"/>
  <c r="P173" i="27" s="1"/>
  <c r="CK74" i="38"/>
  <c r="P174" i="27" s="1"/>
  <c r="CK75" i="38"/>
  <c r="P175" i="27" s="1"/>
  <c r="CK76" i="38"/>
  <c r="P176" i="27" s="1"/>
  <c r="CK77" i="38"/>
  <c r="P177" i="27" s="1"/>
  <c r="CK78" i="38"/>
  <c r="P178" i="27" s="1"/>
  <c r="CK79" i="38"/>
  <c r="P179" i="27" s="1"/>
  <c r="CK80" i="38"/>
  <c r="P180" i="27" s="1"/>
  <c r="CK81" i="38"/>
  <c r="P181" i="27" s="1"/>
  <c r="CK82" i="38"/>
  <c r="P182" i="27" s="1"/>
  <c r="CK83" i="38"/>
  <c r="P183" i="27" s="1"/>
  <c r="CK84" i="38"/>
  <c r="P184" i="27" s="1"/>
  <c r="CK85" i="38"/>
  <c r="P185" i="27" s="1"/>
  <c r="CK86" i="38"/>
  <c r="P186" i="27" s="1"/>
  <c r="CK87" i="38"/>
  <c r="P187" i="27" s="1"/>
  <c r="CK88" i="38"/>
  <c r="P188" i="27" s="1"/>
  <c r="CK89" i="38"/>
  <c r="P189" i="27" s="1"/>
  <c r="CK90" i="38"/>
  <c r="P190" i="27" s="1"/>
  <c r="CK91" i="38"/>
  <c r="P191" i="27" s="1"/>
  <c r="CK92" i="38"/>
  <c r="P192" i="27" s="1"/>
  <c r="CK93" i="38"/>
  <c r="P193" i="27" s="1"/>
  <c r="CK94" i="38"/>
  <c r="P194" i="27" s="1"/>
  <c r="CK95" i="38"/>
  <c r="P195" i="27" s="1"/>
  <c r="CK96" i="38"/>
  <c r="P196" i="27" s="1"/>
  <c r="CK97" i="38"/>
  <c r="P197" i="27" s="1"/>
  <c r="CK98" i="38"/>
  <c r="P198" i="27" s="1"/>
  <c r="CK99" i="38"/>
  <c r="P199" i="27" s="1"/>
  <c r="CK100" i="38"/>
  <c r="P200" i="27" s="1"/>
  <c r="CK101" i="38"/>
  <c r="P201" i="27" s="1"/>
  <c r="CK102" i="38"/>
  <c r="P202" i="27" s="1"/>
  <c r="CK103" i="38"/>
  <c r="P203" i="27" s="1"/>
  <c r="CK104" i="38"/>
  <c r="P204" i="27" s="1"/>
  <c r="CK105" i="38"/>
  <c r="P205" i="27" s="1"/>
  <c r="CK106" i="38"/>
  <c r="P206" i="27" s="1"/>
  <c r="CK107" i="38"/>
  <c r="P207" i="27" s="1"/>
  <c r="CK108" i="38"/>
  <c r="P208" i="27" s="1"/>
  <c r="CK109" i="38"/>
  <c r="P209" i="27" s="1"/>
  <c r="CK110" i="38"/>
  <c r="P210" i="27" s="1"/>
  <c r="CG2" i="38"/>
  <c r="L102" i="27" s="1"/>
  <c r="CG3" i="38"/>
  <c r="L103" i="27" s="1"/>
  <c r="CG4" i="38"/>
  <c r="L104" i="27" s="1"/>
  <c r="CG5" i="38"/>
  <c r="L105" i="27" s="1"/>
  <c r="CG6" i="38"/>
  <c r="L106" i="27" s="1"/>
  <c r="CG7" i="38"/>
  <c r="L107" i="27" s="1"/>
  <c r="CG8" i="38"/>
  <c r="L108" i="27" s="1"/>
  <c r="CG9" i="38"/>
  <c r="L109" i="27" s="1"/>
  <c r="CG10" i="38"/>
  <c r="L110" i="27" s="1"/>
  <c r="CG11" i="38"/>
  <c r="L111" i="27" s="1"/>
  <c r="CG12" i="38"/>
  <c r="L112" i="27" s="1"/>
  <c r="CG13" i="38"/>
  <c r="L113" i="27" s="1"/>
  <c r="CG14" i="38"/>
  <c r="L114" i="27" s="1"/>
  <c r="CG15" i="38"/>
  <c r="L115" i="27" s="1"/>
  <c r="CG16" i="38"/>
  <c r="L116" i="27" s="1"/>
  <c r="CG17" i="38"/>
  <c r="L117" i="27" s="1"/>
  <c r="CG18" i="38"/>
  <c r="L118" i="27" s="1"/>
  <c r="CG19" i="38"/>
  <c r="L119" i="27" s="1"/>
  <c r="CG20" i="38"/>
  <c r="L120" i="27" s="1"/>
  <c r="CG21" i="38"/>
  <c r="L121" i="27" s="1"/>
  <c r="CG22" i="38"/>
  <c r="L122" i="27" s="1"/>
  <c r="CG23" i="38"/>
  <c r="L123" i="27" s="1"/>
  <c r="CG24" i="38"/>
  <c r="L124" i="27" s="1"/>
  <c r="CG25" i="38"/>
  <c r="L125" i="27" s="1"/>
  <c r="CG26" i="38"/>
  <c r="L126" i="27" s="1"/>
  <c r="CG27" i="38"/>
  <c r="L127" i="27" s="1"/>
  <c r="CG28" i="38"/>
  <c r="L128" i="27" s="1"/>
  <c r="CG29" i="38"/>
  <c r="L129" i="27" s="1"/>
  <c r="CG30" i="38"/>
  <c r="L130" i="27" s="1"/>
  <c r="CG31" i="38"/>
  <c r="L131" i="27" s="1"/>
  <c r="CG32" i="38"/>
  <c r="L132" i="27" s="1"/>
  <c r="CG33" i="38"/>
  <c r="L133" i="27" s="1"/>
  <c r="CG34" i="38"/>
  <c r="L134" i="27" s="1"/>
  <c r="CG35" i="38"/>
  <c r="L135" i="27" s="1"/>
  <c r="CG36" i="38"/>
  <c r="L136" i="27" s="1"/>
  <c r="CG37" i="38"/>
  <c r="L137" i="27" s="1"/>
  <c r="CG38" i="38"/>
  <c r="L138" i="27" s="1"/>
  <c r="CG39" i="38"/>
  <c r="L139" i="27" s="1"/>
  <c r="CG40" i="38"/>
  <c r="L140" i="27" s="1"/>
  <c r="CG41" i="38"/>
  <c r="L141" i="27" s="1"/>
  <c r="CG42" i="38"/>
  <c r="L142" i="27" s="1"/>
  <c r="CG43" i="38"/>
  <c r="L143" i="27" s="1"/>
  <c r="CG44" i="38"/>
  <c r="L144" i="27" s="1"/>
  <c r="CG45" i="38"/>
  <c r="L145" i="27" s="1"/>
  <c r="CG46" i="38"/>
  <c r="L146" i="27" s="1"/>
  <c r="CG47" i="38"/>
  <c r="L147" i="27" s="1"/>
  <c r="CG48" i="38"/>
  <c r="L148" i="27" s="1"/>
  <c r="CG49" i="38"/>
  <c r="L149" i="27" s="1"/>
  <c r="CG50" i="38"/>
  <c r="L150" i="27" s="1"/>
  <c r="CG51" i="38"/>
  <c r="L151" i="27" s="1"/>
  <c r="CG52" i="38"/>
  <c r="L152" i="27" s="1"/>
  <c r="CG53" i="38"/>
  <c r="L153" i="27" s="1"/>
  <c r="CG54" i="38"/>
  <c r="L154" i="27" s="1"/>
  <c r="CG55" i="38"/>
  <c r="L155" i="27" s="1"/>
  <c r="CG56" i="38"/>
  <c r="L156" i="27" s="1"/>
  <c r="CG57" i="38"/>
  <c r="L157" i="27" s="1"/>
  <c r="CG58" i="38"/>
  <c r="L158" i="27" s="1"/>
  <c r="CG59" i="38"/>
  <c r="L159" i="27" s="1"/>
  <c r="CG60" i="38"/>
  <c r="L160" i="27" s="1"/>
  <c r="CG61" i="38"/>
  <c r="L161" i="27" s="1"/>
  <c r="CG62" i="38"/>
  <c r="L162" i="27" s="1"/>
  <c r="CG63" i="38"/>
  <c r="L163" i="27" s="1"/>
  <c r="CG64" i="38"/>
  <c r="L164" i="27" s="1"/>
  <c r="CG65" i="38"/>
  <c r="L165" i="27" s="1"/>
  <c r="CG66" i="38"/>
  <c r="L166" i="27" s="1"/>
  <c r="CG67" i="38"/>
  <c r="L167" i="27" s="1"/>
  <c r="CG68" i="38"/>
  <c r="L168" i="27" s="1"/>
  <c r="CG69" i="38"/>
  <c r="L169" i="27" s="1"/>
  <c r="CG70" i="38"/>
  <c r="L170" i="27" s="1"/>
  <c r="CG71" i="38"/>
  <c r="L171" i="27" s="1"/>
  <c r="CG72" i="38"/>
  <c r="L172" i="27" s="1"/>
  <c r="CG73" i="38"/>
  <c r="L173" i="27" s="1"/>
  <c r="CG74" i="38"/>
  <c r="L174" i="27" s="1"/>
  <c r="CG75" i="38"/>
  <c r="L175" i="27" s="1"/>
  <c r="CG76" i="38"/>
  <c r="L176" i="27" s="1"/>
  <c r="CG77" i="38"/>
  <c r="L177" i="27" s="1"/>
  <c r="CG78" i="38"/>
  <c r="L178" i="27" s="1"/>
  <c r="CG79" i="38"/>
  <c r="L179" i="27" s="1"/>
  <c r="CG80" i="38"/>
  <c r="L180" i="27" s="1"/>
  <c r="CG81" i="38"/>
  <c r="L181" i="27" s="1"/>
  <c r="CG82" i="38"/>
  <c r="L182" i="27" s="1"/>
  <c r="CG83" i="38"/>
  <c r="L183" i="27" s="1"/>
  <c r="CG84" i="38"/>
  <c r="L184" i="27" s="1"/>
  <c r="CG85" i="38"/>
  <c r="L185" i="27" s="1"/>
  <c r="CG86" i="38"/>
  <c r="L186" i="27" s="1"/>
  <c r="CG87" i="38"/>
  <c r="L187" i="27" s="1"/>
  <c r="CG88" i="38"/>
  <c r="L188" i="27" s="1"/>
  <c r="CG89" i="38"/>
  <c r="L189" i="27" s="1"/>
  <c r="CG90" i="38"/>
  <c r="L190" i="27" s="1"/>
  <c r="CG91" i="38"/>
  <c r="L191" i="27" s="1"/>
  <c r="CG92" i="38"/>
  <c r="L192" i="27" s="1"/>
  <c r="CG93" i="38"/>
  <c r="L193" i="27" s="1"/>
  <c r="CG94" i="38"/>
  <c r="L194" i="27" s="1"/>
  <c r="CG95" i="38"/>
  <c r="L195" i="27" s="1"/>
  <c r="CG96" i="38"/>
  <c r="L196" i="27" s="1"/>
  <c r="CG97" i="38"/>
  <c r="L197" i="27" s="1"/>
  <c r="CG98" i="38"/>
  <c r="L198" i="27" s="1"/>
  <c r="CG99" i="38"/>
  <c r="L199" i="27" s="1"/>
  <c r="CG100" i="38"/>
  <c r="L200" i="27" s="1"/>
  <c r="CG101" i="38"/>
  <c r="L201" i="27" s="1"/>
  <c r="CG102" i="38"/>
  <c r="L202" i="27" s="1"/>
  <c r="CG103" i="38"/>
  <c r="L203" i="27" s="1"/>
  <c r="CG104" i="38"/>
  <c r="L204" i="27" s="1"/>
  <c r="CG105" i="38"/>
  <c r="L205" i="27" s="1"/>
  <c r="CG106" i="38"/>
  <c r="L206" i="27" s="1"/>
  <c r="CG107" i="38"/>
  <c r="L207" i="27" s="1"/>
  <c r="CG108" i="38"/>
  <c r="L208" i="27" s="1"/>
  <c r="CG109" i="38"/>
  <c r="L209" i="27" s="1"/>
  <c r="CG110" i="38"/>
  <c r="L210" i="27" s="1"/>
  <c r="CF2" i="38"/>
  <c r="K102" i="27" s="1"/>
  <c r="CF3" i="38"/>
  <c r="K103" i="27" s="1"/>
  <c r="CF4" i="38"/>
  <c r="K104" i="27" s="1"/>
  <c r="CF5" i="38"/>
  <c r="K105" i="27" s="1"/>
  <c r="CF6" i="38"/>
  <c r="K106" i="27" s="1"/>
  <c r="CF7" i="38"/>
  <c r="K107" i="27" s="1"/>
  <c r="CF8" i="38"/>
  <c r="K108" i="27" s="1"/>
  <c r="CF9" i="38"/>
  <c r="K109" i="27" s="1"/>
  <c r="CF10" i="38"/>
  <c r="K110" i="27" s="1"/>
  <c r="CF11" i="38"/>
  <c r="K111" i="27" s="1"/>
  <c r="CF12" i="38"/>
  <c r="K112" i="27" s="1"/>
  <c r="CF13" i="38"/>
  <c r="K113" i="27" s="1"/>
  <c r="CF14" i="38"/>
  <c r="K114" i="27" s="1"/>
  <c r="CF15" i="38"/>
  <c r="K115" i="27" s="1"/>
  <c r="CF16" i="38"/>
  <c r="K116" i="27" s="1"/>
  <c r="CF17" i="38"/>
  <c r="K117" i="27" s="1"/>
  <c r="CF18" i="38"/>
  <c r="K118" i="27" s="1"/>
  <c r="CF19" i="38"/>
  <c r="K119" i="27" s="1"/>
  <c r="CF20" i="38"/>
  <c r="K120" i="27" s="1"/>
  <c r="CF21" i="38"/>
  <c r="K121" i="27" s="1"/>
  <c r="CF22" i="38"/>
  <c r="K122" i="27" s="1"/>
  <c r="CF23" i="38"/>
  <c r="K123" i="27" s="1"/>
  <c r="CF24" i="38"/>
  <c r="K124" i="27" s="1"/>
  <c r="CF25" i="38"/>
  <c r="K125" i="27" s="1"/>
  <c r="CF26" i="38"/>
  <c r="K126" i="27" s="1"/>
  <c r="CF27" i="38"/>
  <c r="K127" i="27" s="1"/>
  <c r="CF28" i="38"/>
  <c r="K128" i="27" s="1"/>
  <c r="CF29" i="38"/>
  <c r="K129" i="27" s="1"/>
  <c r="CF30" i="38"/>
  <c r="K130" i="27" s="1"/>
  <c r="CF31" i="38"/>
  <c r="K131" i="27" s="1"/>
  <c r="CF32" i="38"/>
  <c r="K132" i="27" s="1"/>
  <c r="CF33" i="38"/>
  <c r="K133" i="27" s="1"/>
  <c r="CF34" i="38"/>
  <c r="K134" i="27" s="1"/>
  <c r="CF35" i="38"/>
  <c r="K135" i="27" s="1"/>
  <c r="CF36" i="38"/>
  <c r="K136" i="27" s="1"/>
  <c r="CF37" i="38"/>
  <c r="K137" i="27" s="1"/>
  <c r="CF38" i="38"/>
  <c r="K138" i="27" s="1"/>
  <c r="CF39" i="38"/>
  <c r="K139" i="27" s="1"/>
  <c r="CF40" i="38"/>
  <c r="K140" i="27" s="1"/>
  <c r="CF41" i="38"/>
  <c r="K141" i="27" s="1"/>
  <c r="CF42" i="38"/>
  <c r="K142" i="27" s="1"/>
  <c r="CF43" i="38"/>
  <c r="K143" i="27" s="1"/>
  <c r="CF44" i="38"/>
  <c r="K144" i="27" s="1"/>
  <c r="CF45" i="38"/>
  <c r="K145" i="27" s="1"/>
  <c r="CF46" i="38"/>
  <c r="K146" i="27" s="1"/>
  <c r="CF47" i="38"/>
  <c r="K147" i="27" s="1"/>
  <c r="CF48" i="38"/>
  <c r="K148" i="27" s="1"/>
  <c r="CF49" i="38"/>
  <c r="K149" i="27" s="1"/>
  <c r="CF50" i="38"/>
  <c r="K150" i="27" s="1"/>
  <c r="CF51" i="38"/>
  <c r="K151" i="27" s="1"/>
  <c r="CF52" i="38"/>
  <c r="K152" i="27" s="1"/>
  <c r="CF53" i="38"/>
  <c r="K153" i="27" s="1"/>
  <c r="CF54" i="38"/>
  <c r="K154" i="27" s="1"/>
  <c r="CF55" i="38"/>
  <c r="K155" i="27" s="1"/>
  <c r="CF56" i="38"/>
  <c r="K156" i="27" s="1"/>
  <c r="CF57" i="38"/>
  <c r="K157" i="27" s="1"/>
  <c r="CF58" i="38"/>
  <c r="K158" i="27" s="1"/>
  <c r="CF59" i="38"/>
  <c r="K159" i="27" s="1"/>
  <c r="CF60" i="38"/>
  <c r="K160" i="27" s="1"/>
  <c r="CF61" i="38"/>
  <c r="K161" i="27" s="1"/>
  <c r="CF62" i="38"/>
  <c r="K162" i="27" s="1"/>
  <c r="CF63" i="38"/>
  <c r="K163" i="27" s="1"/>
  <c r="CF64" i="38"/>
  <c r="K164" i="27" s="1"/>
  <c r="CF65" i="38"/>
  <c r="K165" i="27" s="1"/>
  <c r="CF66" i="38"/>
  <c r="K166" i="27" s="1"/>
  <c r="CF67" i="38"/>
  <c r="K167" i="27" s="1"/>
  <c r="CF68" i="38"/>
  <c r="K168" i="27" s="1"/>
  <c r="CF69" i="38"/>
  <c r="K169" i="27" s="1"/>
  <c r="CF70" i="38"/>
  <c r="K170" i="27" s="1"/>
  <c r="CF71" i="38"/>
  <c r="K171" i="27" s="1"/>
  <c r="CF72" i="38"/>
  <c r="K172" i="27" s="1"/>
  <c r="CF73" i="38"/>
  <c r="K173" i="27" s="1"/>
  <c r="CF74" i="38"/>
  <c r="K174" i="27" s="1"/>
  <c r="CF75" i="38"/>
  <c r="K175" i="27" s="1"/>
  <c r="CF76" i="38"/>
  <c r="K176" i="27" s="1"/>
  <c r="CF77" i="38"/>
  <c r="K177" i="27" s="1"/>
  <c r="CF78" i="38"/>
  <c r="K178" i="27" s="1"/>
  <c r="CF79" i="38"/>
  <c r="K179" i="27" s="1"/>
  <c r="CF80" i="38"/>
  <c r="K180" i="27" s="1"/>
  <c r="CF81" i="38"/>
  <c r="K181" i="27" s="1"/>
  <c r="CF82" i="38"/>
  <c r="K182" i="27" s="1"/>
  <c r="CF83" i="38"/>
  <c r="K183" i="27" s="1"/>
  <c r="CF84" i="38"/>
  <c r="K184" i="27" s="1"/>
  <c r="CF85" i="38"/>
  <c r="K185" i="27" s="1"/>
  <c r="CF86" i="38"/>
  <c r="K186" i="27" s="1"/>
  <c r="CF87" i="38"/>
  <c r="K187" i="27" s="1"/>
  <c r="CF88" i="38"/>
  <c r="K188" i="27" s="1"/>
  <c r="CF89" i="38"/>
  <c r="K189" i="27" s="1"/>
  <c r="CF90" i="38"/>
  <c r="K190" i="27" s="1"/>
  <c r="CF91" i="38"/>
  <c r="K191" i="27" s="1"/>
  <c r="CF92" i="38"/>
  <c r="K192" i="27" s="1"/>
  <c r="CF93" i="38"/>
  <c r="K193" i="27" s="1"/>
  <c r="CF94" i="38"/>
  <c r="K194" i="27" s="1"/>
  <c r="CF95" i="38"/>
  <c r="K195" i="27" s="1"/>
  <c r="CF96" i="38"/>
  <c r="K196" i="27" s="1"/>
  <c r="CF97" i="38"/>
  <c r="K197" i="27" s="1"/>
  <c r="CF98" i="38"/>
  <c r="K198" i="27" s="1"/>
  <c r="CF99" i="38"/>
  <c r="K199" i="27" s="1"/>
  <c r="CF100" i="38"/>
  <c r="K200" i="27" s="1"/>
  <c r="CF101" i="38"/>
  <c r="K201" i="27" s="1"/>
  <c r="CF102" i="38"/>
  <c r="K202" i="27" s="1"/>
  <c r="CF103" i="38"/>
  <c r="K203" i="27" s="1"/>
  <c r="CF104" i="38"/>
  <c r="K204" i="27" s="1"/>
  <c r="CF105" i="38"/>
  <c r="K205" i="27" s="1"/>
  <c r="CF106" i="38"/>
  <c r="K206" i="27" s="1"/>
  <c r="CF107" i="38"/>
  <c r="K207" i="27" s="1"/>
  <c r="CF108" i="38"/>
  <c r="K208" i="27" s="1"/>
  <c r="CF109" i="38"/>
  <c r="K209" i="27" s="1"/>
  <c r="CF110" i="38"/>
  <c r="K210" i="27" s="1"/>
  <c r="CE2" i="38"/>
  <c r="J102" i="27" s="1"/>
  <c r="CE3" i="38"/>
  <c r="J103" i="27" s="1"/>
  <c r="CE4" i="38"/>
  <c r="J104" i="27" s="1"/>
  <c r="CE5" i="38"/>
  <c r="J105" i="27" s="1"/>
  <c r="CE6" i="38"/>
  <c r="J106" i="27" s="1"/>
  <c r="CE7" i="38"/>
  <c r="J107" i="27" s="1"/>
  <c r="CE8" i="38"/>
  <c r="J108" i="27" s="1"/>
  <c r="CE9" i="38"/>
  <c r="J109" i="27" s="1"/>
  <c r="CE10" i="38"/>
  <c r="J110" i="27" s="1"/>
  <c r="CE11" i="38"/>
  <c r="J111" i="27" s="1"/>
  <c r="CE12" i="38"/>
  <c r="J112" i="27" s="1"/>
  <c r="CE13" i="38"/>
  <c r="J113" i="27" s="1"/>
  <c r="CE14" i="38"/>
  <c r="J114" i="27" s="1"/>
  <c r="CE15" i="38"/>
  <c r="J115" i="27" s="1"/>
  <c r="CE16" i="38"/>
  <c r="J116" i="27" s="1"/>
  <c r="CE17" i="38"/>
  <c r="J117" i="27" s="1"/>
  <c r="CE18" i="38"/>
  <c r="J118" i="27" s="1"/>
  <c r="CE19" i="38"/>
  <c r="J119" i="27" s="1"/>
  <c r="CE20" i="38"/>
  <c r="J120" i="27" s="1"/>
  <c r="CE21" i="38"/>
  <c r="J121" i="27" s="1"/>
  <c r="CE22" i="38"/>
  <c r="J122" i="27" s="1"/>
  <c r="CE23" i="38"/>
  <c r="J123" i="27" s="1"/>
  <c r="CE24" i="38"/>
  <c r="J124" i="27" s="1"/>
  <c r="CE25" i="38"/>
  <c r="J125" i="27" s="1"/>
  <c r="CE26" i="38"/>
  <c r="J126" i="27" s="1"/>
  <c r="CE27" i="38"/>
  <c r="J127" i="27" s="1"/>
  <c r="CE28" i="38"/>
  <c r="J128" i="27" s="1"/>
  <c r="CE29" i="38"/>
  <c r="J129" i="27" s="1"/>
  <c r="CE30" i="38"/>
  <c r="J130" i="27" s="1"/>
  <c r="CE31" i="38"/>
  <c r="J131" i="27" s="1"/>
  <c r="CE32" i="38"/>
  <c r="J132" i="27" s="1"/>
  <c r="CE33" i="38"/>
  <c r="J133" i="27" s="1"/>
  <c r="CE34" i="38"/>
  <c r="J134" i="27" s="1"/>
  <c r="CE35" i="38"/>
  <c r="J135" i="27" s="1"/>
  <c r="CE36" i="38"/>
  <c r="J136" i="27" s="1"/>
  <c r="CE37" i="38"/>
  <c r="J137" i="27" s="1"/>
  <c r="CE38" i="38"/>
  <c r="J138" i="27" s="1"/>
  <c r="CE39" i="38"/>
  <c r="J139" i="27" s="1"/>
  <c r="CE40" i="38"/>
  <c r="J140" i="27" s="1"/>
  <c r="CE41" i="38"/>
  <c r="J141" i="27" s="1"/>
  <c r="CE42" i="38"/>
  <c r="J142" i="27" s="1"/>
  <c r="CE43" i="38"/>
  <c r="J143" i="27" s="1"/>
  <c r="CE44" i="38"/>
  <c r="J144" i="27" s="1"/>
  <c r="CE45" i="38"/>
  <c r="J145" i="27" s="1"/>
  <c r="CE46" i="38"/>
  <c r="J146" i="27" s="1"/>
  <c r="CE47" i="38"/>
  <c r="J147" i="27" s="1"/>
  <c r="CE48" i="38"/>
  <c r="J148" i="27" s="1"/>
  <c r="CE49" i="38"/>
  <c r="J149" i="27" s="1"/>
  <c r="CE50" i="38"/>
  <c r="J150" i="27" s="1"/>
  <c r="CE51" i="38"/>
  <c r="J151" i="27" s="1"/>
  <c r="CE52" i="38"/>
  <c r="J152" i="27" s="1"/>
  <c r="CE53" i="38"/>
  <c r="J153" i="27" s="1"/>
  <c r="CE54" i="38"/>
  <c r="J154" i="27" s="1"/>
  <c r="CE55" i="38"/>
  <c r="J155" i="27" s="1"/>
  <c r="CE56" i="38"/>
  <c r="J156" i="27" s="1"/>
  <c r="CE57" i="38"/>
  <c r="J157" i="27" s="1"/>
  <c r="CE58" i="38"/>
  <c r="J158" i="27" s="1"/>
  <c r="CE59" i="38"/>
  <c r="J159" i="27" s="1"/>
  <c r="CE60" i="38"/>
  <c r="J160" i="27" s="1"/>
  <c r="CE61" i="38"/>
  <c r="J161" i="27" s="1"/>
  <c r="CE62" i="38"/>
  <c r="J162" i="27" s="1"/>
  <c r="CE63" i="38"/>
  <c r="J163" i="27" s="1"/>
  <c r="CE64" i="38"/>
  <c r="J164" i="27" s="1"/>
  <c r="CE65" i="38"/>
  <c r="J165" i="27" s="1"/>
  <c r="CE66" i="38"/>
  <c r="J166" i="27" s="1"/>
  <c r="CE67" i="38"/>
  <c r="J167" i="27" s="1"/>
  <c r="CE68" i="38"/>
  <c r="J168" i="27" s="1"/>
  <c r="CE69" i="38"/>
  <c r="J169" i="27" s="1"/>
  <c r="CE70" i="38"/>
  <c r="J170" i="27" s="1"/>
  <c r="CE71" i="38"/>
  <c r="J171" i="27" s="1"/>
  <c r="CE72" i="38"/>
  <c r="J172" i="27" s="1"/>
  <c r="CE73" i="38"/>
  <c r="J173" i="27" s="1"/>
  <c r="CE74" i="38"/>
  <c r="J174" i="27" s="1"/>
  <c r="CE75" i="38"/>
  <c r="J175" i="27" s="1"/>
  <c r="CE76" i="38"/>
  <c r="J176" i="27" s="1"/>
  <c r="CE77" i="38"/>
  <c r="J177" i="27" s="1"/>
  <c r="CE78" i="38"/>
  <c r="J178" i="27" s="1"/>
  <c r="CE79" i="38"/>
  <c r="J179" i="27" s="1"/>
  <c r="CE80" i="38"/>
  <c r="J180" i="27" s="1"/>
  <c r="CE81" i="38"/>
  <c r="J181" i="27" s="1"/>
  <c r="CE82" i="38"/>
  <c r="J182" i="27" s="1"/>
  <c r="CE83" i="38"/>
  <c r="J183" i="27" s="1"/>
  <c r="CE84" i="38"/>
  <c r="J184" i="27" s="1"/>
  <c r="CE85" i="38"/>
  <c r="J185" i="27" s="1"/>
  <c r="CE86" i="38"/>
  <c r="J186" i="27" s="1"/>
  <c r="CE87" i="38"/>
  <c r="J187" i="27" s="1"/>
  <c r="CE88" i="38"/>
  <c r="J188" i="27" s="1"/>
  <c r="CE89" i="38"/>
  <c r="J189" i="27" s="1"/>
  <c r="CE90" i="38"/>
  <c r="J190" i="27" s="1"/>
  <c r="CE91" i="38"/>
  <c r="J191" i="27" s="1"/>
  <c r="CE92" i="38"/>
  <c r="J192" i="27" s="1"/>
  <c r="CE93" i="38"/>
  <c r="J193" i="27" s="1"/>
  <c r="CE94" i="38"/>
  <c r="J194" i="27" s="1"/>
  <c r="CE95" i="38"/>
  <c r="J195" i="27" s="1"/>
  <c r="CE96" i="38"/>
  <c r="J196" i="27" s="1"/>
  <c r="CE97" i="38"/>
  <c r="J197" i="27" s="1"/>
  <c r="CE98" i="38"/>
  <c r="J198" i="27" s="1"/>
  <c r="CE99" i="38"/>
  <c r="J199" i="27" s="1"/>
  <c r="CE100" i="38"/>
  <c r="J200" i="27" s="1"/>
  <c r="CE101" i="38"/>
  <c r="J201" i="27" s="1"/>
  <c r="CE102" i="38"/>
  <c r="J202" i="27" s="1"/>
  <c r="CE103" i="38"/>
  <c r="J203" i="27" s="1"/>
  <c r="CE104" i="38"/>
  <c r="J204" i="27" s="1"/>
  <c r="CE105" i="38"/>
  <c r="J205" i="27" s="1"/>
  <c r="CE106" i="38"/>
  <c r="J206" i="27" s="1"/>
  <c r="CE107" i="38"/>
  <c r="J207" i="27" s="1"/>
  <c r="CE108" i="38"/>
  <c r="J208" i="27" s="1"/>
  <c r="CE109" i="38"/>
  <c r="J209" i="27" s="1"/>
  <c r="CE110" i="38"/>
  <c r="J210" i="27" s="1"/>
  <c r="CH2" i="2"/>
  <c r="L2" i="27" s="1"/>
  <c r="CH3" i="2"/>
  <c r="L3" i="27" s="1"/>
  <c r="CH4" i="2"/>
  <c r="L4" i="27" s="1"/>
  <c r="CH5" i="2"/>
  <c r="L5" i="27" s="1"/>
  <c r="CH6" i="2"/>
  <c r="L6" i="27" s="1"/>
  <c r="CH7" i="2"/>
  <c r="L7" i="27" s="1"/>
  <c r="CH8" i="2"/>
  <c r="L8" i="27" s="1"/>
  <c r="CH9" i="2"/>
  <c r="L9" i="27" s="1"/>
  <c r="CH10" i="2"/>
  <c r="L10" i="27" s="1"/>
  <c r="CH11" i="2"/>
  <c r="L11" i="27" s="1"/>
  <c r="CH12" i="2"/>
  <c r="L12" i="27" s="1"/>
  <c r="CH13" i="2"/>
  <c r="L13" i="27" s="1"/>
  <c r="CH14" i="2"/>
  <c r="L14" i="27" s="1"/>
  <c r="CH15" i="2"/>
  <c r="L15" i="27" s="1"/>
  <c r="CH16" i="2"/>
  <c r="L16" i="27" s="1"/>
  <c r="CH17" i="2"/>
  <c r="L17" i="27" s="1"/>
  <c r="CH18" i="2"/>
  <c r="L18" i="27" s="1"/>
  <c r="CH19" i="2"/>
  <c r="L19" i="27" s="1"/>
  <c r="CH20" i="2"/>
  <c r="L20" i="27" s="1"/>
  <c r="CH21" i="2"/>
  <c r="L21" i="27" s="1"/>
  <c r="CH22" i="2"/>
  <c r="L22" i="27" s="1"/>
  <c r="CH23" i="2"/>
  <c r="L23" i="27" s="1"/>
  <c r="CH24" i="2"/>
  <c r="L24" i="27" s="1"/>
  <c r="CH25" i="2"/>
  <c r="L25" i="27" s="1"/>
  <c r="CH26" i="2"/>
  <c r="L26" i="27" s="1"/>
  <c r="CH27" i="2"/>
  <c r="L27" i="27" s="1"/>
  <c r="CH28" i="2"/>
  <c r="L28" i="27" s="1"/>
  <c r="CH29" i="2"/>
  <c r="L29" i="27" s="1"/>
  <c r="CH30" i="2"/>
  <c r="L30" i="27" s="1"/>
  <c r="CH31" i="2"/>
  <c r="L31" i="27" s="1"/>
  <c r="CH32" i="2"/>
  <c r="L32" i="27" s="1"/>
  <c r="CH33" i="2"/>
  <c r="L33" i="27" s="1"/>
  <c r="L34" i="27"/>
  <c r="CH35" i="2"/>
  <c r="L35" i="27" s="1"/>
  <c r="CH36" i="2"/>
  <c r="L36" i="27" s="1"/>
  <c r="CH37" i="2"/>
  <c r="L37" i="27" s="1"/>
  <c r="CH38" i="2"/>
  <c r="L38" i="27" s="1"/>
  <c r="CH39" i="2"/>
  <c r="L39" i="27" s="1"/>
  <c r="CH40" i="2"/>
  <c r="L40" i="27" s="1"/>
  <c r="CH41" i="2"/>
  <c r="L41" i="27" s="1"/>
  <c r="CG2" i="2"/>
  <c r="K2" i="27" s="1"/>
  <c r="CG3" i="2"/>
  <c r="K3" i="27" s="1"/>
  <c r="CG4" i="2"/>
  <c r="K4" i="27" s="1"/>
  <c r="CG5" i="2"/>
  <c r="K5" i="27" s="1"/>
  <c r="CG6" i="2"/>
  <c r="K6" i="27" s="1"/>
  <c r="CG7" i="2"/>
  <c r="K7" i="27" s="1"/>
  <c r="CG8" i="2"/>
  <c r="K8" i="27" s="1"/>
  <c r="CG9" i="2"/>
  <c r="K9" i="27" s="1"/>
  <c r="CG10" i="2"/>
  <c r="K10" i="27" s="1"/>
  <c r="CG11" i="2"/>
  <c r="K11" i="27" s="1"/>
  <c r="CG12" i="2"/>
  <c r="K12" i="27" s="1"/>
  <c r="CG13" i="2"/>
  <c r="K13" i="27" s="1"/>
  <c r="CG14" i="2"/>
  <c r="K14" i="27" s="1"/>
  <c r="CG15" i="2"/>
  <c r="K15" i="27" s="1"/>
  <c r="CG16" i="2"/>
  <c r="K16" i="27" s="1"/>
  <c r="CG17" i="2"/>
  <c r="K17" i="27" s="1"/>
  <c r="CG18" i="2"/>
  <c r="K18" i="27" s="1"/>
  <c r="CG19" i="2"/>
  <c r="K19" i="27" s="1"/>
  <c r="CG20" i="2"/>
  <c r="K20" i="27" s="1"/>
  <c r="CG21" i="2"/>
  <c r="K21" i="27" s="1"/>
  <c r="CG22" i="2"/>
  <c r="K22" i="27" s="1"/>
  <c r="CG23" i="2"/>
  <c r="K23" i="27" s="1"/>
  <c r="CG24" i="2"/>
  <c r="K24" i="27" s="1"/>
  <c r="CG25" i="2"/>
  <c r="K25" i="27" s="1"/>
  <c r="CG26" i="2"/>
  <c r="K26" i="27" s="1"/>
  <c r="CG27" i="2"/>
  <c r="K27" i="27" s="1"/>
  <c r="CG28" i="2"/>
  <c r="K28" i="27" s="1"/>
  <c r="CG29" i="2"/>
  <c r="K29" i="27" s="1"/>
  <c r="CG30" i="2"/>
  <c r="K30" i="27" s="1"/>
  <c r="CG31" i="2"/>
  <c r="K31" i="27" s="1"/>
  <c r="CG32" i="2"/>
  <c r="K32" i="27" s="1"/>
  <c r="CG33" i="2"/>
  <c r="K33" i="27" s="1"/>
  <c r="K34" i="27"/>
  <c r="CG35" i="2"/>
  <c r="K35" i="27" s="1"/>
  <c r="CG36" i="2"/>
  <c r="K36" i="27" s="1"/>
  <c r="CG37" i="2"/>
  <c r="K37" i="27" s="1"/>
  <c r="CG38" i="2"/>
  <c r="K38" i="27" s="1"/>
  <c r="CG39" i="2"/>
  <c r="K39" i="27" s="1"/>
  <c r="CG40" i="2"/>
  <c r="K40" i="27" s="1"/>
  <c r="CG41" i="2"/>
  <c r="K41" i="27" s="1"/>
  <c r="CC2" i="2"/>
  <c r="G2" i="27" s="1"/>
  <c r="CC3" i="2"/>
  <c r="G3" i="27" s="1"/>
  <c r="CC4" i="2"/>
  <c r="G4" i="27" s="1"/>
  <c r="CC5" i="2"/>
  <c r="G5" i="27" s="1"/>
  <c r="CC6" i="2"/>
  <c r="G6" i="27" s="1"/>
  <c r="CC7" i="2"/>
  <c r="G7" i="27" s="1"/>
  <c r="CC8" i="2"/>
  <c r="G8" i="27" s="1"/>
  <c r="CC9" i="2"/>
  <c r="G9" i="27" s="1"/>
  <c r="CC10" i="2"/>
  <c r="G10" i="27" s="1"/>
  <c r="CC11" i="2"/>
  <c r="G11" i="27" s="1"/>
  <c r="CC12" i="2"/>
  <c r="G12" i="27" s="1"/>
  <c r="CC13" i="2"/>
  <c r="G13" i="27" s="1"/>
  <c r="CC14" i="2"/>
  <c r="G14" i="27" s="1"/>
  <c r="CC15" i="2"/>
  <c r="G15" i="27" s="1"/>
  <c r="CC16" i="2"/>
  <c r="G16" i="27" s="1"/>
  <c r="CC17" i="2"/>
  <c r="G17" i="27" s="1"/>
  <c r="CC18" i="2"/>
  <c r="G18" i="27" s="1"/>
  <c r="CC19" i="2"/>
  <c r="G19" i="27" s="1"/>
  <c r="CC20" i="2"/>
  <c r="G20" i="27" s="1"/>
  <c r="CC21" i="2"/>
  <c r="G21" i="27" s="1"/>
  <c r="CC22" i="2"/>
  <c r="G22" i="27" s="1"/>
  <c r="CC23" i="2"/>
  <c r="G23" i="27" s="1"/>
  <c r="CC24" i="2"/>
  <c r="G24" i="27" s="1"/>
  <c r="CC25" i="2"/>
  <c r="G25" i="27" s="1"/>
  <c r="CC26" i="2"/>
  <c r="G26" i="27" s="1"/>
  <c r="CC27" i="2"/>
  <c r="G27" i="27" s="1"/>
  <c r="CC28" i="2"/>
  <c r="G28" i="27" s="1"/>
  <c r="CC29" i="2"/>
  <c r="G29" i="27" s="1"/>
  <c r="CC30" i="2"/>
  <c r="G30" i="27" s="1"/>
  <c r="CC31" i="2"/>
  <c r="G31" i="27" s="1"/>
  <c r="CC32" i="2"/>
  <c r="G32" i="27" s="1"/>
  <c r="CC33" i="2"/>
  <c r="G33" i="27" s="1"/>
  <c r="G34" i="27"/>
  <c r="CC35" i="2"/>
  <c r="G35" i="27" s="1"/>
  <c r="CC36" i="2"/>
  <c r="G36" i="27" s="1"/>
  <c r="CC37" i="2"/>
  <c r="G37" i="27" s="1"/>
  <c r="CC38" i="2"/>
  <c r="G38" i="27" s="1"/>
  <c r="CC39" i="2"/>
  <c r="G39" i="27" s="1"/>
  <c r="CC40" i="2"/>
  <c r="G40" i="27" s="1"/>
  <c r="CC41" i="2"/>
  <c r="G41" i="27" s="1"/>
  <c r="L6" i="2"/>
  <c r="G4" i="22" l="1"/>
  <c r="G3" i="22"/>
  <c r="G2" i="22"/>
  <c r="G6" i="22"/>
  <c r="G14" i="8"/>
  <c r="G89" i="8"/>
  <c r="G88" i="8"/>
  <c r="G96" i="8"/>
  <c r="G173" i="8"/>
  <c r="G61" i="8"/>
  <c r="G60" i="8"/>
  <c r="G59" i="8"/>
  <c r="G87" i="8"/>
  <c r="G13" i="8"/>
  <c r="G148" i="8"/>
  <c r="G147" i="8"/>
  <c r="G146" i="8"/>
  <c r="E53" i="8"/>
  <c r="G53" i="8" s="1"/>
  <c r="E52" i="8"/>
  <c r="G52" i="8" s="1"/>
  <c r="E51" i="8"/>
  <c r="G51" i="8" s="1"/>
  <c r="E50" i="8"/>
  <c r="G50" i="8" s="1"/>
  <c r="G175" i="8"/>
  <c r="E174" i="8"/>
  <c r="G174" i="8" s="1"/>
  <c r="E86" i="8"/>
  <c r="G86" i="8" s="1"/>
  <c r="E45" i="8"/>
  <c r="G45" i="8" s="1"/>
  <c r="E47" i="8"/>
  <c r="G47" i="8" s="1"/>
  <c r="E46" i="8"/>
  <c r="G46" i="8" s="1"/>
  <c r="E49" i="8"/>
  <c r="G49" i="8" s="1"/>
  <c r="G102" i="8"/>
  <c r="G99" i="8"/>
  <c r="G98" i="8"/>
  <c r="G97" i="8"/>
  <c r="G100" i="8"/>
  <c r="G101" i="8"/>
  <c r="G118" i="8"/>
  <c r="G119" i="8"/>
  <c r="G115" i="8"/>
  <c r="G121" i="8"/>
  <c r="G117" i="8"/>
  <c r="G120" i="8"/>
  <c r="G122" i="8"/>
  <c r="G165" i="8"/>
  <c r="G163" i="8"/>
  <c r="G160" i="8"/>
  <c r="G162" i="8"/>
  <c r="G161" i="8"/>
  <c r="G164" i="8"/>
  <c r="G145" i="8"/>
  <c r="G144" i="8"/>
  <c r="G180" i="8"/>
  <c r="G179" i="8"/>
  <c r="G176" i="8"/>
  <c r="G178" i="8"/>
  <c r="G177" i="8"/>
  <c r="G172" i="8"/>
  <c r="G171" i="8"/>
  <c r="G170" i="8"/>
  <c r="G169" i="8"/>
  <c r="G168" i="8"/>
  <c r="G167" i="8"/>
  <c r="G166" i="8"/>
  <c r="G159" i="8"/>
  <c r="G158" i="8"/>
  <c r="G157" i="8"/>
  <c r="G156" i="8"/>
  <c r="G155" i="8"/>
  <c r="G154" i="8"/>
  <c r="G153" i="8"/>
  <c r="G152" i="8"/>
  <c r="G151" i="8"/>
  <c r="G150" i="8"/>
  <c r="G149" i="8"/>
  <c r="G143" i="8"/>
  <c r="G142" i="8"/>
  <c r="G141" i="8"/>
  <c r="G140" i="8"/>
  <c r="G139" i="8"/>
  <c r="G138" i="8"/>
  <c r="G137" i="8"/>
  <c r="G136" i="8"/>
  <c r="G135" i="8"/>
  <c r="G134" i="8"/>
  <c r="G133" i="8"/>
  <c r="G132" i="8"/>
  <c r="G131" i="8"/>
  <c r="G130" i="8"/>
  <c r="G129" i="8"/>
  <c r="G128" i="8"/>
  <c r="G127" i="8"/>
  <c r="G126" i="8"/>
  <c r="G125" i="8"/>
  <c r="G124" i="8"/>
  <c r="G123" i="8"/>
  <c r="G116" i="8"/>
  <c r="G114" i="8"/>
  <c r="G113" i="8"/>
  <c r="G112" i="8"/>
  <c r="G111" i="8"/>
  <c r="G110" i="8"/>
  <c r="G109" i="8"/>
  <c r="G108" i="8"/>
  <c r="G107" i="8"/>
  <c r="G106" i="8"/>
  <c r="G105" i="8"/>
  <c r="G104" i="8"/>
  <c r="G103" i="8"/>
  <c r="G95" i="8"/>
  <c r="G94" i="8"/>
  <c r="G93" i="8"/>
  <c r="G92" i="8"/>
  <c r="G91" i="8"/>
  <c r="G90" i="8"/>
  <c r="G85" i="8"/>
  <c r="G84" i="8"/>
  <c r="G83" i="8"/>
  <c r="G82" i="8"/>
  <c r="G81" i="8"/>
  <c r="G80" i="8"/>
  <c r="G79" i="8"/>
  <c r="G78" i="8"/>
  <c r="G77" i="8"/>
  <c r="G76" i="8"/>
  <c r="G75" i="8"/>
  <c r="G74" i="8"/>
  <c r="G73" i="8"/>
  <c r="G72" i="8"/>
  <c r="G71" i="8"/>
  <c r="G70" i="8"/>
  <c r="G69" i="8"/>
  <c r="G68" i="8"/>
  <c r="G67" i="8"/>
  <c r="G66" i="8"/>
  <c r="G65" i="8"/>
  <c r="G64" i="8"/>
  <c r="G63" i="8"/>
  <c r="G62" i="8"/>
  <c r="G58" i="8"/>
  <c r="G57" i="8"/>
  <c r="G56" i="8"/>
  <c r="G55" i="8"/>
  <c r="G54" i="8"/>
  <c r="G48"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0" i="8"/>
  <c r="G9" i="8"/>
  <c r="G8" i="8"/>
  <c r="G7" i="8"/>
  <c r="G6" i="8"/>
  <c r="G5" i="8"/>
  <c r="G4" i="8"/>
  <c r="G3" i="8"/>
  <c r="G2" i="8"/>
</calcChain>
</file>

<file path=xl/sharedStrings.xml><?xml version="1.0" encoding="utf-8"?>
<sst xmlns="http://schemas.openxmlformats.org/spreadsheetml/2006/main" count="20772" uniqueCount="1521">
  <si>
    <t>KEY</t>
  </si>
  <si>
    <t>Section Name</t>
  </si>
  <si>
    <t>Setup Location</t>
  </si>
  <si>
    <t>Setup Sub-Location</t>
  </si>
  <si>
    <t>Sub-Setup Assembly</t>
  </si>
  <si>
    <t>IO type</t>
  </si>
  <si>
    <t>Zone</t>
  </si>
  <si>
    <t>Device Type</t>
  </si>
  <si>
    <t>Device Tag</t>
  </si>
  <si>
    <t>Device Location</t>
  </si>
  <si>
    <t>Circuit</t>
  </si>
  <si>
    <t>Power Source</t>
  </si>
  <si>
    <t>Status</t>
  </si>
  <si>
    <t>Cell Count</t>
  </si>
  <si>
    <t>Abbrev.</t>
  </si>
  <si>
    <t>Name</t>
  </si>
  <si>
    <t>Rows</t>
  </si>
  <si>
    <t>AC Body</t>
  </si>
  <si>
    <t>AC</t>
  </si>
  <si>
    <t>Autoclave Body</t>
  </si>
  <si>
    <t>AD</t>
  </si>
  <si>
    <t>Adaptors</t>
  </si>
  <si>
    <t>CR</t>
  </si>
  <si>
    <t>Crosses</t>
  </si>
  <si>
    <t>CUP</t>
  </si>
  <si>
    <t>Couplings</t>
  </si>
  <si>
    <t>EL</t>
  </si>
  <si>
    <t>Elbows</t>
  </si>
  <si>
    <t>FI</t>
  </si>
  <si>
    <t>Filters</t>
  </si>
  <si>
    <t>FUR</t>
  </si>
  <si>
    <t>Furniture</t>
  </si>
  <si>
    <t>GKT</t>
  </si>
  <si>
    <t>Gaskets</t>
  </si>
  <si>
    <t>GN</t>
  </si>
  <si>
    <t>Grand Nuts</t>
  </si>
  <si>
    <t>HDA</t>
  </si>
  <si>
    <t>Head Assemblies</t>
  </si>
  <si>
    <t>NUT</t>
  </si>
  <si>
    <t>Nuts</t>
  </si>
  <si>
    <t>NV</t>
  </si>
  <si>
    <t>Needle Valves</t>
  </si>
  <si>
    <t>NZ</t>
  </si>
  <si>
    <t>Nozzles</t>
  </si>
  <si>
    <t>RD</t>
  </si>
  <si>
    <t>Rupture Discs</t>
  </si>
  <si>
    <t>SH</t>
  </si>
  <si>
    <t>Safety Heads</t>
  </si>
  <si>
    <t>SSC</t>
  </si>
  <si>
    <t>Set Screws</t>
  </si>
  <si>
    <t>TE</t>
  </si>
  <si>
    <t>Tees</t>
  </si>
  <si>
    <t>TU</t>
  </si>
  <si>
    <t>Tubing</t>
  </si>
  <si>
    <t>TW</t>
  </si>
  <si>
    <t>Thrust Washer</t>
  </si>
  <si>
    <t>Adaptor</t>
  </si>
  <si>
    <t>Cross Jxns</t>
  </si>
  <si>
    <t>Coupling</t>
  </si>
  <si>
    <t>Elbow</t>
  </si>
  <si>
    <t>Gasket</t>
  </si>
  <si>
    <t>Grand Nut</t>
  </si>
  <si>
    <t>Nut</t>
  </si>
  <si>
    <t>Needle Valve</t>
  </si>
  <si>
    <t>Nozzle</t>
  </si>
  <si>
    <t>Set Screw</t>
  </si>
  <si>
    <t>Tee</t>
  </si>
  <si>
    <t>Tube</t>
  </si>
  <si>
    <t>Drawing Naming Convention</t>
  </si>
  <si>
    <t>MATS-HPS-AC-AD-2a_Rev1</t>
  </si>
  <si>
    <t>MATS</t>
  </si>
  <si>
    <t>HPS</t>
  </si>
  <si>
    <t>2a</t>
  </si>
  <si>
    <t>Lab name</t>
  </si>
  <si>
    <r>
      <rPr>
        <u/>
        <sz val="12"/>
        <color theme="1"/>
        <rFont val="Calibri"/>
        <family val="2"/>
        <scheme val="minor"/>
      </rPr>
      <t>H</t>
    </r>
    <r>
      <rPr>
        <sz val="12"/>
        <color theme="1"/>
        <rFont val="Calibri"/>
        <family val="2"/>
        <scheme val="minor"/>
      </rPr>
      <t xml:space="preserve">i </t>
    </r>
    <r>
      <rPr>
        <u/>
        <sz val="12"/>
        <color theme="1"/>
        <rFont val="Calibri"/>
        <family val="2"/>
        <scheme val="minor"/>
      </rPr>
      <t>P</t>
    </r>
    <r>
      <rPr>
        <sz val="12"/>
        <color theme="1"/>
        <rFont val="Calibri"/>
        <family val="2"/>
        <scheme val="minor"/>
      </rPr>
      <t xml:space="preserve">ress </t>
    </r>
    <r>
      <rPr>
        <u/>
        <sz val="12"/>
        <color theme="1"/>
        <rFont val="Calibri"/>
        <family val="2"/>
        <scheme val="minor"/>
      </rPr>
      <t>S</t>
    </r>
    <r>
      <rPr>
        <sz val="12"/>
        <color theme="1"/>
        <rFont val="Calibri"/>
        <family val="2"/>
        <scheme val="minor"/>
      </rPr>
      <t>ys</t>
    </r>
  </si>
  <si>
    <r>
      <rPr>
        <u/>
        <sz val="12"/>
        <color theme="1"/>
        <rFont val="Calibri"/>
        <family val="2"/>
        <scheme val="minor"/>
      </rPr>
      <t>A</t>
    </r>
    <r>
      <rPr>
        <sz val="12"/>
        <color theme="1"/>
        <rFont val="Calibri"/>
        <family val="2"/>
        <scheme val="minor"/>
      </rPr>
      <t>uto</t>
    </r>
    <r>
      <rPr>
        <u/>
        <sz val="12"/>
        <color theme="1"/>
        <rFont val="Calibri"/>
        <family val="2"/>
        <scheme val="minor"/>
      </rPr>
      <t>c</t>
    </r>
    <r>
      <rPr>
        <sz val="12"/>
        <color theme="1"/>
        <rFont val="Calibri"/>
        <family val="2"/>
        <scheme val="minor"/>
      </rPr>
      <t>lave</t>
    </r>
  </si>
  <si>
    <t>Letter designation of the body</t>
  </si>
  <si>
    <t>Sub-part</t>
  </si>
  <si>
    <t>Revision</t>
  </si>
  <si>
    <t>See Bodies Sheet</t>
  </si>
  <si>
    <t>Pre-release</t>
  </si>
  <si>
    <t>Sub-parts that go to a given body should share the two-letter prefix</t>
  </si>
  <si>
    <t>No Number</t>
  </si>
  <si>
    <t>Body</t>
  </si>
  <si>
    <t>First Released Version</t>
  </si>
  <si>
    <t>Second Released Version</t>
  </si>
  <si>
    <t>Thrust Washers</t>
  </si>
  <si>
    <t>Brace Plates</t>
  </si>
  <si>
    <t>9a</t>
  </si>
  <si>
    <t>Brace Plate 1 for AD</t>
  </si>
  <si>
    <t>9b</t>
  </si>
  <si>
    <t>Brace Plate 2 for AD</t>
  </si>
  <si>
    <t>Auxiliary Parts</t>
  </si>
  <si>
    <t>Autoclave Bodies</t>
  </si>
  <si>
    <t>UID</t>
  </si>
  <si>
    <t>Part Type</t>
  </si>
  <si>
    <t>Location</t>
  </si>
  <si>
    <t>Pressure Design (MPa)</t>
  </si>
  <si>
    <t>Pressure Design (psi)</t>
  </si>
  <si>
    <t>Temperature Design (C)</t>
  </si>
  <si>
    <t>Reactor Body Material</t>
  </si>
  <si>
    <t>Heat Treatment</t>
  </si>
  <si>
    <t>Corrosion</t>
  </si>
  <si>
    <t>Diameter Inner (inch)</t>
  </si>
  <si>
    <t>Diameter Inner (mm)</t>
  </si>
  <si>
    <t>Length Inner (inch)</t>
  </si>
  <si>
    <t>Length Inner (mm)</t>
  </si>
  <si>
    <t>Volume Inner (ml)</t>
  </si>
  <si>
    <t>Weight Body (g)</t>
  </si>
  <si>
    <t>Body Thread</t>
  </si>
  <si>
    <t>Pressure Interlock (MPa)</t>
  </si>
  <si>
    <t>Pressure Burst Nominal (psi)</t>
  </si>
  <si>
    <t>Pressure Burst Nominal (MPa)</t>
  </si>
  <si>
    <t>Profile</t>
  </si>
  <si>
    <t>Manufacture</t>
  </si>
  <si>
    <t>Date Manufactured</t>
  </si>
  <si>
    <t>Lot #</t>
  </si>
  <si>
    <t>PO</t>
  </si>
  <si>
    <t>Link to Schematic Drawing</t>
  </si>
  <si>
    <t>EXP Style</t>
  </si>
  <si>
    <t>Active</t>
  </si>
  <si>
    <t>AC-A</t>
  </si>
  <si>
    <t>Old 1"</t>
  </si>
  <si>
    <t>Lehigh</t>
  </si>
  <si>
    <t>Rene 41</t>
  </si>
  <si>
    <t>Precipitation Hardened</t>
  </si>
  <si>
    <t>None Observed</t>
  </si>
  <si>
    <t>ACME 2"-5</t>
  </si>
  <si>
    <t>UCSB</t>
  </si>
  <si>
    <t>-</t>
  </si>
  <si>
    <t xml:space="preserve">https://drive.google.com/open?id=1E_SEOWW8QEa0jqxBg-RQJgkI8SOz6Fw7&amp;authuser=jrd419%40lehigh.edu&amp;usp=drive_fs </t>
  </si>
  <si>
    <t>Table Format</t>
  </si>
  <si>
    <t>Vessel</t>
  </si>
  <si>
    <t>Design</t>
  </si>
  <si>
    <t>AC-AA</t>
  </si>
  <si>
    <t>New 1" - Bar Seal</t>
  </si>
  <si>
    <t>TZM</t>
  </si>
  <si>
    <t>Stress-relieved</t>
  </si>
  <si>
    <t>AC-AB</t>
  </si>
  <si>
    <t>New 1" - Keyed</t>
  </si>
  <si>
    <t>New</t>
  </si>
  <si>
    <t>AC-AC</t>
  </si>
  <si>
    <t>TZM-13-260-10</t>
  </si>
  <si>
    <t>AC-AD</t>
  </si>
  <si>
    <t>76OD-20ID-TZM</t>
  </si>
  <si>
    <t>10-175</t>
  </si>
  <si>
    <t>AC-AE</t>
  </si>
  <si>
    <t>76OD-20ID-TZM-Thread</t>
  </si>
  <si>
    <t>TZM B387-19, Type 364</t>
  </si>
  <si>
    <t>AC-AF</t>
  </si>
  <si>
    <t>76OD-50ID-TZM-Thread-Hemi</t>
  </si>
  <si>
    <t>AC-AG</t>
  </si>
  <si>
    <t>90OD-70ID-TZM</t>
  </si>
  <si>
    <t>AC-B</t>
  </si>
  <si>
    <t>Short 1" - Rene 41</t>
  </si>
  <si>
    <t>Heavily Corroded</t>
  </si>
  <si>
    <t xml:space="preserve">https://drive.google.com/open?id=1ufwTYDKRXg9fWiytCJ2PaqUQyXha5s67&amp;authuser=jrd419%40lehigh.edu&amp;usp=drive_fs </t>
  </si>
  <si>
    <t>AC-C</t>
  </si>
  <si>
    <t>AC-D</t>
  </si>
  <si>
    <t>AC-DUM-1</t>
  </si>
  <si>
    <t>SS Dummy</t>
  </si>
  <si>
    <t>316 SS</t>
  </si>
  <si>
    <t>AC-E</t>
  </si>
  <si>
    <t>Short 1" - Inconel</t>
  </si>
  <si>
    <t>Inconel 625</t>
  </si>
  <si>
    <t>None</t>
  </si>
  <si>
    <t>AC-F</t>
  </si>
  <si>
    <t>AC-G</t>
  </si>
  <si>
    <t>AC-H</t>
  </si>
  <si>
    <t>SS</t>
  </si>
  <si>
    <t>SS 316</t>
  </si>
  <si>
    <t>Unknown</t>
  </si>
  <si>
    <t>AMCE 2.5"-4</t>
  </si>
  <si>
    <t>HIP</t>
  </si>
  <si>
    <t xml:space="preserve">https://drive.google.com/open?id=1Cz8hYzXueZE-nMj2JosqjLtxxuqopeux&amp;authuser=jrd419%40lehigh.edu&amp;usp=drive_fs </t>
  </si>
  <si>
    <t>AC-K</t>
  </si>
  <si>
    <t>400 MPa</t>
  </si>
  <si>
    <t>1 1/8-12UNF-2B</t>
  </si>
  <si>
    <t>JSW</t>
  </si>
  <si>
    <t xml:space="preserve">https://drive.google.com/open?id=1TVfObdRQCnDG1RncXQ3FIPc_Bi7SIp6O&amp;authuser=jrd419%40lehigh.edu&amp;usp=drive_fs </t>
  </si>
  <si>
    <t>AC-L</t>
  </si>
  <si>
    <t>AC-M</t>
  </si>
  <si>
    <t>New 1"</t>
  </si>
  <si>
    <t>M60x4-6g</t>
  </si>
  <si>
    <t xml:space="preserve">https://drive.google.com/open?id=113d_Olu0z9ccyHV_PV5r8tnf4eArQJQH&amp;authuser=jrd419%40lehigh.edu&amp;usp=drive_fs </t>
  </si>
  <si>
    <t>AC-N</t>
  </si>
  <si>
    <t>AC-P</t>
  </si>
  <si>
    <t>AC-Parr</t>
  </si>
  <si>
    <t>Parr 4"</t>
  </si>
  <si>
    <t xml:space="preserve">https://drive.google.com/open?id=1SiLNMuFYcr7wlVPzNkkXcVvHHqrw8UDd&amp;authuser=jrd419%40lehigh.edu&amp;usp=drive_fs </t>
  </si>
  <si>
    <t>AC-Q</t>
  </si>
  <si>
    <t>AC-R</t>
  </si>
  <si>
    <t>AC-TA</t>
  </si>
  <si>
    <t>7/8-14 RH&amp;LH</t>
  </si>
  <si>
    <t>MTS</t>
  </si>
  <si>
    <t>220914</t>
  </si>
  <si>
    <t>481 / 31481 / 070122,WH:14</t>
  </si>
  <si>
    <t>PU055950</t>
  </si>
  <si>
    <t>https://drive.google.com/open?id=11HuA0hK7QDqJxJ2C8ydmKd7ep_n_RWv1&amp;authuser=fsm217%40lehigh.edu&amp;usp=drive_fs</t>
  </si>
  <si>
    <t>AC-TB</t>
  </si>
  <si>
    <t>AC-TC</t>
  </si>
  <si>
    <t>7/8-14 RH</t>
  </si>
  <si>
    <t>220428</t>
  </si>
  <si>
    <t>A78945 32570</t>
  </si>
  <si>
    <t>PU065371</t>
  </si>
  <si>
    <t>https://drive.google.com/open?id=1e4-heItkSoT4TKdDcrDT1Yz11ANbYO2u&amp;authuser=fsm217%40lehigh.edu&amp;usp=drive_fs</t>
  </si>
  <si>
    <t>AC-TD</t>
  </si>
  <si>
    <t>AC-TE</t>
  </si>
  <si>
    <t>AC-TF</t>
  </si>
  <si>
    <t>TZM-13-260-13</t>
  </si>
  <si>
    <t>TZM B387 Type 364</t>
  </si>
  <si>
    <t>13.5</t>
  </si>
  <si>
    <t>342.9</t>
  </si>
  <si>
    <t>7/8-14 RH&amp;RH</t>
  </si>
  <si>
    <t>"{ "Axial Position (mm)": [0,0.79,0.8,342.11,342.31,342.61,342.9], "Cross-Sectional Area (mm^2)": [375.73,308.3,143.14,308.3,310.36,324.72,375.73], "Contact Plane": ["SP-FACE-M-v","","","","","","SP-FACE-M-^"], "Transition Model": ["2863.4*x**6 - 8057.9*x**5 + 9073.6*x**4 - 5266.3*x**3 + 1770.5*x**2 - 413.44*x + 375.72","Constant","Constant","64.00000000*x**2 - 43792.57999996*x + 7491675.70939319","58.33333333*x**3 - 59842.24999872*x**2 + 20463401.3937302*x - 2332525840.61997","2438.39483767*x**3 - 2506766.8844556*x**2 + 859018772.787831*x - 98122848429.1125","Constant"] }"</t>
  </si>
  <si>
    <t>Efinea</t>
  </si>
  <si>
    <t>#523240625 / TZM240523</t>
  </si>
  <si>
    <t>PU087594</t>
  </si>
  <si>
    <t>AC-TG</t>
  </si>
  <si>
    <t>TZM-13-260-10-DE</t>
  </si>
  <si>
    <t>7/8-14 RH&amp;DeadEnd</t>
  </si>
  <si>
    <t xml:space="preserve">"{ "Axial Position (mm)": [0,9.53,16.28,265.91,265.92,266.3,266.7], "Cross-Sectional Area (mm^2)": [0,1,143.14,143.14,168.11,172.73,202.39], "Contact Plane": ["MP-REST-S-v","","","","","","SP-FACE-M-^"], "Transition Model": ["Constant","-0.0013513259*x**5 + 0.0923648179*x**4 - 2.5143650631*x**3 + 30.9322769461*x**2 - 127.5836205896*x - 71.8248929645","Constant","Constant","9.4507101625*x**4 - 10046.2260390019*x**3 + 4004750.72914589*x**2 - 709525967.113341*x + 47140605165.743","2383.3333333433*x**4 - 2539998.33334398*x**3 + 1015110580.67095*x**2 - 180306245316.931*x + 12009901986121.7","Constant"] }"			
</t>
  </si>
  <si>
    <t>AC-Z</t>
  </si>
  <si>
    <t>2"</t>
  </si>
  <si>
    <t xml:space="preserve">https://drive.google.com/open?id=11_I3GHd-ONX5mnhum8FPQixS8TAu2a1d&amp;authuser=jrd419%40lehigh.edu&amp;usp=drive_fs </t>
  </si>
  <si>
    <t>Pressure Rating (psi)</t>
  </si>
  <si>
    <t>Part Nr.</t>
  </si>
  <si>
    <t>Mass Measurment Date</t>
  </si>
  <si>
    <t>Mass (g)</t>
  </si>
  <si>
    <t>Inlet 1</t>
  </si>
  <si>
    <t>Inlet 2</t>
  </si>
  <si>
    <t>Length (inch)</t>
  </si>
  <si>
    <t>ID (inch)</t>
  </si>
  <si>
    <t>Type</t>
  </si>
  <si>
    <t>Material</t>
  </si>
  <si>
    <t>Prior UnitID</t>
  </si>
  <si>
    <t>Notes</t>
  </si>
  <si>
    <t>Vendor</t>
  </si>
  <si>
    <t>Website</t>
  </si>
  <si>
    <t>Superceded</t>
  </si>
  <si>
    <t>AD-K2</t>
  </si>
  <si>
    <t>60-21HF4HF6</t>
  </si>
  <si>
    <t>F375C</t>
  </si>
  <si>
    <t>F250C</t>
  </si>
  <si>
    <t>Long</t>
  </si>
  <si>
    <t>https://www.highpressure.com/pdfs/section/Accessories.pdf</t>
  </si>
  <si>
    <t>AD-L1</t>
  </si>
  <si>
    <t>AD-N1</t>
  </si>
  <si>
    <t>AD-P1</t>
  </si>
  <si>
    <t>AD-Q1</t>
  </si>
  <si>
    <t>AD-R1</t>
  </si>
  <si>
    <t>AD-1</t>
  </si>
  <si>
    <t>60-21HF6HM4</t>
  </si>
  <si>
    <t>M250C</t>
  </si>
  <si>
    <t>Short</t>
  </si>
  <si>
    <t>AD-2</t>
  </si>
  <si>
    <t>AD-3</t>
  </si>
  <si>
    <t>AD-4</t>
  </si>
  <si>
    <t>AD-5</t>
  </si>
  <si>
    <t>AD-6</t>
  </si>
  <si>
    <t>Retired</t>
  </si>
  <si>
    <t>AD-7</t>
  </si>
  <si>
    <t>AD-8</t>
  </si>
  <si>
    <t>AD-9</t>
  </si>
  <si>
    <t>AD-10</t>
  </si>
  <si>
    <t>AD-11</t>
  </si>
  <si>
    <t>AD-12</t>
  </si>
  <si>
    <t>AD-13</t>
  </si>
  <si>
    <t>AD-14</t>
  </si>
  <si>
    <t>AD-15</t>
  </si>
  <si>
    <t>AD-16</t>
  </si>
  <si>
    <t>AD-17</t>
  </si>
  <si>
    <t>AD-18</t>
  </si>
  <si>
    <t>AD-19</t>
  </si>
  <si>
    <t>AD-20</t>
  </si>
  <si>
    <t>AD-21</t>
  </si>
  <si>
    <t>AD-22</t>
  </si>
  <si>
    <t>AD-23</t>
  </si>
  <si>
    <t>AD-24</t>
  </si>
  <si>
    <t>AD-25</t>
  </si>
  <si>
    <t>AD-26</t>
  </si>
  <si>
    <t>AD-27</t>
  </si>
  <si>
    <t>AD-28</t>
  </si>
  <si>
    <t>AD-29</t>
  </si>
  <si>
    <t>AD-30</t>
  </si>
  <si>
    <t>AD-31</t>
  </si>
  <si>
    <t>AD-32</t>
  </si>
  <si>
    <t>AD-33</t>
  </si>
  <si>
    <t>AD-34</t>
  </si>
  <si>
    <t>100-21XF6XM4</t>
  </si>
  <si>
    <t>AD-35</t>
  </si>
  <si>
    <t>AD-36</t>
  </si>
  <si>
    <t>AD-37</t>
  </si>
  <si>
    <t>Custom</t>
  </si>
  <si>
    <t>Inconel 718</t>
  </si>
  <si>
    <t>AD-38</t>
  </si>
  <si>
    <t>AD-39</t>
  </si>
  <si>
    <t>AD-40</t>
  </si>
  <si>
    <t>AD-41</t>
  </si>
  <si>
    <t>AD-42</t>
  </si>
  <si>
    <t>Inlet 3</t>
  </si>
  <si>
    <t>Inlet 4</t>
  </si>
  <si>
    <t>Width (inch)</t>
  </si>
  <si>
    <t>Depth (inch)</t>
  </si>
  <si>
    <t>Cross</t>
  </si>
  <si>
    <t>CR-1</t>
  </si>
  <si>
    <t>60-24HF4</t>
  </si>
  <si>
    <t xml:space="preserve">https://www.highpressure.com/pdfs/section/HighPressure.pdf </t>
  </si>
  <si>
    <t>Head</t>
  </si>
  <si>
    <t>CR-2</t>
  </si>
  <si>
    <t>CR-3</t>
  </si>
  <si>
    <t>CR-4</t>
  </si>
  <si>
    <t>CR-5</t>
  </si>
  <si>
    <t>CR-6</t>
  </si>
  <si>
    <t>CR-7</t>
  </si>
  <si>
    <t>CR-8</t>
  </si>
  <si>
    <t>CR-9</t>
  </si>
  <si>
    <t>CR-10</t>
  </si>
  <si>
    <t>CR-11</t>
  </si>
  <si>
    <t>CR-12</t>
  </si>
  <si>
    <t>CR-13</t>
  </si>
  <si>
    <t>CR-14</t>
  </si>
  <si>
    <t>CR-15</t>
  </si>
  <si>
    <t>CR-16</t>
  </si>
  <si>
    <t>CR-17</t>
  </si>
  <si>
    <t>CR-18</t>
  </si>
  <si>
    <t>CR-19</t>
  </si>
  <si>
    <t>CR-20</t>
  </si>
  <si>
    <t>CR-21</t>
  </si>
  <si>
    <t>CR-22</t>
  </si>
  <si>
    <t>CR-23</t>
  </si>
  <si>
    <t>100-24XF4</t>
  </si>
  <si>
    <t xml:space="preserve">https://www.highpressure.com/pdfs/section/UltraHighPressure.pdf </t>
  </si>
  <si>
    <t>CR-24</t>
  </si>
  <si>
    <t>CR-25</t>
  </si>
  <si>
    <t>CR-26</t>
  </si>
  <si>
    <t>CR-27</t>
  </si>
  <si>
    <t>CR-28</t>
  </si>
  <si>
    <t>CR-29</t>
  </si>
  <si>
    <t>Mass Measurement Date</t>
  </si>
  <si>
    <t>Thread 1</t>
  </si>
  <si>
    <t>Thread 2</t>
  </si>
  <si>
    <t>Link To Schematic Drawing</t>
  </si>
  <si>
    <t>CUP-TA</t>
  </si>
  <si>
    <t>TZM-1/2"</t>
  </si>
  <si>
    <t xml:space="preserve">stress-relived </t>
  </si>
  <si>
    <t>RH-7/8-14</t>
  </si>
  <si>
    <t>NA</t>
  </si>
  <si>
    <t>481 / 31481 / 071622,WH14 | 481 / 31481 / 080522,WH14</t>
  </si>
  <si>
    <t xml:space="preserve">https://drive.google.com/open?id=1Ez5xkiO2C3hl77JzgqsdKpnCd4Uio906&amp;authuser=fsm217%40lehigh.edu&amp;usp=drive_fs </t>
  </si>
  <si>
    <t>CUP-TB</t>
  </si>
  <si>
    <t>482 / 31481 / 071622,WH14 | 481 / 31481 / 080522,WH14</t>
  </si>
  <si>
    <t>CUP-TC</t>
  </si>
  <si>
    <t>483 / 31481 / 071622,WH14 | 481 / 31481 / 080522,WH14</t>
  </si>
  <si>
    <t>CUP-TD</t>
  </si>
  <si>
    <t>484 / 31481 / 071622,WH14 | 481 / 31481 / 080522,WH14</t>
  </si>
  <si>
    <t>CUP-TE</t>
  </si>
  <si>
    <t>485 / 31481 / 071622,WH14 | 481 / 31481 / 080522,WH14</t>
  </si>
  <si>
    <t>CUP-TF</t>
  </si>
  <si>
    <t>LH-7/8-14</t>
  </si>
  <si>
    <t>805 / 31805 / 091622</t>
  </si>
  <si>
    <t>PU059094</t>
  </si>
  <si>
    <t xml:space="preserve">https://drive.google.com/open?id=1dltMeFZRLDIgyCcyZk1hPwKZOdd_4lnZ&amp;authuser=fsm217%40lehigh.edu&amp;usp=drive_fs </t>
  </si>
  <si>
    <t>CUP-TG</t>
  </si>
  <si>
    <t>CUP-TH</t>
  </si>
  <si>
    <t>CUP-TI</t>
  </si>
  <si>
    <t>CUP-TJ</t>
  </si>
  <si>
    <t>CUP-TK</t>
  </si>
  <si>
    <t>CUP-TL</t>
  </si>
  <si>
    <t>CUP-TM</t>
  </si>
  <si>
    <t>CUP-TN</t>
  </si>
  <si>
    <t>CUP-TO</t>
  </si>
  <si>
    <t>CUP-TP</t>
  </si>
  <si>
    <t>EL-1</t>
  </si>
  <si>
    <t>60-22HF4</t>
  </si>
  <si>
    <t>EL-2</t>
  </si>
  <si>
    <t>EL-3</t>
  </si>
  <si>
    <t>EL-4</t>
  </si>
  <si>
    <t>EL-5</t>
  </si>
  <si>
    <t>EL-6</t>
  </si>
  <si>
    <t>EL-7</t>
  </si>
  <si>
    <t>EL-8</t>
  </si>
  <si>
    <t>EL-9</t>
  </si>
  <si>
    <t>EL-10</t>
  </si>
  <si>
    <t>EL-11</t>
  </si>
  <si>
    <t>EL-12</t>
  </si>
  <si>
    <t>EL-13</t>
  </si>
  <si>
    <t>100-22XF4</t>
  </si>
  <si>
    <t>EL-14</t>
  </si>
  <si>
    <t>EL-15</t>
  </si>
  <si>
    <t>60-63HF4</t>
  </si>
  <si>
    <t>Manufacturer</t>
  </si>
  <si>
    <t>Part Number</t>
  </si>
  <si>
    <t>Filter Mesh (micron)</t>
  </si>
  <si>
    <t>Filter Disc UnitID</t>
  </si>
  <si>
    <t>Fitting 1</t>
  </si>
  <si>
    <t>Fitting 2</t>
  </si>
  <si>
    <t>Length (in)</t>
  </si>
  <si>
    <t>Width (in)</t>
  </si>
  <si>
    <t>Wetted Material</t>
  </si>
  <si>
    <t>Prior SH UnitID</t>
  </si>
  <si>
    <t>Quantity</t>
  </si>
  <si>
    <t>Filter</t>
  </si>
  <si>
    <t>FI-A1</t>
  </si>
  <si>
    <t>60F-51HF4-2</t>
  </si>
  <si>
    <t>FID-2</t>
  </si>
  <si>
    <t xml:space="preserve">https://www.highpressure.com/products/valves-fittings-tubing/high-pressure-valves-fittings-and-tubing/line-filters-check-valves/ </t>
  </si>
  <si>
    <t>FI-A2</t>
  </si>
  <si>
    <t>FI-1</t>
  </si>
  <si>
    <t>FI-2</t>
  </si>
  <si>
    <t>FI-3</t>
  </si>
  <si>
    <t>60F-51HF4-5</t>
  </si>
  <si>
    <t>FID-3</t>
  </si>
  <si>
    <t>FI-4</t>
  </si>
  <si>
    <t>60F-51HF4-0.5</t>
  </si>
  <si>
    <t>FID-1</t>
  </si>
  <si>
    <t>Filter Stuck</t>
  </si>
  <si>
    <t>Filter Disc</t>
  </si>
  <si>
    <t>B01446</t>
  </si>
  <si>
    <t>317 SS</t>
  </si>
  <si>
    <t>B01447</t>
  </si>
  <si>
    <t>318 SS</t>
  </si>
  <si>
    <t>B01448</t>
  </si>
  <si>
    <t>319 SS</t>
  </si>
  <si>
    <t>FID-4</t>
  </si>
  <si>
    <t>B01407</t>
  </si>
  <si>
    <t>320 SS</t>
  </si>
  <si>
    <t>FID-5</t>
  </si>
  <si>
    <t>B01449</t>
  </si>
  <si>
    <t>321 SS</t>
  </si>
  <si>
    <t>FID-6</t>
  </si>
  <si>
    <t>B01408</t>
  </si>
  <si>
    <t>322 SS</t>
  </si>
  <si>
    <t>FID-7</t>
  </si>
  <si>
    <t>B01409</t>
  </si>
  <si>
    <t>323 SS</t>
  </si>
  <si>
    <t>Chemicals</t>
  </si>
  <si>
    <t>Weight Initial (g)</t>
  </si>
  <si>
    <t>Density Effective (g cm-3)</t>
  </si>
  <si>
    <t>Volume (ml)</t>
  </si>
  <si>
    <t>0.4B-1</t>
  </si>
  <si>
    <t>Rene41-0, NiCr8020-4</t>
  </si>
  <si>
    <t>K</t>
  </si>
  <si>
    <t>0.4B-2</t>
  </si>
  <si>
    <t>0.4B-3</t>
  </si>
  <si>
    <t>0.4C-0</t>
  </si>
  <si>
    <t>Ni-20, Ni-19</t>
  </si>
  <si>
    <t>0.4C-1</t>
  </si>
  <si>
    <t>0.4C-2</t>
  </si>
  <si>
    <t>0.4S-1</t>
  </si>
  <si>
    <t>Rene41-0, NiCr8020-4, Ni-19</t>
  </si>
  <si>
    <t>0.4S-2</t>
  </si>
  <si>
    <t>Rene41-0, Ni200201-1, Ni-19</t>
  </si>
  <si>
    <t>0.4S-5</t>
  </si>
  <si>
    <t>13M-1</t>
  </si>
  <si>
    <t>Mo 99.95</t>
  </si>
  <si>
    <t>13M-2</t>
  </si>
  <si>
    <t>1Aa-1</t>
  </si>
  <si>
    <t>Inc625, Ni</t>
  </si>
  <si>
    <t>Inconel baffles (descending: 4-hole, 1-hole, 4-hole) aligned along Ni-99 rods, secured with Ni wire, centered with respect to Inconel top plate which interfaces with nozzle internal threads</t>
  </si>
  <si>
    <t>1Aa-2</t>
  </si>
  <si>
    <t xml:space="preserve">Inconel baffles (descending: 4-hole, 1-hole, 4-hole) aligned along 2nd generation Ni-99 rods (top and bottom holes containing plates), secured with Ni wire, centered with respect to Inconel top plate which interfaces with nozzle internal threads. </t>
  </si>
  <si>
    <t>1B-1</t>
  </si>
  <si>
    <t>Ni200201-1, NiCr8020-4</t>
  </si>
  <si>
    <t>A</t>
  </si>
  <si>
    <t>1B-10</t>
  </si>
  <si>
    <t>1B-11</t>
  </si>
  <si>
    <t>1B-12</t>
  </si>
  <si>
    <t>1B-13</t>
  </si>
  <si>
    <t>1B-14</t>
  </si>
  <si>
    <t>1B-15</t>
  </si>
  <si>
    <t>Ag-5, Ag-6</t>
  </si>
  <si>
    <t>superseded by 1B-24. removed wires and replaced</t>
  </si>
  <si>
    <t>1B-16</t>
  </si>
  <si>
    <t>superseded by 1B-25. removed wires and replaced</t>
  </si>
  <si>
    <t>1B-17</t>
  </si>
  <si>
    <t>retired. tried to remove wires to renew, but all broke off and stuck inside. probably from the Bismuth run? Did not drill out yet.</t>
  </si>
  <si>
    <t>1B-18</t>
  </si>
  <si>
    <t>superseded by 1B-26, removed wires and replaced</t>
  </si>
  <si>
    <t>1B-19</t>
  </si>
  <si>
    <t>Ag-10, Ag-6</t>
  </si>
  <si>
    <t>1B-2</t>
  </si>
  <si>
    <t>1B-20</t>
  </si>
  <si>
    <t>1B-21</t>
  </si>
  <si>
    <t>Ag-10, Ag-6, Ag-14</t>
  </si>
  <si>
    <t>Redid one of the legs since broken. 12/22/11. Same length</t>
  </si>
  <si>
    <t>1B-22</t>
  </si>
  <si>
    <t>1B-23</t>
  </si>
  <si>
    <t>1B-24</t>
  </si>
  <si>
    <t>Ag-14, Ag-6</t>
  </si>
  <si>
    <t>reused plate from 1B-15. Sanded off all surfaces prior to reusing.</t>
  </si>
  <si>
    <t>1B-25</t>
  </si>
  <si>
    <t>reused plate from 1B-16. Sanded off all surfaces prior to reusing.</t>
  </si>
  <si>
    <t>1B-26</t>
  </si>
  <si>
    <t>reused plate from 1B-18. Sanded off all surfaces prior to reusing.</t>
  </si>
  <si>
    <t>1B-27</t>
  </si>
  <si>
    <t>Ag-6, Ag-14</t>
  </si>
  <si>
    <t>1B-28</t>
  </si>
  <si>
    <t>Ag-16, Ag-14</t>
  </si>
  <si>
    <t>1B-29</t>
  </si>
  <si>
    <t>1B-3</t>
  </si>
  <si>
    <t>A, Old, Borken, used to be used all the time</t>
  </si>
  <si>
    <t>1B-30</t>
  </si>
  <si>
    <t>1B-31</t>
  </si>
  <si>
    <t>1B-32</t>
  </si>
  <si>
    <t>1B-33</t>
  </si>
  <si>
    <t>1B-34</t>
  </si>
  <si>
    <t>1B-35</t>
  </si>
  <si>
    <t>1B-36</t>
  </si>
  <si>
    <t>1B-37</t>
  </si>
  <si>
    <t>Mo</t>
  </si>
  <si>
    <t>Average weight, OD: 0.890, four holes (0.100)</t>
  </si>
  <si>
    <t>1B-38</t>
  </si>
  <si>
    <t>Average weight, OD: 0.890, one hole (0.200)</t>
  </si>
  <si>
    <t>1B-39</t>
  </si>
  <si>
    <t>Average weight, OD: 0.880, four holes (0.100)</t>
  </si>
  <si>
    <t>1B-4</t>
  </si>
  <si>
    <t>A, Old, Legs broke off on long run 090811A</t>
  </si>
  <si>
    <t>1B-40</t>
  </si>
  <si>
    <t>Average weight, OD: 0.880, one hole (0.200)</t>
  </si>
  <si>
    <t>1B-41</t>
  </si>
  <si>
    <t>Ag</t>
  </si>
  <si>
    <t>Replaces 1S-18, four hole, OD 0.866"</t>
  </si>
  <si>
    <t>1B-42</t>
  </si>
  <si>
    <t>Replaces 1S-18, one hole, OD 0.866"</t>
  </si>
  <si>
    <t>1B-43</t>
  </si>
  <si>
    <t>Replaces 1S-20, four hole, OD 0.815"</t>
  </si>
  <si>
    <t>1B-44</t>
  </si>
  <si>
    <t>Replaces 1S-20, one hole, OD 0.815"</t>
  </si>
  <si>
    <t>1B-5</t>
  </si>
  <si>
    <t>Ni200201-1</t>
  </si>
  <si>
    <t>1B-6</t>
  </si>
  <si>
    <t>M</t>
  </si>
  <si>
    <t>1B-7</t>
  </si>
  <si>
    <t>1B-8</t>
  </si>
  <si>
    <t>1B-9</t>
  </si>
  <si>
    <t>1Bc-1</t>
  </si>
  <si>
    <t>Inc625</t>
  </si>
  <si>
    <t>Baffle for centered payload assembly, 4 hole configuration, basket standoff</t>
  </si>
  <si>
    <t>1Bc-2</t>
  </si>
  <si>
    <t>Baffle for centered payload assembly, 1 hole configuration</t>
  </si>
  <si>
    <t>1Bc-3</t>
  </si>
  <si>
    <t>Baffle for centered payload assembly, 4 hole configuration, seed hanging standoff</t>
  </si>
  <si>
    <t>1C-0</t>
  </si>
  <si>
    <t>A, Old, Tadao made this container</t>
  </si>
  <si>
    <t>1C-1</t>
  </si>
  <si>
    <t>1C-10</t>
  </si>
  <si>
    <t>W-6, W-3</t>
  </si>
  <si>
    <t>1C-11</t>
  </si>
  <si>
    <t>BN-1</t>
  </si>
  <si>
    <t xml:space="preserve">BN crucible. PBN. From Shin. </t>
  </si>
  <si>
    <t>1C-12</t>
  </si>
  <si>
    <t>Ag-8, Ag-10, Ag-6, Ag-4</t>
  </si>
  <si>
    <t>wire internal for easy loading.</t>
  </si>
  <si>
    <t>1C-13</t>
  </si>
  <si>
    <t>Ag-15, Ag-10, Ag-6, Ag-4</t>
  </si>
  <si>
    <t>wire internal for easy loading</t>
  </si>
  <si>
    <t>1C-14</t>
  </si>
  <si>
    <t>1C-15</t>
  </si>
  <si>
    <t>1C-16</t>
  </si>
  <si>
    <t>Ag-11, Ag-10</t>
  </si>
  <si>
    <t>1C-17</t>
  </si>
  <si>
    <t>Ag-6, Ag-10</t>
  </si>
  <si>
    <t>1C-18</t>
  </si>
  <si>
    <t>1C-19</t>
  </si>
  <si>
    <t>Ag-16</t>
  </si>
  <si>
    <t>1C-2</t>
  </si>
  <si>
    <t>1C-20</t>
  </si>
  <si>
    <t>Ag-6</t>
  </si>
  <si>
    <t>1C-21</t>
  </si>
  <si>
    <t>1C-22</t>
  </si>
  <si>
    <t>1C-23</t>
  </si>
  <si>
    <t>Ag-6, Ag-14, Ag-15, Ag-4</t>
  </si>
  <si>
    <t>double mesh for stability</t>
  </si>
  <si>
    <t>1C-24</t>
  </si>
  <si>
    <t>Ag-4, Ag-14, Ag-15, Ag-16</t>
  </si>
  <si>
    <t>1C-25</t>
  </si>
  <si>
    <t>1C-26</t>
  </si>
  <si>
    <t>Ag-4, Ag-16, Ag-14, Ag-15</t>
  </si>
  <si>
    <t>1C-27</t>
  </si>
  <si>
    <t>Ag-10, Ag-15, Ag-6, Ag-4</t>
  </si>
  <si>
    <t>Previously 1C-12. Reused everything except mesh. double mesh for stability</t>
  </si>
  <si>
    <t>1C-28</t>
  </si>
  <si>
    <t>Previously 1C-14. Reused everything except mesh. double mesh for stability</t>
  </si>
  <si>
    <t>1C-29</t>
  </si>
  <si>
    <t>1C-3</t>
  </si>
  <si>
    <t>1C-30</t>
  </si>
  <si>
    <t>Sum of top and bottom, no mesh</t>
  </si>
  <si>
    <t>1C-31</t>
  </si>
  <si>
    <t>Inc625,NiCr</t>
  </si>
  <si>
    <t>Basket for assembly 1Aa-1</t>
  </si>
  <si>
    <t>1C-32</t>
  </si>
  <si>
    <t>TZM-2</t>
  </si>
  <si>
    <t>TZM crucible fabricated for flux</t>
  </si>
  <si>
    <t>1C-33</t>
  </si>
  <si>
    <t>TZM-3</t>
  </si>
  <si>
    <t>1C-4</t>
  </si>
  <si>
    <t>1C-5</t>
  </si>
  <si>
    <t>Ni-19, NiCr8020-3</t>
  </si>
  <si>
    <t>1C-6</t>
  </si>
  <si>
    <t>1C-7</t>
  </si>
  <si>
    <t>1C-8</t>
  </si>
  <si>
    <t>Ag-8, Ag-4, Ag-2</t>
  </si>
  <si>
    <t>1C-9</t>
  </si>
  <si>
    <t>Nb-1, Nb-2</t>
  </si>
  <si>
    <t>1Cc-1</t>
  </si>
  <si>
    <t>Inc600, Inc625, NiCr</t>
  </si>
  <si>
    <t>Basket for centered payload assembly, composed of 3/8" tube and NiCr mesh</t>
  </si>
  <si>
    <t>1H-20</t>
  </si>
  <si>
    <t>Old, Replaces existing (number unknown)</t>
  </si>
  <si>
    <t>1H-21</t>
  </si>
  <si>
    <t>1P-12</t>
  </si>
  <si>
    <t>1H-22</t>
  </si>
  <si>
    <t>1P-11</t>
  </si>
  <si>
    <t>1H-23</t>
  </si>
  <si>
    <t>new</t>
  </si>
  <si>
    <t>1H-24</t>
  </si>
  <si>
    <t>new, short</t>
  </si>
  <si>
    <t>1H-25</t>
  </si>
  <si>
    <t>1L-1</t>
  </si>
  <si>
    <t>small hole is on side</t>
  </si>
  <si>
    <t>1L-2</t>
  </si>
  <si>
    <t>1L-3</t>
  </si>
  <si>
    <t>1L-4</t>
  </si>
  <si>
    <t>1L-5</t>
  </si>
  <si>
    <t>1L-6</t>
  </si>
  <si>
    <t>1L-7</t>
  </si>
  <si>
    <t>1P-1</t>
  </si>
  <si>
    <t>Ag-7</t>
  </si>
  <si>
    <t>small hole in side for venting/filling purposes</t>
  </si>
  <si>
    <t>1P-10</t>
  </si>
  <si>
    <t>1P-13</t>
  </si>
  <si>
    <t>Ag-13</t>
  </si>
  <si>
    <t>To match tube 1T-11. Had a slight taper (5-10 degree) at bottom to provide good seal.</t>
  </si>
  <si>
    <t>1P-14</t>
  </si>
  <si>
    <t>1P-2</t>
  </si>
  <si>
    <t>1P-20</t>
  </si>
  <si>
    <t>1P-21</t>
  </si>
  <si>
    <t>1P-22</t>
  </si>
  <si>
    <t>1P-23</t>
  </si>
  <si>
    <t>1P-24</t>
  </si>
  <si>
    <t>1P-25</t>
  </si>
  <si>
    <t>1P-3</t>
  </si>
  <si>
    <t>Ag-11</t>
  </si>
  <si>
    <t>1P-4</t>
  </si>
  <si>
    <t>1P-5</t>
  </si>
  <si>
    <t>1P-6</t>
  </si>
  <si>
    <t>Ag-6, Ag-3</t>
  </si>
  <si>
    <t>attaches to nozzle. height exclude s threads that go into the nozzle --&gt; distance from  end of nozzle thread to bottom of bottom most plate.</t>
  </si>
  <si>
    <t>1P-7</t>
  </si>
  <si>
    <t>1P-8</t>
  </si>
  <si>
    <t>slides onto 1P-6 to cap off tube. one hole, elongated</t>
  </si>
  <si>
    <t>1P-9</t>
  </si>
  <si>
    <t>slides onto 1P-7 to cap off tube. one hole, elongated</t>
  </si>
  <si>
    <t>1S-0</t>
  </si>
  <si>
    <t>Ni200201-1, NiCr8020-4, Ni-19</t>
  </si>
  <si>
    <t>A, Old, “Long”, cut off legs 1/8/09</t>
  </si>
  <si>
    <t>1S-1</t>
  </si>
  <si>
    <t>A, Old, “Short”</t>
  </si>
  <si>
    <t>1S-10</t>
  </si>
  <si>
    <t>Ag-5, Ag-6, Ag-4</t>
  </si>
  <si>
    <t>Superseeded by 1B-13. Reused top plate, discarded wires.</t>
  </si>
  <si>
    <t>1S-11</t>
  </si>
  <si>
    <t>holes 0.020” DIA drilled into wire (0.060”) at a spacing of 20mm starting from ~4mm from top of plate downwards. Five holes total. Used for hanging of crystals.</t>
  </si>
  <si>
    <t>1S-12</t>
  </si>
  <si>
    <t>1S-13</t>
  </si>
  <si>
    <t>holes 0.020” DIA drilled into wire (0.060”) at a spacing of 20mm starting from ~4mm from top of plate downwards. Five holes total. Used for hanging of crystals. top plate used to be 1S-10. Had to clip wires at bottom of stand and grew into crystal (111223R)</t>
  </si>
  <si>
    <t>1S-14</t>
  </si>
  <si>
    <t>holes 0.020” DIA drilled into wire (0.060”) at a spacing of 20mm starting from ~4mm from top of plate downwards. Five holes total. Used for hanging of crystals. top plate used to be 1S-9.  Superseded by 1S-19. Shortened stand.</t>
  </si>
  <si>
    <t>1S-15</t>
  </si>
  <si>
    <t>1S-16</t>
  </si>
  <si>
    <t>Ag-14, Ag-16</t>
  </si>
  <si>
    <t>1S-17</t>
  </si>
  <si>
    <t>1S-18</t>
  </si>
  <si>
    <t>1S-19</t>
  </si>
  <si>
    <t>holes 0.020” DIA drilled into wire (0.060”) at a spacing of 20mm starting from ~4mm from top of plate downwards. Five holes total. Used for hanging of crystals. top plate used to be 1S-9</t>
  </si>
  <si>
    <t>1S-2</t>
  </si>
  <si>
    <t>1S-20</t>
  </si>
  <si>
    <t>1S-21</t>
  </si>
  <si>
    <t>Inconel plate with narrow standoff to keep poly GaN basket out of heavy phase at bottom of reactor</t>
  </si>
  <si>
    <t>1S-22</t>
  </si>
  <si>
    <t>1S-23</t>
  </si>
  <si>
    <t>1S-24</t>
  </si>
  <si>
    <t>1S-25</t>
  </si>
  <si>
    <t>Inc626</t>
  </si>
  <si>
    <t>1S-3</t>
  </si>
  <si>
    <t>1S-4</t>
  </si>
  <si>
    <t>1S-5</t>
  </si>
  <si>
    <t>1S-6</t>
  </si>
  <si>
    <t>Ni200201-1, Ni-19, NiCr8020-4</t>
  </si>
  <si>
    <t>1S-7</t>
  </si>
  <si>
    <t>1S-8</t>
  </si>
  <si>
    <t>1S-9</t>
  </si>
  <si>
    <t>Ag-5, Ag-4, Ag-6</t>
  </si>
  <si>
    <t>superseded by 1S-14. Reused top plate, discarded wires.</t>
  </si>
  <si>
    <t>1T-1</t>
  </si>
  <si>
    <t>Ag-9</t>
  </si>
  <si>
    <t>1T-10</t>
  </si>
  <si>
    <t>Press fit tube in Reactor R. Includes hemisphere on bottom.</t>
  </si>
  <si>
    <t>1T-11</t>
  </si>
  <si>
    <t>Ag-17</t>
  </si>
  <si>
    <t>Unknown which tube this superseeds. Not new material, simply remachined. This design has a taper on the bottom and has a matching plug. Designed and machined to match reactor M</t>
  </si>
  <si>
    <t>1T-2</t>
  </si>
  <si>
    <t>1T-20</t>
  </si>
  <si>
    <t>1T-21</t>
  </si>
  <si>
    <t>1T-22</t>
  </si>
  <si>
    <t>1T-23</t>
  </si>
  <si>
    <t>1T-24</t>
  </si>
  <si>
    <t>New, Short</t>
  </si>
  <si>
    <t>1T-25</t>
  </si>
  <si>
    <t>1T-3</t>
  </si>
  <si>
    <t>Pressed in tube in M reactor. Includes bottom hemisphere.</t>
  </si>
  <si>
    <t>1T-4</t>
  </si>
  <si>
    <t>Pressed in tube in N reactor. Includes bottom hemisphere.</t>
  </si>
  <si>
    <t>1T-5</t>
  </si>
  <si>
    <t>Slip fit tube in N reactor. Includes bottom hemisphere. Got contaminated with Zinc.</t>
  </si>
  <si>
    <t>1T-6</t>
  </si>
  <si>
    <t>Pressed in tube in N reactor. Includes bottom hemisphere. Replacement for Zinc contaminated one.</t>
  </si>
  <si>
    <t>1T-7</t>
  </si>
  <si>
    <t>Slip fit tube in Reactor Q. Includes hemisphere on bottom.</t>
  </si>
  <si>
    <t>1T-8</t>
  </si>
  <si>
    <t>Pressed tube in Reactor Q. Includes hemisphere on bottom.</t>
  </si>
  <si>
    <t>1T-9</t>
  </si>
  <si>
    <t>Slip fit tube in Reactor R. Includes hemisphere on bottom.</t>
  </si>
  <si>
    <t>1Tc-1</t>
  </si>
  <si>
    <t>Inc600</t>
  </si>
  <si>
    <t>1/4" tube for centered payload assembly</t>
  </si>
  <si>
    <t>1W-1</t>
  </si>
  <si>
    <t>Average weight for four wires. 5.75" overall length, bottom part 3.75", middle plates 1.35"</t>
  </si>
  <si>
    <t>1W-2</t>
  </si>
  <si>
    <t>Weight of four wires</t>
  </si>
  <si>
    <t>2C-2</t>
  </si>
  <si>
    <t>Ni200, SS304, Ag-solder, Inc625</t>
  </si>
  <si>
    <t>Mesh spot welded, with fins silver soldered to bottom</t>
  </si>
  <si>
    <t>2S-1</t>
  </si>
  <si>
    <t>2S-2</t>
  </si>
  <si>
    <t>Ni200, Inc625, Ni-19</t>
  </si>
  <si>
    <t>Designed with central hole accepting internal TC, and flexible baffle positioning</t>
  </si>
  <si>
    <t>2T-1</t>
  </si>
  <si>
    <t>SS304</t>
  </si>
  <si>
    <t>Thin walled stainless tube used to guide TC from top baffle to bottom baffle</t>
  </si>
  <si>
    <t>2T-2</t>
  </si>
  <si>
    <t>Stainless tube used to guide TC from top baffle to tube running through poly GaN basket</t>
  </si>
  <si>
    <t>Zr-9A</t>
  </si>
  <si>
    <t>Zr</t>
  </si>
  <si>
    <t>Crucible -55mL. MSE Supplies order MSE2439184, batch 12324G4. Post nitride</t>
  </si>
  <si>
    <t>Zr-9B</t>
  </si>
  <si>
    <t>Crucible -55mL. MSE Supplies order MSE2439184, batch 12324G4</t>
  </si>
  <si>
    <t>Zr-9C</t>
  </si>
  <si>
    <t>Zr-9D</t>
  </si>
  <si>
    <t>Zr-9E</t>
  </si>
  <si>
    <t>Zr-9F</t>
  </si>
  <si>
    <t>Lid for 55mL Crucible. MSE Supplies order MSE2439184, batch 06922B3</t>
  </si>
  <si>
    <t>Zr-9G</t>
  </si>
  <si>
    <t>Zr-9H</t>
  </si>
  <si>
    <t>Zr-9I</t>
  </si>
  <si>
    <t>Zr-9J</t>
  </si>
  <si>
    <t>Description Name</t>
  </si>
  <si>
    <t>Autoclave Type</t>
  </si>
  <si>
    <t>Coating</t>
  </si>
  <si>
    <t>Design Date</t>
  </si>
  <si>
    <t>Lot</t>
  </si>
  <si>
    <t>GKT-400-1</t>
  </si>
  <si>
    <t>400MPa Ni</t>
  </si>
  <si>
    <t>Ni 200/201</t>
  </si>
  <si>
    <t xml:space="preserve">https://drive.google.com/open?id=15ewtfKK1gKb0aSSAJScFIKPRcQe2srpR&amp;authuser=jrd419%40lehigh.edu&amp;usp=drive_fs </t>
  </si>
  <si>
    <t>Original 400MPa design.</t>
  </si>
  <si>
    <t>GKT-400-2</t>
  </si>
  <si>
    <t>400MPa Ni w/M8</t>
  </si>
  <si>
    <t>GKT-400-3</t>
  </si>
  <si>
    <t>400MPa Inconel</t>
  </si>
  <si>
    <t>Draft specifications of the 400MPa reactor called out for Inconel 625 gaskets. We manufactured them according to specs at a machine shop with 625. Final specifications called out for Ni 201 and primarily use Ni 200/201 now.</t>
  </si>
  <si>
    <t>GKT-New1-1</t>
  </si>
  <si>
    <t>New 1" Inconel</t>
  </si>
  <si>
    <t>https://drive.google.com/open?id=1z-7l6ocvr6DakZrFmGN8Qqvg6IULUwIn&amp;authuser=jrd419%40lehigh.edu&amp;usp=drive_fs</t>
  </si>
  <si>
    <t>Gasket for New 1”. Original per JSW design</t>
  </si>
  <si>
    <t>GKT-New1-2</t>
  </si>
  <si>
    <t>New 1" Ni</t>
  </si>
  <si>
    <t>https://drive.google.com/open?id=1PGBsMJqd6ThoGi8ms-OP20YG-VtLxw46&amp;authuser=jrd419%40lehigh.edu&amp;usp=drive_fs</t>
  </si>
  <si>
    <t>Starting using Ni 200/201 due to problems with sealing using the inconel material (original specified material by JSW). Also concern with scratching the reactor walls, reducing seal quality over time. Identical dimensions, only difference is material.</t>
  </si>
  <si>
    <t>GKT-New1-3</t>
  </si>
  <si>
    <t xml:space="preserve"> New 1" Ni One Ridge</t>
  </si>
  <si>
    <t>https://drive.google.com/open?id=1FPhDRkUWItPKcRsXRlN1U8etzC5v23tQ&amp;authuser=jrd419%40lehigh.edu&amp;usp=drive_fs</t>
  </si>
  <si>
    <t>New New 1” gasket design with a ridge in the middle to improve sealing pressure and use Ni metal for deformation to conform better and eliminate scratching on inside surfaces of the reactor.</t>
  </si>
  <si>
    <t>GKT-New1-4</t>
  </si>
  <si>
    <t xml:space="preserve">New 1" Ni One Ridge Loose </t>
  </si>
  <si>
    <t xml:space="preserve">https://drive.google.com/open?id=11YSGYqxzRHdmlyWx6hfaOZcLXn0jLYUq&amp;authuser=jrd419%40lehigh.edu&amp;usp=drive_fs </t>
  </si>
  <si>
    <t>Same design as New1_3, simply narrower inside lip to allow for easier assembly with silver liner. Now the gasket will sit flat on the reactor and nozzle without needing to press fit it in.</t>
  </si>
  <si>
    <t>GKT-Old1-1</t>
  </si>
  <si>
    <t>Old 1"  Ni</t>
  </si>
  <si>
    <t xml:space="preserve">https://drive.google.com/open?id=1R4oLJPU3F9zyBxg6ToefT5l3Co-ZV4I1&amp;authuser=jrd419%40lehigh.edu&amp;usp=drive_fs </t>
  </si>
  <si>
    <t>Original Tadao style gasket. Used exclusively thru Oct 2009.</t>
  </si>
  <si>
    <t>GKT-Old1-2</t>
  </si>
  <si>
    <t>Old 1" One Ridge</t>
  </si>
  <si>
    <t xml:space="preserve">https://drive.google.com/open?id=19cjqhAUwOJchogY-VM2ExzO-hjdww-NJ&amp;authuser=jrd419%40lehigh.edu&amp;usp=drive_fs </t>
  </si>
  <si>
    <t>Added additional ridge to see if improvements can be made to reduce leakage (pressure drop) during growth. Ridges are only 10 degrees, and a new series should be made with 20 degree ridges (10 degree disappear after tightening).</t>
  </si>
  <si>
    <t>GKT-Old1-3</t>
  </si>
  <si>
    <t>Old 1" Two Ridge</t>
  </si>
  <si>
    <t xml:space="preserve">https://drive.google.com/open?id=1m0F7ruGYOBybuTxVWcUN-nK2-eA08t4v&amp;authuser=jrd419%40lehigh.edu&amp;usp=drive_fs </t>
  </si>
  <si>
    <t>Additional ridges have the intention to provide a better seal. Two 10 degree ridges provided to improve on the barrier for gas flow. Two designs tested to see which one works better. (Old1_2, Old1_3)</t>
  </si>
  <si>
    <t>GKT-2-1</t>
  </si>
  <si>
    <t>2 inch</t>
  </si>
  <si>
    <t xml:space="preserve">https://drive.google.com/open?id=17lPtP3TwopBAmOK6RjTBhdcmz5VjSvxb&amp;authuser=jrd419%40lehigh.edu&amp;usp=drive_fs </t>
  </si>
  <si>
    <t>Original</t>
  </si>
  <si>
    <t>GKT-Old1-4</t>
  </si>
  <si>
    <t>Old 1" 625</t>
  </si>
  <si>
    <t>Changd Old1_1  design to be made out of Inc 625 to be compatible with high temperatures</t>
  </si>
  <si>
    <t>GKT-New1-6</t>
  </si>
  <si>
    <t>Same as New1_4 except Inconel</t>
  </si>
  <si>
    <t>GKT-New1-5</t>
  </si>
  <si>
    <t>New 1" Ni Slip Fit</t>
  </si>
  <si>
    <t xml:space="preserve">https://drive.google.com/open?id=1AHKQzRy6o5VQijrrLvQL6FuuGygkAjIh&amp;authuser=jrd419%40lehigh.edu&amp;usp=drive_fs </t>
  </si>
  <si>
    <t>Modifed edge, for P</t>
  </si>
  <si>
    <t>GKT-Size 11</t>
  </si>
  <si>
    <t>New 1" Grayloc</t>
  </si>
  <si>
    <t>Silver</t>
  </si>
  <si>
    <t>MoS2 with Graphite</t>
  </si>
  <si>
    <t>GKT-SS-HIP</t>
  </si>
  <si>
    <t>SS Autoclave HIP</t>
  </si>
  <si>
    <t>SS HIP</t>
  </si>
  <si>
    <t>300 SS</t>
  </si>
  <si>
    <t>B00318</t>
  </si>
  <si>
    <t>GKT-TZM1-1</t>
  </si>
  <si>
    <t>Std SS VCR 1/2"</t>
  </si>
  <si>
    <t>"{ "Axial Position (mm)": [0,0.2366,0.4733,0.71], "Cross-Sectional Area (mm^2)": [-210.36104408,98.1688014,-210.36104408,-210.36104408], "Contact Plane": ["MP-REST-S-v","SP-GASK-F-v","SP-GASK-F-^","MP-REST-S-^"], "Transition Model": ["Constant","Constant","Constant","Constant"] }"</t>
  </si>
  <si>
    <t>CC Swagelok</t>
  </si>
  <si>
    <t>GKT-TZM1-2</t>
  </si>
  <si>
    <t>Mo ID OD T</t>
  </si>
  <si>
    <t>CC Thermoshield</t>
  </si>
  <si>
    <t>GKT-Parr</t>
  </si>
  <si>
    <t>GKT-TM3-1</t>
  </si>
  <si>
    <t>TZM 3" OD Top Gasket</t>
  </si>
  <si>
    <t>TZM 3" OD</t>
  </si>
  <si>
    <t>Niobium</t>
  </si>
  <si>
    <t>GKT-TM3-2</t>
  </si>
  <si>
    <t>TZM 3" OD Bottom Gasket</t>
  </si>
  <si>
    <t>GKT-TM3-3</t>
  </si>
  <si>
    <t>TZM 3.5" OD Top Gasket</t>
  </si>
  <si>
    <t>TZM 3.5" OD</t>
  </si>
  <si>
    <t>GKT-TM3-4</t>
  </si>
  <si>
    <t>TZM 3.5" OD Bottom Gasket</t>
  </si>
  <si>
    <t>Bolt Thread</t>
  </si>
  <si>
    <t>GN-A</t>
  </si>
  <si>
    <t>230226</t>
  </si>
  <si>
    <t>7/16-14</t>
  </si>
  <si>
    <t xml:space="preserve">https://drive.google.com/open?id=1EYOLx524viTARwELuurNhEQmJoj6eMZb&amp;authuser=jrd419%40lehigh.edu&amp;usp=drive_fs </t>
  </si>
  <si>
    <t>GN-B</t>
  </si>
  <si>
    <t xml:space="preserve">https://drive.google.com/open?id=12VXsR5wZ2EJWMuvo-lTkzbdP_tqeneW1&amp;authuser=jrd419%40lehigh.edu&amp;usp=drive_fs </t>
  </si>
  <si>
    <t>GN-C</t>
  </si>
  <si>
    <t>GN-D</t>
  </si>
  <si>
    <t>GN-E</t>
  </si>
  <si>
    <t>GN-F</t>
  </si>
  <si>
    <t>GN-G</t>
  </si>
  <si>
    <t>GN-H</t>
  </si>
  <si>
    <t>ACME 2.5"-4</t>
  </si>
  <si>
    <t>1/2"-24</t>
  </si>
  <si>
    <t>GN-K</t>
  </si>
  <si>
    <t>none</t>
  </si>
  <si>
    <t xml:space="preserve">https://drive.google.com/open?id=11OuxgdP-zVwkADHmmlv9sJIlVcsHmkZ_&amp;authuser=jrd419%40lehigh.edu&amp;usp=drive_fs </t>
  </si>
  <si>
    <t>GN-L</t>
  </si>
  <si>
    <t>GN-M</t>
  </si>
  <si>
    <t>M60x4</t>
  </si>
  <si>
    <t>1/2-13 UNC</t>
  </si>
  <si>
    <t xml:space="preserve">https://drive.google.com/open?id=1RVK1kou5_J9wIBU9j8pU5mCGoiTJSTUO&amp;authuser=jrd419%40lehigh.edu&amp;usp=drive_fs </t>
  </si>
  <si>
    <t>GN-N</t>
  </si>
  <si>
    <t>GN-P</t>
  </si>
  <si>
    <t>GN-Q</t>
  </si>
  <si>
    <t>GN-R</t>
  </si>
  <si>
    <t>GN-Z</t>
  </si>
  <si>
    <t xml:space="preserve">https://drive.google.com/open?id=17dpuFrile5NSBt6BS9v12_d4r_ignO75&amp;authuser=jrd419%40lehigh.edu&amp;usp=drive_fs </t>
  </si>
  <si>
    <t>GN-S</t>
  </si>
  <si>
    <t>GN-Parr</t>
  </si>
  <si>
    <t>GN-AD</t>
  </si>
  <si>
    <t>TZM 3"</t>
  </si>
  <si>
    <t>Stress Relieved</t>
  </si>
  <si>
    <t>9/16-18 UNC</t>
  </si>
  <si>
    <t>GN-AE</t>
  </si>
  <si>
    <t>GN-AF</t>
  </si>
  <si>
    <t>TZM 3.5"</t>
  </si>
  <si>
    <t>Valve UnitID</t>
  </si>
  <si>
    <t>Safety Head UnitID</t>
  </si>
  <si>
    <t>Junction (Main) UnitID</t>
  </si>
  <si>
    <t>Adaptor (to AC) UnitID</t>
  </si>
  <si>
    <t>Tubing (to SH) UnitID</t>
  </si>
  <si>
    <t>Tubing (to NV) UnitID</t>
  </si>
  <si>
    <t>Tubing (to PT) UnitID</t>
  </si>
  <si>
    <t>Torque Tigtening (ft lbs)</t>
  </si>
  <si>
    <t>Lubricant</t>
  </si>
  <si>
    <t>Default Autoclave Body UnitID</t>
  </si>
  <si>
    <t>Prior HA UnitID</t>
  </si>
  <si>
    <t>PT UnitID</t>
  </si>
  <si>
    <t>Date Assembled</t>
  </si>
  <si>
    <t>Head Assembly UID</t>
  </si>
  <si>
    <t>Valve (Needle)</t>
  </si>
  <si>
    <t>Safety Head</t>
  </si>
  <si>
    <t>Cross Junction</t>
  </si>
  <si>
    <t>Tubing (RD)</t>
  </si>
  <si>
    <t>Tubing (NV)</t>
  </si>
  <si>
    <t>Tubing (PT)</t>
  </si>
  <si>
    <t>Body Assignment</t>
  </si>
  <si>
    <t>PT</t>
  </si>
  <si>
    <t>HDA-A1</t>
  </si>
  <si>
    <t>60-12HF4</t>
  </si>
  <si>
    <t>SH-A1</t>
  </si>
  <si>
    <t>60-HM4-2.75</t>
  </si>
  <si>
    <t>Ni Tape</t>
  </si>
  <si>
    <t>HDA-A2</t>
  </si>
  <si>
    <t>SH-A2</t>
  </si>
  <si>
    <t>HDA-B1</t>
  </si>
  <si>
    <t>SH-B1</t>
  </si>
  <si>
    <t>HDA-B2</t>
  </si>
  <si>
    <t>SH-B2</t>
  </si>
  <si>
    <t>Oil</t>
  </si>
  <si>
    <t>HDA-C1</t>
  </si>
  <si>
    <t>SH-C1</t>
  </si>
  <si>
    <t>HDA-C2</t>
  </si>
  <si>
    <t>SH-C2</t>
  </si>
  <si>
    <t>HDA-D1</t>
  </si>
  <si>
    <t>SH-D1</t>
  </si>
  <si>
    <t>HDA-D2</t>
  </si>
  <si>
    <t>SH-D2</t>
  </si>
  <si>
    <t>HDA-E1</t>
  </si>
  <si>
    <t>SH-E1</t>
  </si>
  <si>
    <t>HDA-E2</t>
  </si>
  <si>
    <t>SH-E2</t>
  </si>
  <si>
    <t>HDA-F1</t>
  </si>
  <si>
    <t>SH-F1</t>
  </si>
  <si>
    <t>HDA-F2</t>
  </si>
  <si>
    <t>SH-F2</t>
  </si>
  <si>
    <t>HDA-G1</t>
  </si>
  <si>
    <t>SH-G1</t>
  </si>
  <si>
    <t>HDA-G2</t>
  </si>
  <si>
    <t>SH-G2</t>
  </si>
  <si>
    <t>HDA-H1</t>
  </si>
  <si>
    <t>HDA-H2</t>
  </si>
  <si>
    <t>HDA-K1</t>
  </si>
  <si>
    <t>SH-K1</t>
  </si>
  <si>
    <t>HDA-K2</t>
  </si>
  <si>
    <t>SH-K2</t>
  </si>
  <si>
    <t>HDA-L1</t>
  </si>
  <si>
    <t>SH-L1</t>
  </si>
  <si>
    <t>HDA-L2</t>
  </si>
  <si>
    <t>SH-L2</t>
  </si>
  <si>
    <t>HDA-M1</t>
  </si>
  <si>
    <t>SH-M1</t>
  </si>
  <si>
    <t>HDA-M2</t>
  </si>
  <si>
    <t>SH-M2</t>
  </si>
  <si>
    <t>HDA-N1</t>
  </si>
  <si>
    <t>SH-N1</t>
  </si>
  <si>
    <t>HDA-N2</t>
  </si>
  <si>
    <t>SH-N2</t>
  </si>
  <si>
    <t>HDA-N3</t>
  </si>
  <si>
    <t>HDA-P1</t>
  </si>
  <si>
    <t>SH-P1</t>
  </si>
  <si>
    <t>HDA-Q1</t>
  </si>
  <si>
    <t>SH-Q1</t>
  </si>
  <si>
    <t>HDA-R1</t>
  </si>
  <si>
    <t>SH-R1</t>
  </si>
  <si>
    <t>HDA-Z1</t>
  </si>
  <si>
    <t>SH-Z1</t>
  </si>
  <si>
    <t>HDA-Z2</t>
  </si>
  <si>
    <t>SH-Z2</t>
  </si>
  <si>
    <t>HDA-C3</t>
  </si>
  <si>
    <t>SH-C3</t>
  </si>
  <si>
    <t>HDA-A3</t>
  </si>
  <si>
    <t>SH-A3</t>
  </si>
  <si>
    <t>HDA-1</t>
  </si>
  <si>
    <t>NV-24</t>
  </si>
  <si>
    <t>SH-1</t>
  </si>
  <si>
    <t>TU-36</t>
  </si>
  <si>
    <t>TU-7</t>
  </si>
  <si>
    <t>TU-51</t>
  </si>
  <si>
    <t>HDA-2</t>
  </si>
  <si>
    <t>NV-1</t>
  </si>
  <si>
    <t>SH-3</t>
  </si>
  <si>
    <t>TU-24</t>
  </si>
  <si>
    <t>TU-32</t>
  </si>
  <si>
    <t>TU-45</t>
  </si>
  <si>
    <t>HDA-3</t>
  </si>
  <si>
    <t>NV-3</t>
  </si>
  <si>
    <t>SH-5</t>
  </si>
  <si>
    <t>TU-30</t>
  </si>
  <si>
    <t>TU-54</t>
  </si>
  <si>
    <t>TU-43</t>
  </si>
  <si>
    <t>HDA-4</t>
  </si>
  <si>
    <t>NV-4</t>
  </si>
  <si>
    <t>SH-6</t>
  </si>
  <si>
    <t>TU-50</t>
  </si>
  <si>
    <t>TU-55</t>
  </si>
  <si>
    <t>TU-40</t>
  </si>
  <si>
    <t>HDA-5</t>
  </si>
  <si>
    <t>NV-5</t>
  </si>
  <si>
    <t>SH-8</t>
  </si>
  <si>
    <t>TU-9</t>
  </si>
  <si>
    <t>TU-29</t>
  </si>
  <si>
    <t>HDA-6</t>
  </si>
  <si>
    <t>NV-23</t>
  </si>
  <si>
    <t>SH-10</t>
  </si>
  <si>
    <t>TU-34</t>
  </si>
  <si>
    <t>TU-21</t>
  </si>
  <si>
    <t>HDA-7</t>
  </si>
  <si>
    <t>NV-7</t>
  </si>
  <si>
    <t>SH-12</t>
  </si>
  <si>
    <t>TU-52</t>
  </si>
  <si>
    <t>TU-37</t>
  </si>
  <si>
    <t>HDA-8</t>
  </si>
  <si>
    <t>NV-18</t>
  </si>
  <si>
    <t>SH-20</t>
  </si>
  <si>
    <t>TU-38</t>
  </si>
  <si>
    <t>TU-53</t>
  </si>
  <si>
    <t>TU-47</t>
  </si>
  <si>
    <t>HDA-9</t>
  </si>
  <si>
    <t>NV-19</t>
  </si>
  <si>
    <t>SH-23</t>
  </si>
  <si>
    <t>TU-1</t>
  </si>
  <si>
    <t>TU-33</t>
  </si>
  <si>
    <t>TU-58</t>
  </si>
  <si>
    <t>HDA-Q2</t>
  </si>
  <si>
    <t>HDA-10</t>
  </si>
  <si>
    <t>NV-20</t>
  </si>
  <si>
    <t>SH-25</t>
  </si>
  <si>
    <t xml:space="preserve">CR-1 </t>
  </si>
  <si>
    <t>TU-39</t>
  </si>
  <si>
    <t>TU-48</t>
  </si>
  <si>
    <t>HAD-11</t>
  </si>
  <si>
    <t>TU-46</t>
  </si>
  <si>
    <t>HDA-12</t>
  </si>
  <si>
    <t>TU-42</t>
  </si>
  <si>
    <t>HDA-13</t>
  </si>
  <si>
    <t>Thread</t>
  </si>
  <si>
    <t>NUT-TA</t>
  </si>
  <si>
    <t>stress-relieved</t>
  </si>
  <si>
    <t>481 / 31481 / 062422,WH:14</t>
  </si>
  <si>
    <t xml:space="preserve">https://drive.google.com/open?id=11OypiM8g5xEXcHx-Co4o5H3bxmyFe4qG&amp;authuser=fsm217%40lehigh.edu&amp;usp=drive_fs </t>
  </si>
  <si>
    <t>NUT-TB</t>
  </si>
  <si>
    <t>NUT-TC</t>
  </si>
  <si>
    <t>NUT-TD</t>
  </si>
  <si>
    <t>NUT-TE</t>
  </si>
  <si>
    <t>NUT-TF</t>
  </si>
  <si>
    <t>stess-relieved</t>
  </si>
  <si>
    <t>RH-7/16-20</t>
  </si>
  <si>
    <t>481 / 31481 / 062422,WH:15 | 481 / 31481 / 070122,WH:14</t>
  </si>
  <si>
    <t xml:space="preserve">https://drive.google.com/open?id=11WhOGMckRmnYaaOURH8ldPSPHDj_gcvZ&amp;authuser=fsm217%40lehigh.edu&amp;usp=drive_fs </t>
  </si>
  <si>
    <t>NUT-TG</t>
  </si>
  <si>
    <t>NUT-TH</t>
  </si>
  <si>
    <t>NUT-TI</t>
  </si>
  <si>
    <t>NUT-TJ</t>
  </si>
  <si>
    <t>NUT-TK</t>
  </si>
  <si>
    <t>NUT-TL</t>
  </si>
  <si>
    <t>NUT-TM</t>
  </si>
  <si>
    <t>NUT-TN</t>
  </si>
  <si>
    <t>NUT-TO</t>
  </si>
  <si>
    <t>NUT-TP</t>
  </si>
  <si>
    <t>NUT-TQ</t>
  </si>
  <si>
    <t>NUT-TR</t>
  </si>
  <si>
    <t>NUT-TS</t>
  </si>
  <si>
    <t>NUT-TT</t>
  </si>
  <si>
    <t>NUT-TU</t>
  </si>
  <si>
    <t>NUT-TV</t>
  </si>
  <si>
    <t>NUT-TW</t>
  </si>
  <si>
    <t>NUT-TX</t>
  </si>
  <si>
    <t>NUT-TY</t>
  </si>
  <si>
    <t>NUT-TZ</t>
  </si>
  <si>
    <t>NUT-TAA</t>
  </si>
  <si>
    <t>NUT-TAB</t>
  </si>
  <si>
    <t>NUT-TAC</t>
  </si>
  <si>
    <t>NUT-TAD</t>
  </si>
  <si>
    <t>NUT-TAE</t>
  </si>
  <si>
    <t>CV</t>
  </si>
  <si>
    <t>OD (inch)</t>
  </si>
  <si>
    <t>Number of bolts</t>
  </si>
  <si>
    <t>Nut Plate</t>
  </si>
  <si>
    <t>NP1</t>
  </si>
  <si>
    <t>MATS-HPS-AC-NP1</t>
  </si>
  <si>
    <t>9/16-18</t>
  </si>
  <si>
    <t>NP2</t>
  </si>
  <si>
    <t>MATS-HPS-AC-NP2</t>
  </si>
  <si>
    <t>1/2-13</t>
  </si>
  <si>
    <t>NP3</t>
  </si>
  <si>
    <t>MATS-HPS-AC-NP3</t>
  </si>
  <si>
    <t>NP4</t>
  </si>
  <si>
    <t>MATS-HPS-AC-NP4</t>
  </si>
  <si>
    <t>NP2-1</t>
  </si>
  <si>
    <t>NP2-2</t>
  </si>
  <si>
    <t>NP2-3</t>
  </si>
  <si>
    <t>NP2-4</t>
  </si>
  <si>
    <t>NP2-5</t>
  </si>
  <si>
    <t>NP2-6</t>
  </si>
  <si>
    <t>NP2-7</t>
  </si>
  <si>
    <t>NP2-8</t>
  </si>
  <si>
    <t>NP2-9</t>
  </si>
  <si>
    <t>NP1-1</t>
  </si>
  <si>
    <t>NP1-2</t>
  </si>
  <si>
    <t>NP3-1</t>
  </si>
  <si>
    <t>NP3-2</t>
  </si>
  <si>
    <t>NP3-3</t>
  </si>
  <si>
    <t>NP3-4</t>
  </si>
  <si>
    <t>NP3-5</t>
  </si>
  <si>
    <t>NP3-6</t>
  </si>
  <si>
    <t>NP3-7</t>
  </si>
  <si>
    <t>NP3-8</t>
  </si>
  <si>
    <t>NP3-9</t>
  </si>
  <si>
    <t>NP5</t>
  </si>
  <si>
    <t>Valve Stem Length (in)</t>
  </si>
  <si>
    <t>Superseded</t>
  </si>
  <si>
    <t>NV-A3</t>
  </si>
  <si>
    <t>NV-B1</t>
  </si>
  <si>
    <t>NV-B2</t>
  </si>
  <si>
    <t>NV-C2</t>
  </si>
  <si>
    <t>NV-D2</t>
  </si>
  <si>
    <t>NV-F1</t>
  </si>
  <si>
    <t>NV-F2</t>
  </si>
  <si>
    <t>NV-G1</t>
  </si>
  <si>
    <t>NV-G2</t>
  </si>
  <si>
    <t>NV-H1</t>
  </si>
  <si>
    <t>NV-H2</t>
  </si>
  <si>
    <t>NV-K1</t>
  </si>
  <si>
    <t>NV-K2</t>
  </si>
  <si>
    <t>NV-L1</t>
  </si>
  <si>
    <t>NV-L2</t>
  </si>
  <si>
    <t>NV-M1</t>
  </si>
  <si>
    <t>NV-M2</t>
  </si>
  <si>
    <t>NV-N2</t>
  </si>
  <si>
    <t>NV-P1</t>
  </si>
  <si>
    <t>NV-Q1</t>
  </si>
  <si>
    <t>NV-R1</t>
  </si>
  <si>
    <t>NV-Z1</t>
  </si>
  <si>
    <t>NV-Z2</t>
  </si>
  <si>
    <t>NV-2</t>
  </si>
  <si>
    <t>NV-6</t>
  </si>
  <si>
    <t>NV-8</t>
  </si>
  <si>
    <t>NV-9</t>
  </si>
  <si>
    <t>NV-10</t>
  </si>
  <si>
    <t>NV-11</t>
  </si>
  <si>
    <t>NV-12</t>
  </si>
  <si>
    <t>NV-13</t>
  </si>
  <si>
    <t>NV-14</t>
  </si>
  <si>
    <t>NV-15</t>
  </si>
  <si>
    <t>NV-16</t>
  </si>
  <si>
    <t>NV-17</t>
  </si>
  <si>
    <t>NV-21</t>
  </si>
  <si>
    <t>NV-22</t>
  </si>
  <si>
    <t>NV-25</t>
  </si>
  <si>
    <t>NV-26</t>
  </si>
  <si>
    <t>NV-27</t>
  </si>
  <si>
    <t>60-11HF4</t>
  </si>
  <si>
    <t>Straight</t>
  </si>
  <si>
    <t>NV-28</t>
  </si>
  <si>
    <t>NV-29</t>
  </si>
  <si>
    <t>100-11XF4</t>
  </si>
  <si>
    <t>https://www.highpressure.com/pdfs/section/UltraHighPressure.pdf</t>
  </si>
  <si>
    <t>NV-30</t>
  </si>
  <si>
    <t>Valve Stuck</t>
  </si>
  <si>
    <t>NV-31</t>
  </si>
  <si>
    <t>NV-32</t>
  </si>
  <si>
    <t>60-12-HF6</t>
  </si>
  <si>
    <t>NV-33</t>
  </si>
  <si>
    <t>Reactor</t>
  </si>
  <si>
    <t>Nozzle Material</t>
  </si>
  <si>
    <t>Bent</t>
  </si>
  <si>
    <t>Prior Mass Measurment Date</t>
  </si>
  <si>
    <t>Prior Mass (g)</t>
  </si>
  <si>
    <t>Volume Deviation ml</t>
  </si>
  <si>
    <t>Pressure Design MPa</t>
  </si>
  <si>
    <t>Pressure Design psi</t>
  </si>
  <si>
    <t>Temperature Design C</t>
  </si>
  <si>
    <t>NZ-A</t>
  </si>
  <si>
    <t>Solution Treated</t>
  </si>
  <si>
    <t>No</t>
  </si>
  <si>
    <t>080601</t>
  </si>
  <si>
    <t xml:space="preserve">https://drive.google.com/open?id=12PeRUYFSZFcSVEIf4jv-Olo_La_GOlgJ&amp;authuser=jrd419%40lehigh.edu&amp;usp=drive_fs </t>
  </si>
  <si>
    <t>NZ-B</t>
  </si>
  <si>
    <t>NZ-C</t>
  </si>
  <si>
    <t>NZ-D</t>
  </si>
  <si>
    <t>NZ-E</t>
  </si>
  <si>
    <t>NZ-F</t>
  </si>
  <si>
    <t>Broken</t>
  </si>
  <si>
    <t>NZ-G</t>
  </si>
  <si>
    <t>Tip sheared off</t>
  </si>
  <si>
    <t>NZ-H</t>
  </si>
  <si>
    <t>NZ-I</t>
  </si>
  <si>
    <t>NZ-J</t>
  </si>
  <si>
    <t>NZ-K</t>
  </si>
  <si>
    <t>Tip sheared off during removal of a stuck collar (2/1/09)</t>
  </si>
  <si>
    <t>NZ-L</t>
  </si>
  <si>
    <t>Had to cut off tip to remove a stuck collar while nozzle was on reactor (11/28/08)</t>
  </si>
  <si>
    <t>NZ-M</t>
  </si>
  <si>
    <t>Yes</t>
  </si>
  <si>
    <t>Significantly bent due to rupture disc failure (9/26/08). Has been used at lower pressures (100MPa) without problems though. Was the primary and solely used nozzle during Makoto’s experiments.</t>
  </si>
  <si>
    <t>NZ-N</t>
  </si>
  <si>
    <t>080101</t>
  </si>
  <si>
    <t>Significantly bent due to rupture disc failure (9/26/08). Crack suspected along tube. Most likely due to heat treatment, material is not as malleable.</t>
  </si>
  <si>
    <t>NZ-P</t>
  </si>
  <si>
    <t>Hole is 0.071” (oversized w.r.t. specs) and additionally there are scratches inside the hole, along with it being off-center and not straight. (6/08)</t>
  </si>
  <si>
    <t>NZ-Q</t>
  </si>
  <si>
    <t>090701</t>
  </si>
  <si>
    <t xml:space="preserve">https://drive.google.com/open?id=1yPrJOiAqiuAEVucJ0w2n54jAnpAz1lBg&amp;authuser=jrd419%40lehigh.edu&amp;usp=drive_fs </t>
  </si>
  <si>
    <t>NZ-R</t>
  </si>
  <si>
    <t>091201</t>
  </si>
  <si>
    <t>NZ-S</t>
  </si>
  <si>
    <t>Always machined off bottom of nozzle to remove the Ni gasket that gets stuck/welded on to it. --&gt; shortens over time.</t>
  </si>
  <si>
    <t>NZ-T</t>
  </si>
  <si>
    <t>NZ-U</t>
  </si>
  <si>
    <t>091101</t>
  </si>
  <si>
    <t>Usable</t>
  </si>
  <si>
    <t>NZ-O</t>
  </si>
  <si>
    <t>Slightly bent, yet no leakage at 220MPa.</t>
  </si>
  <si>
    <t>NZ-V</t>
  </si>
  <si>
    <t>110201</t>
  </si>
  <si>
    <t xml:space="preserve">https://drive.google.com/open?id=1eb9Y_5JIAvVRnXMrjNufMTts6iyMEP2i&amp;authuser=jrd419%40lehigh.edu&amp;usp=drive_fs </t>
  </si>
  <si>
    <t>NZ-W</t>
  </si>
  <si>
    <t>NZ-X</t>
  </si>
  <si>
    <t>Unlabled (labeled 1)</t>
  </si>
  <si>
    <t>NZ-Y</t>
  </si>
  <si>
    <t>Unlabled (labeled 2)</t>
  </si>
  <si>
    <t>NZ-Z</t>
  </si>
  <si>
    <t>Unlabled</t>
  </si>
  <si>
    <t>NZ-AA</t>
  </si>
  <si>
    <t>1/8" Bore</t>
  </si>
  <si>
    <t>NZ-AB</t>
  </si>
  <si>
    <t>NZ-AC</t>
  </si>
  <si>
    <t>NZ-AD</t>
  </si>
  <si>
    <t>NZ-AE</t>
  </si>
  <si>
    <t>NZ-AF</t>
  </si>
  <si>
    <t>110501</t>
  </si>
  <si>
    <t>NZ-AG</t>
  </si>
  <si>
    <t>NZ-AH</t>
  </si>
  <si>
    <t>requires measurement</t>
  </si>
  <si>
    <t>Machined off bottom to be compatible with Ag capsule in short autoclave</t>
  </si>
  <si>
    <t>NZ-AI</t>
  </si>
  <si>
    <t>no Label, brand new</t>
  </si>
  <si>
    <t>NZ-AJ</t>
  </si>
  <si>
    <t>NZ-AK</t>
  </si>
  <si>
    <t>No Label, Used</t>
  </si>
  <si>
    <t>NZ-AL</t>
  </si>
  <si>
    <t>NZ-AM</t>
  </si>
  <si>
    <t>NZ-AN</t>
  </si>
  <si>
    <t>NZ-AO</t>
  </si>
  <si>
    <t>NZ-AP</t>
  </si>
  <si>
    <t>NZ-TA</t>
  </si>
  <si>
    <t>FS | 7/8-14</t>
  </si>
  <si>
    <t>Cone LF4</t>
  </si>
  <si>
    <t>481 / 31481 / 062422,WH:15</t>
  </si>
  <si>
    <t xml:space="preserve">https://drive.google.com/open?id=1F1NVZWu9izHFwbqgFbYuD7yCEjCL5OW6&amp;authuser=fsm217%40lehigh.edu&amp;usp=drive_fs </t>
  </si>
  <si>
    <t>Nutless design</t>
  </si>
  <si>
    <t>NZ-TB</t>
  </si>
  <si>
    <t>FS | Nut</t>
  </si>
  <si>
    <t xml:space="preserve">https://drive.google.com/open?id=1F3mdSebGc90kEL5Mu2jjRfjAGTHgjSEx&amp;authuser=fsm217%40lehigh.edu&amp;usp=drive_fs </t>
  </si>
  <si>
    <t>NZ-TC</t>
  </si>
  <si>
    <t>broken during tightening of plug 230114, see Run 230116TB</t>
  </si>
  <si>
    <t>NZ-TD</t>
  </si>
  <si>
    <t>NZ-TE</t>
  </si>
  <si>
    <t>NZ-TF</t>
  </si>
  <si>
    <t>220413</t>
  </si>
  <si>
    <t>109.922</t>
  </si>
  <si>
    <t>230413</t>
  </si>
  <si>
    <t>A78945 32517</t>
  </si>
  <si>
    <t>PU064892</t>
  </si>
  <si>
    <t xml:space="preserve">https://drive.google.com/open?id=1p3FosYfzs6T3jy-sQtbL91HTX6yCAS3M&amp;authuser=fsm217%40lehigh.edu&amp;usp=drive_fs </t>
  </si>
  <si>
    <t xml:space="preserve">reduced diamater gasket suppport </t>
  </si>
  <si>
    <t>NZ-TG</t>
  </si>
  <si>
    <t>109.968</t>
  </si>
  <si>
    <t>NZ-TH</t>
  </si>
  <si>
    <t>109.944</t>
  </si>
  <si>
    <t>NZ-AQ</t>
  </si>
  <si>
    <t>TZM-3"</t>
  </si>
  <si>
    <t>3/8" 60k HIP</t>
  </si>
  <si>
    <t>Top-side Nozzle for IDs 13, 20 and 25mm (HP)</t>
  </si>
  <si>
    <t>NZ-AR</t>
  </si>
  <si>
    <t>Bottom side "hole-less" nozzle</t>
  </si>
  <si>
    <t>NZ-AS</t>
  </si>
  <si>
    <t>Top-side Nozzle for ID = 50mm (LP)</t>
  </si>
  <si>
    <t>NZ-TI</t>
  </si>
  <si>
    <t>230502</t>
  </si>
  <si>
    <t>"{ "Axial Position (mm)": [0,0.414,45.3847,45.3848,45.69972,45.93591,46.172,46.1721,55.0367,55.5447], "Cross-Sectional Area (mm^2)": [10.4808,7.9173,7.9173,153.29853,170.06541,186.92669,245.02403,-64.0054545454546,-65.24622,-48.83081], "Contact Plane": ["SP-CONE-F-v","","","","","","SP-FACE-M-^","","","MP-REST-S-^"], "Transition Model": ["0.0088720924*x**3 + 1.0431186695*x**2 - 6.6254007558*x + 10.4808","Constant","Constant","-3469.8650278747*x**4 + 632794.554707318*x**3 - 43275652.6151896*x**2 + 1315350477.56802*x - 14992363728.5943","119.6069836691*x**3 - 16314.1310015785*x**2 + 741762.555813993*x - 11242247.3792883","5681.0753233489*x**3 - 783901.430188561*x**2 + 36055573.3428332*x - 552793900.183315","Constant","Constant","0.0064579358*x**3 - 4.1840590224*x**2 + 435.7655657105*x - 12451.2610490997","Constant"] }"</t>
  </si>
  <si>
    <t>NZ-TJ</t>
  </si>
  <si>
    <t>NZ-TK</t>
  </si>
  <si>
    <t>NZ-TL</t>
  </si>
  <si>
    <t>NZ-TM</t>
  </si>
  <si>
    <t>NZ-AT</t>
  </si>
  <si>
    <t>Top-side Nozzle for IDs 13, 20 and 25mm (HP), no knife edge seal</t>
  </si>
  <si>
    <t>NZ-AU</t>
  </si>
  <si>
    <t>TZM-3.5"</t>
  </si>
  <si>
    <t>NZ-AR-1</t>
  </si>
  <si>
    <t>240417</t>
  </si>
  <si>
    <t>NZ-AR-2</t>
  </si>
  <si>
    <t>NZ-AR-3</t>
  </si>
  <si>
    <t>NZ-AR-4</t>
  </si>
  <si>
    <t>NZ-AR-5</t>
  </si>
  <si>
    <t>NZ-AR-6</t>
  </si>
  <si>
    <t>NZ-AR-7</t>
  </si>
  <si>
    <t>NZ-AR-8</t>
  </si>
  <si>
    <t>NZ-AR-9</t>
  </si>
  <si>
    <t>NZ-AR-10</t>
  </si>
  <si>
    <t>NZ-AQ-</t>
  </si>
  <si>
    <t>NZ-TN</t>
  </si>
  <si>
    <t>NZ-TO</t>
  </si>
  <si>
    <t xml:space="preserve">"{ "Axial Position (mm)": [0,0.0802,45.1406,45.1407,45.3156556,45.6655668,45.928,45.929,54.7926,55.3006], "Cross-Sectional Area (mm^2)": [10.54664,10.02034,10.02034,153.27155,163.59259,187.03964,242.77705,-64.0054545454546,-65.24692,-48.83081], "Contact Plane": ["SP-CONE-F-v","","","","","","SP-FACE-M-^","","","MP-REST-S-^"], "Transition Model": ["1.0614523294*x**2 - 6.6474726165*x + 10.54664","Constant","Constant","-89.0914058716*x**2 + 8117.8762290518*x - 184753.318883117","-458.7206412852*x**4 + 83738.5494016303*x**3 - 5732179.0762711*x**2 + 174388447.674759*x - 1989451385.14933","-2688.794647946*x**3 + 369666.182502887*x**2 - 16940792.4832358*x + 258779578.878822","Constant","Constant","1619.1462031454*x**4 - 356637.667917948*x**3 + 29457619.7404849*x**2 - 1081393082.31604*x + 14886712029.5921","Constant"] }"			
</t>
  </si>
  <si>
    <t>NZ-TP</t>
  </si>
  <si>
    <t>NZ-TQ</t>
  </si>
  <si>
    <t>NZ-TR</t>
  </si>
  <si>
    <t>NZ-TS</t>
  </si>
  <si>
    <t>NZ-TT</t>
  </si>
  <si>
    <t>Dead End</t>
  </si>
  <si>
    <t xml:space="preserve">"{ "Axial Position (mm)": [0,43.18,43.9614], "Cross-Sectional Area (mm^2)": [0,233.99245,304.2807], "Contact Plane": ["","","SP-FACE-M-^"], "Transition Model": ["Constant","2831.67989730835*x**6 - 739075.262971306*x**5 + 80374845.4790029*x**4 - 4661745642.90743*x**3 + 152088972710.442*x**2 - 2646328806312.74*x + 19185663862065.2","Constant"] }"			
</t>
  </si>
  <si>
    <t>#523240625 / TZM240524</t>
  </si>
  <si>
    <t>NZ-TU</t>
  </si>
  <si>
    <t>NZ-TV</t>
  </si>
  <si>
    <t>NZ-TW</t>
  </si>
  <si>
    <t>NZ-TX</t>
  </si>
  <si>
    <t>NZ-TY</t>
  </si>
  <si>
    <t>NZ-AV</t>
  </si>
  <si>
    <t>Available 230224</t>
  </si>
  <si>
    <t>Effective Diameter (inch)</t>
  </si>
  <si>
    <t>Pressure Burst Nominal psi</t>
  </si>
  <si>
    <t>Type Label</t>
  </si>
  <si>
    <t>Pressure Burst Nominal MPa</t>
  </si>
  <si>
    <t>Pressure Burst Actual psi</t>
  </si>
  <si>
    <t>Pressure Burst Actual MPa</t>
  </si>
  <si>
    <t>Rupture Disc Material</t>
  </si>
  <si>
    <t>Manufacture Part Number</t>
  </si>
  <si>
    <t>Reorder Number</t>
  </si>
  <si>
    <t>Lot Number</t>
  </si>
  <si>
    <t>Rupture Disc</t>
  </si>
  <si>
    <t>RD-22ZOO-1</t>
  </si>
  <si>
    <t>Zook</t>
  </si>
  <si>
    <t>081112-2657</t>
  </si>
  <si>
    <t xml:space="preserve">https://www.highpressure.com/products/valves-fittings-tubing/taper-seal-valves-fittings-and-tubing/rupture-discs/#1 </t>
  </si>
  <si>
    <t>RD-40ZOO-1</t>
  </si>
  <si>
    <t>080402-0022</t>
  </si>
  <si>
    <t>RD-50ZOO-1</t>
  </si>
  <si>
    <t>070509-6352</t>
  </si>
  <si>
    <t>RD-65ZOO-1</t>
  </si>
  <si>
    <t>070725-7207</t>
  </si>
  <si>
    <t>RD-22OSE-1</t>
  </si>
  <si>
    <t>OSECO</t>
  </si>
  <si>
    <t xml:space="preserve">http://resources.oseco.com/en/rupture-discs/std/std-flyer.pdf </t>
  </si>
  <si>
    <t>RD-40OSE-1</t>
  </si>
  <si>
    <t>RD-45OSE-1</t>
  </si>
  <si>
    <t>RD-45OSE-2</t>
  </si>
  <si>
    <t>RD-50OSE-2</t>
  </si>
  <si>
    <t>RD-60OSE-1</t>
  </si>
  <si>
    <t>RD-65OSE-1</t>
  </si>
  <si>
    <t>RD-70OSE-1</t>
  </si>
  <si>
    <t>RD-28OSE-1</t>
  </si>
  <si>
    <t>Nickel</t>
  </si>
  <si>
    <t>18879-1-1</t>
  </si>
  <si>
    <t>RD-27OSE-1</t>
  </si>
  <si>
    <t>35354-1-1</t>
  </si>
  <si>
    <t>Angular Sweep (deg)</t>
  </si>
  <si>
    <t>Ring</t>
  </si>
  <si>
    <t>RNG-1</t>
  </si>
  <si>
    <t>MATS-HPS-AC-RNG1</t>
  </si>
  <si>
    <t>RNG-2</t>
  </si>
  <si>
    <t>MATS-HPS-AC-RNG2</t>
  </si>
  <si>
    <t>RNG-2-A</t>
  </si>
  <si>
    <t>RNG-2-B</t>
  </si>
  <si>
    <t>RNG-2-C</t>
  </si>
  <si>
    <t>RNG-2-D</t>
  </si>
  <si>
    <t>Rupture Disc UnitID</t>
  </si>
  <si>
    <t>Rupture Disc Burst Pressure (MPa)</t>
  </si>
  <si>
    <t>Torque Tightening (ft-lbs)</t>
  </si>
  <si>
    <t>Fitting 3</t>
  </si>
  <si>
    <t>RD Failed</t>
  </si>
  <si>
    <t>60-61HM4</t>
  </si>
  <si>
    <t>45ZOO-1</t>
  </si>
  <si>
    <t>3/8" FNPT</t>
  </si>
  <si>
    <t>Dead Head</t>
  </si>
  <si>
    <t>60-61HF4</t>
  </si>
  <si>
    <t>50OSE-1</t>
  </si>
  <si>
    <t>SH-A4</t>
  </si>
  <si>
    <t>50OSE-2</t>
  </si>
  <si>
    <t>22ZOO-1</t>
  </si>
  <si>
    <t>SH-E3</t>
  </si>
  <si>
    <t>65OSE-1</t>
  </si>
  <si>
    <t>SH-K3</t>
  </si>
  <si>
    <t>100-61XF4</t>
  </si>
  <si>
    <t>70OSE-1</t>
  </si>
  <si>
    <t>45OSE-2</t>
  </si>
  <si>
    <t>SH-P2</t>
  </si>
  <si>
    <t>SH-Q2</t>
  </si>
  <si>
    <t>SH-R2</t>
  </si>
  <si>
    <t>60OSE-1</t>
  </si>
  <si>
    <t>SH-2</t>
  </si>
  <si>
    <t>SH-4</t>
  </si>
  <si>
    <t>SH-7</t>
  </si>
  <si>
    <t>SH-9</t>
  </si>
  <si>
    <t>SH-11</t>
  </si>
  <si>
    <t>SH-13</t>
  </si>
  <si>
    <t>SH-14</t>
  </si>
  <si>
    <t>SH-15</t>
  </si>
  <si>
    <t>SH-16</t>
  </si>
  <si>
    <t>SH-17</t>
  </si>
  <si>
    <t>SH-18</t>
  </si>
  <si>
    <t>SH-19</t>
  </si>
  <si>
    <t>45OSE-1</t>
  </si>
  <si>
    <t>SH-21</t>
  </si>
  <si>
    <t>SH-22</t>
  </si>
  <si>
    <t>SH-24</t>
  </si>
  <si>
    <t>SH-26</t>
  </si>
  <si>
    <t>SH-27</t>
  </si>
  <si>
    <t>SH-28</t>
  </si>
  <si>
    <t>SH-50OSE-2</t>
  </si>
  <si>
    <t>SH-29</t>
  </si>
  <si>
    <t>SH-30</t>
  </si>
  <si>
    <t>SH-31</t>
  </si>
  <si>
    <t>SH-32</t>
  </si>
  <si>
    <t>SH-33</t>
  </si>
  <si>
    <t>SH-34</t>
  </si>
  <si>
    <t>SH-35</t>
  </si>
  <si>
    <t>SH-36</t>
  </si>
  <si>
    <t>SH-37</t>
  </si>
  <si>
    <t>SH-38</t>
  </si>
  <si>
    <t>60-61HM6</t>
  </si>
  <si>
    <t>M375C</t>
  </si>
  <si>
    <t>SH-39</t>
  </si>
  <si>
    <t>SH-40</t>
  </si>
  <si>
    <t>Autoclave</t>
  </si>
  <si>
    <t>Status2</t>
  </si>
  <si>
    <t>SSC-1</t>
  </si>
  <si>
    <t xml:space="preserve">https://drive.google.com/open?id=17DU5pIcmhjILjDzQtVQuLTbzpRt1a026&amp;authuser=jrd419%40lehigh.edu&amp;usp=drive_fs </t>
  </si>
  <si>
    <t>SSC-2</t>
  </si>
  <si>
    <t>SSC-3</t>
  </si>
  <si>
    <t>SSC-4</t>
  </si>
  <si>
    <t>unknown</t>
  </si>
  <si>
    <t>SSC-5</t>
  </si>
  <si>
    <t xml:space="preserve">https://drive.google.com/open?id=1ID3pxE-pvpZM1jNdYJiV1rgmnHvo_Aq4&amp;authuser=jrd419%40lehigh.edu&amp;usp=drive_fs </t>
  </si>
  <si>
    <t>SSC-6</t>
  </si>
  <si>
    <t>SSC-7</t>
  </si>
  <si>
    <t>Bad (poor machining/sticky)</t>
  </si>
  <si>
    <t>SSC-8</t>
  </si>
  <si>
    <t>Old</t>
  </si>
  <si>
    <t>SSC-9</t>
  </si>
  <si>
    <t>SSC-10</t>
  </si>
  <si>
    <t>TM-3"</t>
  </si>
  <si>
    <t>Goes into Grand Nut</t>
  </si>
  <si>
    <t>SSC-11</t>
  </si>
  <si>
    <t>Braces bottom seals</t>
  </si>
  <si>
    <t>SSC-12</t>
  </si>
  <si>
    <t>Braces top-side seals</t>
  </si>
  <si>
    <t>SSC-13</t>
  </si>
  <si>
    <t>TM-3.5"</t>
  </si>
  <si>
    <t>TE-1</t>
  </si>
  <si>
    <t>100-23XF4</t>
  </si>
  <si>
    <t>TE-2</t>
  </si>
  <si>
    <t>TE-3</t>
  </si>
  <si>
    <t>60-23HF6</t>
  </si>
  <si>
    <t>TU-2</t>
  </si>
  <si>
    <t>TU-3</t>
  </si>
  <si>
    <t>TU-4</t>
  </si>
  <si>
    <t>TU-5</t>
  </si>
  <si>
    <t>TU-6</t>
  </si>
  <si>
    <t>TU-8</t>
  </si>
  <si>
    <t>TU-10</t>
  </si>
  <si>
    <t>TU-11</t>
  </si>
  <si>
    <t>TU-12</t>
  </si>
  <si>
    <t>TU-13</t>
  </si>
  <si>
    <t>TU-14</t>
  </si>
  <si>
    <t>TU-15</t>
  </si>
  <si>
    <t>TU-16</t>
  </si>
  <si>
    <t>TU-17</t>
  </si>
  <si>
    <t>TU-18</t>
  </si>
  <si>
    <t>TU-19</t>
  </si>
  <si>
    <t>TU-20</t>
  </si>
  <si>
    <t>TU-22</t>
  </si>
  <si>
    <t>TU-23</t>
  </si>
  <si>
    <t>TU-25</t>
  </si>
  <si>
    <t>TU-26</t>
  </si>
  <si>
    <t>TU-27</t>
  </si>
  <si>
    <t>TU-28</t>
  </si>
  <si>
    <t>TU-31</t>
  </si>
  <si>
    <t>TU-35</t>
  </si>
  <si>
    <t>TU-41</t>
  </si>
  <si>
    <t>TU-44</t>
  </si>
  <si>
    <t>TU-49</t>
  </si>
  <si>
    <t>TU-56</t>
  </si>
  <si>
    <t>100-XM4-2.75</t>
  </si>
  <si>
    <t>TU-57</t>
  </si>
  <si>
    <t>TU-59</t>
  </si>
  <si>
    <t>TU-60</t>
  </si>
  <si>
    <t>TU-61</t>
  </si>
  <si>
    <t>TU-62</t>
  </si>
  <si>
    <t>TU-63</t>
  </si>
  <si>
    <t>TU-64</t>
  </si>
  <si>
    <t>TU-65</t>
  </si>
  <si>
    <t>TU-66</t>
  </si>
  <si>
    <t>TU-67</t>
  </si>
  <si>
    <t>TU-68</t>
  </si>
  <si>
    <t>TU-69</t>
  </si>
  <si>
    <t>TU-70</t>
  </si>
  <si>
    <t>TU-71</t>
  </si>
  <si>
    <t>Washer Material</t>
  </si>
  <si>
    <t>Outer Diameter (in)</t>
  </si>
  <si>
    <t>Inner Diameter (in)</t>
  </si>
  <si>
    <t>Thickness (in)</t>
  </si>
  <si>
    <t>TW-1</t>
  </si>
  <si>
    <t xml:space="preserve">https://drive.google.com/open?id=1LTwIRucvFN5dBB_t5kTP_0muIeuqfUti&amp;authuser=jrd419%40lehigh.edu&amp;usp=drive_fs </t>
  </si>
  <si>
    <t>TW-2</t>
  </si>
  <si>
    <t>TW-3</t>
  </si>
  <si>
    <t xml:space="preserve">https://drive.google.com/open?id=1AAxVCNyB4wJNp9OTGGTD-c77a7-W_UP4&amp;authuser=jrd419%40lehigh.edu&amp;usp=drive_fs </t>
  </si>
  <si>
    <t>TW-4</t>
  </si>
  <si>
    <t>Top End 50 mm ID</t>
  </si>
  <si>
    <t>TW-5</t>
  </si>
  <si>
    <t>Top End All sizes</t>
  </si>
  <si>
    <t>TW-6</t>
  </si>
  <si>
    <t>Stainless Steel</t>
  </si>
  <si>
    <t>Use for CTE closure</t>
  </si>
  <si>
    <t>TW-7</t>
  </si>
  <si>
    <t>For SS protection in CTE closure</t>
  </si>
  <si>
    <t>TW-8</t>
  </si>
  <si>
    <t>Bottom End All sizes</t>
  </si>
  <si>
    <t>TW-9</t>
  </si>
  <si>
    <t>Bottom End 50 mm ID</t>
  </si>
  <si>
    <t>TW-10</t>
  </si>
  <si>
    <t>Top Seal Cover: 13-25</t>
  </si>
  <si>
    <t>TW-11</t>
  </si>
  <si>
    <t>Bottom Seal Cover</t>
  </si>
  <si>
    <t>TW-12</t>
  </si>
  <si>
    <t>Top Seal Cover: 50</t>
  </si>
  <si>
    <t>TW-13</t>
  </si>
  <si>
    <t>TW-14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</si>
</sst>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dd/yyyy"/>
    <numFmt numFmtId="165" formatCode="mm/dd/yy;@"/>
    <numFmt numFmtId="166" formatCode="###0.00_);\-###0.00"/>
    <numFmt numFmtId="167" formatCode="0.000"/>
    <numFmt numFmtId="168" formatCode="0.0"/>
    <numFmt numFmtId="169" formatCode="0.0000"/>
  </numFmts>
  <fonts count="14">
    <font>
      <sz val="12"/>
      <color theme="1"/>
      <name val="Calibri"/>
      <family val="2"/>
      <scheme val="minor"/>
    </font>
    <font>
      <sz val="12"/>
      <color theme="1"/>
      <name val="Calibri"/>
      <family val="2"/>
      <scheme val="minor"/>
    </font>
    <font>
      <sz val="12"/>
      <color rgb="FF3F3F76"/>
      <name val="Calibri"/>
      <family val="2"/>
      <scheme val="minor"/>
    </font>
    <font>
      <b/>
      <sz val="10"/>
      <color theme="1"/>
      <name val="Calibri"/>
      <family val="2"/>
      <scheme val="minor"/>
    </font>
    <font>
      <u/>
      <sz val="12"/>
      <color theme="10"/>
      <name val="Calibri"/>
      <family val="2"/>
      <scheme val="minor"/>
    </font>
    <font>
      <sz val="8"/>
      <name val="Calibri"/>
      <family val="2"/>
      <scheme val="minor"/>
    </font>
    <font>
      <b/>
      <sz val="10"/>
      <color theme="0"/>
      <name val="Calibri"/>
      <family val="2"/>
      <scheme val="minor"/>
    </font>
    <font>
      <u/>
      <sz val="12"/>
      <color theme="1"/>
      <name val="Calibri"/>
      <family val="2"/>
      <scheme val="minor"/>
    </font>
    <font>
      <sz val="12"/>
      <name val="Calibri"/>
      <family val="2"/>
      <scheme val="minor"/>
    </font>
    <font>
      <sz val="12"/>
      <color theme="0"/>
      <name val="Calibri"/>
      <family val="2"/>
      <scheme val="minor"/>
    </font>
    <font>
      <sz val="12"/>
      <color rgb="FF000000"/>
      <name val="Calibri"/>
      <family val="2"/>
      <scheme val="minor"/>
    </font>
    <font>
      <b/>
      <sz val="12"/>
      <color rgb="FFFFFFFF"/>
      <name val="Calibri"/>
      <family val="2"/>
      <scheme val="minor"/>
    </font>
    <font>
      <b/>
      <sz val="11"/>
      <color theme="0"/>
      <name val="Calibri"/>
      <family val="2"/>
      <scheme val="minor"/>
    </font>
    <font>
      <sz val="11"/>
      <color rgb="FF000000"/>
      <name val="Aptos Narrow"/>
      <family val="2"/>
    </font>
  </fonts>
  <fills count="10">
    <fill>
      <patternFill patternType="none"/>
    </fill>
    <fill>
      <patternFill patternType="gray125"/>
    </fill>
    <fill>
      <patternFill patternType="solid">
        <fgColor rgb="FFFFCC99"/>
      </patternFill>
    </fill>
    <fill>
      <patternFill patternType="solid">
        <fgColor rgb="FFFFFFCC"/>
      </patternFill>
    </fill>
    <fill>
      <patternFill patternType="solid">
        <fgColor rgb="FFFFFF00"/>
        <bgColor indexed="64"/>
      </patternFill>
    </fill>
    <fill>
      <patternFill patternType="solid">
        <fgColor theme="4"/>
        <bgColor theme="4"/>
      </patternFill>
    </fill>
    <fill>
      <patternFill patternType="solid">
        <fgColor theme="5"/>
        <bgColor indexed="64"/>
      </patternFill>
    </fill>
    <fill>
      <patternFill patternType="solid">
        <fgColor rgb="FF4472C4"/>
        <bgColor rgb="FF4472C4"/>
      </patternFill>
    </fill>
    <fill>
      <patternFill patternType="solid">
        <fgColor theme="1"/>
        <bgColor indexed="64"/>
      </patternFill>
    </fill>
    <fill>
      <patternFill patternType="solid">
        <fgColor theme="5"/>
        <bgColor theme="4"/>
      </patternFill>
    </fill>
  </fills>
  <borders count="26">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bottom style="thin">
        <color rgb="FFB2B2B2"/>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right/>
      <top style="thin">
        <color rgb="FF8EA9DB"/>
      </top>
      <bottom style="thin">
        <color rgb="FF8EA9DB"/>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thin">
        <color rgb="FF8EA9DB"/>
      </left>
      <right/>
      <top style="thin">
        <color rgb="FF8EA9DB"/>
      </top>
      <bottom style="thin">
        <color rgb="FF8EA9DB"/>
      </bottom>
      <diagonal/>
    </border>
    <border>
      <left/>
      <right style="thin">
        <color rgb="FF8EA9DB"/>
      </right>
      <top style="thin">
        <color rgb="FF8EA9DB"/>
      </top>
      <bottom style="thin">
        <color rgb="FF8EA9DB"/>
      </bottom>
      <diagonal/>
    </border>
    <border>
      <left style="thin">
        <color rgb="FF8EA9DB"/>
      </left>
      <right/>
      <top/>
      <bottom style="thin">
        <color rgb="FF8EA9DB"/>
      </bottom>
      <diagonal/>
    </border>
    <border>
      <left/>
      <right/>
      <top/>
      <bottom style="thin">
        <color rgb="FF8EA9DB"/>
      </bottom>
      <diagonal/>
    </border>
    <border>
      <left/>
      <right style="thin">
        <color rgb="FF8EA9DB"/>
      </right>
      <top/>
      <bottom style="thin">
        <color rgb="FF8EA9DB"/>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bottom/>
      <diagonal/>
    </border>
  </borders>
  <cellStyleXfs count="7">
    <xf numFmtId="0" fontId="0" fillId="0" borderId="0"/>
    <xf numFmtId="0" fontId="2" fillId="2" borderId="1" applyNumberFormat="0" applyAlignment="0" applyProtection="0"/>
    <xf numFmtId="0" fontId="1" fillId="3" borderId="2" applyNumberFormat="0" applyFont="0" applyAlignment="0" applyProtection="0"/>
    <xf numFmtId="0" fontId="1" fillId="0" borderId="0"/>
    <xf numFmtId="0" fontId="1" fillId="3" borderId="2" applyNumberFormat="0" applyFont="0" applyAlignment="0" applyProtection="0"/>
    <xf numFmtId="0" fontId="1" fillId="0" borderId="0"/>
    <xf numFmtId="0" fontId="4" fillId="0" borderId="0" applyNumberFormat="0" applyFill="0" applyBorder="0" applyAlignment="0" applyProtection="0"/>
  </cellStyleXfs>
  <cellXfs count="194">
    <xf numFmtId="0" fontId="0" fillId="0" borderId="0" xfId="0"/>
    <xf numFmtId="0" fontId="1" fillId="0" borderId="0" xfId="3"/>
    <xf numFmtId="164" fontId="1" fillId="0" borderId="0" xfId="3" applyNumberFormat="1" applyAlignment="1">
      <alignment horizontal="center" vertical="top"/>
    </xf>
    <xf numFmtId="49" fontId="1" fillId="0" borderId="0" xfId="3" applyNumberFormat="1" applyAlignment="1">
      <alignment horizontal="center" vertical="top"/>
    </xf>
    <xf numFmtId="1" fontId="1" fillId="0" borderId="0" xfId="3" applyNumberFormat="1" applyAlignment="1">
      <alignment horizontal="center" vertical="top"/>
    </xf>
    <xf numFmtId="0" fontId="1" fillId="0" borderId="0" xfId="3" applyAlignment="1">
      <alignment horizontal="center" vertical="top"/>
    </xf>
    <xf numFmtId="0" fontId="1" fillId="0" borderId="0" xfId="3" applyAlignment="1">
      <alignment horizontal="center"/>
    </xf>
    <xf numFmtId="0" fontId="1" fillId="0" borderId="0" xfId="5"/>
    <xf numFmtId="0" fontId="1" fillId="0" borderId="0" xfId="5" applyAlignment="1">
      <alignment horizontal="center" vertical="center"/>
    </xf>
    <xf numFmtId="49" fontId="0" fillId="0" borderId="0" xfId="0" applyNumberFormat="1" applyAlignment="1">
      <alignment horizontal="center" vertical="top"/>
    </xf>
    <xf numFmtId="0" fontId="0" fillId="0" borderId="0" xfId="0" applyAlignment="1">
      <alignment horizontal="center" vertical="top"/>
    </xf>
    <xf numFmtId="0" fontId="0" fillId="0" borderId="0" xfId="0" applyAlignment="1">
      <alignment horizontal="center"/>
    </xf>
    <xf numFmtId="164" fontId="0" fillId="0" borderId="0" xfId="0" applyNumberFormat="1" applyAlignment="1">
      <alignment horizontal="center" vertical="top"/>
    </xf>
    <xf numFmtId="49" fontId="0" fillId="0" borderId="0" xfId="0" applyNumberFormat="1" applyAlignment="1">
      <alignment vertical="top"/>
    </xf>
    <xf numFmtId="14" fontId="0" fillId="0" borderId="0" xfId="0" applyNumberFormat="1" applyAlignment="1">
      <alignment horizontal="center"/>
    </xf>
    <xf numFmtId="2" fontId="0" fillId="0" borderId="0" xfId="0" applyNumberFormat="1" applyAlignment="1">
      <alignment horizontal="center" vertical="top"/>
    </xf>
    <xf numFmtId="1" fontId="0" fillId="0" borderId="0" xfId="0" applyNumberFormat="1" applyAlignment="1">
      <alignment horizontal="center" vertical="top"/>
    </xf>
    <xf numFmtId="1" fontId="0" fillId="0" borderId="0" xfId="0" applyNumberFormat="1" applyAlignment="1">
      <alignment horizontal="center"/>
    </xf>
    <xf numFmtId="0" fontId="0" fillId="0" borderId="0" xfId="0" applyAlignment="1">
      <alignment horizontal="center" vertical="center"/>
    </xf>
    <xf numFmtId="167" fontId="0" fillId="0" borderId="0" xfId="0" applyNumberFormat="1" applyAlignment="1">
      <alignment horizontal="center" vertical="center"/>
    </xf>
    <xf numFmtId="0" fontId="4" fillId="0" borderId="0" xfId="6" applyAlignment="1">
      <alignment horizontal="center" vertical="center"/>
    </xf>
    <xf numFmtId="2" fontId="0" fillId="0" borderId="0" xfId="0" applyNumberFormat="1"/>
    <xf numFmtId="2" fontId="0" fillId="0" borderId="0" xfId="0" applyNumberFormat="1" applyAlignment="1">
      <alignment horizontal="center" vertical="center"/>
    </xf>
    <xf numFmtId="167" fontId="0" fillId="0" borderId="0" xfId="0" applyNumberFormat="1"/>
    <xf numFmtId="0" fontId="4" fillId="0" borderId="0" xfId="6" applyFill="1" applyAlignment="1">
      <alignment horizontal="center" vertical="center"/>
    </xf>
    <xf numFmtId="0" fontId="3" fillId="0" borderId="3" xfId="2" applyNumberFormat="1" applyFont="1" applyFill="1" applyBorder="1" applyAlignment="1">
      <alignment horizontal="center" vertical="top"/>
    </xf>
    <xf numFmtId="1" fontId="3" fillId="0" borderId="3" xfId="2" applyNumberFormat="1" applyFont="1" applyFill="1" applyBorder="1" applyAlignment="1">
      <alignment horizontal="center" vertical="top"/>
    </xf>
    <xf numFmtId="168" fontId="0" fillId="0" borderId="0" xfId="0" applyNumberFormat="1" applyAlignment="1">
      <alignment horizontal="center" vertical="center"/>
    </xf>
    <xf numFmtId="1" fontId="0" fillId="0" borderId="0" xfId="0" applyNumberFormat="1" applyAlignment="1">
      <alignment horizontal="center" vertical="center"/>
    </xf>
    <xf numFmtId="1" fontId="0" fillId="0" borderId="0" xfId="0" applyNumberFormat="1"/>
    <xf numFmtId="49" fontId="0" fillId="4" borderId="0" xfId="0" applyNumberFormat="1" applyFill="1" applyAlignment="1">
      <alignment horizontal="center" vertical="top"/>
    </xf>
    <xf numFmtId="49" fontId="0" fillId="0" borderId="0" xfId="3" applyNumberFormat="1" applyFont="1" applyAlignment="1">
      <alignment horizontal="center" vertical="top"/>
    </xf>
    <xf numFmtId="0" fontId="0" fillId="0" borderId="0" xfId="3" applyFont="1" applyAlignment="1">
      <alignment horizontal="center" vertical="top"/>
    </xf>
    <xf numFmtId="0" fontId="6" fillId="5" borderId="3" xfId="2" applyNumberFormat="1" applyFont="1" applyFill="1" applyBorder="1" applyAlignment="1">
      <alignment horizontal="center" vertical="top"/>
    </xf>
    <xf numFmtId="1" fontId="6" fillId="5" borderId="3" xfId="2" applyNumberFormat="1" applyFont="1" applyFill="1" applyBorder="1" applyAlignment="1">
      <alignment horizontal="center" vertical="top"/>
    </xf>
    <xf numFmtId="0" fontId="0" fillId="0" borderId="0" xfId="0" applyAlignment="1">
      <alignment horizontal="center" vertical="center" wrapText="1"/>
    </xf>
    <xf numFmtId="49" fontId="0" fillId="0" borderId="0" xfId="0" applyNumberFormat="1" applyAlignment="1">
      <alignment horizontal="center" vertical="center"/>
    </xf>
    <xf numFmtId="49" fontId="0" fillId="0" borderId="4" xfId="3" applyNumberFormat="1" applyFont="1" applyBorder="1" applyAlignment="1">
      <alignment horizontal="center" vertical="top"/>
    </xf>
    <xf numFmtId="0" fontId="0" fillId="0" borderId="4" xfId="3" applyFont="1" applyBorder="1" applyAlignment="1">
      <alignment horizontal="center" vertical="top"/>
    </xf>
    <xf numFmtId="0" fontId="6" fillId="5" borderId="6" xfId="4" applyNumberFormat="1" applyFont="1" applyFill="1" applyBorder="1" applyAlignment="1">
      <alignment horizontal="center" vertical="top" wrapText="1"/>
    </xf>
    <xf numFmtId="0" fontId="6" fillId="5" borderId="6" xfId="3" applyFont="1" applyFill="1" applyBorder="1" applyAlignment="1">
      <alignment horizontal="center" vertical="top" wrapText="1"/>
    </xf>
    <xf numFmtId="49" fontId="0" fillId="0" borderId="7" xfId="3" applyNumberFormat="1" applyFont="1" applyBorder="1" applyAlignment="1">
      <alignment horizontal="center" vertical="top"/>
    </xf>
    <xf numFmtId="0" fontId="0" fillId="0" borderId="7" xfId="3" applyFont="1" applyBorder="1" applyAlignment="1">
      <alignment horizontal="center" vertical="top"/>
    </xf>
    <xf numFmtId="0" fontId="0" fillId="0" borderId="7" xfId="0" applyBorder="1" applyAlignment="1">
      <alignment horizontal="center"/>
    </xf>
    <xf numFmtId="49" fontId="0" fillId="0" borderId="0" xfId="3" applyNumberFormat="1" applyFont="1" applyAlignment="1">
      <alignment horizontal="center"/>
    </xf>
    <xf numFmtId="167" fontId="0" fillId="0" borderId="4" xfId="3" applyNumberFormat="1" applyFont="1" applyBorder="1" applyAlignment="1">
      <alignment horizontal="center" vertical="top"/>
    </xf>
    <xf numFmtId="167" fontId="0" fillId="0" borderId="7" xfId="3" applyNumberFormat="1" applyFont="1" applyBorder="1" applyAlignment="1">
      <alignment horizontal="center" vertical="top"/>
    </xf>
    <xf numFmtId="0" fontId="0" fillId="0" borderId="0" xfId="3" applyFont="1" applyAlignment="1">
      <alignment horizontal="center"/>
    </xf>
    <xf numFmtId="1" fontId="0" fillId="0" borderId="0" xfId="3" applyNumberFormat="1" applyFont="1" applyAlignment="1">
      <alignment horizontal="center" vertical="top"/>
    </xf>
    <xf numFmtId="164" fontId="0" fillId="0" borderId="0" xfId="3" applyNumberFormat="1" applyFont="1" applyAlignment="1">
      <alignment horizontal="center" vertical="top"/>
    </xf>
    <xf numFmtId="0" fontId="0" fillId="0" borderId="0" xfId="0" applyAlignment="1">
      <alignment wrapText="1"/>
    </xf>
    <xf numFmtId="0" fontId="0" fillId="0" borderId="0" xfId="0" applyAlignment="1">
      <alignment vertical="center"/>
    </xf>
    <xf numFmtId="49" fontId="0" fillId="0" borderId="0" xfId="0" applyNumberFormat="1"/>
    <xf numFmtId="169" fontId="0" fillId="0" borderId="0" xfId="0" applyNumberFormat="1" applyAlignment="1">
      <alignment horizontal="center" vertical="center"/>
    </xf>
    <xf numFmtId="0" fontId="8" fillId="0" borderId="0" xfId="0" applyFont="1" applyAlignment="1">
      <alignment horizontal="center" vertical="center"/>
    </xf>
    <xf numFmtId="1" fontId="8" fillId="0" borderId="0" xfId="0" applyNumberFormat="1" applyFont="1" applyAlignment="1">
      <alignment horizontal="center" vertical="center"/>
    </xf>
    <xf numFmtId="167" fontId="0" fillId="0" borderId="0" xfId="0" applyNumberFormat="1" applyAlignment="1">
      <alignment horizontal="center"/>
    </xf>
    <xf numFmtId="0" fontId="1" fillId="0" borderId="0" xfId="5" applyAlignment="1">
      <alignment horizontal="center" vertical="center" wrapText="1"/>
    </xf>
    <xf numFmtId="164" fontId="0" fillId="0" borderId="0" xfId="0" applyNumberFormat="1" applyAlignment="1">
      <alignment horizontal="center" vertical="center"/>
    </xf>
    <xf numFmtId="14" fontId="0" fillId="0" borderId="0" xfId="0" applyNumberFormat="1" applyAlignment="1">
      <alignment horizontal="center" vertical="center"/>
    </xf>
    <xf numFmtId="0" fontId="6" fillId="0" borderId="6" xfId="3" applyFont="1" applyBorder="1" applyAlignment="1">
      <alignment horizontal="center" vertical="top" wrapText="1"/>
    </xf>
    <xf numFmtId="0" fontId="6" fillId="0" borderId="0" xfId="4" applyNumberFormat="1" applyFont="1" applyFill="1" applyBorder="1" applyAlignment="1">
      <alignment horizontal="center" vertical="top"/>
    </xf>
    <xf numFmtId="0" fontId="6" fillId="0" borderId="0" xfId="3" applyFont="1" applyAlignment="1">
      <alignment horizontal="center" vertical="top"/>
    </xf>
    <xf numFmtId="0" fontId="3" fillId="0" borderId="2" xfId="4" applyNumberFormat="1" applyFont="1" applyFill="1" applyAlignment="1">
      <alignment horizontal="center" vertical="top"/>
    </xf>
    <xf numFmtId="0" fontId="3" fillId="0" borderId="0" xfId="3" applyFont="1" applyAlignment="1">
      <alignment horizontal="center" vertical="top"/>
    </xf>
    <xf numFmtId="0" fontId="4" fillId="0" borderId="0" xfId="6" applyNumberFormat="1" applyFill="1" applyAlignment="1">
      <alignment horizontal="center"/>
    </xf>
    <xf numFmtId="1" fontId="4" fillId="0" borderId="0" xfId="6" applyNumberFormat="1" applyAlignment="1">
      <alignment horizontal="center" vertical="top"/>
    </xf>
    <xf numFmtId="164" fontId="4" fillId="0" borderId="0" xfId="6" applyNumberFormat="1" applyAlignment="1">
      <alignment horizontal="center" vertical="top"/>
    </xf>
    <xf numFmtId="0" fontId="3" fillId="0" borderId="3" xfId="2" applyNumberFormat="1" applyFont="1" applyFill="1" applyBorder="1" applyAlignment="1">
      <alignment horizontal="center" vertical="center"/>
    </xf>
    <xf numFmtId="0" fontId="6" fillId="0" borderId="6" xfId="3" applyFont="1" applyBorder="1" applyAlignment="1">
      <alignment horizontal="center" vertical="center" wrapText="1"/>
    </xf>
    <xf numFmtId="0" fontId="6" fillId="5" borderId="3" xfId="2" applyNumberFormat="1" applyFont="1" applyFill="1" applyBorder="1" applyAlignment="1">
      <alignment horizontal="center" vertical="center"/>
    </xf>
    <xf numFmtId="0" fontId="1" fillId="0" borderId="0" xfId="3" applyAlignment="1">
      <alignment horizontal="center" vertical="center"/>
    </xf>
    <xf numFmtId="164" fontId="4" fillId="0" borderId="0" xfId="6" applyNumberFormat="1" applyAlignment="1">
      <alignment horizontal="center" vertical="center"/>
    </xf>
    <xf numFmtId="0" fontId="0" fillId="0" borderId="7" xfId="0" applyBorder="1" applyAlignment="1">
      <alignment horizontal="center" vertical="center"/>
    </xf>
    <xf numFmtId="49" fontId="0" fillId="0" borderId="7" xfId="3" applyNumberFormat="1" applyFont="1" applyBorder="1" applyAlignment="1">
      <alignment horizontal="center" vertical="center"/>
    </xf>
    <xf numFmtId="49" fontId="1" fillId="0" borderId="0" xfId="3" applyNumberFormat="1" applyAlignment="1">
      <alignment horizontal="center" vertical="center"/>
    </xf>
    <xf numFmtId="0" fontId="0" fillId="0" borderId="7" xfId="3" applyFont="1" applyBorder="1" applyAlignment="1">
      <alignment horizontal="center" vertical="center"/>
    </xf>
    <xf numFmtId="0" fontId="0" fillId="0" borderId="0" xfId="3" applyFont="1" applyAlignment="1">
      <alignment horizontal="center" vertical="center"/>
    </xf>
    <xf numFmtId="49" fontId="0" fillId="0" borderId="0" xfId="3" applyNumberFormat="1" applyFont="1" applyAlignment="1">
      <alignment horizontal="center" vertical="center"/>
    </xf>
    <xf numFmtId="49" fontId="4" fillId="0" borderId="0" xfId="6" applyNumberFormat="1" applyFill="1" applyAlignment="1">
      <alignment horizontal="center" vertical="top"/>
    </xf>
    <xf numFmtId="0" fontId="4" fillId="0" borderId="0" xfId="6" applyFill="1" applyAlignment="1">
      <alignment horizontal="center" vertical="top"/>
    </xf>
    <xf numFmtId="0" fontId="4" fillId="0" borderId="0" xfId="6" applyFill="1" applyAlignment="1">
      <alignment horizontal="center"/>
    </xf>
    <xf numFmtId="0" fontId="8" fillId="0" borderId="0" xfId="0" applyFont="1"/>
    <xf numFmtId="49" fontId="8" fillId="0" borderId="0" xfId="0" applyNumberFormat="1" applyFont="1" applyAlignment="1">
      <alignment horizontal="center" vertical="top"/>
    </xf>
    <xf numFmtId="0" fontId="8" fillId="0" borderId="0" xfId="0" applyFont="1" applyAlignment="1">
      <alignment horizontal="center" vertical="top"/>
    </xf>
    <xf numFmtId="166" fontId="8" fillId="0" borderId="0" xfId="0" applyNumberFormat="1" applyFont="1" applyAlignment="1">
      <alignment horizontal="center" vertical="top"/>
    </xf>
    <xf numFmtId="166" fontId="8" fillId="0" borderId="0" xfId="1" applyNumberFormat="1" applyFont="1" applyFill="1" applyBorder="1" applyAlignment="1">
      <alignment horizontal="center" vertical="top"/>
    </xf>
    <xf numFmtId="165" fontId="8" fillId="0" borderId="0" xfId="0" applyNumberFormat="1" applyFont="1" applyAlignment="1">
      <alignment horizontal="center" vertical="top"/>
    </xf>
    <xf numFmtId="0" fontId="8" fillId="0" borderId="0" xfId="0" applyFont="1" applyAlignment="1">
      <alignment vertical="top"/>
    </xf>
    <xf numFmtId="0" fontId="8" fillId="0" borderId="0" xfId="0" applyFont="1" applyAlignment="1">
      <alignment horizontal="center"/>
    </xf>
    <xf numFmtId="165" fontId="8" fillId="0" borderId="0" xfId="0" applyNumberFormat="1" applyFont="1" applyAlignment="1">
      <alignment horizontal="center"/>
    </xf>
    <xf numFmtId="0" fontId="6" fillId="0" borderId="0" xfId="2" applyNumberFormat="1" applyFont="1" applyFill="1" applyBorder="1" applyAlignment="1">
      <alignment horizontal="center" vertical="top"/>
    </xf>
    <xf numFmtId="165" fontId="6" fillId="0" borderId="0" xfId="2" applyNumberFormat="1" applyFont="1" applyFill="1" applyBorder="1" applyAlignment="1">
      <alignment horizontal="center" vertical="top"/>
    </xf>
    <xf numFmtId="49" fontId="1" fillId="4" borderId="0" xfId="3" applyNumberFormat="1" applyFill="1" applyAlignment="1">
      <alignment horizontal="center" vertical="top"/>
    </xf>
    <xf numFmtId="164" fontId="0" fillId="4" borderId="0" xfId="0" applyNumberFormat="1" applyFill="1" applyAlignment="1">
      <alignment horizontal="center" vertical="top"/>
    </xf>
    <xf numFmtId="166" fontId="8" fillId="4" borderId="0" xfId="1" applyNumberFormat="1" applyFont="1" applyFill="1" applyBorder="1" applyAlignment="1">
      <alignment horizontal="center" vertical="top"/>
    </xf>
    <xf numFmtId="0" fontId="4" fillId="0" borderId="0" xfId="6" applyAlignment="1">
      <alignment horizontal="center" vertical="top"/>
    </xf>
    <xf numFmtId="0" fontId="4" fillId="0" borderId="0" xfId="6" applyFill="1"/>
    <xf numFmtId="49" fontId="4" fillId="0" borderId="0" xfId="6" applyNumberFormat="1" applyFill="1" applyBorder="1" applyAlignment="1">
      <alignment horizontal="center"/>
    </xf>
    <xf numFmtId="49" fontId="4" fillId="0" borderId="0" xfId="6" applyNumberFormat="1" applyAlignment="1">
      <alignment horizontal="center" vertical="top"/>
    </xf>
    <xf numFmtId="0" fontId="0" fillId="0" borderId="0" xfId="0" quotePrefix="1" applyAlignment="1">
      <alignment horizontal="center" vertical="top"/>
    </xf>
    <xf numFmtId="0" fontId="10" fillId="0" borderId="8" xfId="0" quotePrefix="1" applyFont="1" applyBorder="1" applyAlignment="1">
      <alignment horizontal="center" vertical="top"/>
    </xf>
    <xf numFmtId="0" fontId="1" fillId="4" borderId="0" xfId="3" applyFill="1" applyAlignment="1">
      <alignment horizontal="center" vertical="top"/>
    </xf>
    <xf numFmtId="1" fontId="1" fillId="4" borderId="0" xfId="3" applyNumberFormat="1" applyFill="1" applyAlignment="1">
      <alignment horizontal="center" vertical="top"/>
    </xf>
    <xf numFmtId="164" fontId="1" fillId="4" borderId="0" xfId="3" applyNumberFormat="1" applyFill="1" applyAlignment="1">
      <alignment horizontal="center" vertical="top"/>
    </xf>
    <xf numFmtId="49" fontId="0" fillId="4" borderId="0" xfId="3" applyNumberFormat="1" applyFont="1" applyFill="1" applyAlignment="1">
      <alignment horizontal="center" vertical="top"/>
    </xf>
    <xf numFmtId="0" fontId="0" fillId="4" borderId="0" xfId="3" applyFont="1" applyFill="1" applyAlignment="1">
      <alignment horizontal="center" vertical="top"/>
    </xf>
    <xf numFmtId="0" fontId="1" fillId="6" borderId="0" xfId="3" applyFill="1" applyAlignment="1">
      <alignment horizontal="center" vertical="top"/>
    </xf>
    <xf numFmtId="49" fontId="0" fillId="6" borderId="0" xfId="3" applyNumberFormat="1" applyFont="1" applyFill="1" applyAlignment="1">
      <alignment horizontal="center" vertical="top"/>
    </xf>
    <xf numFmtId="0" fontId="0" fillId="6" borderId="0" xfId="0" applyFill="1" applyAlignment="1">
      <alignment horizontal="center"/>
    </xf>
    <xf numFmtId="1" fontId="0" fillId="4" borderId="0" xfId="0" applyNumberFormat="1" applyFill="1" applyAlignment="1">
      <alignment horizontal="center" vertical="top"/>
    </xf>
    <xf numFmtId="167" fontId="1" fillId="0" borderId="0" xfId="5" applyNumberFormat="1" applyAlignment="1">
      <alignment horizontal="center" vertical="center"/>
    </xf>
    <xf numFmtId="49" fontId="1" fillId="0" borderId="0" xfId="3" applyNumberFormat="1"/>
    <xf numFmtId="0" fontId="11" fillId="7" borderId="12" xfId="0" applyFont="1" applyFill="1" applyBorder="1"/>
    <xf numFmtId="0" fontId="11" fillId="7" borderId="8" xfId="0" applyFont="1" applyFill="1" applyBorder="1"/>
    <xf numFmtId="0" fontId="11" fillId="7" borderId="8" xfId="0" applyFont="1" applyFill="1" applyBorder="1" applyAlignment="1">
      <alignment vertical="center"/>
    </xf>
    <xf numFmtId="0" fontId="11" fillId="7" borderId="13" xfId="0" applyFont="1" applyFill="1" applyBorder="1"/>
    <xf numFmtId="0" fontId="11" fillId="7" borderId="14" xfId="0" applyFont="1" applyFill="1" applyBorder="1"/>
    <xf numFmtId="0" fontId="11" fillId="7" borderId="15" xfId="0" applyFont="1" applyFill="1" applyBorder="1"/>
    <xf numFmtId="0" fontId="11" fillId="7" borderId="15" xfId="0" applyFont="1" applyFill="1" applyBorder="1" applyAlignment="1">
      <alignment vertical="center"/>
    </xf>
    <xf numFmtId="0" fontId="11" fillId="7" borderId="16" xfId="0" applyFont="1" applyFill="1" applyBorder="1"/>
    <xf numFmtId="0" fontId="9" fillId="8" borderId="0" xfId="0" applyFont="1" applyFill="1"/>
    <xf numFmtId="49" fontId="8" fillId="0" borderId="0" xfId="0" applyNumberFormat="1" applyFont="1"/>
    <xf numFmtId="0" fontId="12" fillId="0" borderId="10" xfId="0" applyFont="1" applyBorder="1"/>
    <xf numFmtId="0" fontId="12" fillId="0" borderId="6" xfId="0" applyFont="1" applyBorder="1"/>
    <xf numFmtId="0" fontId="12" fillId="0" borderId="11" xfId="0" applyFont="1" applyBorder="1"/>
    <xf numFmtId="0" fontId="0" fillId="0" borderId="4" xfId="0" applyBorder="1"/>
    <xf numFmtId="49" fontId="0" fillId="0" borderId="9" xfId="0" applyNumberFormat="1" applyBorder="1"/>
    <xf numFmtId="49" fontId="1" fillId="0" borderId="0" xfId="5" applyNumberFormat="1" applyAlignment="1">
      <alignment horizontal="center" vertical="center"/>
    </xf>
    <xf numFmtId="167" fontId="0" fillId="0" borderId="4" xfId="0" applyNumberFormat="1" applyBorder="1"/>
    <xf numFmtId="0" fontId="0" fillId="0" borderId="5" xfId="0" applyBorder="1"/>
    <xf numFmtId="49" fontId="0" fillId="0" borderId="7" xfId="3" applyNumberFormat="1" applyFont="1" applyBorder="1" applyAlignment="1">
      <alignment horizontal="center"/>
    </xf>
    <xf numFmtId="49" fontId="0" fillId="0" borderId="7" xfId="0" applyNumberFormat="1" applyBorder="1" applyAlignment="1">
      <alignment horizontal="center" vertical="center"/>
    </xf>
    <xf numFmtId="167" fontId="0" fillId="0" borderId="0" xfId="0" applyNumberFormat="1" applyAlignment="1">
      <alignment horizontal="center" vertical="top"/>
    </xf>
    <xf numFmtId="49" fontId="0" fillId="0" borderId="0" xfId="0" applyNumberFormat="1" applyAlignment="1">
      <alignment horizontal="center"/>
    </xf>
    <xf numFmtId="1" fontId="1" fillId="0" borderId="0" xfId="3" applyNumberFormat="1"/>
    <xf numFmtId="1" fontId="1" fillId="0" borderId="0" xfId="5" applyNumberFormat="1"/>
    <xf numFmtId="2" fontId="0" fillId="0" borderId="0" xfId="0" applyNumberFormat="1" applyAlignment="1">
      <alignment horizontal="center"/>
    </xf>
    <xf numFmtId="1" fontId="1" fillId="0" borderId="0" xfId="5" applyNumberFormat="1" applyAlignment="1">
      <alignment horizontal="center" vertical="center" wrapText="1"/>
    </xf>
    <xf numFmtId="1" fontId="1" fillId="0" borderId="0" xfId="5" applyNumberFormat="1" applyAlignment="1">
      <alignment horizontal="center" vertical="center"/>
    </xf>
    <xf numFmtId="49" fontId="1" fillId="0" borderId="0" xfId="5" applyNumberFormat="1" applyAlignment="1">
      <alignment horizontal="center" vertical="center" wrapText="1"/>
    </xf>
    <xf numFmtId="0" fontId="0" fillId="0" borderId="18" xfId="0" applyBorder="1"/>
    <xf numFmtId="0" fontId="0" fillId="0" borderId="19" xfId="0" applyBorder="1"/>
    <xf numFmtId="0" fontId="0" fillId="0" borderId="21" xfId="0" applyBorder="1"/>
    <xf numFmtId="0" fontId="0" fillId="0" borderId="23" xfId="0" applyBorder="1"/>
    <xf numFmtId="0" fontId="0" fillId="0" borderId="24" xfId="0" applyBorder="1"/>
    <xf numFmtId="0" fontId="0" fillId="0" borderId="17" xfId="0" applyBorder="1" applyAlignment="1">
      <alignment vertical="center"/>
    </xf>
    <xf numFmtId="0" fontId="0" fillId="0" borderId="20" xfId="0" applyBorder="1" applyAlignment="1">
      <alignment vertical="center"/>
    </xf>
    <xf numFmtId="0" fontId="0" fillId="0" borderId="22" xfId="0" applyBorder="1" applyAlignment="1">
      <alignment vertical="center"/>
    </xf>
    <xf numFmtId="49" fontId="0" fillId="0" borderId="23" xfId="0" applyNumberFormat="1" applyBorder="1"/>
    <xf numFmtId="0" fontId="0" fillId="4" borderId="0" xfId="0" applyFill="1" applyAlignment="1">
      <alignment horizontal="center"/>
    </xf>
    <xf numFmtId="49" fontId="1" fillId="0" borderId="0" xfId="3" applyNumberFormat="1" applyAlignment="1">
      <alignment horizontal="center"/>
    </xf>
    <xf numFmtId="0" fontId="0" fillId="0" borderId="0" xfId="0" quotePrefix="1" applyAlignment="1">
      <alignment horizontal="center" vertical="center"/>
    </xf>
    <xf numFmtId="16" fontId="0" fillId="0" borderId="0" xfId="0" quotePrefix="1" applyNumberFormat="1" applyAlignment="1">
      <alignment horizontal="center" vertical="center"/>
    </xf>
    <xf numFmtId="2" fontId="0" fillId="0" borderId="0" xfId="3" applyNumberFormat="1" applyFont="1" applyAlignment="1">
      <alignment horizontal="center" vertical="top"/>
    </xf>
    <xf numFmtId="49" fontId="0" fillId="0" borderId="0" xfId="3" quotePrefix="1" applyNumberFormat="1" applyFont="1" applyAlignment="1">
      <alignment horizontal="center" vertical="top"/>
    </xf>
    <xf numFmtId="49" fontId="4" fillId="0" borderId="0" xfId="6" applyNumberFormat="1" applyAlignment="1">
      <alignment horizontal="center"/>
    </xf>
    <xf numFmtId="14" fontId="0" fillId="0" borderId="0" xfId="0" quotePrefix="1" applyNumberFormat="1" applyAlignment="1">
      <alignment horizontal="center" vertical="center"/>
    </xf>
    <xf numFmtId="0" fontId="1" fillId="4" borderId="0" xfId="3" applyFill="1" applyAlignment="1">
      <alignment horizontal="center"/>
    </xf>
    <xf numFmtId="0" fontId="1" fillId="4" borderId="0" xfId="3" applyFill="1"/>
    <xf numFmtId="49" fontId="1" fillId="4" borderId="0" xfId="3" applyNumberFormat="1" applyFill="1"/>
    <xf numFmtId="0" fontId="0" fillId="4" borderId="0" xfId="0" applyFill="1"/>
    <xf numFmtId="167" fontId="0" fillId="4" borderId="7" xfId="3" applyNumberFormat="1" applyFont="1" applyFill="1" applyBorder="1" applyAlignment="1">
      <alignment horizontal="center" vertical="top"/>
    </xf>
    <xf numFmtId="49" fontId="0" fillId="4" borderId="0" xfId="0" applyNumberFormat="1" applyFill="1"/>
    <xf numFmtId="0" fontId="0" fillId="4" borderId="7" xfId="0" applyFill="1" applyBorder="1" applyAlignment="1">
      <alignment horizontal="center"/>
    </xf>
    <xf numFmtId="49" fontId="0" fillId="4" borderId="7" xfId="3" applyNumberFormat="1" applyFont="1" applyFill="1" applyBorder="1" applyAlignment="1">
      <alignment horizontal="center" vertical="top"/>
    </xf>
    <xf numFmtId="49" fontId="0" fillId="4" borderId="0" xfId="0" applyNumberFormat="1" applyFill="1" applyAlignment="1">
      <alignment horizontal="center" vertical="center"/>
    </xf>
    <xf numFmtId="0" fontId="0" fillId="4" borderId="7" xfId="0" applyFill="1" applyBorder="1" applyAlignment="1">
      <alignment horizontal="center" vertical="center"/>
    </xf>
    <xf numFmtId="167" fontId="0" fillId="4" borderId="0" xfId="0" applyNumberFormat="1" applyFill="1" applyAlignment="1">
      <alignment horizontal="center" vertical="top"/>
    </xf>
    <xf numFmtId="0" fontId="0" fillId="4" borderId="0" xfId="0" applyFill="1" applyAlignment="1">
      <alignment horizontal="center" vertical="top"/>
    </xf>
    <xf numFmtId="0" fontId="0" fillId="4" borderId="0" xfId="0" applyFill="1" applyAlignment="1">
      <alignment horizontal="center" vertical="center"/>
    </xf>
    <xf numFmtId="0" fontId="0" fillId="4" borderId="7" xfId="3" applyFont="1" applyFill="1" applyBorder="1" applyAlignment="1">
      <alignment horizontal="center" vertical="top"/>
    </xf>
    <xf numFmtId="49" fontId="0" fillId="4" borderId="0" xfId="3" applyNumberFormat="1" applyFont="1" applyFill="1" applyAlignment="1">
      <alignment horizontal="center"/>
    </xf>
    <xf numFmtId="167" fontId="0" fillId="4" borderId="7" xfId="0" applyNumberFormat="1" applyFill="1" applyBorder="1" applyAlignment="1">
      <alignment horizontal="center"/>
    </xf>
    <xf numFmtId="2" fontId="8" fillId="0" borderId="0" xfId="0" applyNumberFormat="1" applyFont="1" applyAlignment="1">
      <alignment horizontal="center"/>
    </xf>
    <xf numFmtId="0" fontId="6" fillId="0" borderId="0" xfId="3" applyFont="1" applyAlignment="1">
      <alignment horizontal="center" vertical="center" wrapText="1"/>
    </xf>
    <xf numFmtId="0" fontId="6" fillId="5" borderId="0" xfId="3" applyFont="1" applyFill="1" applyAlignment="1">
      <alignment horizontal="center" vertical="top" wrapText="1"/>
    </xf>
    <xf numFmtId="0" fontId="3" fillId="6" borderId="2" xfId="4" applyNumberFormat="1" applyFont="1" applyFill="1" applyAlignment="1">
      <alignment horizontal="center" vertical="top"/>
    </xf>
    <xf numFmtId="0" fontId="0" fillId="6" borderId="0" xfId="0" applyFill="1" applyAlignment="1">
      <alignment horizontal="center" vertical="center"/>
    </xf>
    <xf numFmtId="0" fontId="6" fillId="9" borderId="6" xfId="4" applyNumberFormat="1" applyFont="1" applyFill="1" applyBorder="1" applyAlignment="1">
      <alignment horizontal="center" vertical="top" wrapText="1"/>
    </xf>
    <xf numFmtId="0" fontId="6" fillId="6" borderId="0" xfId="2" applyNumberFormat="1" applyFont="1" applyFill="1" applyBorder="1" applyAlignment="1">
      <alignment horizontal="center" vertical="top"/>
    </xf>
    <xf numFmtId="0" fontId="3" fillId="6" borderId="3" xfId="2" applyNumberFormat="1" applyFont="1" applyFill="1" applyBorder="1" applyAlignment="1">
      <alignment horizontal="center" vertical="top"/>
    </xf>
    <xf numFmtId="0" fontId="6" fillId="6" borderId="0" xfId="4" applyNumberFormat="1" applyFont="1" applyFill="1" applyBorder="1" applyAlignment="1">
      <alignment horizontal="center" vertical="top"/>
    </xf>
    <xf numFmtId="0" fontId="3" fillId="6" borderId="3" xfId="2" applyNumberFormat="1" applyFont="1" applyFill="1" applyBorder="1" applyAlignment="1">
      <alignment horizontal="center" vertical="center"/>
    </xf>
    <xf numFmtId="0" fontId="6" fillId="9" borderId="3" xfId="2" applyNumberFormat="1" applyFont="1" applyFill="1" applyBorder="1" applyAlignment="1">
      <alignment horizontal="center" vertical="top"/>
    </xf>
    <xf numFmtId="1" fontId="1" fillId="0" borderId="0" xfId="3" quotePrefix="1" applyNumberFormat="1" applyAlignment="1">
      <alignment horizontal="center" vertical="top"/>
    </xf>
    <xf numFmtId="0" fontId="0" fillId="0" borderId="0" xfId="3" quotePrefix="1" applyFont="1" applyAlignment="1">
      <alignment horizontal="center" vertical="center"/>
    </xf>
    <xf numFmtId="0" fontId="0" fillId="0" borderId="0" xfId="0" applyAlignment="1">
      <alignment horizontal="center" vertical="top" wrapText="1"/>
    </xf>
    <xf numFmtId="0" fontId="0" fillId="0" borderId="0" xfId="0" quotePrefix="1" applyAlignment="1">
      <alignment horizontal="center" vertical="top" wrapText="1"/>
    </xf>
    <xf numFmtId="49" fontId="0" fillId="0" borderId="0" xfId="0" quotePrefix="1" applyNumberFormat="1" applyAlignment="1">
      <alignment horizontal="center" vertical="top" wrapText="1"/>
    </xf>
    <xf numFmtId="49" fontId="1" fillId="4" borderId="0" xfId="3" quotePrefix="1" applyNumberFormat="1" applyFill="1" applyAlignment="1">
      <alignment horizontal="center" vertical="top" wrapText="1"/>
    </xf>
    <xf numFmtId="0" fontId="13" fillId="0" borderId="20" xfId="0" applyFont="1" applyFill="1" applyBorder="1" applyAlignment="1">
      <alignment wrapText="1"/>
    </xf>
    <xf numFmtId="0" fontId="13" fillId="0" borderId="0" xfId="0" applyFont="1" applyFill="1" applyBorder="1" applyAlignment="1">
      <alignment wrapText="1"/>
    </xf>
    <xf numFmtId="0" fontId="13" fillId="0" borderId="25" xfId="0" applyFont="1" applyFill="1" applyBorder="1" applyAlignment="1">
      <alignment wrapText="1"/>
    </xf>
  </cellXfs>
  <cellStyles count="7">
    <cellStyle name="Hyperlink" xfId="6" builtinId="8"/>
    <cellStyle name="Input" xfId="1" builtinId="20"/>
    <cellStyle name="Normal" xfId="0" builtinId="0"/>
    <cellStyle name="Normal 4" xfId="5" xr:uid="{E23D16BA-E997-BB40-9726-1AA0F269CDC8}"/>
    <cellStyle name="Normal 5" xfId="3" xr:uid="{0E4903BC-8BA9-EC47-BF4A-FBC652E0610C}"/>
    <cellStyle name="Note" xfId="2" builtinId="10"/>
    <cellStyle name="Note 2" xfId="4" xr:uid="{33722B05-0CD8-B34D-AD08-B681D9DFA64D}"/>
  </cellStyles>
  <dxfs count="693">
    <dxf>
      <numFmt numFmtId="0" formatCode="General"/>
    </dxf>
    <dxf>
      <numFmt numFmtId="1" formatCode="0"/>
    </dxf>
    <dxf>
      <numFmt numFmtId="1" formatCode="0"/>
    </dxf>
    <dxf>
      <numFmt numFmtId="1" formatCode="0"/>
    </dxf>
    <dxf>
      <border outline="0">
        <bottom style="thin">
          <color rgb="FF8EA9DB"/>
        </bottom>
      </border>
    </dxf>
    <dxf>
      <font>
        <b/>
        <i val="0"/>
        <strike val="0"/>
        <condense val="0"/>
        <extend val="0"/>
        <outline val="0"/>
        <shadow val="0"/>
        <u val="none"/>
        <vertAlign val="baseline"/>
        <sz val="12"/>
        <color rgb="FFFFFFFF"/>
        <name val="Calibri"/>
        <family val="2"/>
        <scheme val="minor"/>
      </font>
      <fill>
        <patternFill patternType="solid">
          <fgColor rgb="FF4472C4"/>
          <bgColor rgb="FF4472C4"/>
        </patternFill>
      </fill>
    </dxf>
    <dxf>
      <numFmt numFmtId="0" formatCode="General"/>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ill>
        <patternFill patternType="solid">
          <fgColor indexed="64"/>
          <bgColor rgb="FFFFFF00"/>
        </patternFill>
      </fill>
      <alignment horizontal="center"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border outline="0">
        <bottom style="thin">
          <color rgb="FFB2B2B2"/>
        </bottom>
      </border>
    </dxf>
    <dxf>
      <border outline="0">
        <top style="thin">
          <color rgb="FFB2B2B2"/>
        </top>
      </border>
    </dxf>
    <dxf>
      <numFmt numFmtId="0" formatCode="General"/>
      <alignment horizontal="center" textRotation="0" wrapText="0" indent="0" justifyLastLine="0" shrinkToFit="0" readingOrder="0"/>
    </dxf>
    <dxf>
      <font>
        <b/>
        <i val="0"/>
        <strike val="0"/>
        <condense val="0"/>
        <extend val="0"/>
        <outline val="0"/>
        <shadow val="0"/>
        <u val="none"/>
        <vertAlign val="baseline"/>
        <sz val="10"/>
        <color theme="0"/>
        <name val="Calibri"/>
        <family val="2"/>
        <scheme val="minor"/>
      </font>
      <numFmt numFmtId="0" formatCode="General"/>
      <fill>
        <patternFill patternType="solid">
          <fgColor theme="4"/>
          <bgColor theme="4"/>
        </patternFill>
      </fill>
      <alignment horizontal="center" vertical="top" textRotation="0" wrapText="0" indent="0" justifyLastLine="0" shrinkToFit="0" readingOrder="0"/>
      <border diagonalUp="0" diagonalDown="0" outline="0">
        <left style="thin">
          <color rgb="FFB2B2B2"/>
        </left>
        <right style="thin">
          <color rgb="FFB2B2B2"/>
        </right>
        <top/>
        <bottom/>
      </border>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rgb="FF8EA9DB"/>
        </bottom>
      </border>
    </dxf>
    <dxf>
      <alignment horizontal="center" vertical="center" textRotation="0" wrapText="0" indent="0" justifyLastLine="0" shrinkToFit="0" readingOrder="0"/>
    </dxf>
    <dxf>
      <font>
        <b/>
        <i val="0"/>
        <strike val="0"/>
        <condense val="0"/>
        <extend val="0"/>
        <outline val="0"/>
        <shadow val="0"/>
        <u val="none"/>
        <vertAlign val="baseline"/>
        <sz val="12"/>
        <color rgb="FFFFFFFF"/>
        <name val="Calibri"/>
        <family val="2"/>
        <scheme val="minor"/>
      </font>
      <fill>
        <patternFill patternType="solid">
          <fgColor rgb="FF4472C4"/>
          <bgColor rgb="FF4472C4"/>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rgb="FF8EA9DB"/>
        </bottom>
      </border>
    </dxf>
    <dxf>
      <alignment horizontal="center" vertical="center" textRotation="0" wrapText="0" indent="0" justifyLastLine="0" shrinkToFit="0" readingOrder="0"/>
    </dxf>
    <dxf>
      <font>
        <b/>
        <i val="0"/>
        <strike val="0"/>
        <condense val="0"/>
        <extend val="0"/>
        <outline val="0"/>
        <shadow val="0"/>
        <u val="none"/>
        <vertAlign val="baseline"/>
        <sz val="12"/>
        <color rgb="FFFFFFFF"/>
        <name val="Calibri"/>
        <family val="2"/>
        <scheme val="minor"/>
      </font>
      <fill>
        <patternFill patternType="solid">
          <fgColor rgb="FF4472C4"/>
          <bgColor rgb="FF4472C4"/>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dxf>
    <dxf>
      <numFmt numFmtId="1" formatCode="0"/>
    </dxf>
    <dxf>
      <numFmt numFmtId="1" formatCode="0"/>
    </dxf>
    <dxf>
      <numFmt numFmtId="1" formatCode="0"/>
    </dxf>
    <dxf>
      <border outline="0">
        <bottom style="thin">
          <color rgb="FF8EA9DB"/>
        </bottom>
      </border>
    </dxf>
    <dxf>
      <font>
        <b/>
        <i val="0"/>
        <strike val="0"/>
        <condense val="0"/>
        <extend val="0"/>
        <outline val="0"/>
        <shadow val="0"/>
        <u val="none"/>
        <vertAlign val="baseline"/>
        <sz val="12"/>
        <color rgb="FFFFFFFF"/>
        <name val="Calibri"/>
        <family val="2"/>
        <scheme val="minor"/>
      </font>
      <fill>
        <patternFill patternType="solid">
          <fgColor rgb="FF4472C4"/>
          <bgColor rgb="FF4472C4"/>
        </patternFill>
      </fill>
    </dxf>
    <dxf>
      <numFmt numFmtId="0" formatCode="General"/>
      <fill>
        <patternFill patternType="none">
          <fgColor indexed="64"/>
          <bgColor auto="1"/>
        </patternFill>
      </fill>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ill>
        <patternFill patternType="solid">
          <fgColor indexed="64"/>
          <bgColor rgb="FFFFFF00"/>
        </patternFill>
      </fill>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border outline="0">
        <bottom style="thin">
          <color rgb="FFB2B2B2"/>
        </bottom>
      </border>
    </dxf>
    <dxf>
      <border outline="0">
        <top style="thin">
          <color rgb="FFB2B2B2"/>
        </top>
      </border>
    </dxf>
    <dxf>
      <numFmt numFmtId="0" formatCode="General"/>
      <alignment horizontal="center" textRotation="0" wrapText="0" indent="0" justifyLastLine="0" shrinkToFit="0" readingOrder="0"/>
    </dxf>
    <dxf>
      <font>
        <b/>
        <i val="0"/>
        <strike val="0"/>
        <condense val="0"/>
        <extend val="0"/>
        <outline val="0"/>
        <shadow val="0"/>
        <u val="none"/>
        <vertAlign val="baseline"/>
        <sz val="10"/>
        <color theme="0"/>
        <name val="Calibri"/>
        <family val="2"/>
        <scheme val="minor"/>
      </font>
      <numFmt numFmtId="0" formatCode="General"/>
      <fill>
        <patternFill patternType="solid">
          <fgColor theme="4"/>
          <bgColor theme="4"/>
        </patternFill>
      </fill>
      <alignment horizontal="center" vertical="top" textRotation="0" wrapText="0" indent="0" justifyLastLine="0" shrinkToFit="0" readingOrder="0"/>
      <border diagonalUp="0" diagonalDown="0" outline="0">
        <left style="thin">
          <color rgb="FFB2B2B2"/>
        </left>
        <right style="thin">
          <color rgb="FFB2B2B2"/>
        </right>
        <top/>
        <bottom/>
      </border>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rgb="FF8EA9DB"/>
        </bottom>
      </border>
    </dxf>
    <dxf>
      <alignment horizontal="center" vertical="center" textRotation="0" wrapText="0" indent="0" justifyLastLine="0" shrinkToFit="0" readingOrder="0"/>
    </dxf>
    <dxf>
      <font>
        <b/>
        <i val="0"/>
        <strike val="0"/>
        <condense val="0"/>
        <extend val="0"/>
        <outline val="0"/>
        <shadow val="0"/>
        <u val="none"/>
        <vertAlign val="baseline"/>
        <sz val="12"/>
        <color rgb="FFFFFFFF"/>
        <name val="Calibri"/>
        <family val="2"/>
        <scheme val="minor"/>
      </font>
      <fill>
        <patternFill patternType="solid">
          <fgColor rgb="FF4472C4"/>
          <bgColor rgb="FF4472C4"/>
        </patternFill>
      </fill>
    </dxf>
    <dxf>
      <alignment horizontal="center" vertical="center" textRotation="0" wrapText="0" indent="0" justifyLastLine="0" shrinkToFit="0" readingOrder="0"/>
    </dxf>
    <dxf>
      <numFmt numFmtId="167"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numFmt numFmtId="167" formatCode="0.000"/>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0.000"/>
      <fill>
        <patternFill patternType="none">
          <fgColor indexed="64"/>
          <bgColor auto="1"/>
        </patternFill>
      </fill>
      <alignment horizontal="center" vertical="center" textRotation="0" wrapText="0" indent="0" justifyLastLine="0" shrinkToFit="0" readingOrder="0"/>
    </dxf>
    <dxf>
      <numFmt numFmtId="167" formatCode="0.00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rgb="FF8EA9DB"/>
        </bottom>
      </border>
    </dxf>
    <dxf>
      <alignment horizontal="center" vertical="center" textRotation="0" wrapText="0" indent="0" justifyLastLine="0" shrinkToFit="0" readingOrder="0"/>
    </dxf>
    <dxf>
      <font>
        <b/>
        <i val="0"/>
        <strike val="0"/>
        <condense val="0"/>
        <extend val="0"/>
        <outline val="0"/>
        <shadow val="0"/>
        <u val="none"/>
        <vertAlign val="baseline"/>
        <sz val="12"/>
        <color rgb="FFFFFFFF"/>
        <name val="Calibri"/>
        <family val="2"/>
        <scheme val="minor"/>
      </font>
      <fill>
        <patternFill patternType="solid">
          <fgColor rgb="FF4472C4"/>
          <bgColor rgb="FF4472C4"/>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dxf>
    <dxf>
      <numFmt numFmtId="0" formatCode="General"/>
    </dxf>
    <dxf>
      <numFmt numFmtId="1" formatCode="0"/>
    </dxf>
    <dxf>
      <numFmt numFmtId="1" formatCode="0"/>
    </dxf>
    <dxf>
      <border outline="0">
        <bottom style="thin">
          <color rgb="FF8EA9DB"/>
        </bottom>
      </border>
    </dxf>
    <dxf>
      <font>
        <b/>
        <i val="0"/>
        <strike val="0"/>
        <condense val="0"/>
        <extend val="0"/>
        <outline val="0"/>
        <shadow val="0"/>
        <u val="none"/>
        <vertAlign val="baseline"/>
        <sz val="12"/>
        <color rgb="FFFFFFFF"/>
        <name val="Calibri"/>
        <family val="2"/>
        <scheme val="minor"/>
      </font>
      <fill>
        <patternFill patternType="solid">
          <fgColor rgb="FF4472C4"/>
          <bgColor rgb="FF4472C4"/>
        </patternFill>
      </fill>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rgb="FF8EA9DB"/>
        </bottom>
      </border>
    </dxf>
    <dxf>
      <alignment horizontal="center" vertical="center" textRotation="0" wrapText="0" indent="0" justifyLastLine="0" shrinkToFit="0" readingOrder="0"/>
    </dxf>
    <dxf>
      <font>
        <b/>
        <i val="0"/>
        <strike val="0"/>
        <condense val="0"/>
        <extend val="0"/>
        <outline val="0"/>
        <shadow val="0"/>
        <u val="none"/>
        <vertAlign val="baseline"/>
        <sz val="12"/>
        <color rgb="FFFFFFFF"/>
        <name val="Calibri"/>
        <family val="2"/>
        <scheme val="minor"/>
      </font>
      <fill>
        <patternFill patternType="solid">
          <fgColor rgb="FF4472C4"/>
          <bgColor rgb="FF4472C4"/>
        </patternFill>
      </fill>
    </dxf>
    <dxf>
      <alignment horizontal="center" textRotation="0" indent="0" justifyLastLine="0" shrinkToFit="0" readingOrder="0"/>
    </dxf>
    <dxf>
      <numFmt numFmtId="164" formatCode="mm/dd/yyyy"/>
      <alignment horizontal="center" vertical="top" textRotation="0" wrapText="0" indent="0" justifyLastLine="0" shrinkToFit="0" readingOrder="0"/>
    </dxf>
    <dxf>
      <numFmt numFmtId="164" formatCode="mm/dd/yyyy"/>
      <alignment horizontal="center" vertical="top" textRotation="0" wrapText="0" indent="0" justifyLastLine="0" shrinkToFit="0" readingOrder="0"/>
    </dxf>
    <dxf>
      <numFmt numFmtId="164" formatCode="mm/dd/yyyy"/>
      <alignment horizontal="center" vertical="top" textRotation="0" wrapText="0" indent="0" justifyLastLine="0" shrinkToFit="0" readingOrder="0"/>
    </dxf>
    <dxf>
      <numFmt numFmtId="164" formatCode="mm/dd/yyyy"/>
      <alignment horizontal="center" vertical="top" textRotation="0" wrapText="0" indent="0" justifyLastLine="0" shrinkToFit="0" readingOrder="0"/>
    </dxf>
    <dxf>
      <numFmt numFmtId="164" formatCode="mm/dd/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30" formatCode="@"/>
      <fill>
        <patternFill patternType="none">
          <fgColor indexed="64"/>
          <bgColor indexed="65"/>
        </patternFill>
      </fill>
      <alignment horizontal="center" vertical="top" textRotation="0" wrapText="0" indent="0" justifyLastLine="0" shrinkToFit="0" readingOrder="0"/>
    </dxf>
    <dxf>
      <numFmt numFmtId="167" formatCode="0.000"/>
      <fill>
        <patternFill patternType="none">
          <fgColor indexed="64"/>
          <bgColor auto="1"/>
        </patternFill>
      </fill>
      <alignment horizontal="center" vertical="top" textRotation="0" wrapText="0" indent="0" justifyLastLine="0" shrinkToFit="0" readingOrder="0"/>
    </dxf>
    <dxf>
      <numFmt numFmtId="30" formatCode="@"/>
      <fill>
        <patternFill patternType="none">
          <fgColor indexed="64"/>
          <bgColor auto="1"/>
        </patternFill>
      </fill>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border diagonalUp="0" diagonalDown="0">
        <left/>
        <right/>
        <top style="thin">
          <color theme="4" tint="0.39997558519241921"/>
        </top>
        <bottom/>
        <vertical/>
        <horizontal/>
      </border>
    </dxf>
    <dxf>
      <border outline="0">
        <bottom style="thin">
          <color rgb="FFB2B2B2"/>
        </bottom>
      </border>
    </dxf>
    <dxf>
      <border outline="0">
        <top style="thin">
          <color rgb="FFB2B2B2"/>
        </top>
      </border>
    </dxf>
    <dxf>
      <numFmt numFmtId="0" formatCode="General"/>
      <alignment horizontal="center" textRotation="0" indent="0" justifyLastLine="0" shrinkToFit="0" readingOrder="0"/>
    </dxf>
    <dxf>
      <font>
        <b/>
        <i val="0"/>
        <strike val="0"/>
        <condense val="0"/>
        <extend val="0"/>
        <outline val="0"/>
        <shadow val="0"/>
        <u val="none"/>
        <vertAlign val="baseline"/>
        <sz val="10"/>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rgb="FFB2B2B2"/>
        </left>
        <right style="thin">
          <color rgb="FFB2B2B2"/>
        </right>
        <top/>
        <bottom/>
      </border>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rgb="FF8EA9DB"/>
        </bottom>
      </border>
    </dxf>
    <dxf>
      <alignment horizontal="center" vertical="center" textRotation="0" wrapText="0" indent="0" justifyLastLine="0" shrinkToFit="0" readingOrder="0"/>
    </dxf>
    <dxf>
      <font>
        <b/>
        <i val="0"/>
        <strike val="0"/>
        <condense val="0"/>
        <extend val="0"/>
        <outline val="0"/>
        <shadow val="0"/>
        <u val="none"/>
        <vertAlign val="baseline"/>
        <sz val="12"/>
        <color rgb="FFFFFFFF"/>
        <name val="Calibri"/>
        <family val="2"/>
        <scheme val="minor"/>
      </font>
      <fill>
        <patternFill patternType="solid">
          <fgColor rgb="FF4472C4"/>
          <bgColor rgb="FF4472C4"/>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7" formatCode="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rgb="FF8EA9DB"/>
        </bottom>
      </border>
    </dxf>
    <dxf>
      <alignment horizontal="center" vertical="center" textRotation="0" wrapText="0" indent="0" justifyLastLine="0" shrinkToFit="0" readingOrder="0"/>
    </dxf>
    <dxf>
      <font>
        <b/>
        <i val="0"/>
        <strike val="0"/>
        <condense val="0"/>
        <extend val="0"/>
        <outline val="0"/>
        <shadow val="0"/>
        <u val="none"/>
        <vertAlign val="baseline"/>
        <sz val="12"/>
        <color rgb="FFFFFFFF"/>
        <name val="Calibri"/>
        <family val="2"/>
        <scheme val="minor"/>
      </font>
      <fill>
        <patternFill patternType="solid">
          <fgColor rgb="FF4472C4"/>
          <bgColor rgb="FF4472C4"/>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dxf>
    <dxf>
      <numFmt numFmtId="0" formatCode="General"/>
    </dxf>
    <dxf>
      <numFmt numFmtId="30" formatCode="@"/>
    </dxf>
    <dxf>
      <numFmt numFmtId="0" formatCode="General"/>
    </dxf>
    <dxf>
      <border outline="0">
        <bottom style="thin">
          <color rgb="FF8EA9DB"/>
        </bottom>
      </border>
    </dxf>
    <dxf>
      <font>
        <b/>
        <i val="0"/>
        <strike val="0"/>
        <condense val="0"/>
        <extend val="0"/>
        <outline val="0"/>
        <shadow val="0"/>
        <u val="none"/>
        <vertAlign val="baseline"/>
        <sz val="12"/>
        <color rgb="FFFFFFFF"/>
        <name val="Calibri"/>
        <family val="2"/>
        <scheme val="minor"/>
      </font>
      <fill>
        <patternFill patternType="solid">
          <fgColor rgb="FF4472C4"/>
          <bgColor rgb="FF4472C4"/>
        </patternFill>
      </fill>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auto="1"/>
        </patternFill>
      </fill>
      <alignment horizontal="center" vertical="bottom"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auto="1"/>
        </patternFill>
      </fill>
      <alignment horizontal="center" vertical="bottom"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auto="1"/>
        </patternFill>
      </fill>
      <alignment horizontal="center" vertical="bottom"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auto="1"/>
        </patternFill>
      </fill>
      <alignment horizontal="center" vertical="bottom"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auto="1"/>
        </patternFill>
      </fill>
      <alignment horizontal="center" vertical="bottom" textRotation="0" wrapText="0" indent="0" justifyLastLine="0" shrinkToFit="0" readingOrder="0"/>
      <border diagonalUp="0" diagonalDown="0">
        <left/>
        <right/>
        <top style="thin">
          <color theme="4" tint="0.39997558519241921"/>
        </top>
        <bottom/>
      </border>
    </dxf>
    <dxf>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numFmt numFmtId="30" formatCode="@"/>
      <alignment horizontal="center" vertical="top"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auto="1"/>
        </patternFill>
      </fill>
      <alignment horizontal="center" vertical="top"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auto="1"/>
        </patternFill>
      </fill>
      <alignment horizontal="center" vertical="top"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auto="1"/>
        </patternFill>
      </fill>
      <alignment horizontal="center" vertical="top"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auto="1"/>
        </patternFill>
      </fill>
      <alignment horizontal="center" vertical="top"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auto="1"/>
        </patternFill>
      </fill>
      <alignment horizontal="center" vertical="top"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auto="1"/>
        </patternFill>
      </fill>
      <alignment horizontal="center" vertical="top"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family val="2"/>
        <scheme val="minor"/>
      </font>
      <numFmt numFmtId="0" formatCode="General"/>
      <fill>
        <patternFill patternType="solid">
          <fgColor theme="4"/>
          <bgColor theme="4"/>
        </patternFill>
      </fill>
      <alignment horizontal="center" vertical="top" textRotation="0" wrapText="1"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167" formatCode="0.000"/>
      <fill>
        <patternFill patternType="none">
          <fgColor indexed="64"/>
          <bgColor auto="1"/>
        </patternFill>
      </fill>
      <alignment horizontal="center" vertical="center" textRotation="0" wrapText="0" indent="0" justifyLastLine="0" shrinkToFit="0" readingOrder="0"/>
    </dxf>
    <dxf>
      <numFmt numFmtId="167" formatCode="0.000"/>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30" formatCode="@"/>
      <fill>
        <patternFill patternType="none">
          <fgColor indexed="64"/>
          <bgColor auto="1"/>
        </patternFill>
      </fill>
      <alignment horizontal="center" vertical="center" textRotation="0" wrapText="0" indent="0" justifyLastLine="0" shrinkToFit="0" readingOrder="0"/>
    </dxf>
    <dxf>
      <border outline="0">
        <bottom style="thin">
          <color theme="4" tint="0.39997558519241921"/>
        </bottom>
      </border>
    </dxf>
    <dxf>
      <border outline="0">
        <top style="thin">
          <color theme="4" tint="0.39997558519241921"/>
        </top>
      </border>
    </dxf>
    <dxf>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0.000"/>
      <alignment horizontal="center" vertical="center" textRotation="0" wrapText="0" indent="0" justifyLastLine="0" shrinkToFit="0" readingOrder="0"/>
    </dxf>
    <dxf>
      <numFmt numFmtId="167" formatCode="0.000"/>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30" formatCode="@"/>
    </dxf>
    <dxf>
      <numFmt numFmtId="0" formatCode="General"/>
    </dxf>
    <dxf>
      <numFmt numFmtId="0" formatCode="General"/>
    </dxf>
    <dxf>
      <border outline="0">
        <bottom style="thin">
          <color rgb="FF8EA9DB"/>
        </bottom>
      </border>
    </dxf>
    <dxf>
      <font>
        <b/>
        <i val="0"/>
        <strike val="0"/>
        <condense val="0"/>
        <extend val="0"/>
        <outline val="0"/>
        <shadow val="0"/>
        <u val="none"/>
        <vertAlign val="baseline"/>
        <sz val="12"/>
        <color rgb="FFFFFFFF"/>
        <name val="Calibri"/>
        <family val="2"/>
        <scheme val="minor"/>
      </font>
      <fill>
        <patternFill patternType="solid">
          <fgColor rgb="FF4472C4"/>
          <bgColor rgb="FF4472C4"/>
        </patternFill>
      </fill>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indexed="65"/>
        </patternFill>
      </fill>
      <alignment horizontal="center" vertical="top" textRotation="0" wrapText="0" indent="0" justifyLastLine="0" shrinkToFit="0" readingOrder="0"/>
    </dxf>
    <dxf>
      <fill>
        <patternFill patternType="none">
          <fgColor indexed="64"/>
          <bgColor indexed="65"/>
        </patternFill>
      </fill>
      <alignment horizont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solid">
          <fgColor indexed="64"/>
          <bgColor rgb="FFFFFF00"/>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top" textRotation="0" wrapText="0" indent="0" justifyLastLine="0" shrinkToFit="0" readingOrder="0"/>
    </dxf>
    <dxf>
      <font>
        <b/>
        <i val="0"/>
        <strike val="0"/>
        <condense val="0"/>
        <extend val="0"/>
        <outline val="0"/>
        <shadow val="0"/>
        <u val="none"/>
        <vertAlign val="baseline"/>
        <sz val="10"/>
        <color theme="0"/>
        <name val="Calibri"/>
        <family val="2"/>
        <scheme val="minor"/>
      </font>
      <numFmt numFmtId="0" formatCode="General"/>
      <fill>
        <patternFill patternType="none">
          <fgColor indexed="64"/>
          <bgColor indexed="65"/>
        </patternFill>
      </fill>
      <alignment horizontal="center" vertical="top" textRotation="0" wrapText="0" indent="0" justifyLastLine="0" shrinkToFit="0" readingOrder="0"/>
    </dxf>
    <dxf>
      <numFmt numFmtId="0" formatCode="General"/>
    </dxf>
    <dxf>
      <numFmt numFmtId="30" formatCode="@"/>
    </dxf>
    <dxf>
      <numFmt numFmtId="30" formatCode="@"/>
    </dxf>
    <dxf>
      <numFmt numFmtId="30" formatCode="@"/>
    </dxf>
    <dxf>
      <border outline="0">
        <bottom style="thin">
          <color rgb="FF8EA9DB"/>
        </bottom>
      </border>
    </dxf>
    <dxf>
      <font>
        <b/>
        <i val="0"/>
        <strike val="0"/>
        <condense val="0"/>
        <extend val="0"/>
        <outline val="0"/>
        <shadow val="0"/>
        <u val="none"/>
        <vertAlign val="baseline"/>
        <sz val="12"/>
        <color rgb="FFFFFFFF"/>
        <name val="Calibri"/>
        <family val="2"/>
        <scheme val="minor"/>
      </font>
      <fill>
        <patternFill patternType="solid">
          <fgColor rgb="FF4472C4"/>
          <bgColor rgb="FF4472C4"/>
        </patternFill>
      </fill>
    </dxf>
    <dxf>
      <numFmt numFmtId="30" formatCode="@"/>
      <alignment horizontal="general" vertical="top" textRotation="0" wrapText="0" indent="0" justifyLastLine="0" shrinkToFit="0" readingOrder="0"/>
    </dxf>
    <dxf>
      <numFmt numFmtId="1" formatCode="0"/>
      <alignment horizontal="center" vertical="top" textRotation="0" wrapText="0" indent="0" justifyLastLine="0" shrinkToFit="0" readingOrder="0"/>
    </dxf>
    <dxf>
      <numFmt numFmtId="1" formatCode="0"/>
      <alignment horizontal="center" vertical="top" textRotation="0" wrapText="0" indent="0" justifyLastLine="0" shrinkToFit="0" readingOrder="0"/>
    </dxf>
    <dxf>
      <numFmt numFmtId="1" formatCode="0"/>
      <alignment horizontal="center" vertical="top" textRotation="0" wrapText="0" indent="0" justifyLastLine="0" shrinkToFit="0" readingOrder="0"/>
    </dxf>
    <dxf>
      <numFmt numFmtId="1" formatCode="0"/>
      <alignment horizontal="center" vertical="top" textRotation="0" wrapText="0" indent="0" justifyLastLine="0" shrinkToFit="0" readingOrder="0"/>
    </dxf>
    <dxf>
      <numFmt numFmtId="164" formatCode="mm/dd/yyyy"/>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border outline="0">
        <bottom style="thin">
          <color rgb="FFB2B2B2"/>
        </bottom>
      </border>
    </dxf>
    <dxf>
      <border outline="0">
        <top style="thin">
          <color rgb="FFB2B2B2"/>
        </top>
      </border>
    </dxf>
    <dxf>
      <alignment horizontal="center" vertical="top" textRotation="0" wrapText="0" indent="0" justifyLastLine="0" shrinkToFit="0" readingOrder="0"/>
    </dxf>
    <dxf>
      <font>
        <b/>
        <i val="0"/>
        <strike val="0"/>
        <condense val="0"/>
        <extend val="0"/>
        <outline val="0"/>
        <shadow val="0"/>
        <u val="none"/>
        <vertAlign val="baseline"/>
        <sz val="10"/>
        <color theme="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border diagonalUp="0" diagonalDown="0" outline="0">
        <left style="thin">
          <color rgb="FFB2B2B2"/>
        </left>
        <right style="thin">
          <color rgb="FFB2B2B2"/>
        </right>
        <top/>
        <bottom/>
      </border>
    </dxf>
    <dxf>
      <font>
        <b val="0"/>
        <i val="0"/>
        <strike val="0"/>
        <condense val="0"/>
        <extend val="0"/>
        <outline val="0"/>
        <shadow val="0"/>
        <u val="none"/>
        <vertAlign val="baseline"/>
        <sz val="12"/>
        <color auto="1"/>
        <name val="Calibri"/>
        <family val="2"/>
        <scheme val="minor"/>
      </font>
      <numFmt numFmtId="0" formatCode="General"/>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numFmt numFmtId="30" formatCode="@"/>
    </dxf>
    <dxf>
      <font>
        <b val="0"/>
        <i val="0"/>
        <strike val="0"/>
        <condense val="0"/>
        <extend val="0"/>
        <outline val="0"/>
        <shadow val="0"/>
        <u val="none"/>
        <vertAlign val="baseline"/>
        <sz val="12"/>
        <color auto="1"/>
        <name val="Calibri"/>
        <family val="2"/>
        <scheme val="minor"/>
      </font>
      <numFmt numFmtId="30" formatCode="@"/>
    </dxf>
    <dxf>
      <font>
        <b val="0"/>
        <i val="0"/>
        <strike val="0"/>
        <condense val="0"/>
        <extend val="0"/>
        <outline val="0"/>
        <shadow val="0"/>
        <u val="none"/>
        <vertAlign val="baseline"/>
        <sz val="12"/>
        <color auto="1"/>
        <name val="Calibri"/>
        <family val="2"/>
        <scheme val="minor"/>
      </font>
      <numFmt numFmtId="30" formatCode="@"/>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border outline="0">
        <bottom style="thin">
          <color rgb="FF8EA9DB"/>
        </bottom>
      </border>
    </dxf>
    <dxf>
      <font>
        <b val="0"/>
        <i val="0"/>
        <strike val="0"/>
        <condense val="0"/>
        <extend val="0"/>
        <outline val="0"/>
        <shadow val="0"/>
        <u val="none"/>
        <vertAlign val="baseline"/>
        <sz val="12"/>
        <color auto="1"/>
        <name val="Calibri"/>
        <family val="2"/>
        <scheme val="minor"/>
      </font>
    </dxf>
    <dxf>
      <font>
        <b/>
        <i val="0"/>
        <strike val="0"/>
        <condense val="0"/>
        <extend val="0"/>
        <outline val="0"/>
        <shadow val="0"/>
        <u val="none"/>
        <vertAlign val="baseline"/>
        <sz val="12"/>
        <color rgb="FFFFFFFF"/>
        <name val="Calibri"/>
        <family val="2"/>
        <scheme val="minor"/>
      </font>
      <fill>
        <patternFill patternType="solid">
          <fgColor rgb="FF4472C4"/>
          <bgColor rgb="FF4472C4"/>
        </patternFill>
      </fill>
    </dxf>
    <dxf>
      <font>
        <strike val="0"/>
        <outline val="0"/>
        <shadow val="0"/>
        <u val="none"/>
        <vertAlign val="baseline"/>
        <color auto="1"/>
        <name val="Calibri"/>
        <family val="2"/>
        <scheme val="minor"/>
      </font>
      <fill>
        <patternFill patternType="none">
          <fgColor indexed="64"/>
          <bgColor auto="1"/>
        </patternFill>
      </fill>
    </dxf>
    <dxf>
      <font>
        <strike val="0"/>
        <outline val="0"/>
        <shadow val="0"/>
        <u val="none"/>
        <vertAlign val="baseline"/>
        <color auto="1"/>
        <name val="Calibri"/>
        <family val="2"/>
        <scheme val="minor"/>
      </font>
      <numFmt numFmtId="165" formatCode="mm/dd/yy;@"/>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dxf>
    <dxf>
      <font>
        <strike val="0"/>
        <outline val="0"/>
        <shadow val="0"/>
        <u val="none"/>
        <vertAlign val="baseline"/>
        <color auto="1"/>
        <name val="Calibri"/>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thin">
          <color rgb="FF8EA9DB"/>
        </bottom>
      </border>
    </dxf>
    <dxf>
      <alignment horizontal="center" vertical="bottom" textRotation="0" wrapText="0" indent="0" justifyLastLine="0" shrinkToFit="0" readingOrder="0"/>
    </dxf>
    <dxf>
      <font>
        <b/>
        <i val="0"/>
        <strike val="0"/>
        <condense val="0"/>
        <extend val="0"/>
        <outline val="0"/>
        <shadow val="0"/>
        <u val="none"/>
        <vertAlign val="baseline"/>
        <sz val="12"/>
        <color rgb="FFFFFFFF"/>
        <name val="Calibri"/>
        <family val="2"/>
        <scheme val="minor"/>
      </font>
      <fill>
        <patternFill patternType="solid">
          <fgColor rgb="FF4472C4"/>
          <bgColor rgb="FF4472C4"/>
        </patternFill>
      </fill>
    </dxf>
    <dxf>
      <alignment horizont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67" formatCode="0.000"/>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rgb="FF8EA9DB"/>
        </bottom>
      </border>
    </dxf>
    <dxf>
      <alignment horizontal="center" vertical="center" textRotation="0" wrapText="0" indent="0" justifyLastLine="0" shrinkToFit="0" readingOrder="0"/>
    </dxf>
    <dxf>
      <font>
        <b/>
        <i val="0"/>
        <strike val="0"/>
        <condense val="0"/>
        <extend val="0"/>
        <outline val="0"/>
        <shadow val="0"/>
        <u val="none"/>
        <vertAlign val="baseline"/>
        <sz val="12"/>
        <color rgb="FFFFFFFF"/>
        <name val="Calibri"/>
        <family val="2"/>
        <scheme val="minor"/>
      </font>
      <fill>
        <patternFill patternType="solid">
          <fgColor rgb="FF4472C4"/>
          <bgColor rgb="FF4472C4"/>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dxf>
    <dxf>
      <numFmt numFmtId="0" formatCode="General"/>
    </dxf>
    <dxf>
      <numFmt numFmtId="30" formatCode="@"/>
    </dxf>
    <dxf>
      <numFmt numFmtId="0" formatCode="Genera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alignment horizontal="center" vertical="bottom" textRotation="0" wrapText="0" indent="0" justifyLastLine="0" shrinkToFit="0" readingOrder="0"/>
    </dxf>
    <dxf>
      <fill>
        <patternFill patternType="none">
          <fgColor indexed="64"/>
          <bgColor auto="1"/>
        </patternFill>
      </fill>
      <alignment horizontal="center" textRotation="0" indent="0" justifyLastLine="0" shrinkToFit="0" readingOrder="0"/>
    </dxf>
    <dxf>
      <fill>
        <patternFill patternType="none">
          <fgColor indexed="64"/>
          <bgColor auto="1"/>
        </patternFill>
      </fill>
      <alignment horizontal="center" textRotation="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indent="0" justifyLastLine="0" shrinkToFit="0" readingOrder="0"/>
    </dxf>
    <dxf>
      <fill>
        <patternFill patternType="none">
          <fgColor indexed="64"/>
          <bgColor indexed="65"/>
        </patternFill>
      </fill>
      <alignment horizontal="center" textRotation="0" indent="0" justifyLastLine="0" shrinkToFit="0" readingOrder="0"/>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none">
          <fgColor indexed="64"/>
          <bgColor auto="1"/>
        </patternFill>
      </fill>
    </dxf>
    <dxf>
      <font>
        <b/>
        <i val="0"/>
        <strike val="0"/>
        <condense val="0"/>
        <extend val="0"/>
        <outline val="0"/>
        <shadow val="0"/>
        <u val="none"/>
        <vertAlign val="baseline"/>
        <sz val="10"/>
        <color theme="0"/>
        <name val="Calibri"/>
        <family val="2"/>
        <scheme val="minor"/>
      </font>
      <numFmt numFmtId="0" formatCode="General"/>
      <fill>
        <patternFill patternType="solid">
          <fgColor theme="4"/>
          <bgColor theme="4"/>
        </patternFill>
      </fill>
      <alignment horizontal="center" vertical="top" textRotation="0" wrapText="1"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rgb="FF8EA9DB"/>
        </bottom>
      </border>
    </dxf>
    <dxf>
      <border outline="0">
        <top style="thin">
          <color rgb="FF8EA9DB"/>
        </top>
      </border>
    </dxf>
    <dxf>
      <alignment horizontal="center" vertical="center" textRotation="0" wrapText="0" indent="0" justifyLastLine="0" shrinkToFit="0" readingOrder="0"/>
    </dxf>
    <dxf>
      <font>
        <b/>
        <i val="0"/>
        <strike val="0"/>
        <condense val="0"/>
        <extend val="0"/>
        <outline val="0"/>
        <shadow val="0"/>
        <u val="none"/>
        <vertAlign val="baseline"/>
        <sz val="12"/>
        <color rgb="FFFFFFFF"/>
        <name val="Calibri"/>
        <family val="2"/>
        <scheme val="minor"/>
      </font>
      <fill>
        <patternFill patternType="solid">
          <fgColor rgb="FF4472C4"/>
          <bgColor rgb="FF4472C4"/>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numFmt numFmtId="169" formatCode="0.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dxf>
    <dxf>
      <numFmt numFmtId="0" formatCode="General"/>
    </dxf>
    <dxf>
      <numFmt numFmtId="30" formatCode="@"/>
    </dxf>
    <dxf>
      <numFmt numFmtId="30" formatCode="@"/>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164" formatCode="mm/dd/yyyy"/>
      <alignment horizontal="center" vertical="top" textRotation="0" wrapText="0" indent="0" justifyLastLine="0" shrinkToFit="0" readingOrder="0"/>
    </dxf>
    <dxf>
      <numFmt numFmtId="164" formatCode="mm/dd/yyyy"/>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1" formatCode="0"/>
      <alignment horizontal="center" vertical="top" textRotation="0" wrapText="0" indent="0" justifyLastLine="0" shrinkToFit="0" readingOrder="0"/>
    </dxf>
    <dxf>
      <numFmt numFmtId="1" formatCode="0"/>
      <alignment horizontal="center" vertical="top" textRotation="0" wrapText="0" indent="0" justifyLastLine="0" shrinkToFit="0" readingOrder="0"/>
    </dxf>
    <dxf>
      <numFmt numFmtId="1" formatCode="0"/>
      <alignment horizontal="center" vertical="top" textRotation="0" wrapText="0" indent="0" justifyLastLine="0" shrinkToFit="0" readingOrder="0"/>
    </dxf>
    <dxf>
      <numFmt numFmtId="1" formatCode="0"/>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fill>
        <patternFill patternType="none">
          <fgColor indexed="64"/>
          <bgColor indexed="65"/>
        </patternFill>
      </fill>
      <alignment horizontal="center" vertical="top" textRotation="0" wrapText="0" indent="0" justifyLastLine="0" shrinkToFit="0" readingOrder="0"/>
    </dxf>
    <dxf>
      <numFmt numFmtId="30" formatCode="@"/>
      <alignment horizontal="center" vertical="top" textRotation="0" wrapText="0" indent="0" justifyLastLine="0" shrinkToFit="0" readingOrder="0"/>
    </dxf>
    <dxf>
      <alignment horizontal="center" vertical="top" textRotation="0" wrapText="0" indent="0" justifyLastLine="0" shrinkToFit="0" readingOrder="0"/>
    </dxf>
    <dxf>
      <font>
        <b/>
        <i val="0"/>
        <strike val="0"/>
        <condense val="0"/>
        <extend val="0"/>
        <outline val="0"/>
        <shadow val="0"/>
        <u val="none"/>
        <vertAlign val="baseline"/>
        <sz val="10"/>
        <color theme="1"/>
        <name val="Calibri"/>
        <family val="2"/>
        <scheme val="minor"/>
      </font>
      <numFmt numFmtId="0" formatCode="General"/>
      <fill>
        <patternFill patternType="none">
          <fgColor indexed="64"/>
          <bgColor indexed="65"/>
        </patternFill>
      </fill>
      <alignment horizontal="center" vertical="top" textRotation="0" wrapText="0" indent="0" justifyLastLine="0" shrinkToFit="0" readingOrder="0"/>
    </dxf>
    <dxf>
      <numFmt numFmtId="30" formatCode="@"/>
    </dxf>
    <dxf>
      <fill>
        <patternFill patternType="none">
          <fgColor indexed="64"/>
          <bgColor indexed="65"/>
        </patternFill>
      </fill>
      <alignment horizontal="general" vertical="center" textRotation="0" wrapText="0" indent="0" justifyLastLine="0" shrinkToFit="0" readingOrder="0"/>
      <border diagonalUp="0" diagonalDown="0">
        <left style="medium">
          <color indexed="64"/>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5</xdr:col>
      <xdr:colOff>724019</xdr:colOff>
      <xdr:row>10</xdr:row>
      <xdr:rowOff>83085</xdr:rowOff>
    </xdr:from>
    <xdr:to>
      <xdr:col>14</xdr:col>
      <xdr:colOff>1020748</xdr:colOff>
      <xdr:row>23</xdr:row>
      <xdr:rowOff>47477</xdr:rowOff>
    </xdr:to>
    <xdr:sp macro="" textlink="">
      <xdr:nvSpPr>
        <xdr:cNvPr id="2" name="Rectangle 1">
          <a:extLst>
            <a:ext uri="{FF2B5EF4-FFF2-40B4-BE49-F238E27FC236}">
              <a16:creationId xmlns:a16="http://schemas.microsoft.com/office/drawing/2014/main" id="{99C23ED1-0C71-D6FE-DB43-2ED51F783C7A}"/>
            </a:ext>
          </a:extLst>
        </xdr:cNvPr>
        <xdr:cNvSpPr/>
      </xdr:nvSpPr>
      <xdr:spPr>
        <a:xfrm>
          <a:off x="5281776" y="2112711"/>
          <a:ext cx="10136262" cy="25874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ATTENTION: </a:t>
          </a:r>
        </a:p>
        <a:p>
          <a:pPr algn="ctr"/>
          <a:endParaRPr lang="en-US" sz="2400"/>
        </a:p>
        <a:p>
          <a:pPr algn="l"/>
          <a:r>
            <a:rPr lang="en-US" sz="1800"/>
            <a:t>Do NOT change</a:t>
          </a:r>
          <a:r>
            <a:rPr lang="en-US" sz="1800" baseline="0"/>
            <a:t> individual data lines in this file. Change only the original tables in the tabs named for each part type. Those changes should automatically flow through to be reflected and exported here.</a:t>
          </a:r>
        </a:p>
        <a:p>
          <a:pPr algn="l"/>
          <a:endParaRPr lang="en-US" sz="1800" baseline="0"/>
        </a:p>
        <a:p>
          <a:pPr algn="l"/>
          <a:r>
            <a:rPr lang="en-US" sz="1800" baseline="0"/>
            <a:t>ALSO: This table has ~20 sections, each linking to different tabs for data sourcing. DO NOT copy-down the formulas of any columns past the end of the labeled section.</a:t>
          </a:r>
          <a:endParaRPr lang="en-US" sz="18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B44D901-597B-2D47-B1C5-D33343C958D8}" name="EXP_HPS" displayName="EXP_HPS" ref="E1:P2071" totalsRowShown="0">
  <autoFilter ref="E1:P2071" xr:uid="{8B44D901-597B-2D47-B1C5-D33343C958D8}"/>
  <tableColumns count="12">
    <tableColumn id="12" xr3:uid="{9A3A9792-C05F-D24A-95F2-AF4F4FC19D79}" name="Section Name" dataDxfId="692"/>
    <tableColumn id="1" xr3:uid="{A336C47A-4DB5-2849-AADB-DB1F804A870E}" name="Setup Location"/>
    <tableColumn id="2" xr3:uid="{00B96210-CC56-A046-9E98-65B457C27447}" name="Setup Sub-Location"/>
    <tableColumn id="3" xr3:uid="{C30AEE2F-C511-844F-8418-1DFE7BA95F4A}" name="Sub-Setup Assembly"/>
    <tableColumn id="4" xr3:uid="{6A44BA93-47D8-9043-BA6D-F070BB8E3390}" name="IO type"/>
    <tableColumn id="5" xr3:uid="{EE92EE90-75FE-4E4D-8EF9-C5FFB6B57D45}" name="Zone"/>
    <tableColumn id="6" xr3:uid="{76CD254F-F540-5941-B94A-B250F989228F}" name="Device Type" dataDxfId="691"/>
    <tableColumn id="7" xr3:uid="{A5989883-B97E-174F-8F47-A958ACA2FD85}" name="Device Tag"/>
    <tableColumn id="8" xr3:uid="{B5FB6A2B-FE06-3B49-B5C5-7FC6E93F275F}" name="Device Location"/>
    <tableColumn id="9" xr3:uid="{C257FC46-0009-8341-AD7C-DB74FBF7D822}" name="Circuit"/>
    <tableColumn id="10" xr3:uid="{E83EB5E7-E740-C54E-AE2B-FE7B6B8A5868}" name="Power Source"/>
    <tableColumn id="11" xr3:uid="{1CA3A870-14B1-8446-BCF1-11185ABF8F77}"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9A708AE-44DE-F849-AE69-59C31553F3E3}" name="AC" displayName="AC" ref="A1:AA101" totalsRowShown="0" headerRowDxfId="690" dataDxfId="689" headerRowCellStyle="Note 2" dataCellStyle="Normal 5">
  <autoFilter ref="A1:AA101" xr:uid="{059ED241-F3A5-F84E-8773-3D302CDFB172}"/>
  <sortState xmlns:xlrd2="http://schemas.microsoft.com/office/spreadsheetml/2017/richdata2" ref="A2:AA101">
    <sortCondition ref="B1:B101"/>
  </sortState>
  <tableColumns count="27">
    <tableColumn id="19" xr3:uid="{A8146053-8219-B642-856B-C94AD4C77F69}" name="Status" dataDxfId="687" totalsRowDxfId="688" dataCellStyle="Normal 5"/>
    <tableColumn id="1" xr3:uid="{7E5C11D1-5E1F-EC42-9638-3EE8A8EB7190}" name="UID" dataDxfId="685" totalsRowDxfId="686" dataCellStyle="Normal 5"/>
    <tableColumn id="26" xr3:uid="{906C157E-E542-D94A-B180-BD304594BA2D}" name="Part Type" dataDxfId="683" totalsRowDxfId="684" dataCellStyle="Normal 5"/>
    <tableColumn id="2" xr3:uid="{07B9F278-AE26-774C-9728-648B654D5B0B}" name="Name" dataDxfId="681" totalsRowDxfId="682" dataCellStyle="Normal 5"/>
    <tableColumn id="20" xr3:uid="{629CA5F9-71DF-1447-8544-68B909FA878C}" name="Location" dataDxfId="679" totalsRowDxfId="680" dataCellStyle="Normal 5"/>
    <tableColumn id="3" xr3:uid="{CA1782F4-C710-4C4E-82CD-207F5562B92F}" name="Pressure Design (MPa)" dataDxfId="677" totalsRowDxfId="678" dataCellStyle="Normal 5"/>
    <tableColumn id="4" xr3:uid="{3F3CC284-3DDD-9744-AFAC-61775D587D69}" name="Pressure Design (psi)" dataDxfId="675" totalsRowDxfId="676" dataCellStyle="Normal 5"/>
    <tableColumn id="5" xr3:uid="{B9FACD6F-3BA8-C047-9767-F6750525725B}" name="Temperature Design (C)" dataDxfId="673" totalsRowDxfId="674" dataCellStyle="Normal 5"/>
    <tableColumn id="6" xr3:uid="{91B2665E-5116-8243-B34B-B97F47776D41}" name="Reactor Body Material" dataDxfId="671" totalsRowDxfId="672" dataCellStyle="Normal 5"/>
    <tableColumn id="7" xr3:uid="{61568ACF-6BF2-9E40-AF0D-58AFAB336C02}" name="Heat Treatment" dataDxfId="669" totalsRowDxfId="670" dataCellStyle="Normal 5"/>
    <tableColumn id="8" xr3:uid="{70763E94-A371-5940-BDC4-C04AC724B289}" name="Corrosion" dataDxfId="667" totalsRowDxfId="668" dataCellStyle="Normal 5"/>
    <tableColumn id="9" xr3:uid="{89F7AB6E-8B1C-834C-9CA6-A674CBFA5C20}" name="Diameter Inner (inch)" dataDxfId="665" totalsRowDxfId="666" dataCellStyle="Normal 5"/>
    <tableColumn id="10" xr3:uid="{EC75204E-EA9A-C94C-9F59-F42C08C1420B}" name="Diameter Inner (mm)" dataDxfId="663" totalsRowDxfId="664" dataCellStyle="Normal 5"/>
    <tableColumn id="11" xr3:uid="{9F934492-21FF-F948-88A5-96FC96FE599D}" name="Length Inner (inch)" dataDxfId="661" totalsRowDxfId="662" dataCellStyle="Normal 5"/>
    <tableColumn id="12" xr3:uid="{9A60E2D0-1144-7142-8214-976BAAB0D9E9}" name="Length Inner (mm)" dataDxfId="659" totalsRowDxfId="660" dataCellStyle="Normal 5"/>
    <tableColumn id="13" xr3:uid="{36BD0123-040B-AC48-B224-A0FC4443A3B0}" name="Volume Inner (ml)" dataDxfId="657" totalsRowDxfId="658" dataCellStyle="Normal 5"/>
    <tableColumn id="21" xr3:uid="{E95C0A66-3763-3348-A860-0D581800FE6D}" name="Weight Body (g)" dataDxfId="655" totalsRowDxfId="656" dataCellStyle="Normal 5"/>
    <tableColumn id="22" xr3:uid="{4571A69C-C364-784E-9CAA-844CC3A249F0}" name="Body Thread" dataDxfId="653" totalsRowDxfId="654" dataCellStyle="Normal 5"/>
    <tableColumn id="14" xr3:uid="{73027770-2F95-0D46-AA58-6DA31476920D}" name="Pressure Interlock (MPa)" dataDxfId="651" totalsRowDxfId="652" dataCellStyle="Normal 5"/>
    <tableColumn id="15" xr3:uid="{19EFEF9A-573C-AA41-B2D6-F92ACD1B405D}" name="Pressure Burst Nominal (psi)" dataDxfId="649" totalsRowDxfId="650" dataCellStyle="Normal 5"/>
    <tableColumn id="16" xr3:uid="{548D9FC8-4F83-F743-8EB4-6580BBE96111}" name="Pressure Burst Nominal (MPa)" dataDxfId="647" totalsRowDxfId="648" dataCellStyle="Normal 5"/>
    <tableColumn id="27" xr3:uid="{9E8A06BD-74A9-484A-87B2-8B307EE8A141}" name="Profile" dataDxfId="645" totalsRowDxfId="646" dataCellStyle="Normal 5"/>
    <tableColumn id="17" xr3:uid="{DBCB5B04-57FF-1A47-BC31-404AC75A29C0}" name="Manufacture" dataDxfId="643" totalsRowDxfId="644" dataCellStyle="Normal 5"/>
    <tableColumn id="18" xr3:uid="{23AA4B45-B718-3D40-B7E5-45FD931A1BEA}" name="Date Manufactured" dataDxfId="641" totalsRowDxfId="642" dataCellStyle="Normal 5"/>
    <tableColumn id="23" xr3:uid="{E716E30B-D40A-4C7C-A911-1C5FC3A1B775}" name="Lot #" dataDxfId="639" totalsRowDxfId="640" dataCellStyle="Normal 5"/>
    <tableColumn id="24" xr3:uid="{4ED29B64-8E10-43D4-BE23-7B13CAD848DE}" name="PO" dataDxfId="637" totalsRowDxfId="638" dataCellStyle="Normal 5"/>
    <tableColumn id="25" xr3:uid="{162FDFEE-04AB-AA47-96F9-A7DC9E435418}" name="Link to Schematic Drawing" dataDxfId="636" dataCellStyle="Normal 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89B8B87-1209-9B44-8066-AD476C4956EC}" name="EXP_AC" displayName="EXP_AC" ref="CB1:CL101" totalsRowShown="0" dataCellStyle="Normal 5">
  <autoFilter ref="CB1:CL101" xr:uid="{789B8B87-1209-9B44-8066-AD476C4956EC}"/>
  <tableColumns count="11">
    <tableColumn id="1" xr3:uid="{6A6F6E2D-D74A-4A4D-AC65-94B03E8F0C78}" name="Setup Location" dataCellStyle="Normal 5"/>
    <tableColumn id="2" xr3:uid="{7BC1087D-A75D-8249-9C2C-837D31AA4875}" name="Setup Sub-Location" dataDxfId="635" dataCellStyle="Normal 5">
      <calculatedColumnFormula>AC[[#This Row],[UID]]</calculatedColumnFormula>
    </tableColumn>
    <tableColumn id="3" xr3:uid="{EADC210F-30EA-284A-9F1C-623AF65C25E1}" name="Sub-Setup Assembly" dataCellStyle="Normal 5"/>
    <tableColumn id="4" xr3:uid="{58C37AE6-5ADE-A948-8CF8-BFB9F9B215EB}" name="IO type" dataCellStyle="Normal 5"/>
    <tableColumn id="5" xr3:uid="{DD86095A-1DCB-6F4F-AC30-49DC56801B7C}" name="Zone" dataCellStyle="Normal 5">
      <calculatedColumnFormula>AC[[#This Row],[Part Type]]</calculatedColumnFormula>
    </tableColumn>
    <tableColumn id="6" xr3:uid="{9764E132-568D-D742-AE7A-C3DBB8659CEE}" name="Device Type" dataDxfId="634" dataCellStyle="Normal 5">
      <calculatedColumnFormula>AC[[#This Row],[Name]]</calculatedColumnFormula>
    </tableColumn>
    <tableColumn id="7" xr3:uid="{27715C6C-8B82-FB48-BF5F-06F1A1746731}" name="Device Tag" dataDxfId="633" dataCellStyle="Normal 5">
      <calculatedColumnFormula>RIGHT(AC[[#This Row],[UID]],LEN(AC[[#This Row],[UID]])-3)</calculatedColumnFormula>
    </tableColumn>
    <tableColumn id="8" xr3:uid="{571EDEE0-94BA-CD46-8AE2-C88885B73F2C}" name="Device Location" dataCellStyle="Normal 5"/>
    <tableColumn id="9" xr3:uid="{B0972537-9917-D749-93A2-DCEBD2025FB5}" name="Circuit" dataCellStyle="Normal 5"/>
    <tableColumn id="10" xr3:uid="{2805E292-CBEA-994C-A5D4-F5FB1FD4D843}" name="Power Source" dataCellStyle="Normal 5"/>
    <tableColumn id="11" xr3:uid="{954C6D00-ADAD-B144-AB8E-596A26252312}" name="Status" dataDxfId="632" dataCellStyle="Normal 5">
      <calculatedColumnFormula>IF(AC[[#This Row],[Status]]=0,"",AC[[#This Row],[Status]])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211A78-7BB4-F74C-AC7D-440CD9A8A7A2}" name="AD" displayName="AD" ref="A1:R111" totalsRowShown="0" headerRowDxfId="631" dataDxfId="630">
  <autoFilter ref="A1:R111" xr:uid="{6A6DFD2B-AD9B-C843-B3D5-A8442ADB39FD}"/>
  <tableColumns count="18">
    <tableColumn id="5" xr3:uid="{9538ADCA-210A-E642-87B1-41C94CED6A6E}" name="Status" dataDxfId="629"/>
    <tableColumn id="1" xr3:uid="{6F1E6A47-C4A5-4248-B12D-0FE7100FEA56}" name="Part Type" dataDxfId="628"/>
    <tableColumn id="21" xr3:uid="{D12B16E2-EB05-C54F-9AA6-DA2DD598ED05}" name="UID" dataDxfId="627"/>
    <tableColumn id="14" xr3:uid="{D3AB40FC-210C-4343-8827-18C392C22377}" name="Pressure Rating (psi)" dataDxfId="626"/>
    <tableColumn id="2" xr3:uid="{6F906882-23F2-8946-8789-A83F33A0A378}" name="Part Nr." dataDxfId="625"/>
    <tableColumn id="24" xr3:uid="{307F59CF-D17A-754A-8C36-B7A1A23D28A9}" name="Mass Measurment Date" dataDxfId="624"/>
    <tableColumn id="23" xr3:uid="{29B53C81-A208-0849-971A-97100AD1E9E8}" name="Mass (g)" dataDxfId="623"/>
    <tableColumn id="8" xr3:uid="{FB342C8C-DE3B-D74E-A62F-F1F76408959F}" name="Inlet 1" dataDxfId="622"/>
    <tableColumn id="19" xr3:uid="{3188DC7F-C3FA-2B41-BF22-6702727799D9}" name="Inlet 2" dataDxfId="621"/>
    <tableColumn id="10" xr3:uid="{7059AC51-0588-CD48-835F-8164CD803CDD}" name="Length (inch)" dataDxfId="620"/>
    <tableColumn id="28" xr3:uid="{CF08C11A-3B9E-B745-A2E2-C3319963BECE}" name="ID (inch)" dataDxfId="619"/>
    <tableColumn id="22" xr3:uid="{AAC5010B-FD1E-6B46-B784-AEDB95C51CBC}" name="Type" dataDxfId="618"/>
    <tableColumn id="11" xr3:uid="{CF2FED93-3DD3-AC4E-8556-E40107F0D873}" name="Material" dataDxfId="617"/>
    <tableColumn id="3" xr3:uid="{09980517-1CBD-1F42-AF9B-2773E08F1C21}" name="Prior UnitID" dataDxfId="616"/>
    <tableColumn id="6" xr3:uid="{84BB5CF2-2E0E-4A4D-A5B8-01194D5DD312}" name="Notes" dataDxfId="615"/>
    <tableColumn id="12" xr3:uid="{5EE1B2EC-6392-0C42-AC20-85FF26AD626B}" name="PO" dataDxfId="614"/>
    <tableColumn id="9" xr3:uid="{5A0480F0-E4E0-6B4F-8D28-474B1D2EB5D2}" name="Vendor" dataDxfId="613"/>
    <tableColumn id="4" xr3:uid="{31EC14A4-25AF-C24F-A9C6-C67DF62500A9}" name="Website" dataDxfId="61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E8E9FFD-7089-C749-AADC-96F728A355F2}" name="EXP_AD" displayName="EXP_AD" ref="CA1:CK111" totalsRowShown="0" dataDxfId="611">
  <autoFilter ref="CA1:CK111" xr:uid="{4E8E9FFD-7089-C749-AADC-96F728A355F2}"/>
  <tableColumns count="11">
    <tableColumn id="1" xr3:uid="{21A031A3-859E-9943-89FF-5FC471336B14}" name="Setup Location" dataDxfId="610"/>
    <tableColumn id="2" xr3:uid="{F84FD042-3B05-2F4A-97CD-D1E9B1B04644}" name="Setup Sub-Location" dataDxfId="609"/>
    <tableColumn id="3" xr3:uid="{5A9EB0B3-1B49-6946-AE6D-7D415592BACD}" name="Sub-Setup Assembly" dataDxfId="608">
      <calculatedColumnFormula>AD[[#This Row],[Part Type]]</calculatedColumnFormula>
    </tableColumn>
    <tableColumn id="4" xr3:uid="{39CD7059-8C70-1641-939B-D3F1DE259F9F}" name="IO type" dataDxfId="607"/>
    <tableColumn id="5" xr3:uid="{2E079987-177A-024C-BBD2-7A89627AB91F}" name="Zone" dataDxfId="606">
      <calculatedColumnFormula>AD[[#This Row],[Part Type]]</calculatedColumnFormula>
    </tableColumn>
    <tableColumn id="6" xr3:uid="{3BBCBD6C-286C-0440-A726-3C090B190C69}" name="Device Type" dataDxfId="605">
      <calculatedColumnFormula>AD[[#This Row],[Part Nr.]]</calculatedColumnFormula>
    </tableColumn>
    <tableColumn id="7" xr3:uid="{1A84B559-B9AF-1047-826E-D119D0ACF3CD}" name="Device Tag" dataDxfId="604">
      <calculatedColumnFormula>AD[[#This Row],[UID]]</calculatedColumnFormula>
    </tableColumn>
    <tableColumn id="8" xr3:uid="{13E923AE-8E3E-AB4B-9C3B-5BCAC7007055}" name="Device Location" dataDxfId="603"/>
    <tableColumn id="9" xr3:uid="{168FE975-334F-2845-9291-E2010B88DD7E}" name="Circuit" dataDxfId="602"/>
    <tableColumn id="10" xr3:uid="{89958519-872C-7146-81B0-E22143B44453}" name="Power Source" dataDxfId="601"/>
    <tableColumn id="11" xr3:uid="{4AAADF41-4906-D244-B2FB-240BC52FB92F}" name="Status" dataDxfId="600">
      <calculatedColumnFormula>IF(AD[[#This Row],[Status]]=0,"",AD[[#This Row],[Status]])</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CCA89F-0713-6C45-995A-CCB45EB8B4DB}" name="CR" displayName="CR" ref="A1:V61" totalsRowShown="0" headerRowDxfId="599" dataDxfId="598">
  <autoFilter ref="A1:V61" xr:uid="{6A6DFD2B-AD9B-C843-B3D5-A8442ADB39FD}"/>
  <tableColumns count="22">
    <tableColumn id="5" xr3:uid="{BCA64A12-F5CC-4049-A0FB-5934036FFC35}" name="Status" dataDxfId="597"/>
    <tableColumn id="1" xr3:uid="{CFECD3B3-0A42-F849-829E-D07EE0AA53C3}" name="Part Type" dataDxfId="596"/>
    <tableColumn id="21" xr3:uid="{4BD86E1D-081A-4F4F-AB63-E76161639AFC}" name="UID" dataDxfId="595"/>
    <tableColumn id="14" xr3:uid="{57F1699C-59C5-6B4F-B757-5C5F1EFD3E04}" name="Pressure Rating (psi)" dataDxfId="594"/>
    <tableColumn id="2" xr3:uid="{2E88FC8F-AEAC-3844-92B7-FD6FA510DFB0}" name="Part Nr." dataDxfId="593"/>
    <tableColumn id="24" xr3:uid="{95526FF8-7BE2-BE4D-8D81-6D0CC13630CE}" name="Mass Measurment Date" dataDxfId="592"/>
    <tableColumn id="23" xr3:uid="{760070C2-0B1C-3F41-8286-A142714B2D32}" name="Mass (g)" dataDxfId="591"/>
    <tableColumn id="8" xr3:uid="{9052D810-53C7-5F4E-B6F3-7C952FFEEA30}" name="Inlet 1" dataDxfId="590"/>
    <tableColumn id="19" xr3:uid="{F24BBC1A-A0BF-7849-8DA3-319BA8DE1C83}" name="Inlet 2" dataDxfId="589"/>
    <tableColumn id="20" xr3:uid="{53179C7A-4B5F-4548-995C-A1E2DEEBD15C}" name="Inlet 3" dataDxfId="588"/>
    <tableColumn id="18" xr3:uid="{254181A6-8943-E64E-8124-C8C6A8EBE7FB}" name="Inlet 4" dataDxfId="587"/>
    <tableColumn id="10" xr3:uid="{F2F4D351-E28F-494C-814D-EA319AC120B6}" name="Length (inch)" dataDxfId="586"/>
    <tableColumn id="15" xr3:uid="{64EB0A24-ED75-4740-B1CD-3FAF1A252AF2}" name="Width (inch)" dataDxfId="585"/>
    <tableColumn id="16" xr3:uid="{EFEDDE1B-7D8E-5F41-B201-7AF17AD2EA3F}" name="Depth (inch)" dataDxfId="584"/>
    <tableColumn id="28" xr3:uid="{D3F19C79-8F55-3E4B-B2E5-4B920ED76D88}" name="ID (inch)" dataDxfId="583"/>
    <tableColumn id="22" xr3:uid="{B4F0FB6B-3801-BE41-85FC-B0D6F6F3329C}" name="Type" dataDxfId="582"/>
    <tableColumn id="11" xr3:uid="{EB755D21-0456-9F40-8023-3B092AB2E3BB}" name="Material" dataDxfId="581"/>
    <tableColumn id="3" xr3:uid="{801AA9E8-0F37-E94D-BCD6-1B59A629C00D}" name="Prior UnitID" dataDxfId="580"/>
    <tableColumn id="6" xr3:uid="{0ABFB4B2-95C7-A84A-8D6C-68CDB76940A6}" name="Notes" dataDxfId="579"/>
    <tableColumn id="12" xr3:uid="{FE6B9930-AF9A-C246-A82B-9BBF76FC1D76}" name="PO" dataDxfId="578"/>
    <tableColumn id="9" xr3:uid="{6CABA459-A5E2-2049-9933-8E453CBE1FCA}" name="Vendor" dataDxfId="577"/>
    <tableColumn id="4" xr3:uid="{55DECC0C-5B31-C24C-BA21-CAEE188416B2}" name="Website" dataDxfId="57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70BAA3-177E-F24D-81E5-720004E3D2F8}" name="EXP_CR" displayName="EXP_CR" ref="CA1:CK61" totalsRowShown="0" headerRowDxfId="575" dataDxfId="574" headerRowBorderDxfId="572" tableBorderDxfId="573">
  <autoFilter ref="CA1:CK61" xr:uid="{E770BAA3-177E-F24D-81E5-720004E3D2F8}"/>
  <tableColumns count="11">
    <tableColumn id="1" xr3:uid="{2C41C3EB-A4D6-0842-A095-0209A595379B}" name="Setup Location" dataDxfId="571"/>
    <tableColumn id="2" xr3:uid="{22C66206-619C-E74B-84D1-B4E21F7CE503}" name="Setup Sub-Location" dataDxfId="570"/>
    <tableColumn id="3" xr3:uid="{FE0BBB14-EBE1-6847-86BF-A20EB8E9EB86}" name="Sub-Setup Assembly" dataDxfId="569"/>
    <tableColumn id="4" xr3:uid="{DF660887-75F0-FA4D-A29D-886C2F5239D3}" name="IO type" dataDxfId="568"/>
    <tableColumn id="5" xr3:uid="{5877D868-F65C-DA49-860A-CF34B8457396}" name="Zone" dataDxfId="567">
      <calculatedColumnFormula>CR[[#This Row],[Part Type]]</calculatedColumnFormula>
    </tableColumn>
    <tableColumn id="6" xr3:uid="{683F59F4-122F-B646-B5B0-9EFAE2657D8E}" name="Device Type" dataDxfId="566">
      <calculatedColumnFormula>CR[[#This Row],[Part Nr.]]</calculatedColumnFormula>
    </tableColumn>
    <tableColumn id="7" xr3:uid="{59121C71-1212-F545-A3CD-3A869CE19963}" name="Device Tag" dataDxfId="565">
      <calculatedColumnFormula>CR[[#This Row],[UID]]</calculatedColumnFormula>
    </tableColumn>
    <tableColumn id="8" xr3:uid="{80DA1458-EDF0-8B4B-9689-568FDB07AB26}" name="Device Location" dataDxfId="564"/>
    <tableColumn id="9" xr3:uid="{0F77D2B0-A91D-6247-8BFF-A46276501063}" name="Circuit" dataDxfId="563"/>
    <tableColumn id="10" xr3:uid="{6D4D9E49-9894-4A47-A3F8-2B93F171C9A5}" name="Power Source" dataDxfId="562"/>
    <tableColumn id="11" xr3:uid="{1D55D28F-2793-374E-AADC-155D13BA54C0}" name="Status" dataDxfId="561">
      <calculatedColumnFormula>IF(CR[[#This Row],[Status]]=0,"",CR[[#This Row],[Status]])</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CB6AAE4-786F-264A-AE5A-D2E425D78637}" name="CUP" displayName="CUP" ref="A1:U51" totalsRowShown="0" headerRowDxfId="560" dataDxfId="559" headerRowBorderDxfId="557" tableBorderDxfId="558" totalsRowBorderDxfId="556" headerRowCellStyle="Normal 5">
  <autoFilter ref="A1:U51" xr:uid="{ACB6AAE4-786F-264A-AE5A-D2E425D78637}"/>
  <tableColumns count="21">
    <tableColumn id="13" xr3:uid="{D1FE9065-33B6-BA43-9870-3D8AB2A24C9B}" name="Status" dataDxfId="555"/>
    <tableColumn id="1" xr3:uid="{062697AC-0967-AC4B-BBF1-AB10F316C16E}" name="UID" dataDxfId="554"/>
    <tableColumn id="20" xr3:uid="{E0F7AFF0-46E1-004E-BB36-035D58051BA0}" name="Part Type" dataDxfId="553"/>
    <tableColumn id="2" xr3:uid="{5FC81B1F-6AF7-9346-A201-35EE49E895CD}" name="Name" dataDxfId="552"/>
    <tableColumn id="3" xr3:uid="{EA7E3801-864F-0049-8D76-69EE2FE0315B}" name="Location" dataDxfId="551"/>
    <tableColumn id="4" xr3:uid="{FD047002-38E2-5146-BC26-ECBD27933004}" name="Pressure Design (MPa)" dataDxfId="550"/>
    <tableColumn id="5" xr3:uid="{512CE575-A130-DC4A-AF98-3848438C127E}" name="Pressure Design (psi)" dataDxfId="549"/>
    <tableColumn id="6" xr3:uid="{4579BDA1-523A-4B49-92A3-0EF9B91DE1A0}" name="Temperature Design (C)" dataDxfId="548"/>
    <tableColumn id="7" xr3:uid="{DA3FB108-16B5-5745-A1FD-697C8E28DF3F}" name="Reactor Body Material" dataDxfId="547"/>
    <tableColumn id="8" xr3:uid="{2BD9DF24-B874-274A-AE85-E8ED60CCE5BA}" name="Heat Treatment" dataDxfId="546"/>
    <tableColumn id="9" xr3:uid="{253B073D-E415-AB48-9D4F-B4F986CBE2FF}" name="Corrosion" dataDxfId="545"/>
    <tableColumn id="18" xr3:uid="{61C2ECAD-5AA0-D140-9A9E-443B5C1558EB}" name="Mass Measurement Date"/>
    <tableColumn id="10" xr3:uid="{3A7D3463-FD07-6249-8CCB-4EDE9CD846BB}" name="Mass (g)" dataDxfId="544"/>
    <tableColumn id="11" xr3:uid="{AB425595-CED8-EA40-BFD9-E3ED79587EB9}" name="Thread 1" dataDxfId="543"/>
    <tableColumn id="12" xr3:uid="{7F979E2C-B3DC-2645-9E89-8CFDED8D1946}" name="Thread 2" dataDxfId="542"/>
    <tableColumn id="21" xr3:uid="{8B7BC878-BF94-E546-AF98-14775ECC4F28}" name="Profile" dataDxfId="541"/>
    <tableColumn id="14" xr3:uid="{3669989B-8F3F-43F7-B66F-BBA58747B7E9}" name="Manufacture" dataDxfId="540"/>
    <tableColumn id="15" xr3:uid="{71E0C6CC-E064-4360-B562-AFDF05A9B7D2}" name="Date Manufactured" dataDxfId="539"/>
    <tableColumn id="16" xr3:uid="{1EC6AAB6-55D1-4F57-A413-38A2995A7B71}" name="Lot #" dataDxfId="538"/>
    <tableColumn id="17" xr3:uid="{010F2135-96CF-4D52-AAB8-061426E91A47}" name="PO" dataDxfId="537"/>
    <tableColumn id="19" xr3:uid="{19E4F4DF-180A-42AA-9FAF-F203ACD4DBFC}" name="Link To Schematic Drawing" dataDxfId="53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BF677775-DD26-3245-B260-9F67C90BD043}" name="EXP_CUP" displayName="EXP_CUP" ref="CB1:CL51" totalsRowShown="0">
  <autoFilter ref="CB1:CL51" xr:uid="{BF677775-DD26-3245-B260-9F67C90BD043}"/>
  <tableColumns count="11">
    <tableColumn id="1" xr3:uid="{B0B74F10-70AB-0A4A-AAB9-46D8658989B2}" name="Setup Location"/>
    <tableColumn id="2" xr3:uid="{12C1986F-9642-5A4F-B992-64C4B149AD90}" name="Setup Sub-Location"/>
    <tableColumn id="3" xr3:uid="{A40A2AD8-BA6A-2546-A4FD-954AD541A9DD}" name="Sub-Setup Assembly"/>
    <tableColumn id="4" xr3:uid="{E31C296D-9F21-DC42-B88C-2325A751C003}" name="IO type"/>
    <tableColumn id="5" xr3:uid="{F1DF5296-F45E-8841-9971-66FC742CA2D3}" name="Zone" dataDxfId="535">
      <calculatedColumnFormula>CUP[[#This Row],[Part Type]]</calculatedColumnFormula>
    </tableColumn>
    <tableColumn id="6" xr3:uid="{CFE6EC33-4437-5443-B0B3-44E427D67FC7}" name="Device Type" dataDxfId="534">
      <calculatedColumnFormula>CUP[[#This Row],[Name]]</calculatedColumnFormula>
    </tableColumn>
    <tableColumn id="7" xr3:uid="{2A96445B-8A4E-AE4F-ACA5-72ECA861B9B5}" name="Device Tag" dataDxfId="533">
      <calculatedColumnFormula>CUP[[#This Row],[UID]]</calculatedColumnFormula>
    </tableColumn>
    <tableColumn id="8" xr3:uid="{B0AA4630-2676-0F45-85AB-039662EA6E94}" name="Device Location"/>
    <tableColumn id="9" xr3:uid="{5AD3EB59-F34F-504C-8037-F17D2F395295}" name="Circuit"/>
    <tableColumn id="10" xr3:uid="{69C8E122-8C34-3F4C-9579-EF1BF7653AF3}" name="Power Source"/>
    <tableColumn id="11" xr3:uid="{37990426-089B-0A48-826B-241076D1BA79}" name="Status" dataDxfId="532">
      <calculatedColumnFormula>IF(CUP[[#This Row],[Status]]=0,"",CUP[[#This Row],[Status]])</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CC0154-6169-9242-936B-25E8D7D5A289}" name="EL" displayName="EL" ref="A1:T51" totalsRowShown="0" headerRowDxfId="531" dataDxfId="530">
  <autoFilter ref="A1:T51" xr:uid="{6A6DFD2B-AD9B-C843-B3D5-A8442ADB39FD}"/>
  <tableColumns count="20">
    <tableColumn id="5" xr3:uid="{05F2E037-95EE-6A44-8B92-53B69FAF8570}" name="Status" dataDxfId="529"/>
    <tableColumn id="1" xr3:uid="{71954E1B-63DB-2743-A3C5-D575DF8593C1}" name="Part Type" dataDxfId="528"/>
    <tableColumn id="21" xr3:uid="{F3E66599-A0F7-AE44-B994-29165C386A04}" name="UID" dataDxfId="527"/>
    <tableColumn id="14" xr3:uid="{78E58E07-66BC-D744-9AE0-10088D0D3320}" name="Pressure Rating (psi)" dataDxfId="526"/>
    <tableColumn id="2" xr3:uid="{F82B8CE6-4135-6248-8EF9-58B00B9FE88F}" name="Part Nr." dataDxfId="525"/>
    <tableColumn id="24" xr3:uid="{0F605C88-0702-4645-A0D0-3D22268DB598}" name="Mass Measurment Date" dataDxfId="524"/>
    <tableColumn id="23" xr3:uid="{F5A797B6-CBA8-8245-876B-4EA544597898}" name="Mass (g)" dataDxfId="523"/>
    <tableColumn id="8" xr3:uid="{C22FB20A-3859-2442-A099-B920F1654693}" name="Inlet 1" dataDxfId="522"/>
    <tableColumn id="19" xr3:uid="{FABFF647-5FD6-FA46-8388-9F9984A547AF}" name="Inlet 2" dataDxfId="521"/>
    <tableColumn id="10" xr3:uid="{97506062-BBD0-DA42-B1E4-5CE9B87FE4A9}" name="Length (inch)" dataDxfId="520"/>
    <tableColumn id="15" xr3:uid="{9F4E7B1B-97D2-2E4C-A88B-A3A73611F000}" name="Width (inch)" dataDxfId="519"/>
    <tableColumn id="16" xr3:uid="{B9B6A274-B8DC-C249-A15E-16FD2E942F0B}" name="Depth (inch)" dataDxfId="518"/>
    <tableColumn id="28" xr3:uid="{6A06D380-50BA-5A44-8C49-CA69312749B6}" name="ID (inch)" dataDxfId="517"/>
    <tableColumn id="22" xr3:uid="{73E3A4B3-5ED5-0447-A881-E0BA6CD3D3BB}" name="Type" dataDxfId="516"/>
    <tableColumn id="11" xr3:uid="{5443888A-994F-D643-9CA9-30F2C34C7636}" name="Material" dataDxfId="515"/>
    <tableColumn id="3" xr3:uid="{FBC53BA4-644C-FC4A-BA1E-BB81232A1F2A}" name="Prior UnitID" dataDxfId="514"/>
    <tableColumn id="6" xr3:uid="{3EFCFF7D-D3B9-3D42-8714-3C36165B7D65}" name="Notes" dataDxfId="513"/>
    <tableColumn id="12" xr3:uid="{EEE6AA05-FD86-2340-97D1-D0992571E8AC}" name="PO" dataDxfId="512"/>
    <tableColumn id="9" xr3:uid="{CE1775BD-B6D3-9B4B-9DD9-73FACA741F94}" name="Vendor" dataDxfId="511"/>
    <tableColumn id="4" xr3:uid="{A0A617C9-F933-F940-99AD-6FE59E93646A}" name="Website" dataDxfId="51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34B7661-35E0-0A45-ADA0-C972DB4D517B}" name="Table27" displayName="Table27" ref="CA1:CK51" totalsRowShown="0" headerRowDxfId="509" dataDxfId="508" headerRowBorderDxfId="507">
  <autoFilter ref="CA1:CK51" xr:uid="{134B7661-35E0-0A45-ADA0-C972DB4D517B}"/>
  <tableColumns count="11">
    <tableColumn id="1" xr3:uid="{E32BA96B-E8BA-AB41-90C2-45301D27BBB3}" name="Setup Location" dataDxfId="506"/>
    <tableColumn id="2" xr3:uid="{58161789-15C3-D845-B466-36EC51EC9DCE}" name="Setup Sub-Location" dataDxfId="505"/>
    <tableColumn id="3" xr3:uid="{FACF670B-3AE1-8646-B1FF-0143EA98555F}" name="Sub-Setup Assembly" dataDxfId="504"/>
    <tableColumn id="4" xr3:uid="{2EED7C7C-2940-B645-82B7-C2879CC20C2C}" name="IO type" dataDxfId="503"/>
    <tableColumn id="5" xr3:uid="{4152C0A4-7371-BD49-B063-0869C810F23E}" name="Zone" dataDxfId="502">
      <calculatedColumnFormula>EL[[#This Row],[Part Type]]</calculatedColumnFormula>
    </tableColumn>
    <tableColumn id="6" xr3:uid="{269D52E6-AFBF-184F-9A8D-F68C6625DD0F}" name="Device Type" dataDxfId="501">
      <calculatedColumnFormula>EL[[#This Row],[Part Nr.]]</calculatedColumnFormula>
    </tableColumn>
    <tableColumn id="7" xr3:uid="{175C6AF7-101C-D342-99B9-349F84079F10}" name="Device Tag" dataDxfId="500">
      <calculatedColumnFormula>EL[[#This Row],[UID]]</calculatedColumnFormula>
    </tableColumn>
    <tableColumn id="8" xr3:uid="{7AED9990-E65B-6442-B692-FCF26AF81CE1}" name="Device Location" dataDxfId="499"/>
    <tableColumn id="9" xr3:uid="{9BBF8CBF-2036-1A4A-B9E9-FD496ADDA91C}" name="Circuit" dataDxfId="498"/>
    <tableColumn id="10" xr3:uid="{77E2D456-A428-AA4E-B19A-5273CE5A5DF6}" name="Power Source" dataDxfId="497"/>
    <tableColumn id="11" xr3:uid="{F8E426E1-05B7-0540-9E44-1BBE08E32F1B}" name="Status" dataDxfId="496">
      <calculatedColumnFormula>IF(EL[[#This Row],[Status]]=0,"",EL[[#This Row],[Status]])</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7852324-A180-6F49-8D34-A76051E76A57}" name="FI" displayName="FI" ref="A1:T51" totalsRowShown="0" headerRowDxfId="495" dataDxfId="494">
  <autoFilter ref="A1:T51" xr:uid="{A7852324-A180-6F49-8D34-A76051E76A57}"/>
  <tableColumns count="20">
    <tableColumn id="10" xr3:uid="{E54D3BC6-61A4-7546-AABC-41A58BB821FE}" name="Status" dataDxfId="493"/>
    <tableColumn id="1" xr3:uid="{54FAC91C-F478-1B46-A841-319261A837F1}" name="Part Type" dataDxfId="492"/>
    <tableColumn id="4" xr3:uid="{4649A582-3555-6643-81F0-EF887D3399C1}" name="UID" dataDxfId="491"/>
    <tableColumn id="14" xr3:uid="{7C0C5767-E9DD-0247-B3DD-0E0932898F11}" name="Mass Measurment Date" dataDxfId="490"/>
    <tableColumn id="3" xr3:uid="{93B1C62C-4A90-5042-8F9E-8E435EABD1EC}" name="Mass (g)" dataDxfId="489">
      <calculatedColumnFormula>#REF!-(#REF!-AVERAGEIF(E:E,FI[[#This Row],[Mass Measurment Date]],#REF!))</calculatedColumnFormula>
    </tableColumn>
    <tableColumn id="6" xr3:uid="{0D657188-47F5-C54A-9C5C-990DAE28C76A}" name="Manufacturer" dataDxfId="488"/>
    <tableColumn id="7" xr3:uid="{9DDD9389-15C9-C24E-A3F6-E9D170DE1E06}" name="Part Number" dataDxfId="487"/>
    <tableColumn id="15" xr3:uid="{DC2AB857-8AF0-E146-B100-F442E0851DB3}" name="Filter Mesh (micron)" dataDxfId="486"/>
    <tableColumn id="22" xr3:uid="{61DBC86C-399F-8C4A-AC7F-E30A997744B1}" name="Filter Disc UnitID" dataDxfId="485"/>
    <tableColumn id="8" xr3:uid="{3D340CE8-E8AC-C649-83C9-E817DBCBAB9A}" name="Pressure Rating (psi)" dataDxfId="484"/>
    <tableColumn id="12" xr3:uid="{43580B06-2DF9-2743-B66B-1CBBA29FC5E1}" name="Fitting 1" dataDxfId="483"/>
    <tableColumn id="18" xr3:uid="{E184710E-6815-F246-BBF9-3539293B4362}" name="Fitting 2" dataDxfId="482"/>
    <tableColumn id="5" xr3:uid="{EBD1ACF1-F969-194C-BA64-9B75F7C817E0}" name="Length (in)" dataDxfId="481"/>
    <tableColumn id="19" xr3:uid="{BBECB41B-28CE-FA46-B7FF-EF7189021CD7}" name="Width (in)" dataDxfId="480"/>
    <tableColumn id="16" xr3:uid="{6A0134AF-D19B-9747-8E75-49A3640A71C5}" name="Wetted Material" dataDxfId="479"/>
    <tableColumn id="11" xr3:uid="{C918C779-BADA-CD44-9049-370F1C02BA05}" name="Prior SH UnitID" dataDxfId="478"/>
    <tableColumn id="9" xr3:uid="{55673964-AA46-BC42-92D4-008E58AC242C}" name="Quantity" dataDxfId="477"/>
    <tableColumn id="21" xr3:uid="{C28C9A20-BBFE-3449-9F4D-05D5BDE7E79B}" name="PO" dataDxfId="476"/>
    <tableColumn id="20" xr3:uid="{979D9FC8-444A-A04A-BB0E-D39A0ED4E19C}" name="Vendor" dataDxfId="475"/>
    <tableColumn id="17" xr3:uid="{47171DF4-EC82-BA42-8213-F6AACFFE1A3E}" name="Website" dataDxfId="474"/>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64B2A49-FAF6-7F41-BF8B-B5E6E18A21D5}" name="Table28" displayName="Table28" ref="CA1:CK51" totalsRowShown="0" headerRowDxfId="473" dataDxfId="472" headerRowBorderDxfId="471">
  <autoFilter ref="CA1:CK51" xr:uid="{E64B2A49-FAF6-7F41-BF8B-B5E6E18A21D5}"/>
  <tableColumns count="11">
    <tableColumn id="1" xr3:uid="{9226FD11-52BE-5045-AF88-17510B8B17A8}" name="Setup Location" dataDxfId="470"/>
    <tableColumn id="2" xr3:uid="{4214B17F-206C-6F4A-A2D8-2AED6F602896}" name="Setup Sub-Location" dataDxfId="469"/>
    <tableColumn id="3" xr3:uid="{78697DA0-3C60-6A48-9E41-F723D67FD2D9}" name="Sub-Setup Assembly" dataDxfId="468"/>
    <tableColumn id="4" xr3:uid="{2288A81B-0EF4-9643-ABC7-8EF4CB33F1BD}" name="IO type" dataDxfId="467"/>
    <tableColumn id="5" xr3:uid="{CEA60A09-58DA-CA49-995B-57BF7188FEFB}" name="Zone" dataDxfId="466">
      <calculatedColumnFormula>FI[[#This Row],[Part Type]]</calculatedColumnFormula>
    </tableColumn>
    <tableColumn id="6" xr3:uid="{B8030713-05AC-CA48-B110-DA96848FB56A}" name="Device Type" dataDxfId="465">
      <calculatedColumnFormula>FI[[#This Row],[Part Number]]</calculatedColumnFormula>
    </tableColumn>
    <tableColumn id="7" xr3:uid="{1ADC1B19-C938-B645-8F6C-1E59695E1F4F}" name="Device Tag" dataDxfId="464">
      <calculatedColumnFormula>FI[[#This Row],[Filter Disc UnitID]]</calculatedColumnFormula>
    </tableColumn>
    <tableColumn id="8" xr3:uid="{DBDB33B3-20CC-9E49-90E5-FFD83C502383}" name="Device Location" dataDxfId="463"/>
    <tableColumn id="9" xr3:uid="{EA5D4DCA-0C77-1C4C-86BC-608781701DFC}" name="Circuit" dataDxfId="462"/>
    <tableColumn id="10" xr3:uid="{5AFB606B-1696-B34D-8257-6F602AF58933}" name="Power Source" dataDxfId="461"/>
    <tableColumn id="11" xr3:uid="{EAD7BECF-8495-9C43-ADDF-6766D3DE1E53}" name="Status" dataDxfId="460">
      <calculatedColumnFormula>IF(FI[[#This Row],[Status]]=0,"",FI[[#This Row],[Status]])</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2552496-E612-794B-8B3B-0758F7B3B531}" name="FUR" displayName="FUR" ref="A1:I999605" totalsRowShown="0" headerRowDxfId="459" dataDxfId="458" headerRowCellStyle="Note">
  <autoFilter ref="A1:I999605" xr:uid="{72552496-E612-794B-8B3B-0758F7B3B531}"/>
  <sortState xmlns:xlrd2="http://schemas.microsoft.com/office/spreadsheetml/2017/richdata2" ref="A2:I1056">
    <sortCondition ref="C1:C999605"/>
  </sortState>
  <tableColumns count="9">
    <tableColumn id="1" xr3:uid="{486F59A3-CFBD-834F-A7D6-F9D7B85712EA}" name="Status" dataDxfId="457"/>
    <tableColumn id="10" xr3:uid="{F037D7C2-14B8-8C46-81E3-E3EBF97D6034}" name="Part Type" dataDxfId="456"/>
    <tableColumn id="2" xr3:uid="{1E783498-5F26-8743-954E-265C91780B6D}" name="UID" dataDxfId="455"/>
    <tableColumn id="3" xr3:uid="{A690DE94-F521-B747-AE69-17DA6FB38ADD}" name="Chemicals" dataDxfId="454"/>
    <tableColumn id="4" xr3:uid="{1E1B1EE6-EB4A-1F4A-A48A-336CA650386F}" name="Weight Initial (g)" dataDxfId="453"/>
    <tableColumn id="5" xr3:uid="{38AEC4FE-725C-9F4A-ACE8-4F2233A46522}" name="Density Effective (g cm-3)" dataDxfId="452"/>
    <tableColumn id="6" xr3:uid="{58A13D3F-EE92-8E48-AA06-96FDA2DF1E4F}" name="Volume (ml)" dataDxfId="451"/>
    <tableColumn id="7" xr3:uid="{7BBC9478-66E3-FA4E-96DA-4CEAF2E893E5}" name="Date Manufactured" dataDxfId="450"/>
    <tableColumn id="8" xr3:uid="{65778425-BA54-0E4E-86BF-4594D86D54CB}" name="Notes" dataDxfId="449"/>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F535033-EC84-C448-B62C-A5EC54215E9F}" name="EXP_FUR" displayName="EXP_FUR" ref="CA1:CK1056" totalsRowShown="0" headerRowDxfId="448" dataDxfId="447" headerRowBorderDxfId="446">
  <autoFilter ref="CA1:CK1056" xr:uid="{EF535033-EC84-C448-B62C-A5EC54215E9F}"/>
  <tableColumns count="11">
    <tableColumn id="1" xr3:uid="{419645AD-D771-F348-BB95-47E3838A24F5}" name="Setup Location" dataDxfId="445"/>
    <tableColumn id="2" xr3:uid="{507FE8B4-1CED-3B46-A167-7B35C00C4AF9}" name="Setup Sub-Location" dataDxfId="444"/>
    <tableColumn id="3" xr3:uid="{FB2C289A-6F74-704A-8156-EB39220AF12D}" name="Sub-Setup Assembly" dataDxfId="443"/>
    <tableColumn id="4" xr3:uid="{1CA4825A-0E79-E04D-BA58-926219433F8D}" name="IO type" dataDxfId="442"/>
    <tableColumn id="5" xr3:uid="{7BDA8297-E652-A640-83EE-8828CF497832}" name="Zone" dataDxfId="441">
      <calculatedColumnFormula>FUR[[#This Row],[Part Type]]</calculatedColumnFormula>
    </tableColumn>
    <tableColumn id="6" xr3:uid="{873686B5-93B7-0F4D-BE3F-B3B8A4DD2BF7}" name="Device Type" dataDxfId="440">
      <calculatedColumnFormula>FUR[[#This Row],[Chemicals]]</calculatedColumnFormula>
    </tableColumn>
    <tableColumn id="7" xr3:uid="{7335F0F8-798F-F84A-8453-C46AD646EFDB}" name="Device Tag" dataDxfId="439">
      <calculatedColumnFormula>FUR[[#This Row],[UID]]</calculatedColumnFormula>
    </tableColumn>
    <tableColumn id="8" xr3:uid="{9B2AE351-8EC5-194B-86BD-0E7D7A20DCD9}" name="Device Location" dataDxfId="438"/>
    <tableColumn id="9" xr3:uid="{04111A09-3FCF-A044-A1D8-743328C89442}" name="Circuit" dataDxfId="437"/>
    <tableColumn id="10" xr3:uid="{37C26A60-D6C9-6C4E-BB80-D8B11EF97012}" name="Power Source" dataDxfId="436"/>
    <tableColumn id="11" xr3:uid="{4FCA3A95-D868-3A4D-923B-DB529C05D631}" name="Status" dataDxfId="435">
      <calculatedColumnFormula>IF(FUR[[#This Row],[Status]]=0,"",FUR[[#This Row],[Status]])</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5A80269-5098-6744-933C-62DE57CF1BBA}" name="GKT" displayName="GKT" ref="A1:N101" totalsRowShown="0" headerRowDxfId="434" dataDxfId="433" headerRowBorderDxfId="431" tableBorderDxfId="432" headerRowCellStyle="Note">
  <autoFilter ref="A1:N101" xr:uid="{F883633D-E8A0-054E-B41D-A6105E3A4E9B}"/>
  <tableColumns count="14">
    <tableColumn id="1" xr3:uid="{58354C5B-C17D-B14B-869F-43DDC3900253}" name="Status" dataDxfId="430"/>
    <tableColumn id="13" xr3:uid="{78163514-F569-2B46-8297-E9032CE02F35}" name="Part Type" dataDxfId="429"/>
    <tableColumn id="12" xr3:uid="{EF9A5B69-B912-1F47-88A4-B65D276DA637}" name="UID" dataDxfId="428"/>
    <tableColumn id="2" xr3:uid="{DB89E5AE-B422-A44F-B59C-589A1932E2C7}" name="Description Name" dataDxfId="427"/>
    <tableColumn id="8" xr3:uid="{86430168-A038-FE4D-89C0-5FA1C655DD72}" name="Autoclave Type" dataDxfId="426"/>
    <tableColumn id="3" xr3:uid="{FFF9F056-372F-2948-99FC-4313D05275CA}" name="Material" dataDxfId="425"/>
    <tableColumn id="4" xr3:uid="{83C93F9E-D630-0C47-B29D-0B0FD53B22A4}" name="Coating" dataDxfId="424"/>
    <tableColumn id="14" xr3:uid="{B376AD2C-7292-4D84-B89E-15F4AB294FF2}" name="Profile" dataDxfId="423"/>
    <tableColumn id="5" xr3:uid="{55CBEB44-95A9-8F43-BF63-B0600A847B34}" name="Design Date" dataDxfId="422"/>
    <tableColumn id="7" xr3:uid="{831C0D63-D2DE-1B40-AD8A-AE8D4C60F07D}" name="Quantity" dataDxfId="421"/>
    <tableColumn id="10" xr3:uid="{73726F8F-2F46-4459-A872-4877FA5F5084}" name="Lot" dataDxfId="420"/>
    <tableColumn id="9" xr3:uid="{640619C0-C81C-486E-85E5-96B1903A1A85}" name="PO" dataDxfId="419"/>
    <tableColumn id="11" xr3:uid="{D93B5185-23A3-AE4D-93FD-BC4CC42E490A}" name="Link To Schematic Drawing" dataDxfId="418"/>
    <tableColumn id="6" xr3:uid="{11ACCE78-70BB-C647-95B7-3849A705B5EC}" name="Notes" dataDxfId="417"/>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5252140-4BE1-3142-904E-51F64B1E0F61}" name="EXP_GKT" displayName="EXP_GKT" ref="CB1:CL101" totalsRowShown="0" headerRowDxfId="416" headerRowBorderDxfId="415">
  <autoFilter ref="CB1:CL101" xr:uid="{45252140-4BE1-3142-904E-51F64B1E0F61}"/>
  <tableColumns count="11">
    <tableColumn id="1" xr3:uid="{62758937-C354-4742-96CA-F3309FC22000}" name="Setup Location"/>
    <tableColumn id="2" xr3:uid="{4ABB5C1C-331C-5B49-9B53-5EC8F7F0EC5D}" name="Setup Sub-Location"/>
    <tableColumn id="3" xr3:uid="{F8F20FA0-878F-F44D-AA77-AC8BB8103B7A}" name="Sub-Setup Assembly"/>
    <tableColumn id="4" xr3:uid="{E33102DC-75F1-EF4D-A1EF-E2A65B223787}" name="IO type"/>
    <tableColumn id="5" xr3:uid="{2878DC07-6CA1-B24D-9BFB-B5FAA357C51B}" name="Zone" dataDxfId="414">
      <calculatedColumnFormula>GKT[[#This Row],[Part Type]]</calculatedColumnFormula>
    </tableColumn>
    <tableColumn id="6" xr3:uid="{2A6E297B-3E0C-FA43-BBF4-92C6BF7D0AB1}" name="Device Type" dataDxfId="413">
      <calculatedColumnFormula>GKT[[#This Row],[Description Name]]</calculatedColumnFormula>
    </tableColumn>
    <tableColumn id="7" xr3:uid="{E2A056D6-5842-1245-833E-57603CEDCDB3}" name="Device Tag" dataDxfId="412">
      <calculatedColumnFormula>GKT[[#This Row],[UID]]</calculatedColumnFormula>
    </tableColumn>
    <tableColumn id="8" xr3:uid="{CA3114B1-FB3A-1449-A083-11F08F3448FD}" name="Device Location"/>
    <tableColumn id="9" xr3:uid="{3BC1FBA3-A987-8F40-B427-B6FC3ADB7155}" name="Circuit"/>
    <tableColumn id="10" xr3:uid="{AD964D91-61A0-3642-BEEE-505B382E0E0A}" name="Power Source"/>
    <tableColumn id="11" xr3:uid="{A70E98DA-CD63-5D44-8ADB-E7B9FF05B78D}" name="Status" dataDxfId="411">
      <calculatedColumnFormula>IF(GKT[[#This Row],[Status]]=0,"",GKT[[#This Row],[Status]])</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0B9125-0166-984C-AA18-3ED150EF6660}" name="GN" displayName="GN" ref="A1:P101" totalsRowShown="0" headerRowDxfId="410" dataDxfId="409" headerRowCellStyle="Normal 5" dataCellStyle="Normal 5">
  <autoFilter ref="A1:P101" xr:uid="{74C86AF0-AABB-6E47-B5EB-D71A0A99DCE7}"/>
  <tableColumns count="16">
    <tableColumn id="14" xr3:uid="{926D6526-7C42-7E4A-A151-AAB0F88BF138}" name="Status" dataDxfId="408" dataCellStyle="Normal 5"/>
    <tableColumn id="16" xr3:uid="{77CDB88D-0AD6-954F-AE6E-8A63C0245F71}" name="Part Type" dataDxfId="407" dataCellStyle="Normal 5"/>
    <tableColumn id="1" xr3:uid="{02F970FC-605E-6E48-87D3-BEB53D93231C}" name="UID" dataDxfId="406" dataCellStyle="Normal 5"/>
    <tableColumn id="2" xr3:uid="{8ECEEB3B-8976-754D-B5D9-FE865B29E474}" name="Name" dataDxfId="405" dataCellStyle="Normal 5"/>
    <tableColumn id="3" xr3:uid="{24D843A6-8081-1148-AE6F-29C74B4E9D96}" name="Location" dataDxfId="404" dataCellStyle="Normal 5"/>
    <tableColumn id="4" xr3:uid="{CFC5BC96-E51C-064D-828B-62BF426A5150}" name="Pressure Design (MPa)" dataDxfId="403" dataCellStyle="Normal 5"/>
    <tableColumn id="5" xr3:uid="{479E5122-E3A7-FA45-8547-1F255D7937BE}" name="Pressure Design (psi)" dataDxfId="402" dataCellStyle="Normal 5"/>
    <tableColumn id="6" xr3:uid="{F6FF13C7-473D-E546-A0A4-A6B85189A3B6}" name="Temperature Design (C)" dataDxfId="401" dataCellStyle="Normal 5"/>
    <tableColumn id="7" xr3:uid="{D106DBBB-842E-D24C-BE8C-8650C7B01436}" name="Reactor Body Material" dataDxfId="400" dataCellStyle="Normal 5"/>
    <tableColumn id="8" xr3:uid="{EB79FD48-023A-BB4B-B547-4023529C4CD0}" name="Heat Treatment" dataDxfId="399" dataCellStyle="Normal 5"/>
    <tableColumn id="9" xr3:uid="{52B4AEAC-A1F2-D844-87CF-CFBF2652286C}" name="Corrosion" dataDxfId="398" dataCellStyle="Normal 5"/>
    <tableColumn id="13" xr3:uid="{4B03DDEB-F6F7-3348-984F-DA88DF655394}" name="Mass Measurement Date" dataDxfId="397" dataCellStyle="Normal 5"/>
    <tableColumn id="10" xr3:uid="{551F0E2C-3D94-0C4F-A860-C03799569B7D}" name="Mass (g)" dataDxfId="396"/>
    <tableColumn id="11" xr3:uid="{ACFB32CD-C905-6646-8C3A-F95091F3DF28}" name="Body Thread" dataDxfId="395" dataCellStyle="Normal 5"/>
    <tableColumn id="12" xr3:uid="{19567F3D-A91B-2C46-9F2C-9CB770E33904}" name="Bolt Thread" dataDxfId="394" dataCellStyle="Normal 5"/>
    <tableColumn id="15" xr3:uid="{839EEB06-C6C5-EE40-8655-564F1CC4675D}" name="Link To Schematic Drawing" dataDxfId="393" dataCellStyle="Normal 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6087279-56EC-0942-80F8-D79CB85BA66D}" name="EXP_GN" displayName="EXP_GN" ref="CA1:CK101" totalsRowShown="0" headerRowDxfId="392" headerRowBorderDxfId="391">
  <autoFilter ref="CA1:CK101" xr:uid="{66087279-56EC-0942-80F8-D79CB85BA66D}"/>
  <tableColumns count="11">
    <tableColumn id="1" xr3:uid="{28E9444F-8276-BF47-98CB-07B0B7C1E178}" name="Setup Location"/>
    <tableColumn id="2" xr3:uid="{512C7AF4-6B90-0240-86A0-3336F6B8B3A6}" name="Setup Sub-Location"/>
    <tableColumn id="3" xr3:uid="{12186305-507E-634C-A634-89C9BB30CD5D}" name="Sub-Setup Assembly"/>
    <tableColumn id="4" xr3:uid="{0DE415E4-EAC9-2D40-BDE4-14B7ACFED755}" name="IO type"/>
    <tableColumn id="5" xr3:uid="{4B49F4CC-94F1-6542-9597-16D0A44E5063}" name="Zone" dataDxfId="390">
      <calculatedColumnFormula>IF(GN[[#This Row],[Part Type]]=0,"",GN[[#This Row],[Part Type]])</calculatedColumnFormula>
    </tableColumn>
    <tableColumn id="6" xr3:uid="{AB9E7902-3F33-1F49-998D-2ECE8926A5B5}" name="Device Type" dataDxfId="389">
      <calculatedColumnFormula>IF(GN[[#This Row],[Name]]=0,"",GN[[#This Row],[Name]])</calculatedColumnFormula>
    </tableColumn>
    <tableColumn id="7" xr3:uid="{4E27B411-B7A9-8545-AA71-D1A1DB69D9C6}" name="Device Tag" dataDxfId="388">
      <calculatedColumnFormula>GN[[#This Row],[UID]]</calculatedColumnFormula>
    </tableColumn>
    <tableColumn id="8" xr3:uid="{9DAF933B-2DE9-A043-BD86-828D66EAF052}" name="Device Location"/>
    <tableColumn id="9" xr3:uid="{5B5ABD01-4503-1844-9BAB-483C2273C311}" name="Circuit"/>
    <tableColumn id="10" xr3:uid="{5D949786-EC7B-4D4E-9F2D-F9D1D6BD12F3}" name="Power Source"/>
    <tableColumn id="11" xr3:uid="{E3DAC260-AE6C-7B45-ABB3-C7DDFF4C820D}" name="Status" dataDxfId="387">
      <calculatedColumnFormula>IF(GN[[#This Row],[Status]]=0,"",GN[[#This Row],[Status]])</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B6A818-2143-1049-8D1C-4195A673B0D2}" name="HDA" displayName="HDA" ref="A1:P135" totalsRowShown="0" headerRowDxfId="386" dataDxfId="385">
  <autoFilter ref="A1:P135" xr:uid="{E6A28BD5-1976-9443-98BF-FCC5EE000680}"/>
  <sortState xmlns:xlrd2="http://schemas.microsoft.com/office/spreadsheetml/2017/richdata2" ref="B2:O90">
    <sortCondition ref="B1:B90"/>
  </sortState>
  <tableColumns count="16">
    <tableColumn id="10" xr3:uid="{ABCBA575-1835-894A-AAFE-1E69A0ADE0A0}" name="Status" dataDxfId="384" dataCellStyle="Normal 4"/>
    <tableColumn id="1" xr3:uid="{C0AD3413-358A-3442-8A29-752A5961B3B2}" name="UID" dataDxfId="383"/>
    <tableColumn id="3" xr3:uid="{F1BB8EA9-A31D-D14C-9A21-B8D91BAD97C4}" name="Pressure Design (psi)" dataDxfId="382"/>
    <tableColumn id="21" xr3:uid="{6CF75DEB-DAE3-964A-BB5F-C367C222FD22}" name="Valve UnitID" dataDxfId="381"/>
    <tableColumn id="7" xr3:uid="{7B3D7232-C44C-A64D-B91F-4EB0D2C34EC8}" name="Safety Head UnitID" dataDxfId="380"/>
    <tableColumn id="14" xr3:uid="{30DF94C4-D1C6-FB4D-8D0F-B9A4F5407463}" name="Junction (Main) UnitID" dataDxfId="379"/>
    <tableColumn id="12" xr3:uid="{C7FBBD40-D307-814B-ADA0-7FDFC1703C8C}" name="Adaptor (to AC) UnitID" dataDxfId="378"/>
    <tableColumn id="2" xr3:uid="{58643D81-E0F5-2241-8240-7FB240655A74}" name="Tubing (to SH) UnitID" dataDxfId="377"/>
    <tableColumn id="5" xr3:uid="{338971B1-6677-BE47-B489-EE0B227EB763}" name="Tubing (to NV) UnitID" dataDxfId="376"/>
    <tableColumn id="6" xr3:uid="{A20665BD-C979-E145-9B96-8390F3D46678}" name="Tubing (to PT) UnitID" dataDxfId="375"/>
    <tableColumn id="9" xr3:uid="{AAFFF6BD-845A-5948-9B23-5E34588DCEEF}" name="Torque Tigtening (ft lbs)" dataDxfId="374"/>
    <tableColumn id="4" xr3:uid="{68F13626-431E-1B4F-A3AE-95A6A1C3F857}" name="Lubricant" dataDxfId="373"/>
    <tableColumn id="8" xr3:uid="{2BE9E060-18C3-1641-B089-4CC30A6F177E}" name="Default Autoclave Body UnitID" dataDxfId="372"/>
    <tableColumn id="19" xr3:uid="{068568D3-4AAC-D643-9BA2-4229B8379D23}" name="Prior HA UnitID" dataDxfId="371"/>
    <tableColumn id="20" xr3:uid="{41C22F46-180B-064F-B27B-836DF53A24A0}" name="PT UnitID" dataDxfId="370"/>
    <tableColumn id="11" xr3:uid="{D0BF2C37-1F83-6B43-A544-D5804C50A441}" name="Date Assembled" dataDxfId="36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9B7C821-9BAD-4544-9EBB-D26956D7EE57}" name="EXP_HDA" displayName="EXP_HDA" ref="CA1:CJ135" totalsRowShown="0" headerRowDxfId="368" dataDxfId="367" headerRowBorderDxfId="365" tableBorderDxfId="366" dataCellStyle="Normal 4">
  <autoFilter ref="CA1:CJ135" xr:uid="{C9B7C821-9BAD-4544-9EBB-D26956D7EE57}"/>
  <tableColumns count="10">
    <tableColumn id="1" xr3:uid="{E3014FF4-925C-A14D-BB65-C770B72413D9}" name="Head Assembly UID" dataDxfId="364" dataCellStyle="Normal 4">
      <calculatedColumnFormula>HDA[[#This Row],[UID]]</calculatedColumnFormula>
    </tableColumn>
    <tableColumn id="2" xr3:uid="{64F43CA5-2C49-9A48-A74E-FEF91689A95C}" name="Valve (Needle)" dataDxfId="363" dataCellStyle="Normal 4">
      <calculatedColumnFormula>HDA[[#This Row],[Valve UnitID]]</calculatedColumnFormula>
    </tableColumn>
    <tableColumn id="3" xr3:uid="{4C667343-5060-5D41-B45D-EF448EDF65A6}" name="Safety Head" dataDxfId="362" dataCellStyle="Normal 4">
      <calculatedColumnFormula>HDA[[#This Row],[Safety Head UnitID]]</calculatedColumnFormula>
    </tableColumn>
    <tableColumn id="4" xr3:uid="{C780847E-B3CA-D741-A34A-E9B5C6E6133C}" name="Cross Junction" dataDxfId="361" dataCellStyle="Normal 4">
      <calculatedColumnFormula>HDA[[#This Row],[Junction (Main) UnitID]]</calculatedColumnFormula>
    </tableColumn>
    <tableColumn id="5" xr3:uid="{E1FC992B-37A9-6E4A-91AC-AEC8A061B74E}" name="Tubing (RD)" dataDxfId="360" dataCellStyle="Normal 4">
      <calculatedColumnFormula>HDA[[#This Row],[Tubing (to SH) UnitID]]</calculatedColumnFormula>
    </tableColumn>
    <tableColumn id="6" xr3:uid="{B87364F6-D4E2-F445-B0CE-47A6A66A58E4}" name="Tubing (NV)" dataDxfId="359" dataCellStyle="Normal 4">
      <calculatedColumnFormula>HDA[[#This Row],[Tubing (to NV) UnitID]]</calculatedColumnFormula>
    </tableColumn>
    <tableColumn id="7" xr3:uid="{40F27B9D-341A-2845-A29E-8259EB8EB560}" name="Tubing (PT)" dataDxfId="358" dataCellStyle="Normal 4">
      <calculatedColumnFormula>HDA[[#This Row],[Tubing (to PT) UnitID]]</calculatedColumnFormula>
    </tableColumn>
    <tableColumn id="8" xr3:uid="{1FD80368-A414-7441-883B-AF9B05CBCC72}" name="Body Assignment" dataDxfId="357" dataCellStyle="Normal 4">
      <calculatedColumnFormula>HDA[[#This Row],[Default Autoclave Body UnitID]]</calculatedColumnFormula>
    </tableColumn>
    <tableColumn id="9" xr3:uid="{8FDC5234-C03D-4040-951D-7570C79C7DE4}" name="PT" dataDxfId="356" dataCellStyle="Normal 4">
      <calculatedColumnFormula>HDA[[#This Row],[PT UnitID]]</calculatedColumnFormula>
    </tableColumn>
    <tableColumn id="10" xr3:uid="{B55BA3F1-2E34-9540-BB14-D5F9A5A59932}" name="Status" dataDxfId="355" dataCellStyle="Normal 4">
      <calculatedColumnFormula>IF(HDA[[#This Row],[Status]]=0,"",HDA[[#This Row],[Status]])</calculatedColumnFormula>
    </tableColum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6BAB1E0-A780-7747-AD03-65E6CB7253B2}" name="NUT" displayName="NUT" ref="A1:T101" totalsRowShown="0" headerRowDxfId="354" dataDxfId="353" headerRowBorderDxfId="351" tableBorderDxfId="352" totalsRowBorderDxfId="350" headerRowCellStyle="Normal 5">
  <autoFilter ref="A1:T101" xr:uid="{C6BAB1E0-A780-7747-AD03-65E6CB7253B2}"/>
  <tableColumns count="20">
    <tableColumn id="1" xr3:uid="{C0E362B5-073D-7A45-A166-B9989C472A4E}" name="Status" dataDxfId="349"/>
    <tableColumn id="19" xr3:uid="{59B8DFF0-5AE8-794F-9814-F76E6249D817}" name="Part Type" dataDxfId="348"/>
    <tableColumn id="2" xr3:uid="{6FC17EDA-F5B4-3043-B9E4-008CE486BF44}" name="UID" dataDxfId="347" dataCellStyle="Normal 5"/>
    <tableColumn id="3" xr3:uid="{4D4FF111-1A8E-474C-8C9C-E5FDD2A4B519}" name="Name" dataDxfId="346" dataCellStyle="Normal 5"/>
    <tableColumn id="4" xr3:uid="{16F12113-5C0C-BC48-907D-4F0DCBF780B0}" name="Location" dataDxfId="345" dataCellStyle="Normal 5"/>
    <tableColumn id="5" xr3:uid="{429F5325-DE5B-934A-B5AF-02EA5090E2E8}" name="Pressure Design (MPa)" dataDxfId="344" dataCellStyle="Normal 5"/>
    <tableColumn id="6" xr3:uid="{F1C49518-6640-2A4C-A0F3-3E9C6034A13E}" name="Pressure Design (psi)" dataDxfId="343" dataCellStyle="Normal 5"/>
    <tableColumn id="7" xr3:uid="{20614508-4C92-A044-A377-729CE7552EE1}" name="Temperature Design (C)" dataDxfId="342" dataCellStyle="Normal 5"/>
    <tableColumn id="8" xr3:uid="{86A1A4DB-3E93-ED4B-9C31-B635C3EDA3CF}" name="Reactor Body Material" dataDxfId="341" dataCellStyle="Normal 5"/>
    <tableColumn id="9" xr3:uid="{7CC84B2D-D6EC-914B-AF41-2CFD3F501E65}" name="Heat Treatment" dataDxfId="340" dataCellStyle="Normal 5"/>
    <tableColumn id="10" xr3:uid="{971DE038-8FE4-1E46-AE3A-C77E871B084C}" name="Corrosion" dataDxfId="339" dataCellStyle="Normal 5"/>
    <tableColumn id="17" xr3:uid="{4A219F1B-5130-BA4B-8C04-80C24CD6C556}" name="Mass Measurement Date" dataDxfId="338" dataCellStyle="Normal 5"/>
    <tableColumn id="11" xr3:uid="{B77ED3EE-7552-FC4C-B43A-E31FD5BEBF42}" name="Mass (g)" dataDxfId="337"/>
    <tableColumn id="12" xr3:uid="{935797A7-2430-0E49-AFC0-20A0F87FAB0A}" name="Thread" dataDxfId="336"/>
    <tableColumn id="20" xr3:uid="{2DAD340D-E98D-48B2-B2BC-CA7766FE943D}" name="Profile" dataDxfId="335"/>
    <tableColumn id="13" xr3:uid="{7F9B0999-2BBB-48CD-819B-EAE63B52E1C3}" name="Manufacture" dataDxfId="334" dataCellStyle="Normal 5"/>
    <tableColumn id="14" xr3:uid="{E3203CE4-EB00-40B8-AEC6-D8E2738C882D}" name="Date Manufactured" dataDxfId="333" dataCellStyle="Normal 5"/>
    <tableColumn id="15" xr3:uid="{ED70E2F9-EDE3-4591-BA49-499177887F06}" name="Lot #" dataDxfId="332" dataCellStyle="Normal 5"/>
    <tableColumn id="16" xr3:uid="{0307D531-D0D8-4674-BEBE-A8A96F201ED5}" name="PO" dataDxfId="331" dataCellStyle="Normal 5"/>
    <tableColumn id="18" xr3:uid="{F8334C60-99F0-4EE6-B3ED-C575B1C7DDDC}" name="Link To Schematic Drawing" dataDxfId="330" dataCellStyle="Normal 5"/>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FCEB3D2-C63F-AC45-9B34-958817083378}" name="EXP_NUT" displayName="EXP_NUT" ref="CB1:CL101" totalsRowShown="0" headerRowDxfId="329" headerRowBorderDxfId="328">
  <autoFilter ref="CB1:CL101" xr:uid="{5FCEB3D2-C63F-AC45-9B34-958817083378}"/>
  <tableColumns count="11">
    <tableColumn id="1" xr3:uid="{E9BAF5AC-EA15-3D47-B75C-BA8780CECF11}" name="Setup Location"/>
    <tableColumn id="2" xr3:uid="{7DECF378-4775-F748-8039-7F158E0ED4CB}" name="Setup Sub-Location"/>
    <tableColumn id="3" xr3:uid="{D7ACA088-CCD4-0C43-9189-BF64FD16CF43}" name="Sub-Setup Assembly"/>
    <tableColumn id="4" xr3:uid="{D66A57CA-FC6A-3D43-9A0E-789BD8BF511D}" name="IO type"/>
    <tableColumn id="5" xr3:uid="{EFF41F35-D094-EF49-8DF8-0D69BAB9F9C8}" name="Zone" dataDxfId="327">
      <calculatedColumnFormula>NUT[[#This Row],[Part Type]]</calculatedColumnFormula>
    </tableColumn>
    <tableColumn id="6" xr3:uid="{7B197954-0C0A-E143-82BF-E18EA0178D59}" name="Device Type" dataDxfId="326">
      <calculatedColumnFormula>NUT[[#This Row],[Name]]</calculatedColumnFormula>
    </tableColumn>
    <tableColumn id="7" xr3:uid="{C6482B38-6A05-E342-8FDB-65882DB9DB5F}" name="Device Tag" dataDxfId="325">
      <calculatedColumnFormula>IF(NUT[[#This Row],[UID]]=0,"",NUT[[#This Row],[UID]])</calculatedColumnFormula>
    </tableColumn>
    <tableColumn id="8" xr3:uid="{EA21B09B-BE9E-6D42-B84A-C1F97FF229FF}" name="Device Location"/>
    <tableColumn id="9" xr3:uid="{7A942C3E-2131-2F47-A424-498C059A662F}" name="Circuit"/>
    <tableColumn id="10" xr3:uid="{1C3242CA-FD24-474F-9852-B71938C76961}" name="Power Source"/>
    <tableColumn id="11" xr3:uid="{65CA6885-4B59-9548-8DB0-220434A13793}" name="Status" dataDxfId="324">
      <calculatedColumnFormula>IF(NUT[[#This Row],[Status]]=0,"",NUT[[#This Row],[Status]])</calculatedColumnFormula>
    </tableColum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EF54522-294E-E243-9A96-1142351BD437}" name="NV_23" displayName="NV_23" ref="A1:P151" totalsRowShown="0" headerRowDxfId="323" dataDxfId="322">
  <autoFilter ref="A1:P151" xr:uid="{6A6DFD2B-AD9B-C843-B3D5-A8442ADB39FD}"/>
  <tableColumns count="16">
    <tableColumn id="5" xr3:uid="{3A1AEECA-46FE-E440-B10E-D64D8D5D64F3}" name="Status" dataDxfId="321"/>
    <tableColumn id="1" xr3:uid="{4246AE00-DAF4-DD4A-91E0-1B8EDB787E4C}" name="Part Type" dataDxfId="320"/>
    <tableColumn id="21" xr3:uid="{F0C8E099-2E7F-254C-A588-7778BAEE4595}" name="UID" dataDxfId="319"/>
    <tableColumn id="2" xr3:uid="{8245F8CC-38EA-D84D-A9C0-52F8CA1BB3EB}" name="Part Nr." dataDxfId="318"/>
    <tableColumn id="24" xr3:uid="{A8495E95-E1A7-0C49-8152-20F7C54CF54E}" name="Mass Measurment Date" dataDxfId="317"/>
    <tableColumn id="23" xr3:uid="{C6614CAA-304D-304B-88FF-0E9176311BBB}" name="Mass (g)" dataDxfId="316"/>
    <tableColumn id="27" xr3:uid="{8D64B5AD-B002-3143-A3B2-39C65B8BF96C}" name="CV" dataDxfId="315"/>
    <tableColumn id="10" xr3:uid="{FE50C425-1335-CF41-BD9F-EDABBF811B31}" name="OD (inch)" dataDxfId="314"/>
    <tableColumn id="15" xr3:uid="{05CB41A8-5C93-EC46-BEFB-0E36CD47F771}" name="Depth (inch)" dataDxfId="313"/>
    <tableColumn id="16" xr3:uid="{1795451F-1207-AC4B-93E4-388D494B6979}" name="Thread" dataDxfId="312"/>
    <tableColumn id="28" xr3:uid="{089F2A06-46B8-974F-B968-FC90492A5AE8}" name="Number of bolts" dataDxfId="311"/>
    <tableColumn id="11" xr3:uid="{E491DFD5-C2E2-5B49-A169-FB5796766516}" name="Material" dataDxfId="310"/>
    <tableColumn id="6" xr3:uid="{8F1011AA-FBDD-1548-B932-F56F10D45CFC}" name="Notes" dataDxfId="309"/>
    <tableColumn id="12" xr3:uid="{6E0A37EF-2CA0-C44E-9976-C03635C0F6F5}" name="PO" dataDxfId="308"/>
    <tableColumn id="9" xr3:uid="{E110C27D-7EB3-604B-9576-2291F67CCF82}" name="Vendor" dataDxfId="307"/>
    <tableColumn id="4" xr3:uid="{81BD82B6-E384-4549-9C36-278296A82349}" name="Website" dataDxfId="306"/>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2435FE2-5BC5-8949-A4B7-FC1621E0424D}" name="EXP_NV24" displayName="EXP_NV24" ref="BU1:CE151" totalsRowShown="0" headerRowDxfId="305" dataDxfId="304" headerRowBorderDxfId="303">
  <autoFilter ref="BU1:CE151" xr:uid="{A408AF08-1CA6-3F48-8329-C4C3C7DE1E8D}"/>
  <tableColumns count="11">
    <tableColumn id="1" xr3:uid="{BB30E2F1-E07A-E14E-9586-E795CD6E07EF}" name="Setup Location" dataDxfId="302"/>
    <tableColumn id="2" xr3:uid="{CDCAD57C-0646-CE46-A228-2BCFFBDBB968}" name="Setup Sub-Location" dataDxfId="301"/>
    <tableColumn id="3" xr3:uid="{2D92E9D5-445C-9B49-899F-0F6FB3445560}" name="Sub-Setup Assembly" dataDxfId="300"/>
    <tableColumn id="4" xr3:uid="{2627DA8F-9F1E-8A4D-8598-2E368C914C4C}" name="IO type" dataDxfId="299"/>
    <tableColumn id="5" xr3:uid="{388035C0-C71A-A54A-A62D-4E8D62280C43}" name="Zone" dataDxfId="298">
      <calculatedColumnFormula>NV_23[[#This Row],[Part Type]]</calculatedColumnFormula>
    </tableColumn>
    <tableColumn id="6" xr3:uid="{8BC71D07-9208-AD48-8A36-88BFD24F75EA}" name="Device Type" dataDxfId="297">
      <calculatedColumnFormula>NV_23[[#This Row],[Part Nr.]]</calculatedColumnFormula>
    </tableColumn>
    <tableColumn id="7" xr3:uid="{FB01B1CB-6FDA-9B4B-9D7F-FD3D7B68F537}" name="Device Tag" dataDxfId="296">
      <calculatedColumnFormula>IF(NV_23[[#This Row],[UID]]=0,"",NV_23[[#This Row],[UID]])</calculatedColumnFormula>
    </tableColumn>
    <tableColumn id="8" xr3:uid="{2BD0094A-DFB5-194A-819F-F08E525E2226}" name="Device Location" dataDxfId="295"/>
    <tableColumn id="9" xr3:uid="{E6DB506F-2AF7-A741-96DE-8550617BBC77}" name="Circuit" dataDxfId="294"/>
    <tableColumn id="10" xr3:uid="{D124E91F-968A-3C42-B51B-EC2EBD9A9A29}" name="Power Source" dataDxfId="293"/>
    <tableColumn id="11" xr3:uid="{66682B91-405E-DA45-9E26-55104608D6A9}" name="Status" dataDxfId="292">
      <calculatedColumnFormula>IF(NV_23[[#This Row],[Status]]=0,"",NV_23[[#This Row],[Status]])</calculatedColumnFormula>
    </tableColumn>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6DFD2B-AD9B-C843-B3D5-A8442ADB39FD}" name="NV" displayName="NV" ref="A1:V151" totalsRowShown="0" headerRowDxfId="291" dataDxfId="290">
  <autoFilter ref="A1:V151" xr:uid="{6A6DFD2B-AD9B-C843-B3D5-A8442ADB39FD}"/>
  <tableColumns count="22">
    <tableColumn id="5" xr3:uid="{92B3DC3B-ECBE-3744-A9BF-756FC8CDD56A}" name="Status" dataDxfId="289"/>
    <tableColumn id="1" xr3:uid="{C826B03D-E461-BB45-AAF1-E8C51961AD7B}" name="Part Type" dataDxfId="288"/>
    <tableColumn id="21" xr3:uid="{F18D8289-F73F-A244-A45D-479D32B4C45D}" name="UID" dataDxfId="287"/>
    <tableColumn id="14" xr3:uid="{C9C4B3FF-CAF0-7048-91D4-9D86500C18BF}" name="Pressure Rating (psi)" dataDxfId="286"/>
    <tableColumn id="2" xr3:uid="{0888F5D7-BBD0-1D4A-BF59-2CBA63E7958E}" name="Part Nr." dataDxfId="285"/>
    <tableColumn id="24" xr3:uid="{00B6B605-D92A-6848-A734-19199BEA5FA3}" name="Mass Measurment Date" dataDxfId="284"/>
    <tableColumn id="23" xr3:uid="{B6D86224-3A99-9741-9829-A2D146387737}" name="Mass (g)" dataDxfId="283"/>
    <tableColumn id="27" xr3:uid="{23E061E5-1998-134D-AB2A-2DEAB9D24167}" name="CV" dataDxfId="282"/>
    <tableColumn id="8" xr3:uid="{E21420EB-AA20-9C42-BEA7-B324FBDEB2EB}" name="Inlet 1" dataDxfId="281"/>
    <tableColumn id="19" xr3:uid="{793F3D48-6B44-5743-AC65-418B46389912}" name="Inlet 2" dataDxfId="280"/>
    <tableColumn id="10" xr3:uid="{5E70EDB7-3BDB-2042-9B98-7E5BDAC27F72}" name="Length (inch)" dataDxfId="279"/>
    <tableColumn id="15" xr3:uid="{50094A17-6A2B-6F49-B42F-91AEE2F47127}" name="Width (inch)" dataDxfId="278"/>
    <tableColumn id="16" xr3:uid="{B93957F3-CAF4-B945-B61B-231CBF878EC6}" name="Depth (inch)" dataDxfId="277"/>
    <tableColumn id="28" xr3:uid="{8C48B0C6-9BF4-FF4F-80B7-9FA826D91BB8}" name="ID (inch)" dataDxfId="276"/>
    <tableColumn id="22" xr3:uid="{AB8E4CCE-E571-2546-AA8B-2E76D52F7174}" name="Type" dataDxfId="275"/>
    <tableColumn id="17" xr3:uid="{A24A13A2-CED0-E54C-971E-042C901B6087}" name="Valve Stem Length (in)" dataDxfId="274"/>
    <tableColumn id="11" xr3:uid="{C3A1B356-AEFC-2441-92B1-A1A9490F8799}" name="Material" dataDxfId="273"/>
    <tableColumn id="3" xr3:uid="{7F3191A4-F9C9-D341-B418-7190F04BFD38}" name="Prior UnitID" dataDxfId="272"/>
    <tableColumn id="6" xr3:uid="{FB3CDA72-371D-F646-B5BE-2E7025602954}" name="Notes" dataDxfId="271"/>
    <tableColumn id="12" xr3:uid="{729C3AAB-92A7-4841-9C1B-879C1B5A4DDF}" name="PO" dataDxfId="270"/>
    <tableColumn id="9" xr3:uid="{F3CEF207-CEF9-2540-9B34-7444BA10C4E0}" name="Vendor" dataDxfId="269"/>
    <tableColumn id="4" xr3:uid="{76F8282A-86F2-FE45-9A27-FA965AA55753}" name="Website" dataDxfId="26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408AF08-1CA6-3F48-8329-C4C3C7DE1E8D}" name="EXP_NV" displayName="EXP_NV" ref="CA1:CK151" totalsRowShown="0" headerRowDxfId="267" dataDxfId="266" headerRowBorderDxfId="265">
  <autoFilter ref="CA1:CK151" xr:uid="{A408AF08-1CA6-3F48-8329-C4C3C7DE1E8D}"/>
  <tableColumns count="11">
    <tableColumn id="1" xr3:uid="{8D08CE92-B5A7-7F45-BE64-3E79BB31C063}" name="Setup Location" dataDxfId="264"/>
    <tableColumn id="2" xr3:uid="{38DF2B23-6C3E-114C-9BFD-9E48DED05483}" name="Setup Sub-Location" dataDxfId="263"/>
    <tableColumn id="3" xr3:uid="{57F5F90E-88BE-624E-9D3F-AAD4EC30EB0B}" name="Sub-Setup Assembly" dataDxfId="262"/>
    <tableColumn id="4" xr3:uid="{45573013-FF2E-BD44-BF7C-62F6CA863DBA}" name="IO type" dataDxfId="261"/>
    <tableColumn id="5" xr3:uid="{78E2C9C8-CF49-A844-85FB-DD357E90C8BF}" name="Zone" dataDxfId="260">
      <calculatedColumnFormula>NV[[#This Row],[Part Type]]</calculatedColumnFormula>
    </tableColumn>
    <tableColumn id="6" xr3:uid="{B8D9E3C5-7AA3-284E-B624-D4BD3A8D93C0}" name="Device Type" dataDxfId="259">
      <calculatedColumnFormula>NV[[#This Row],[Part Nr.]]</calculatedColumnFormula>
    </tableColumn>
    <tableColumn id="7" xr3:uid="{208AFCE1-9F87-E242-97B9-64F70AC6DD82}" name="Device Tag" dataDxfId="258">
      <calculatedColumnFormula>IF(NV[[#This Row],[UID]]=0,"",NV[[#This Row],[UID]])</calculatedColumnFormula>
    </tableColumn>
    <tableColumn id="8" xr3:uid="{B24B7250-F70B-8C4F-BFEB-6DE9AFFD7731}" name="Device Location" dataDxfId="257"/>
    <tableColumn id="9" xr3:uid="{E906BAD7-F249-EC41-9949-E73C6EAED83C}" name="Circuit" dataDxfId="256"/>
    <tableColumn id="10" xr3:uid="{3C41076B-AC98-744F-86F9-703BF9BAD8EC}" name="Power Source" dataDxfId="255"/>
    <tableColumn id="11" xr3:uid="{0E558BB1-2282-9042-A29E-B35ACDA86AEF}" name="Status" dataDxfId="254">
      <calculatedColumnFormula>IF(NV[[#This Row],[Status]]=0,"",NV[[#This Row],[Status]])</calculatedColumnFormula>
    </tableColumn>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7F84A94-8A5C-4CD8-B6A2-326F6E0DB4A7}" name="NZ" displayName="NZ" ref="A1:Y151" totalsRowShown="0" headerRowDxfId="253" dataDxfId="252" headerRowBorderDxfId="250" tableBorderDxfId="251" headerRowCellStyle="Note">
  <autoFilter ref="A1:Y151" xr:uid="{AFA7A6F0-CB29-F248-A2A7-A654338C1FBC}"/>
  <tableColumns count="25">
    <tableColumn id="6" xr3:uid="{3959B3B3-EE33-4AFB-AA31-2C21F6CC856A}" name="Status" dataDxfId="249"/>
    <tableColumn id="24" xr3:uid="{7F88BC3D-C980-7045-B8AC-AADC918EF1FD}" name="Part Type" dataDxfId="248"/>
    <tableColumn id="1" xr3:uid="{B549BA74-A3E0-4050-85E0-6A62E1BABC45}" name="UID" dataDxfId="247"/>
    <tableColumn id="2" xr3:uid="{8646DD3C-248E-4D5E-BA65-84E43327DF52}" name="Reactor" dataDxfId="246"/>
    <tableColumn id="3" xr3:uid="{AF5BC26A-8BAC-4854-9733-A7731602AB8F}" name="Nozzle Material" dataDxfId="245"/>
    <tableColumn id="4" xr3:uid="{9853509A-312C-45D4-A707-28D86F5D2AED}" name="Heat Treatment" dataDxfId="244"/>
    <tableColumn id="5" xr3:uid="{3CB15CE7-A4B8-4327-AAF7-AEB806D5A395}" name="Bent" dataDxfId="243"/>
    <tableColumn id="22" xr3:uid="{7F5832B7-1C9A-CE4B-ACAF-BAE7CAE670B8}" name="Mass Measurment Date" dataDxfId="242"/>
    <tableColumn id="23" xr3:uid="{A9CD0C91-6CFF-064E-8FF9-CFFD5A32A228}" name="Mass (g)" dataDxfId="241">
      <calculatedColumnFormula>#REF!-(#REF!-AVERAGEIF(I:I,NZ[[#This Row],[Mass Measurment Date]],#REF!))</calculatedColumnFormula>
    </tableColumn>
    <tableColumn id="7" xr3:uid="{0104EAA0-2B7D-4444-9529-4CE8AB79C3E1}" name="Prior Mass Measurment Date" dataDxfId="240"/>
    <tableColumn id="8" xr3:uid="{70DA77F7-73F3-4F6A-AD18-FCA329CE6A28}" name="Prior Mass (g)" dataDxfId="239"/>
    <tableColumn id="9" xr3:uid="{AF11F715-D181-4F90-897B-814FB2F215F7}" name="Volume Deviation ml" dataDxfId="238"/>
    <tableColumn id="19" xr3:uid="{09D58219-F2B4-4B48-AD1A-D40714FAB3A0}" name="Pressure Design MPa" dataDxfId="237"/>
    <tableColumn id="17" xr3:uid="{828A9667-982E-49DE-88C3-FDD8BFBCE25E}" name="Pressure Design psi" dataDxfId="236"/>
    <tableColumn id="18" xr3:uid="{8481A486-2BA8-488F-8FD9-173A1BF80999}" name="Temperature Design C" dataDxfId="235"/>
    <tableColumn id="15" xr3:uid="{BD88B529-5187-4655-9365-50EF92028E93}" name="Fitting 1" dataDxfId="234"/>
    <tableColumn id="16" xr3:uid="{C2A1C99E-3959-4366-9AD5-A1329BFB2E8C}" name="Fitting 2" dataDxfId="233"/>
    <tableColumn id="25" xr3:uid="{BD7710D4-2492-45E9-AF92-B938B2ACE787}" name="Profile" dataDxfId="232"/>
    <tableColumn id="14" xr3:uid="{08998C91-FE01-42E8-AAFC-75CA95774424}" name="Manufacture" dataDxfId="231"/>
    <tableColumn id="10" xr3:uid="{0D69EF3B-C0FA-4B18-A541-76FC1A14653B}" name="Date Manufactured" dataDxfId="230"/>
    <tableColumn id="21" xr3:uid="{A75556B4-B703-42BE-8F10-1AF7F62D4B2D}" name="Lot #" dataDxfId="229"/>
    <tableColumn id="20" xr3:uid="{A7582F24-0A59-4D3B-A8D4-A40BE38A5952}" name="PO" dataDxfId="228"/>
    <tableColumn id="12" xr3:uid="{0B0BD531-3F44-44F6-9A21-79F4254738DC}" name="Location" dataDxfId="227"/>
    <tableColumn id="13" xr3:uid="{7B280DC4-76C6-DB42-A738-9C0D54422B6B}" name="Link To Schematic Drawing" dataDxfId="226"/>
    <tableColumn id="11" xr3:uid="{C21E5300-A3D8-4574-97AA-EFDD991AEA97}" name="Notes" dataDxfId="22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09D1197-D4D9-A640-AED9-64BEB99AAE05}" name="EXP_NZ" displayName="EXP_NZ" ref="CB1:CL151" totalsRowShown="0" headerRowDxfId="224" dataDxfId="223" headerRowBorderDxfId="222">
  <autoFilter ref="CB1:CL151" xr:uid="{209D1197-D4D9-A640-AED9-64BEB99AAE05}"/>
  <tableColumns count="11">
    <tableColumn id="1" xr3:uid="{F553F745-7337-9A48-8C71-E61C2DD6FC34}" name="Setup Location" dataDxfId="221"/>
    <tableColumn id="2" xr3:uid="{F088AE5B-0BC8-4A45-9C6D-613FC2BCA0C4}" name="Setup Sub-Location" dataDxfId="220"/>
    <tableColumn id="3" xr3:uid="{E6F99105-CB32-4241-A9F1-1EC1A12BD0C5}" name="Sub-Setup Assembly" dataDxfId="219"/>
    <tableColumn id="4" xr3:uid="{D88A96E3-2E1C-494D-B7A8-E9A774B7DD7D}" name="IO type" dataDxfId="218"/>
    <tableColumn id="5" xr3:uid="{E957847D-F003-8C40-99B3-AC5D8EDEE18D}" name="Zone" dataDxfId="217">
      <calculatedColumnFormula>NZ[[#This Row],[Part Type]]</calculatedColumnFormula>
    </tableColumn>
    <tableColumn id="6" xr3:uid="{B45DB49D-FB37-D04F-A783-E934A1328C2E}" name="Device Type" dataDxfId="216">
      <calculatedColumnFormula>IF(NZ[[#This Row],[UID]]=0,"",NZ[[#This Row],[Reactor]]&amp;"-"&amp;NZ[[#This Row],[Nozzle Material]])</calculatedColumnFormula>
    </tableColumn>
    <tableColumn id="7" xr3:uid="{7DB19927-4588-514F-A725-AB6A046D0DD9}" name="Device Tag" dataDxfId="215">
      <calculatedColumnFormula>IF(NZ[[#This Row],[UID]]=0,"",NZ[[#This Row],[UID]])</calculatedColumnFormula>
    </tableColumn>
    <tableColumn id="8" xr3:uid="{A1CC5FB5-A2A3-3941-AE0E-F55C1769432F}" name="Device Location" dataDxfId="214"/>
    <tableColumn id="9" xr3:uid="{33C26943-B8FF-6841-9462-1A55ACDD0924}" name="Circuit" dataDxfId="213"/>
    <tableColumn id="10" xr3:uid="{3165D2B7-74C3-D14D-94F1-C973D34E2D10}" name="Power Source" dataDxfId="212"/>
    <tableColumn id="11" xr3:uid="{6FC52791-B5ED-9F4E-AE14-95CECC3C2170}" name="Status" dataDxfId="211">
      <calculatedColumnFormula>IF(NZ[[#This Row],[Status]]=0,"",NZ[[#This Row],[Status]])</calculatedColumnFormula>
    </tableColumn>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6FA138-4556-5948-972E-4086B511EF92}" name="RD" displayName="RD" ref="A1:S101" totalsRowShown="0" headerRowDxfId="210" dataDxfId="209">
  <autoFilter ref="A1:S101" xr:uid="{E6A28BD5-1976-9443-98BF-FCC5EE000680}"/>
  <tableColumns count="19">
    <tableColumn id="8" xr3:uid="{73600A50-B4A7-CE49-A8EE-175B61FDBBA0}" name="Status" dataDxfId="208" dataCellStyle="Normal 4"/>
    <tableColumn id="18" xr3:uid="{69C7720C-75B2-0249-95C0-35AFB36697DF}" name="Part Type" dataDxfId="207" dataCellStyle="Normal 4"/>
    <tableColumn id="1" xr3:uid="{00A874A6-1679-FE4C-86C2-4D8C27D8C532}" name="UID" dataDxfId="206"/>
    <tableColumn id="15" xr3:uid="{0CE43EC2-9B76-C94B-9027-0DCB2DD49882}" name="Available 230224" dataDxfId="205"/>
    <tableColumn id="10" xr3:uid="{DC92EE60-5D42-B440-868B-2A9CB5059892}" name="Effective Diameter (inch)" dataDxfId="204"/>
    <tableColumn id="17" xr3:uid="{6BF2F639-2B93-B542-8C51-00477057121A}" name="OD (inch)" dataDxfId="203"/>
    <tableColumn id="7" xr3:uid="{869ABAE1-85CD-E24C-989C-017217E5FEE1}" name="Pressure Burst Nominal psi" dataDxfId="202"/>
    <tableColumn id="19" xr3:uid="{893911E3-3805-E648-94CC-DE3D46C1DE5A}" name="Type Label" dataDxfId="201">
      <calculatedColumnFormula>RD[[#This Row],[OD (inch)]]&amp;"in-"&amp;RD[[#This Row],[Pressure Burst Nominal psi]]&amp;"PSI"</calculatedColumnFormula>
    </tableColumn>
    <tableColumn id="14" xr3:uid="{43C3FF83-1D81-2B48-8CD9-7CCC1DFA0667}" name="Pressure Burst Nominal MPa" dataDxfId="200"/>
    <tableColumn id="2" xr3:uid="{B9A88134-3FE4-F042-996D-F2C5E30C3926}" name="Pressure Burst Actual psi" dataDxfId="199"/>
    <tableColumn id="5" xr3:uid="{6A0261E8-BBBB-A84A-BDE5-E31A954833CF}" name="Pressure Burst Actual MPa" dataDxfId="198"/>
    <tableColumn id="6" xr3:uid="{A3A49D6D-EFA6-E546-BAE9-FE3CEF54A50E}" name="Rupture Disc Material" dataDxfId="197"/>
    <tableColumn id="11" xr3:uid="{1D0444DC-8627-6D4A-BA64-378B6961FBCC}" name="Manufacture" dataDxfId="196"/>
    <tableColumn id="3" xr3:uid="{0FB383A5-6F86-4A4D-9A26-D78AEB46B0D7}" name="Manufacture Part Number" dataDxfId="195"/>
    <tableColumn id="12" xr3:uid="{B6096B44-572C-644D-B78D-12BAFA80B87A}" name="Reorder Number" dataDxfId="194"/>
    <tableColumn id="13" xr3:uid="{FCC1E21E-1BA7-D449-B320-2E21A75C2265}" name="Lot Number" dataDxfId="193"/>
    <tableColumn id="16" xr3:uid="{8EF60272-0E96-7349-A9BF-D432EAC47F2D}" name="PO" dataDxfId="192"/>
    <tableColumn id="9" xr3:uid="{D18865A0-5E64-2B4B-9CC3-4EC15B5667D7}" name="Vendor" dataDxfId="191"/>
    <tableColumn id="4" xr3:uid="{AC389199-58CB-484B-A087-621FF1A7D00B}" name="Website" dataDxfId="190"/>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2E449B3-6FC8-4248-BEF2-788115742C31}" name="EXP_RD" displayName="EXP_RD" ref="CA1:CK101" totalsRowShown="0" headerRowDxfId="189" headerRowBorderDxfId="188" dataCellStyle="Normal 4">
  <autoFilter ref="CA1:CK101" xr:uid="{D2E449B3-6FC8-4248-BEF2-788115742C31}"/>
  <tableColumns count="11">
    <tableColumn id="1" xr3:uid="{08DD1879-5E15-3D40-9A67-96D8CD8CD82E}" name="Setup Location" dataCellStyle="Normal 4"/>
    <tableColumn id="2" xr3:uid="{F3DC3D66-E113-4846-B241-2CFCDEBC6826}" name="Setup Sub-Location" dataCellStyle="Normal 4"/>
    <tableColumn id="3" xr3:uid="{95FADE2B-24D9-2043-BAE8-1E3035DA4BC0}" name="Sub-Setup Assembly" dataCellStyle="Normal 4"/>
    <tableColumn id="4" xr3:uid="{82A91AA4-6DF3-CC47-9D00-DEC976ED888F}" name="IO type" dataCellStyle="Normal 4"/>
    <tableColumn id="5" xr3:uid="{A11F6774-FE6F-1F4F-A12D-31C7FB831DE1}" name="Zone" dataDxfId="187" dataCellStyle="Normal 4">
      <calculatedColumnFormula>RD[[#This Row],[Part Type]]</calculatedColumnFormula>
    </tableColumn>
    <tableColumn id="6" xr3:uid="{9F83EDCB-2EBF-F146-9EB3-2B77A1616F8F}" name="Device Type" dataDxfId="186" dataCellStyle="Normal 4">
      <calculatedColumnFormula>RD[[#This Row],[Type Label]]</calculatedColumnFormula>
    </tableColumn>
    <tableColumn id="7" xr3:uid="{C60A6C73-4E34-B047-8FD4-F6518F6431A7}" name="Device Tag" dataDxfId="185" dataCellStyle="Normal 4">
      <calculatedColumnFormula>RD[[#This Row],[UID]]</calculatedColumnFormula>
    </tableColumn>
    <tableColumn id="8" xr3:uid="{39F6E814-2412-E346-B8E3-C21CDF735DEF}" name="Device Location" dataCellStyle="Normal 4"/>
    <tableColumn id="9" xr3:uid="{EFDFF1F8-486B-F145-85FB-F1F1E670CB49}" name="Circuit" dataCellStyle="Normal 4"/>
    <tableColumn id="10" xr3:uid="{AEA89593-C85D-3049-B4E3-0D1C53186E99}" name="Power Source" dataCellStyle="Normal 4"/>
    <tableColumn id="11" xr3:uid="{96DB599E-81EB-384F-8261-3160F3FF120F}" name="Status" dataDxfId="184" dataCellStyle="Normal 4">
      <calculatedColumnFormula>IF(RD[[#This Row],[Status]]=0,"",RD[[#This Row],[Status]])</calculatedColumnFormula>
    </tableColumn>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DFC93E6-F3C3-D446-BD1B-4CD8BDA7610D}" name="NV_2343" displayName="NV_2343" ref="A1:P151" totalsRowShown="0" headerRowDxfId="183" dataDxfId="182">
  <autoFilter ref="A1:P151" xr:uid="{6A6DFD2B-AD9B-C843-B3D5-A8442ADB39FD}"/>
  <tableColumns count="16">
    <tableColumn id="5" xr3:uid="{A2A0E5BB-B3DA-7B4C-8070-CD3683F4A9F8}" name="Status" dataDxfId="181"/>
    <tableColumn id="1" xr3:uid="{7F54D33E-F00E-354C-A65F-F6A309AFC5F6}" name="Part Type" dataDxfId="180"/>
    <tableColumn id="21" xr3:uid="{D51C6600-192C-6041-8110-7187EF3C40B1}" name="UID" dataDxfId="179"/>
    <tableColumn id="2" xr3:uid="{678F0653-C063-3D4F-9D88-17CFA6FE41F8}" name="Part Nr." dataDxfId="178"/>
    <tableColumn id="24" xr3:uid="{12C5918A-E92B-824F-AFF0-57E2AE7E158B}" name="Mass Measurment Date" dataDxfId="177"/>
    <tableColumn id="23" xr3:uid="{BD781679-F8ED-1C42-ACE5-ED4199E5B766}" name="Mass (g)" dataDxfId="176"/>
    <tableColumn id="27" xr3:uid="{BBC8092C-F1CC-CC44-996E-9D5881F8D778}" name="CV" dataDxfId="175"/>
    <tableColumn id="10" xr3:uid="{B9333971-3DC7-E74F-BE8D-8496EF8CA184}" name="OD (inch)" dataDxfId="174"/>
    <tableColumn id="15" xr3:uid="{7F51D6D9-3578-4C4D-9DC8-3EC750BBE871}" name="ID (inch)" dataDxfId="173"/>
    <tableColumn id="16" xr3:uid="{170E0FB1-4106-9142-BE66-C07C1254EC3A}" name="Depth (inch)" dataDxfId="172"/>
    <tableColumn id="28" xr3:uid="{0449918C-0FB9-4A49-8583-3CCE39AD4955}" name="Angular Sweep (deg)" dataDxfId="171"/>
    <tableColumn id="11" xr3:uid="{B9C05012-6546-5549-B3FB-F5E8635DA009}" name="Material" dataDxfId="170"/>
    <tableColumn id="6" xr3:uid="{60E3879C-30C0-CF49-9218-89191A9222BF}" name="Notes" dataDxfId="169"/>
    <tableColumn id="12" xr3:uid="{90868957-1730-EA49-8F09-F51DE3AFE5DA}" name="PO" dataDxfId="168"/>
    <tableColumn id="9" xr3:uid="{F2992CB7-65C6-284B-B852-0D7353190C72}" name="Vendor" dataDxfId="167"/>
    <tableColumn id="4" xr3:uid="{FA6529AB-8FAA-0A4F-9D18-D56D43675D90}" name="Website" dataDxfId="166"/>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802577B-754E-A74D-98BD-B356653BC987}" name="EXP_NV2444" displayName="EXP_NV2444" ref="BU1:CE151" totalsRowShown="0" headerRowDxfId="165" dataDxfId="164" headerRowBorderDxfId="163">
  <autoFilter ref="BU1:CE151" xr:uid="{A408AF08-1CA6-3F48-8329-C4C3C7DE1E8D}"/>
  <tableColumns count="11">
    <tableColumn id="1" xr3:uid="{7451427A-F235-DF45-A83B-F6A94F0188AE}" name="Setup Location" dataDxfId="162"/>
    <tableColumn id="2" xr3:uid="{65E87FBC-56EC-FC45-BEC6-BA27CFF67297}" name="Setup Sub-Location" dataDxfId="161"/>
    <tableColumn id="3" xr3:uid="{8A6C21B3-5822-474B-9560-784484A3B494}" name="Sub-Setup Assembly" dataDxfId="160"/>
    <tableColumn id="4" xr3:uid="{116E5701-DD75-E14C-94E2-54B0F6131C1D}" name="IO type" dataDxfId="159"/>
    <tableColumn id="5" xr3:uid="{714E6E41-54C1-EB4C-9CAB-D6AE50280D30}" name="Zone" dataDxfId="158">
      <calculatedColumnFormula>NV_2343[[#This Row],[Part Type]]</calculatedColumnFormula>
    </tableColumn>
    <tableColumn id="6" xr3:uid="{AB5EA7FC-C426-694D-9BA0-8E460BF28ADA}" name="Device Type" dataDxfId="157">
      <calculatedColumnFormula>NV_2343[[#This Row],[Part Nr.]]</calculatedColumnFormula>
    </tableColumn>
    <tableColumn id="7" xr3:uid="{E1814AA9-36BA-3E43-920D-D3DB09A50491}" name="Device Tag" dataDxfId="156">
      <calculatedColumnFormula>IF(NV_2343[[#This Row],[UID]]=0,"",NV_2343[[#This Row],[UID]])</calculatedColumnFormula>
    </tableColumn>
    <tableColumn id="8" xr3:uid="{31FBF029-2FFC-064F-A9AB-FFE47D9632F2}" name="Device Location" dataDxfId="155"/>
    <tableColumn id="9" xr3:uid="{19F412A7-60E3-4E4E-AC8B-E949590C276E}" name="Circuit" dataDxfId="154"/>
    <tableColumn id="10" xr3:uid="{35FC4483-B126-FB46-BBA0-D8F069D90967}" name="Power Source" dataDxfId="153"/>
    <tableColumn id="11" xr3:uid="{6EE56A02-5C46-D847-A5FC-5E5F7665C3A8}" name="Status" dataDxfId="152">
      <calculatedColumnFormula>IF(NV_2343[[#This Row],[Status]]=0,"",NV_2343[[#This Row],[Status]])</calculatedColumnFormula>
    </tableColumn>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33EB6C4-4BC0-4C97-9DF2-AFB0366E1D26}" name="SH" displayName="SH" ref="A1:V151" totalsRowShown="0" headerRowDxfId="151" dataDxfId="150">
  <autoFilter ref="A1:V151" xr:uid="{958FA886-58E8-42B7-940C-86758E916650}"/>
  <tableColumns count="22">
    <tableColumn id="26" xr3:uid="{EFAED2B5-4195-164E-917A-13B81C0D9197}" name="Status" dataDxfId="149" dataCellStyle="Normal 4"/>
    <tableColumn id="1" xr3:uid="{9D80D273-2A7C-4979-8C2F-86599626C9CF}" name="Part Type" dataDxfId="148"/>
    <tableColumn id="4" xr3:uid="{272E5A90-61C9-45EB-A6DF-2C6A9FBF954F}" name="UID" dataDxfId="147"/>
    <tableColumn id="2" xr3:uid="{80D8F3B8-02FD-4594-9783-1B19BE3EDBD0}" name="Mass Measurement Date" dataDxfId="146"/>
    <tableColumn id="3" xr3:uid="{CF826FEC-BF3A-4101-B3B3-8EA8B53F08D5}" name="Mass (g)" dataDxfId="145"/>
    <tableColumn id="6" xr3:uid="{CFBFFEA3-2979-466B-87A4-A29FADC9ECAA}" name="Manufacturer" dataDxfId="144"/>
    <tableColumn id="7" xr3:uid="{5A81C954-1DE2-4829-97FC-5610E961C181}" name="Part Number" dataDxfId="143"/>
    <tableColumn id="24" xr3:uid="{F94C7A19-EC29-2946-89A4-A97438726949}" name="Rupture Disc UnitID" dataDxfId="142"/>
    <tableColumn id="15" xr3:uid="{8B81A670-83A8-4531-821B-30FAA48BB7E5}" name="Rupture Disc Burst Pressure (MPa)" dataDxfId="141"/>
    <tableColumn id="25" xr3:uid="{85CBD564-2D02-C044-AE1C-EE3F4E0DBC02}" name="Torque Tightening (ft-lbs)" dataDxfId="140"/>
    <tableColumn id="8" xr3:uid="{0F97707E-9B8F-4E86-B674-7DDD1A54DC6C}" name="Pressure Rating (psi)" dataDxfId="139"/>
    <tableColumn id="12" xr3:uid="{CF87B4E0-6DF0-438A-812F-162957BD751C}" name="Fitting 1" dataDxfId="138"/>
    <tableColumn id="23" xr3:uid="{7361C28B-B3FB-914A-A5E9-7E3CE736576A}" name="Fitting 2" dataDxfId="137"/>
    <tableColumn id="5" xr3:uid="{F25A80AB-9BD4-1642-8FE2-749DE61EC2A2}" name="Fitting 3" dataDxfId="136"/>
    <tableColumn id="20" xr3:uid="{BC06E68A-3462-1A40-A454-256DD516F3B2}" name="Length (inch)" dataDxfId="135"/>
    <tableColumn id="13" xr3:uid="{2C248801-B29C-4544-A8BD-4622E67BF2E0}" name="Width (inch)" dataDxfId="134"/>
    <tableColumn id="10" xr3:uid="{060DA8B0-337A-4347-821E-DC38B5EA1C23}" name="Depth (inch)" dataDxfId="133"/>
    <tableColumn id="16" xr3:uid="{DA3E8017-011F-432A-86B7-40360BE101AC}" name="Wetted Material" dataDxfId="132"/>
    <tableColumn id="19" xr3:uid="{CCEEBE13-246A-4881-A66B-DD1B67C34DC7}" name="Type" dataDxfId="131"/>
    <tableColumn id="11" xr3:uid="{BC7D4ACF-39C5-4D7C-97C7-A02CB8AA4F76}" name="Prior SH UnitID" dataDxfId="130"/>
    <tableColumn id="27" xr3:uid="{C6BBB6A4-CAD6-EC47-8988-661F73A42792}" name="Date Manufactured" dataDxfId="129"/>
    <tableColumn id="17" xr3:uid="{2AC7FE85-DEA8-46CB-80B0-A630E4A5C977}" name="Website" dataDxfId="128"/>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CCBF403-F2F7-9A42-B685-E20EDDA5BD3B}" name="EXP_SH" displayName="EXP_SH" ref="CA1:CK151" totalsRowShown="0" headerRowDxfId="127" dataDxfId="126" headerRowBorderDxfId="125" dataCellStyle="Normal 4">
  <autoFilter ref="CA1:CK151" xr:uid="{3CCBF403-F2F7-9A42-B685-E20EDDA5BD3B}"/>
  <tableColumns count="11">
    <tableColumn id="1" xr3:uid="{2DC99F32-F321-E649-A00B-59B6AFBDD083}" name="Setup Location" dataDxfId="124" dataCellStyle="Normal 4"/>
    <tableColumn id="2" xr3:uid="{D6985940-67FC-7846-A3DE-E5BB9F6F11FC}" name="Setup Sub-Location" dataDxfId="123" dataCellStyle="Normal 4"/>
    <tableColumn id="3" xr3:uid="{1FFC2E8E-0D9B-9746-B5AF-B2A27BD4F618}" name="Sub-Setup Assembly" dataDxfId="122" dataCellStyle="Normal 4"/>
    <tableColumn id="4" xr3:uid="{93A3A320-BC65-8B48-8425-AACE17812CC3}" name="IO type" dataDxfId="121" dataCellStyle="Normal 4"/>
    <tableColumn id="5" xr3:uid="{989AD5D4-D471-A344-8CDD-DF04CEF4A492}" name="Zone" dataDxfId="120" dataCellStyle="Normal 4">
      <calculatedColumnFormula>SH[[#This Row],[Part Type]]</calculatedColumnFormula>
    </tableColumn>
    <tableColumn id="6" xr3:uid="{197A2F3B-AF0A-5641-B256-FBD51346DD9B}" name="Device Type" dataDxfId="119" dataCellStyle="Normal 4">
      <calculatedColumnFormula>SH[[#This Row],[Part Number]]</calculatedColumnFormula>
    </tableColumn>
    <tableColumn id="7" xr3:uid="{6A9FB33F-4BB7-4941-85E0-89C770271E0A}" name="Device Tag" dataDxfId="118" dataCellStyle="Normal 4">
      <calculatedColumnFormula>SH[[#This Row],[UID]]</calculatedColumnFormula>
    </tableColumn>
    <tableColumn id="8" xr3:uid="{58DF5D25-A3FB-3D41-BACB-EB94DC838E6A}" name="Device Location" dataDxfId="117" dataCellStyle="Normal 4"/>
    <tableColumn id="9" xr3:uid="{33D1B2B9-BFB2-A743-A389-E72EFBB2406D}" name="Circuit" dataDxfId="116" dataCellStyle="Normal 4"/>
    <tableColumn id="10" xr3:uid="{47517C1E-32BA-4D4D-A7C3-7ADBCA1387EB}" name="Power Source" dataDxfId="115" dataCellStyle="Normal 4"/>
    <tableColumn id="11" xr3:uid="{990C3F2B-771A-384A-A006-D42EB87D8FFE}" name="Status" dataDxfId="114" dataCellStyle="Normal 4">
      <calculatedColumnFormula>IF(SH[[#This Row],[Status]]=0,"",SH[[#This Row],[Status]])</calculatedColumnFormula>
    </tableColumn>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34E79FE-65FE-2644-8D84-2B93DD91B290}" name="SSC" displayName="SSC" ref="A1:J101" totalsRowShown="0" headerRowDxfId="113" dataDxfId="112" headerRowBorderDxfId="110" tableBorderDxfId="111" headerRowCellStyle="Note">
  <autoFilter ref="A1:J101" xr:uid="{836BCD6A-445A-4741-9981-084ED65D1277}"/>
  <tableColumns count="10">
    <tableColumn id="1" xr3:uid="{A9C5DF76-E744-1A4B-ACDF-3C30536758E3}" name="Status" dataDxfId="109"/>
    <tableColumn id="10" xr3:uid="{B88B5FA1-810B-BB41-AB05-FA19B3B57C25}" name="Part Type" dataDxfId="108"/>
    <tableColumn id="9" xr3:uid="{F42B0829-68E5-5749-B098-D05877032743}" name="UID" dataDxfId="107"/>
    <tableColumn id="2" xr3:uid="{17432550-5C52-E44F-91D6-26BE646B71C5}" name="Autoclave" dataDxfId="106"/>
    <tableColumn id="3" xr3:uid="{5853C353-6018-7141-9148-230D0B54AF4E}" name="Material" dataDxfId="105"/>
    <tableColumn id="4" xr3:uid="{093DDA63-A7EB-9D4C-B57E-A47ABD1E839F}" name="Design Date" dataDxfId="104"/>
    <tableColumn id="5" xr3:uid="{95C7551D-56C7-7043-8A51-8154D1C6A1C5}" name="Quantity" dataDxfId="103"/>
    <tableColumn id="6" xr3:uid="{57487C61-EBB2-7F42-8C87-6948429BF831}" name="Status2" dataDxfId="102"/>
    <tableColumn id="7" xr3:uid="{59B81AC6-BAB4-4D41-BE2B-94D3B3499AFB}" name="Notes" dataDxfId="101"/>
    <tableColumn id="8" xr3:uid="{F5D2C538-6439-FD41-9257-DF9C13D6BB00}" name="Link to Schematic Drawing" dataDxfId="100"/>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CFDE501-A456-BF4C-AD0F-D5461F35ECD4}" name="EXP_SSC" displayName="EXP_SSC" ref="CA1:CK101" totalsRowShown="0" headerRowDxfId="99" headerRowBorderDxfId="98">
  <autoFilter ref="CA1:CK101" xr:uid="{ECFDE501-A456-BF4C-AD0F-D5461F35ECD4}"/>
  <tableColumns count="11">
    <tableColumn id="1" xr3:uid="{AA53D3D2-0C12-CD41-842D-479B0736CEF2}" name="Setup Location"/>
    <tableColumn id="2" xr3:uid="{3BE70786-D134-6D49-8883-44AC0D889FD2}" name="Setup Sub-Location"/>
    <tableColumn id="3" xr3:uid="{592CAA99-2749-814F-BD24-994324E3AF72}" name="Sub-Setup Assembly"/>
    <tableColumn id="4" xr3:uid="{5713F524-43FA-0045-BD87-D5CBB098BC2D}" name="IO type"/>
    <tableColumn id="5" xr3:uid="{B3896CB3-EDDC-B942-B740-566C0DD19689}" name="Zone" dataDxfId="97">
      <calculatedColumnFormula>SSC[[#This Row],[Part Type]]</calculatedColumnFormula>
    </tableColumn>
    <tableColumn id="6" xr3:uid="{0E7ADE5B-4803-8842-B856-8DC772D7479E}" name="Device Type" dataDxfId="96">
      <calculatedColumnFormula>SSC[[#This Row],[Material]]</calculatedColumnFormula>
    </tableColumn>
    <tableColumn id="7" xr3:uid="{94169C31-33A4-614D-A031-4192A5615663}" name="Device Tag" dataDxfId="95">
      <calculatedColumnFormula>SSC[[#This Row],[UID]]</calculatedColumnFormula>
    </tableColumn>
    <tableColumn id="8" xr3:uid="{5A8ECFAE-AA36-7948-BFAC-2AAD167A9C37}" name="Device Location"/>
    <tableColumn id="9" xr3:uid="{5933F9B6-80E1-EA46-B005-02F2F4B65A2A}" name="Circuit"/>
    <tableColumn id="10" xr3:uid="{0B86B405-A38F-B74A-910E-38E821D24FDA}" name="Power Source"/>
    <tableColumn id="11" xr3:uid="{0057B3E5-453C-9649-9EE4-EA509F5FD24A}" name="Status" dataDxfId="94">
      <calculatedColumnFormula>IF(SSC[[#This Row],[Status]]=0,"",SSC[[#This Row],[Status]])</calculatedColumnFormula>
    </tableColumn>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578B88-2589-2B4C-B3AB-957B16834E46}" name="TE" displayName="TE" ref="A1:U51" totalsRowShown="0" headerRowDxfId="93" dataDxfId="92">
  <autoFilter ref="A1:U51" xr:uid="{6A6DFD2B-AD9B-C843-B3D5-A8442ADB39FD}"/>
  <tableColumns count="21">
    <tableColumn id="5" xr3:uid="{2D0B37D5-4AAE-1A43-9F2D-3BCD98BAE861}" name="Status" dataDxfId="91"/>
    <tableColumn id="1" xr3:uid="{2016F3E3-2DD5-6E47-A65B-5C49E1CB00FF}" name="Part Type" dataDxfId="90"/>
    <tableColumn id="21" xr3:uid="{69D4B402-26D8-B047-B8B7-A2FFB5F3B7CE}" name="UID" dataDxfId="89"/>
    <tableColumn id="14" xr3:uid="{4EF49293-37B7-764F-9BBD-80C15D169D51}" name="Pressure Rating (psi)" dataDxfId="88"/>
    <tableColumn id="2" xr3:uid="{84569BBB-A141-2449-A559-49E02983D749}" name="Part Nr." dataDxfId="87"/>
    <tableColumn id="24" xr3:uid="{352FBEF3-CCF1-174A-A59C-F5FED2710B64}" name="Mass Measurment Date" dataDxfId="86"/>
    <tableColumn id="23" xr3:uid="{3CAF45F6-995F-044F-A430-25EFDF068D03}" name="Mass (g)" dataDxfId="85"/>
    <tableColumn id="8" xr3:uid="{D7CF36C0-AC3D-AE4C-8E4E-9B8C2FBD617E}" name="Inlet 1" dataDxfId="84"/>
    <tableColumn id="19" xr3:uid="{BDCB9F41-90E6-6B47-8664-739049173742}" name="Inlet 2" dataDxfId="83"/>
    <tableColumn id="20" xr3:uid="{BDC4673A-B0AB-464B-9E97-345D02674C65}" name="Inlet 3" dataDxfId="82"/>
    <tableColumn id="10" xr3:uid="{2F901F70-36C1-744A-9EFD-4A353B5681A3}" name="Length (inch)" dataDxfId="81"/>
    <tableColumn id="15" xr3:uid="{866831AE-ED8D-5C45-9D60-D026131D3E50}" name="Width (inch)" dataDxfId="80"/>
    <tableColumn id="16" xr3:uid="{800A5FCF-CA6D-0647-AED3-EA5573BE914B}" name="Depth (inch)" dataDxfId="79"/>
    <tableColumn id="28" xr3:uid="{751BEEB7-3C97-3040-A18F-9A69354D7644}" name="ID (inch)" dataDxfId="78"/>
    <tableColumn id="22" xr3:uid="{326EECA5-A40C-4D49-9744-4B99F28985FF}" name="Type" dataDxfId="77"/>
    <tableColumn id="11" xr3:uid="{BC8904BB-38C3-1444-8C77-82273D3D6212}" name="Material" dataDxfId="76"/>
    <tableColumn id="3" xr3:uid="{2A18D7FC-1DF7-8948-B624-FAA63BAF7370}" name="Prior UnitID" dataDxfId="75"/>
    <tableColumn id="6" xr3:uid="{E0C61686-2A5E-8A4F-8E5A-442C36002E80}" name="Notes" dataDxfId="74"/>
    <tableColumn id="12" xr3:uid="{C853F2DE-EEF2-0A45-AB81-47EFF3632583}" name="PO" dataDxfId="73"/>
    <tableColumn id="9" xr3:uid="{4C953D81-1E1F-F543-A29E-FE78F9115CF6}" name="Vendor" dataDxfId="72"/>
    <tableColumn id="4" xr3:uid="{7204C0E8-64DD-104D-93D7-8FD9FA47B03C}" name="Website" dataDxfId="71"/>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6C5F4C0-CF2F-BB41-8EFA-69897924D505}" name="EXP_TE" displayName="EXP_TE" ref="CA1:CK51" totalsRowShown="0" headerRowDxfId="70" dataDxfId="69" headerRowBorderDxfId="68">
  <autoFilter ref="CA1:CK51" xr:uid="{56C5F4C0-CF2F-BB41-8EFA-69897924D505}"/>
  <tableColumns count="11">
    <tableColumn id="1" xr3:uid="{4CDFD91D-A149-834B-AA5E-8E3CDC73A8AD}" name="Setup Location" dataDxfId="67"/>
    <tableColumn id="2" xr3:uid="{611ED2AB-BDB6-FD49-B108-78107AA3D6CB}" name="Setup Sub-Location" dataDxfId="66"/>
    <tableColumn id="3" xr3:uid="{2D476B65-6D16-8546-A716-80527F02E5DE}" name="Sub-Setup Assembly" dataDxfId="65"/>
    <tableColumn id="4" xr3:uid="{B6290881-CE97-774B-87CB-F909EA33F3FC}" name="IO type" dataDxfId="64"/>
    <tableColumn id="5" xr3:uid="{E110AAFE-7526-7846-B007-75355B6D00F6}" name="Zone" dataDxfId="63">
      <calculatedColumnFormula>TE[[#This Row],[Part Type]]</calculatedColumnFormula>
    </tableColumn>
    <tableColumn id="6" xr3:uid="{8C4FA310-06B9-D145-A284-C2A77D06EFF7}" name="Device Type" dataDxfId="62">
      <calculatedColumnFormula>TE[[#This Row],[Part Nr.]]</calculatedColumnFormula>
    </tableColumn>
    <tableColumn id="7" xr3:uid="{EA5A8BDA-2A23-A346-B96C-0FD43048E303}" name="Device Tag" dataDxfId="61">
      <calculatedColumnFormula>TE[[#This Row],[UID]]</calculatedColumnFormula>
    </tableColumn>
    <tableColumn id="8" xr3:uid="{9F60236E-CE9C-5A41-9226-2C42037B182F}" name="Device Location" dataDxfId="60"/>
    <tableColumn id="9" xr3:uid="{2FE12763-E3A4-2046-9B2F-B2624078B57C}" name="Circuit" dataDxfId="59"/>
    <tableColumn id="10" xr3:uid="{E002E901-2E41-DB4E-A2F5-1025FE87A530}" name="Power Source" dataDxfId="58"/>
    <tableColumn id="11" xr3:uid="{4DC74B49-7669-7242-8BF6-3108FD4C3FF5}" name="Status" dataDxfId="57">
      <calculatedColumnFormula>IF(TE[[#This Row],[Status]]=0,"",TE[[#This Row],[Status]])</calculatedColumnFormula>
    </tableColumn>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1A54E64-954E-A842-A91E-44D1848F1B93}" name="TU" displayName="TU" ref="A1:R201" totalsRowShown="0" headerRowDxfId="56" dataDxfId="55">
  <autoFilter ref="A1:R201" xr:uid="{6A6DFD2B-AD9B-C843-B3D5-A8442ADB39FD}"/>
  <tableColumns count="18">
    <tableColumn id="5" xr3:uid="{D4773C1B-5899-9944-A435-EAB00CA8FA8D}" name="Status" dataDxfId="54"/>
    <tableColumn id="1" xr3:uid="{7AC9A918-DE0D-234A-8411-D24E958A7B3C}" name="Part Type" dataDxfId="53"/>
    <tableColumn id="21" xr3:uid="{A25C05CB-0E22-7B4F-84C4-3C88A4ABEC03}" name="UID" dataDxfId="52"/>
    <tableColumn id="14" xr3:uid="{3614E89C-B40B-9E43-85EA-C9B5B9E0E155}" name="Pressure Rating (psi)" dataDxfId="51"/>
    <tableColumn id="2" xr3:uid="{5477C40E-5DB3-0F4D-A6B3-17BE03BF3F36}" name="Part Nr." dataDxfId="50"/>
    <tableColumn id="24" xr3:uid="{9D3B447A-D57A-C841-9673-774252609E0F}" name="Mass Measurment Date" dataDxfId="49"/>
    <tableColumn id="23" xr3:uid="{21E588B4-2B8F-F749-8AAF-6D1F27BDC949}" name="Mass (g)" dataDxfId="48"/>
    <tableColumn id="8" xr3:uid="{BA286561-5EBD-9B47-BD39-E4DDDC4141DA}" name="Inlet 1" dataDxfId="47"/>
    <tableColumn id="19" xr3:uid="{5406EE73-A48E-4C4A-841D-7D5CA5BD0F6F}" name="Inlet 2" dataDxfId="46"/>
    <tableColumn id="10" xr3:uid="{CE9478BF-18F0-DE45-8086-D0503E54CEF1}" name="Length (inch)" dataDxfId="45"/>
    <tableColumn id="15" xr3:uid="{E20F4179-D80B-5447-B6F1-15614170CD96}" name="OD (inch)" dataDxfId="44"/>
    <tableColumn id="28" xr3:uid="{42455DF5-97BB-E14F-8A91-3E8E583736A5}" name="ID (inch)" dataDxfId="43"/>
    <tableColumn id="11" xr3:uid="{1031000F-B765-324A-994D-D0AB6333FAFD}" name="Material" dataDxfId="42"/>
    <tableColumn id="3" xr3:uid="{3825CDCD-2A90-3F4C-A8F2-AE5380F615F5}" name="Prior UnitID" dataDxfId="41"/>
    <tableColumn id="6" xr3:uid="{D16E5C6A-D486-294A-BBA5-918E672C9F0F}" name="Notes" dataDxfId="40"/>
    <tableColumn id="12" xr3:uid="{41E39CBA-C14B-4C4A-9187-17297783C634}" name="PO" dataDxfId="39"/>
    <tableColumn id="9" xr3:uid="{F0BFE91A-C55C-5E42-9414-847D260B6C2D}" name="Vendor" dataDxfId="38"/>
    <tableColumn id="4" xr3:uid="{73AC729A-BDBB-F146-B775-42BED2098A2E}" name="Website" dataDxfId="37"/>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A7F3E8D-0028-3245-B084-17CB6F58E0CD}" name="EXP_TU" displayName="EXP_TU" ref="CA1:CK201" totalsRowShown="0" headerRowDxfId="36" dataDxfId="35" headerRowBorderDxfId="34">
  <autoFilter ref="CA1:CK201" xr:uid="{1A7F3E8D-0028-3245-B084-17CB6F58E0CD}"/>
  <tableColumns count="11">
    <tableColumn id="1" xr3:uid="{4A983C09-F75C-A447-AA7E-DA0B0E37AB67}" name="Setup Location" dataDxfId="33"/>
    <tableColumn id="2" xr3:uid="{4D19739B-802A-8546-84CF-8860E06CBBF5}" name="Setup Sub-Location" dataDxfId="32"/>
    <tableColumn id="3" xr3:uid="{816C92D1-7AE7-3C49-B586-81DEDD3C2BBF}" name="Sub-Setup Assembly" dataDxfId="31"/>
    <tableColumn id="4" xr3:uid="{ADF5E7E1-9E4E-8B48-B7C0-34D2C47FA844}" name="IO type" dataDxfId="30"/>
    <tableColumn id="5" xr3:uid="{2D6A2524-661E-8B40-A22A-4AF963F692B3}" name="Zone" dataDxfId="29">
      <calculatedColumnFormula>TU[[#This Row],[Part Type]]</calculatedColumnFormula>
    </tableColumn>
    <tableColumn id="6" xr3:uid="{1CEAA981-13CD-8542-BC56-B79901822F06}" name="Device Type" dataDxfId="28">
      <calculatedColumnFormula>TU[[#This Row],[Part Nr.]]</calculatedColumnFormula>
    </tableColumn>
    <tableColumn id="7" xr3:uid="{ABD0F12E-FD97-1343-9993-790E7EB818FC}" name="Device Tag" dataDxfId="27">
      <calculatedColumnFormula>TU[[#This Row],[UID]]</calculatedColumnFormula>
    </tableColumn>
    <tableColumn id="8" xr3:uid="{294FA9DA-5B7A-0747-8CC4-A9B4B914DA52}" name="Device Location" dataDxfId="26"/>
    <tableColumn id="9" xr3:uid="{F11F4A4F-1DC0-814F-A110-81B4C80E6A24}" name="Circuit" dataDxfId="25"/>
    <tableColumn id="10" xr3:uid="{6C1F7A9B-AFF0-254C-B016-E5129DD3B17A}" name="Power Source" dataDxfId="24"/>
    <tableColumn id="11" xr3:uid="{ABB54872-90C4-924B-9A27-FC16D90AE8F0}" name="Status" dataDxfId="23">
      <calculatedColumnFormula>IF(TU[[#This Row],[Status]]=0,"",TU[[#This Row],[Status]])</calculatedColumnFormula>
    </tableColumn>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641BEE9-C6B3-1D40-A5DD-6FA4CBCA34C5}" name="TW" displayName="TW" ref="A1:M51" totalsRowShown="0" headerRowDxfId="22" dataDxfId="21" headerRowBorderDxfId="19" tableBorderDxfId="20" headerRowCellStyle="Note">
  <autoFilter ref="A1:M51" xr:uid="{6E85A9AB-BA17-8F42-8CBA-F7D1BB1BBB1B}"/>
  <tableColumns count="13">
    <tableColumn id="1" xr3:uid="{3D719B67-CDF7-1A4D-80A0-94D8157419C0}" name="Status" dataDxfId="18"/>
    <tableColumn id="9" xr3:uid="{BA37AC6D-696D-9846-AA89-409272D111C6}" name="Part Type" dataDxfId="17"/>
    <tableColumn id="8" xr3:uid="{97E745A1-B7F0-8749-BE40-78F44CC8EEBD}" name="UID" dataDxfId="16"/>
    <tableColumn id="2" xr3:uid="{2AE24F47-D139-8E49-AD43-B0B0783806F0}" name="Autoclave" dataDxfId="15"/>
    <tableColumn id="3" xr3:uid="{5ECB0F19-A42C-F44A-968D-D2282D574D6E}" name="Washer Material" dataDxfId="14"/>
    <tableColumn id="14" xr3:uid="{47476A33-3DB9-4A4D-9990-AA6AA17AFBCA}" name="Type Label" dataDxfId="13">
      <calculatedColumnFormula>TW[[#This Row],[Autoclave]]&amp;"-"&amp;TW[[#This Row],[Washer Material]]</calculatedColumnFormula>
    </tableColumn>
    <tableColumn id="12" xr3:uid="{A5896E05-4D87-7D4F-B0D1-E7B4395D09B0}" name="Outer Diameter (in)" dataDxfId="12"/>
    <tableColumn id="13" xr3:uid="{A7F5DA19-D418-FF4B-8EFB-35D59D1971EE}" name="Inner Diameter (in)" dataDxfId="11"/>
    <tableColumn id="11" xr3:uid="{DB2590E7-AC11-5942-BB35-01CE92FE8190}" name="Thickness (in)" dataDxfId="10"/>
    <tableColumn id="4" xr3:uid="{1A8CED01-7751-474A-807F-F2F19DEC1874}" name="Design Date" dataDxfId="9"/>
    <tableColumn id="5" xr3:uid="{65BC003C-91AE-7549-B0D7-9005233AF894}" name="Quantity" dataDxfId="8"/>
    <tableColumn id="6" xr3:uid="{4C96D0DF-8A46-6F4B-9DC6-104051FD9097}" name="Notes" dataDxfId="7"/>
    <tableColumn id="7" xr3:uid="{D06D5A04-1E7A-004D-AAA6-5B992A455078}" name="Link To Schematic Drawing" dataDxfId="6"/>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6A1AB87-44AD-2A46-B580-95DF61CBB1DC}" name="EXP_TW" displayName="EXP_TW" ref="CD1:CN51" totalsRowShown="0" headerRowDxfId="5" headerRowBorderDxfId="4">
  <autoFilter ref="CD1:CN51" xr:uid="{36A1AB87-44AD-2A46-B580-95DF61CBB1DC}"/>
  <tableColumns count="11">
    <tableColumn id="1" xr3:uid="{6A18ADE9-0C8B-1F43-AD13-AD85A45147A5}" name="Setup Location"/>
    <tableColumn id="2" xr3:uid="{A37598F9-5523-1140-9B67-53B5A90C9D75}" name="Setup Sub-Location"/>
    <tableColumn id="3" xr3:uid="{3E585756-FAED-2946-87AE-D58ABEBF1622}" name="Sub-Setup Assembly"/>
    <tableColumn id="4" xr3:uid="{848BFD89-F188-994C-94CC-D52267467BCC}" name="IO type"/>
    <tableColumn id="5" xr3:uid="{A8B7FE04-AD54-DC41-94EB-5221E05FFD5E}" name="Zone" dataDxfId="3">
      <calculatedColumnFormula>TW[[#This Row],[Part Type]]</calculatedColumnFormula>
    </tableColumn>
    <tableColumn id="6" xr3:uid="{3C121E90-A166-EF4A-B827-F4BB74000BEA}" name="Device Type" dataDxfId="2">
      <calculatedColumnFormula>#REF!</calculatedColumnFormula>
    </tableColumn>
    <tableColumn id="7" xr3:uid="{7A486AE5-F777-0849-84E0-209AF0C2C2C7}" name="Device Tag" dataDxfId="1">
      <calculatedColumnFormula>TW[[#This Row],[UID]]</calculatedColumnFormula>
    </tableColumn>
    <tableColumn id="8" xr3:uid="{677591E1-964A-4646-8CAC-0ABB11B9167C}" name="Device Location"/>
    <tableColumn id="9" xr3:uid="{E19A8C45-2AE7-C848-8793-4150A4CE96E4}" name="Circuit"/>
    <tableColumn id="10" xr3:uid="{2F50C763-D77A-9B48-A8F5-E9922C32F6EF}" name="Power Source"/>
    <tableColumn id="11" xr3:uid="{D9324DF6-289D-2746-A2A9-AB68F9253FE6}" name="Status" dataDxfId="0">
      <calculatedColumnFormula>IF(TW[[#This Row],[Status]]=0,"",TW[[#This Row],[Status]])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open?id=113d_Olu0z9ccyHV_PV5r8tnf4eArQJQH&amp;authuser=jrd419%40lehigh.edu&amp;usp=drive_fs" TargetMode="External"/><Relationship Id="rId13" Type="http://schemas.openxmlformats.org/officeDocument/2006/relationships/hyperlink" Target="https://drive.google.com/open?id=1e4-heItkSoT4TKdDcrDT1Yz11ANbYO2u&amp;authuser=fsm217%40lehigh.edu&amp;usp=drive_fs" TargetMode="External"/><Relationship Id="rId18" Type="http://schemas.openxmlformats.org/officeDocument/2006/relationships/table" Target="../tables/table3.xml"/><Relationship Id="rId3" Type="http://schemas.openxmlformats.org/officeDocument/2006/relationships/hyperlink" Target="https://drive.google.com/open?id=1ufwTYDKRXg9fWiytCJ2PaqUQyXha5s67&amp;authuser=jrd419%40lehigh.edu&amp;usp=drive_fs" TargetMode="External"/><Relationship Id="rId7" Type="http://schemas.openxmlformats.org/officeDocument/2006/relationships/hyperlink" Target="https://drive.google.com/open?id=113d_Olu0z9ccyHV_PV5r8tnf4eArQJQH&amp;authuser=jrd419%40lehigh.edu&amp;usp=drive_fs" TargetMode="External"/><Relationship Id="rId12" Type="http://schemas.openxmlformats.org/officeDocument/2006/relationships/hyperlink" Target="https://drive.google.com/open?id=1SiLNMuFYcr7wlVPzNkkXcVvHHqrw8UDd&amp;authuser=jrd419%40lehigh.edu&amp;usp=drive_fs" TargetMode="External"/><Relationship Id="rId17" Type="http://schemas.openxmlformats.org/officeDocument/2006/relationships/table" Target="../tables/table2.xml"/><Relationship Id="rId2" Type="http://schemas.openxmlformats.org/officeDocument/2006/relationships/hyperlink" Target="https://drive.google.com/open?id=1ufwTYDKRXg9fWiytCJ2PaqUQyXha5s67&amp;authuser=jrd419%40lehigh.edu&amp;usp=drive_fs" TargetMode="External"/><Relationship Id="rId16" Type="http://schemas.openxmlformats.org/officeDocument/2006/relationships/printerSettings" Target="../printerSettings/printerSettings2.bin"/><Relationship Id="rId1" Type="http://schemas.openxmlformats.org/officeDocument/2006/relationships/hyperlink" Target="https://drive.google.com/open?id=1E_SEOWW8QEa0jqxBg-RQJgkI8SOz6Fw7&amp;authuser=jrd419%40lehigh.edu&amp;usp=drive_fs" TargetMode="External"/><Relationship Id="rId6" Type="http://schemas.openxmlformats.org/officeDocument/2006/relationships/hyperlink" Target="https://drive.google.com/open?id=1TVfObdRQCnDG1RncXQ3FIPc_Bi7SIp6O&amp;authuser=jrd419%40lehigh.edu&amp;usp=drive_fs" TargetMode="External"/><Relationship Id="rId11" Type="http://schemas.openxmlformats.org/officeDocument/2006/relationships/hyperlink" Target="https://drive.google.com/open?id=11HuA0hK7QDqJxJ2C8ydmKd7ep_n_RWv1&amp;authuser=fsm217%40lehigh.edu&amp;usp=drive_fs" TargetMode="External"/><Relationship Id="rId5" Type="http://schemas.openxmlformats.org/officeDocument/2006/relationships/hyperlink" Target="https://drive.google.com/open?id=1TVfObdRQCnDG1RncXQ3FIPc_Bi7SIp6O&amp;authuser=jrd419%40lehigh.edu&amp;usp=drive_fs" TargetMode="External"/><Relationship Id="rId15" Type="http://schemas.openxmlformats.org/officeDocument/2006/relationships/hyperlink" Target="https://drive.google.com/open?id=1e4-heItkSoT4TKdDcrDT1Yz11ANbYO2u&amp;authuser=fsm217%40lehigh.edu&amp;usp=drive_fs" TargetMode="External"/><Relationship Id="rId10" Type="http://schemas.openxmlformats.org/officeDocument/2006/relationships/hyperlink" Target="https://drive.google.com/open?id=11HuA0hK7QDqJxJ2C8ydmKd7ep_n_RWv1&amp;authuser=fsm217%40lehigh.edu&amp;usp=drive_fs" TargetMode="External"/><Relationship Id="rId4" Type="http://schemas.openxmlformats.org/officeDocument/2006/relationships/hyperlink" Target="https://drive.google.com/open?id=1Cz8hYzXueZE-nMj2JosqjLtxxuqopeux&amp;authuser=jrd419%40lehigh.edu&amp;usp=drive_fs" TargetMode="External"/><Relationship Id="rId9" Type="http://schemas.openxmlformats.org/officeDocument/2006/relationships/hyperlink" Target="https://drive.google.com/open?id=11_I3GHd-ONX5mnhum8FPQixS8TAu2a1d&amp;authuser=jrd419%40lehigh.edu&amp;usp=drive_fs" TargetMode="External"/><Relationship Id="rId14" Type="http://schemas.openxmlformats.org/officeDocument/2006/relationships/hyperlink" Target="https://drive.google.com/open?id=1e4-heItkSoT4TKdDcrDT1Yz11ANbYO2u&amp;authuser=fsm217%40lehigh.edu&amp;usp=drive_fs"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hyperlink" Target="https://www.highpressure.com/pdfs/section/Accessories.pdf" TargetMode="External"/><Relationship Id="rId1" Type="http://schemas.openxmlformats.org/officeDocument/2006/relationships/hyperlink" Target="https://www.highpressure.com/pdfs/section/Accessories.pdf" TargetMode="External"/><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highpressure.com/pdfs/section/UltraHighPressure.pdf" TargetMode="External"/><Relationship Id="rId7" Type="http://schemas.openxmlformats.org/officeDocument/2006/relationships/table" Target="../tables/table7.xml"/><Relationship Id="rId2" Type="http://schemas.openxmlformats.org/officeDocument/2006/relationships/hyperlink" Target="https://www.highpressure.com/pdfs/section/UltraHighPressure.pdf" TargetMode="External"/><Relationship Id="rId1" Type="http://schemas.openxmlformats.org/officeDocument/2006/relationships/hyperlink" Target="https://www.highpressure.com/pdfs/section/UltraHighPressure.pdf" TargetMode="External"/><Relationship Id="rId6" Type="http://schemas.openxmlformats.org/officeDocument/2006/relationships/table" Target="../tables/table6.xml"/><Relationship Id="rId5" Type="http://schemas.openxmlformats.org/officeDocument/2006/relationships/hyperlink" Target="https://www.highpressure.com/pdfs/section/UltraHighPressure.pdf" TargetMode="External"/><Relationship Id="rId4" Type="http://schemas.openxmlformats.org/officeDocument/2006/relationships/hyperlink" Target="https://www.highpressure.com/pdfs/section/UltraHighPressure.pdf"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rive.google.com/open?id=1Ez5xkiO2C3hl77JzgqsdKpnCd4Uio906&amp;authuser=fsm217%40lehigh.edu&amp;usp=drive_fs" TargetMode="External"/><Relationship Id="rId13" Type="http://schemas.openxmlformats.org/officeDocument/2006/relationships/table" Target="../tables/table8.xml"/><Relationship Id="rId3" Type="http://schemas.openxmlformats.org/officeDocument/2006/relationships/hyperlink" Target="https://drive.google.com/open?id=1dltMeFZRLDIgyCcyZk1hPwKZOdd_4lnZ&amp;authuser=fsm217%40lehigh.edu&amp;usp=drive_fs" TargetMode="External"/><Relationship Id="rId7" Type="http://schemas.openxmlformats.org/officeDocument/2006/relationships/hyperlink" Target="https://drive.google.com/open?id=1Ez5xkiO2C3hl77JzgqsdKpnCd4Uio906&amp;authuser=fsm217%40lehigh.edu&amp;usp=drive_fs" TargetMode="External"/><Relationship Id="rId12" Type="http://schemas.openxmlformats.org/officeDocument/2006/relationships/printerSettings" Target="../printerSettings/printerSettings3.bin"/><Relationship Id="rId2" Type="http://schemas.openxmlformats.org/officeDocument/2006/relationships/hyperlink" Target="https://drive.google.com/open?id=1dltMeFZRLDIgyCcyZk1hPwKZOdd_4lnZ&amp;authuser=fsm217%40lehigh.edu&amp;usp=drive_fs" TargetMode="External"/><Relationship Id="rId1" Type="http://schemas.openxmlformats.org/officeDocument/2006/relationships/hyperlink" Target="https://drive.google.com/open?id=1dltMeFZRLDIgyCcyZk1hPwKZOdd_4lnZ&amp;authuser=fsm217%40lehigh.edu&amp;usp=drive_fs" TargetMode="External"/><Relationship Id="rId6" Type="http://schemas.openxmlformats.org/officeDocument/2006/relationships/hyperlink" Target="https://drive.google.com/open?id=1Ez5xkiO2C3hl77JzgqsdKpnCd4Uio906&amp;authuser=fsm217%40lehigh.edu&amp;usp=drive_fs" TargetMode="External"/><Relationship Id="rId11" Type="http://schemas.openxmlformats.org/officeDocument/2006/relationships/hyperlink" Target="https://drive.google.com/open?id=1e4-heItkSoT4TKdDcrDT1Yz11ANbYO2u&amp;authuser=fsm217%40lehigh.edu&amp;usp=drive_fs" TargetMode="External"/><Relationship Id="rId5" Type="http://schemas.openxmlformats.org/officeDocument/2006/relationships/hyperlink" Target="https://drive.google.com/open?id=1Ez5xkiO2C3hl77JzgqsdKpnCd4Uio906&amp;authuser=fsm217%40lehigh.edu&amp;usp=drive_fs" TargetMode="External"/><Relationship Id="rId10" Type="http://schemas.openxmlformats.org/officeDocument/2006/relationships/hyperlink" Target="https://drive.google.com/open?id=1e4-heItkSoT4TKdDcrDT1Yz11ANbYO2u&amp;authuser=fsm217%40lehigh.edu&amp;usp=drive_fs" TargetMode="External"/><Relationship Id="rId4" Type="http://schemas.openxmlformats.org/officeDocument/2006/relationships/hyperlink" Target="https://drive.google.com/open?id=1Ez5xkiO2C3hl77JzgqsdKpnCd4Uio906&amp;authuser=fsm217%40lehigh.edu&amp;usp=drive_fs" TargetMode="External"/><Relationship Id="rId9" Type="http://schemas.openxmlformats.org/officeDocument/2006/relationships/hyperlink" Target="https://drive.google.com/open?id=1e4-heItkSoT4TKdDcrDT1Yz11ANbYO2u&amp;authuser=fsm217%40lehigh.edu&amp;usp=drive_fs" TargetMode="External"/><Relationship Id="rId14" Type="http://schemas.openxmlformats.org/officeDocument/2006/relationships/table" Target="../tables/table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hyperlink" Target="https://www.highpressure.com/pdfs/section/UltraHighPressure.pdf" TargetMode="External"/><Relationship Id="rId1" Type="http://schemas.openxmlformats.org/officeDocument/2006/relationships/hyperlink" Target="https://www.highpressure.com/pdfs/section/UltraHighPressure.pdf" TargetMode="External"/><Relationship Id="rId4"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8" Type="http://schemas.openxmlformats.org/officeDocument/2006/relationships/hyperlink" Target="https://www.highpressure.com/products/valves-fittings-tubing/high-pressure-valves-fittings-and-tubing/line-filters-check-valves/" TargetMode="External"/><Relationship Id="rId3" Type="http://schemas.openxmlformats.org/officeDocument/2006/relationships/hyperlink" Target="https://www.highpressure.com/products/valves-fittings-tubing/high-pressure-valves-fittings-and-tubing/line-filters-check-valves/" TargetMode="External"/><Relationship Id="rId7" Type="http://schemas.openxmlformats.org/officeDocument/2006/relationships/hyperlink" Target="https://www.highpressure.com/products/valves-fittings-tubing/high-pressure-valves-fittings-and-tubing/line-filters-check-valves/" TargetMode="External"/><Relationship Id="rId2" Type="http://schemas.openxmlformats.org/officeDocument/2006/relationships/hyperlink" Target="https://www.highpressure.com/products/valves-fittings-tubing/high-pressure-valves-fittings-and-tubing/line-filters-check-valves/" TargetMode="External"/><Relationship Id="rId1" Type="http://schemas.openxmlformats.org/officeDocument/2006/relationships/hyperlink" Target="https://www.highpressure.com/products/valves-fittings-tubing/high-pressure-valves-fittings-and-tubing/line-filters-check-valves/" TargetMode="External"/><Relationship Id="rId6" Type="http://schemas.openxmlformats.org/officeDocument/2006/relationships/hyperlink" Target="https://www.highpressure.com/products/valves-fittings-tubing/high-pressure-valves-fittings-and-tubing/line-filters-check-valves/" TargetMode="External"/><Relationship Id="rId5" Type="http://schemas.openxmlformats.org/officeDocument/2006/relationships/hyperlink" Target="https://www.highpressure.com/products/valves-fittings-tubing/high-pressure-valves-fittings-and-tubing/line-filters-check-valves/" TargetMode="External"/><Relationship Id="rId10" Type="http://schemas.openxmlformats.org/officeDocument/2006/relationships/table" Target="../tables/table13.xml"/><Relationship Id="rId4" Type="http://schemas.openxmlformats.org/officeDocument/2006/relationships/hyperlink" Target="https://www.highpressure.com/products/valves-fittings-tubing/high-pressure-valves-fittings-and-tubing/line-filters-check-valves/" TargetMode="External"/><Relationship Id="rId9"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8" Type="http://schemas.openxmlformats.org/officeDocument/2006/relationships/hyperlink" Target="https://drive.google.com/open?id=1R4oLJPU3F9zyBxg6ToefT5l3Co-ZV4I1&amp;authuser=jrd419%40lehigh.edu&amp;usp=drive_fs" TargetMode="External"/><Relationship Id="rId13" Type="http://schemas.openxmlformats.org/officeDocument/2006/relationships/hyperlink" Target="https://drive.google.com/open?id=1SiLNMuFYcr7wlVPzNkkXcVvHHqrw8UDd&amp;authuser=jrd419%40lehigh.edu&amp;usp=drive_fs" TargetMode="External"/><Relationship Id="rId3" Type="http://schemas.openxmlformats.org/officeDocument/2006/relationships/hyperlink" Target="https://drive.google.com/open?id=15ewtfKK1gKb0aSSAJScFIKPRcQe2srpR&amp;authuser=jrd419%40lehigh.edu&amp;usp=drive_fs" TargetMode="External"/><Relationship Id="rId7" Type="http://schemas.openxmlformats.org/officeDocument/2006/relationships/hyperlink" Target="https://drive.google.com/open?id=1Cz8hYzXueZE-nMj2JosqjLtxxuqopeux&amp;authuser=jrd419%40lehigh.edu&amp;usp=drive_fs" TargetMode="External"/><Relationship Id="rId12" Type="http://schemas.openxmlformats.org/officeDocument/2006/relationships/hyperlink" Target="https://drive.google.com/open?id=1R4oLJPU3F9zyBxg6ToefT5l3Co-ZV4I1&amp;authuser=jrd419%40lehigh.edu&amp;usp=drive_fs" TargetMode="External"/><Relationship Id="rId2" Type="http://schemas.openxmlformats.org/officeDocument/2006/relationships/hyperlink" Target="https://drive.google.com/open?id=15ewtfKK1gKb0aSSAJScFIKPRcQe2srpR&amp;authuser=jrd419%40lehigh.edu&amp;usp=drive_fs" TargetMode="External"/><Relationship Id="rId1" Type="http://schemas.openxmlformats.org/officeDocument/2006/relationships/hyperlink" Target="https://drive.google.com/open?id=15ewtfKK1gKb0aSSAJScFIKPRcQe2srpR&amp;authuser=jrd419%40lehigh.edu&amp;usp=drive_fs" TargetMode="External"/><Relationship Id="rId6" Type="http://schemas.openxmlformats.org/officeDocument/2006/relationships/hyperlink" Target="https://drive.google.com/open?id=1AHKQzRy6o5VQijrrLvQL6FuuGygkAjIh&amp;authuser=jrd419%40lehigh.edu&amp;usp=drive_fs" TargetMode="External"/><Relationship Id="rId11" Type="http://schemas.openxmlformats.org/officeDocument/2006/relationships/hyperlink" Target="https://drive.google.com/open?id=17lPtP3TwopBAmOK6RjTBhdcmz5VjSvxb&amp;authuser=jrd419%40lehigh.edu&amp;usp=drive_fs" TargetMode="External"/><Relationship Id="rId5" Type="http://schemas.openxmlformats.org/officeDocument/2006/relationships/hyperlink" Target="https://drive.google.com/open?id=11YSGYqxzRHdmlyWx6hfaOZcLXn0jLYUq&amp;authuser=jrd419%40lehigh.edu&amp;usp=drive_fs" TargetMode="External"/><Relationship Id="rId15" Type="http://schemas.openxmlformats.org/officeDocument/2006/relationships/table" Target="../tables/table17.xml"/><Relationship Id="rId10" Type="http://schemas.openxmlformats.org/officeDocument/2006/relationships/hyperlink" Target="https://drive.google.com/open?id=1m0F7ruGYOBybuTxVWcUN-nK2-eA08t4v&amp;authuser=jrd419%40lehigh.edu&amp;usp=drive_fs" TargetMode="External"/><Relationship Id="rId4" Type="http://schemas.openxmlformats.org/officeDocument/2006/relationships/hyperlink" Target="https://drive.google.com/open?id=11YSGYqxzRHdmlyWx6hfaOZcLXn0jLYUq&amp;authuser=jrd419%40lehigh.edu&amp;usp=drive_fs" TargetMode="External"/><Relationship Id="rId9" Type="http://schemas.openxmlformats.org/officeDocument/2006/relationships/hyperlink" Target="https://drive.google.com/open?id=19cjqhAUwOJchogY-VM2ExzO-hjdww-NJ&amp;authuser=jrd419%40lehigh.edu&amp;usp=drive_fs" TargetMode="External"/><Relationship Id="rId14" Type="http://schemas.openxmlformats.org/officeDocument/2006/relationships/table" Target="../tables/table16.xml"/></Relationships>
</file>

<file path=xl/worksheets/_rels/sheet11.xml.rels><?xml version="1.0" encoding="UTF-8" standalone="yes"?>
<Relationships xmlns="http://schemas.openxmlformats.org/package/2006/relationships"><Relationship Id="rId8" Type="http://schemas.openxmlformats.org/officeDocument/2006/relationships/hyperlink" Target="https://drive.google.com/open?id=1RVK1kou5_J9wIBU9j8pU5mCGoiTJSTUO&amp;authuser=jrd419%40lehigh.edu&amp;usp=drive_fs" TargetMode="External"/><Relationship Id="rId13" Type="http://schemas.openxmlformats.org/officeDocument/2006/relationships/hyperlink" Target="https://drive.google.com/open?id=1RVK1kou5_J9wIBU9j8pU5mCGoiTJSTUO&amp;authuser=jrd419%40lehigh.edu&amp;usp=drive_fs" TargetMode="External"/><Relationship Id="rId3" Type="http://schemas.openxmlformats.org/officeDocument/2006/relationships/hyperlink" Target="https://drive.google.com/open?id=12VXsR5wZ2EJWMuvo-lTkzbdP_tqeneW1&amp;authuser=jrd419%40lehigh.edu&amp;usp=drive_fs" TargetMode="External"/><Relationship Id="rId7" Type="http://schemas.openxmlformats.org/officeDocument/2006/relationships/hyperlink" Target="https://drive.google.com/open?id=1RVK1kou5_J9wIBU9j8pU5mCGoiTJSTUO&amp;authuser=jrd419%40lehigh.edu&amp;usp=drive_fs" TargetMode="External"/><Relationship Id="rId12" Type="http://schemas.openxmlformats.org/officeDocument/2006/relationships/hyperlink" Target="https://drive.google.com/open?id=1RVK1kou5_J9wIBU9j8pU5mCGoiTJSTUO&amp;authuser=jrd419%40lehigh.edu&amp;usp=drive_fs" TargetMode="External"/><Relationship Id="rId2" Type="http://schemas.openxmlformats.org/officeDocument/2006/relationships/hyperlink" Target="https://drive.google.com/open?id=12VXsR5wZ2EJWMuvo-lTkzbdP_tqeneW1&amp;authuser=jrd419%40lehigh.edu&amp;usp=drive_fs" TargetMode="External"/><Relationship Id="rId16" Type="http://schemas.openxmlformats.org/officeDocument/2006/relationships/table" Target="../tables/table19.xml"/><Relationship Id="rId1" Type="http://schemas.openxmlformats.org/officeDocument/2006/relationships/hyperlink" Target="https://drive.google.com/open?id=1Cz8hYzXueZE-nMj2JosqjLtxxuqopeux&amp;authuser=jrd419%40lehigh.edu&amp;usp=drive_fs" TargetMode="External"/><Relationship Id="rId6" Type="http://schemas.openxmlformats.org/officeDocument/2006/relationships/hyperlink" Target="https://drive.google.com/open?id=1RVK1kou5_J9wIBU9j8pU5mCGoiTJSTUO&amp;authuser=jrd419%40lehigh.edu&amp;usp=drive_fs" TargetMode="External"/><Relationship Id="rId11" Type="http://schemas.openxmlformats.org/officeDocument/2006/relationships/hyperlink" Target="https://drive.google.com/open?id=17dpuFrile5NSBt6BS9v12_d4r_ignO75&amp;authuser=jrd419%40lehigh.edu&amp;usp=drive_fs" TargetMode="External"/><Relationship Id="rId5" Type="http://schemas.openxmlformats.org/officeDocument/2006/relationships/hyperlink" Target="https://drive.google.com/open?id=1RVK1kou5_J9wIBU9j8pU5mCGoiTJSTUO&amp;authuser=jrd419%40lehigh.edu&amp;usp=drive_fs" TargetMode="External"/><Relationship Id="rId15" Type="http://schemas.openxmlformats.org/officeDocument/2006/relationships/table" Target="../tables/table18.xml"/><Relationship Id="rId10" Type="http://schemas.openxmlformats.org/officeDocument/2006/relationships/hyperlink" Target="https://drive.google.com/open?id=11OuxgdP-zVwkADHmmlv9sJIlVcsHmkZ_&amp;authuser=jrd419%40lehigh.edu&amp;usp=drive_fs" TargetMode="External"/><Relationship Id="rId4" Type="http://schemas.openxmlformats.org/officeDocument/2006/relationships/hyperlink" Target="https://drive.google.com/open?id=1EYOLx524viTARwELuurNhEQmJoj6eMZb&amp;authuser=jrd419%40lehigh.edu&amp;usp=drive_fs" TargetMode="External"/><Relationship Id="rId9" Type="http://schemas.openxmlformats.org/officeDocument/2006/relationships/hyperlink" Target="https://drive.google.com/open?id=11OuxgdP-zVwkADHmmlv9sJIlVcsHmkZ_&amp;authuser=jrd419%40lehigh.edu&amp;usp=drive_fs" TargetMode="External"/><Relationship Id="rId14" Type="http://schemas.openxmlformats.org/officeDocument/2006/relationships/hyperlink" Target="https://drive.google.com/open?id=1SiLNMuFYcr7wlVPzNkkXcVvHHqrw8UDd&amp;authuser=jrd419%40lehigh.edu&amp;usp=drive_fs" TargetMode="External"/></Relationships>
</file>

<file path=xl/worksheets/_rels/sheet12.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table" Target="../tables/table20.xml"/></Relationships>
</file>

<file path=xl/worksheets/_rels/sheet13.xml.rels><?xml version="1.0" encoding="UTF-8" standalone="yes"?>
<Relationships xmlns="http://schemas.openxmlformats.org/package/2006/relationships"><Relationship Id="rId8" Type="http://schemas.openxmlformats.org/officeDocument/2006/relationships/hyperlink" Target="https://drive.google.com/open?id=11OypiM8g5xEXcHx-Co4o5H3bxmyFe4qG&amp;authuser=fsm217%40lehigh.edu&amp;usp=drive_fs" TargetMode="External"/><Relationship Id="rId13" Type="http://schemas.openxmlformats.org/officeDocument/2006/relationships/hyperlink" Target="https://drive.google.com/open?id=1e4-heItkSoT4TKdDcrDT1Yz11ANbYO2u&amp;authuser=fsm217%40lehigh.edu&amp;usp=drive_fs" TargetMode="External"/><Relationship Id="rId18" Type="http://schemas.openxmlformats.org/officeDocument/2006/relationships/hyperlink" Target="https://drive.google.com/open?id=1e4-heItkSoT4TKdDcrDT1Yz11ANbYO2u&amp;authuser=fsm217%40lehigh.edu&amp;usp=drive_fs" TargetMode="External"/><Relationship Id="rId3" Type="http://schemas.openxmlformats.org/officeDocument/2006/relationships/hyperlink" Target="https://drive.google.com/open?id=11WhOGMckRmnYaaOURH8ldPSPHDj_gcvZ&amp;authuser=fsm217%40lehigh.edu&amp;usp=drive_fs" TargetMode="External"/><Relationship Id="rId21" Type="http://schemas.openxmlformats.org/officeDocument/2006/relationships/table" Target="../tables/table22.xml"/><Relationship Id="rId7" Type="http://schemas.openxmlformats.org/officeDocument/2006/relationships/hyperlink" Target="https://drive.google.com/open?id=11OypiM8g5xEXcHx-Co4o5H3bxmyFe4qG&amp;authuser=fsm217%40lehigh.edu&amp;usp=drive_fs" TargetMode="External"/><Relationship Id="rId12" Type="http://schemas.openxmlformats.org/officeDocument/2006/relationships/hyperlink" Target="https://drive.google.com/open?id=1e4-heItkSoT4TKdDcrDT1Yz11ANbYO2u&amp;authuser=fsm217%40lehigh.edu&amp;usp=drive_fs" TargetMode="External"/><Relationship Id="rId17" Type="http://schemas.openxmlformats.org/officeDocument/2006/relationships/hyperlink" Target="https://drive.google.com/open?id=1e4-heItkSoT4TKdDcrDT1Yz11ANbYO2u&amp;authuser=fsm217%40lehigh.edu&amp;usp=drive_fs" TargetMode="External"/><Relationship Id="rId2" Type="http://schemas.openxmlformats.org/officeDocument/2006/relationships/hyperlink" Target="https://drive.google.com/open?id=11WhOGMckRmnYaaOURH8ldPSPHDj_gcvZ&amp;authuser=fsm217%40lehigh.edu&amp;usp=drive_fs" TargetMode="External"/><Relationship Id="rId16" Type="http://schemas.openxmlformats.org/officeDocument/2006/relationships/hyperlink" Target="https://drive.google.com/open?id=1e4-heItkSoT4TKdDcrDT1Yz11ANbYO2u&amp;authuser=fsm217%40lehigh.edu&amp;usp=drive_fs" TargetMode="External"/><Relationship Id="rId20" Type="http://schemas.openxmlformats.org/officeDocument/2006/relationships/hyperlink" Target="https://drive.google.com/open?id=1e4-heItkSoT4TKdDcrDT1Yz11ANbYO2u&amp;authuser=fsm217%40lehigh.edu&amp;usp=drive_fs" TargetMode="External"/><Relationship Id="rId1" Type="http://schemas.openxmlformats.org/officeDocument/2006/relationships/hyperlink" Target="https://drive.google.com/open?id=11WhOGMckRmnYaaOURH8ldPSPHDj_gcvZ&amp;authuser=fsm217%40lehigh.edu&amp;usp=drive_fs" TargetMode="External"/><Relationship Id="rId6" Type="http://schemas.openxmlformats.org/officeDocument/2006/relationships/hyperlink" Target="https://drive.google.com/open?id=11OypiM8g5xEXcHx-Co4o5H3bxmyFe4qG&amp;authuser=fsm217%40lehigh.edu&amp;usp=drive_fs" TargetMode="External"/><Relationship Id="rId11" Type="http://schemas.openxmlformats.org/officeDocument/2006/relationships/hyperlink" Target="https://drive.google.com/open?id=1e4-heItkSoT4TKdDcrDT1Yz11ANbYO2u&amp;authuser=fsm217%40lehigh.edu&amp;usp=drive_fs" TargetMode="External"/><Relationship Id="rId5" Type="http://schemas.openxmlformats.org/officeDocument/2006/relationships/hyperlink" Target="https://drive.google.com/open?id=11WhOGMckRmnYaaOURH8ldPSPHDj_gcvZ&amp;authuser=fsm217%40lehigh.edu&amp;usp=drive_fs" TargetMode="External"/><Relationship Id="rId15" Type="http://schemas.openxmlformats.org/officeDocument/2006/relationships/hyperlink" Target="https://drive.google.com/open?id=1e4-heItkSoT4TKdDcrDT1Yz11ANbYO2u&amp;authuser=fsm217%40lehigh.edu&amp;usp=drive_fs" TargetMode="External"/><Relationship Id="rId10" Type="http://schemas.openxmlformats.org/officeDocument/2006/relationships/hyperlink" Target="https://drive.google.com/open?id=11OypiM8g5xEXcHx-Co4o5H3bxmyFe4qG&amp;authuser=fsm217%40lehigh.edu&amp;usp=drive_fs" TargetMode="External"/><Relationship Id="rId19" Type="http://schemas.openxmlformats.org/officeDocument/2006/relationships/hyperlink" Target="https://drive.google.com/open?id=1e4-heItkSoT4TKdDcrDT1Yz11ANbYO2u&amp;authuser=fsm217%40lehigh.edu&amp;usp=drive_fs" TargetMode="External"/><Relationship Id="rId4" Type="http://schemas.openxmlformats.org/officeDocument/2006/relationships/hyperlink" Target="https://drive.google.com/open?id=11WhOGMckRmnYaaOURH8ldPSPHDj_gcvZ&amp;authuser=fsm217%40lehigh.edu&amp;usp=drive_fs" TargetMode="External"/><Relationship Id="rId9" Type="http://schemas.openxmlformats.org/officeDocument/2006/relationships/hyperlink" Target="https://drive.google.com/open?id=11OypiM8g5xEXcHx-Co4o5H3bxmyFe4qG&amp;authuser=fsm217%40lehigh.edu&amp;usp=drive_fs" TargetMode="External"/><Relationship Id="rId14" Type="http://schemas.openxmlformats.org/officeDocument/2006/relationships/hyperlink" Target="https://drive.google.com/open?id=1e4-heItkSoT4TKdDcrDT1Yz11ANbYO2u&amp;authuser=fsm217%40lehigh.edu&amp;usp=drive_fs" TargetMode="External"/><Relationship Id="rId22" Type="http://schemas.openxmlformats.org/officeDocument/2006/relationships/table" Target="../tables/table2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15.xml.rels><?xml version="1.0" encoding="UTF-8" standalone="yes"?>
<Relationships xmlns="http://schemas.openxmlformats.org/package/2006/relationships"><Relationship Id="rId3" Type="http://schemas.openxmlformats.org/officeDocument/2006/relationships/hyperlink" Target="https://www.highpressure.com/pdfs/section/HighPressure.pdf" TargetMode="External"/><Relationship Id="rId2" Type="http://schemas.openxmlformats.org/officeDocument/2006/relationships/hyperlink" Target="https://www.highpressure.com/pdfs/section/HighPressure.pdf" TargetMode="External"/><Relationship Id="rId1" Type="http://schemas.openxmlformats.org/officeDocument/2006/relationships/hyperlink" Target="https://www.highpressure.com/pdfs/section/HighPressure.pdf" TargetMode="External"/><Relationship Id="rId5" Type="http://schemas.openxmlformats.org/officeDocument/2006/relationships/table" Target="../tables/table27.xml"/><Relationship Id="rId4" Type="http://schemas.openxmlformats.org/officeDocument/2006/relationships/table" Target="../tables/table26.xml"/></Relationships>
</file>

<file path=xl/worksheets/_rels/sheet16.xml.rels><?xml version="1.0" encoding="UTF-8" standalone="yes"?>
<Relationships xmlns="http://schemas.openxmlformats.org/package/2006/relationships"><Relationship Id="rId8" Type="http://schemas.openxmlformats.org/officeDocument/2006/relationships/hyperlink" Target="https://drive.google.com/open?id=1eb9Y_5JIAvVRnXMrjNufMTts6iyMEP2i&amp;authuser=jrd419%40lehigh.edu&amp;usp=drive_fs" TargetMode="External"/><Relationship Id="rId13" Type="http://schemas.openxmlformats.org/officeDocument/2006/relationships/hyperlink" Target="https://drive.google.com/open?id=1F3mdSebGc90kEL5Mu2jjRfjAGTHgjSEx&amp;authuser=fsm217%40lehigh.edu&amp;usp=drive_fs" TargetMode="External"/><Relationship Id="rId18" Type="http://schemas.openxmlformats.org/officeDocument/2006/relationships/hyperlink" Target="https://drive.google.com/open?id=1p3FosYfzs6T3jy-sQtbL91HTX6yCAS3M&amp;authuser=fsm217%40lehigh.edu&amp;usp=drive_fs" TargetMode="External"/><Relationship Id="rId3" Type="http://schemas.openxmlformats.org/officeDocument/2006/relationships/hyperlink" Target="https://drive.google.com/open?id=12PeRUYFSZFcSVEIf4jv-Olo_La_GOlgJ&amp;authuser=jrd419%40lehigh.edu&amp;usp=drive_fs" TargetMode="External"/><Relationship Id="rId21" Type="http://schemas.openxmlformats.org/officeDocument/2006/relationships/table" Target="../tables/table28.xml"/><Relationship Id="rId7" Type="http://schemas.openxmlformats.org/officeDocument/2006/relationships/hyperlink" Target="https://drive.google.com/open?id=1eb9Y_5JIAvVRnXMrjNufMTts6iyMEP2i&amp;authuser=jrd419%40lehigh.edu&amp;usp=drive_fs" TargetMode="External"/><Relationship Id="rId12" Type="http://schemas.openxmlformats.org/officeDocument/2006/relationships/hyperlink" Target="https://drive.google.com/open?id=1F1NVZWu9izHFwbqgFbYuD7yCEjCL5OW6&amp;authuser=fsm217%40lehigh.edu&amp;usp=drive_fs" TargetMode="External"/><Relationship Id="rId17" Type="http://schemas.openxmlformats.org/officeDocument/2006/relationships/hyperlink" Target="https://drive.google.com/open?id=1p3FosYfzs6T3jy-sQtbL91HTX6yCAS3M&amp;authuser=fsm217%40lehigh.edu&amp;usp=drive_fs" TargetMode="External"/><Relationship Id="rId2" Type="http://schemas.openxmlformats.org/officeDocument/2006/relationships/hyperlink" Target="https://drive.google.com/open?id=12PeRUYFSZFcSVEIf4jv-Olo_La_GOlgJ&amp;authuser=jrd419%40lehigh.edu&amp;usp=drive_fs" TargetMode="External"/><Relationship Id="rId16" Type="http://schemas.openxmlformats.org/officeDocument/2006/relationships/hyperlink" Target="https://drive.google.com/open?id=1F3mdSebGc90kEL5Mu2jjRfjAGTHgjSEx&amp;authuser=fsm217%40lehigh.edu&amp;usp=drive_fs" TargetMode="External"/><Relationship Id="rId20" Type="http://schemas.openxmlformats.org/officeDocument/2006/relationships/hyperlink" Target="https://drive.google.com/open?id=12PeRUYFSZFcSVEIf4jv-Olo_La_GOlgJ&amp;authuser=jrd419%40lehigh.edu&amp;usp=drive_fs" TargetMode="External"/><Relationship Id="rId1" Type="http://schemas.openxmlformats.org/officeDocument/2006/relationships/hyperlink" Target="https://drive.google.com/open?id=12PeRUYFSZFcSVEIf4jv-Olo_La_GOlgJ&amp;authuser=jrd419%40lehigh.edu&amp;usp=drive_fs" TargetMode="External"/><Relationship Id="rId6" Type="http://schemas.openxmlformats.org/officeDocument/2006/relationships/hyperlink" Target="https://drive.google.com/open?id=1yPrJOiAqiuAEVucJ0w2n54jAnpAz1lBg&amp;authuser=jrd419%40lehigh.edu&amp;usp=drive_fs" TargetMode="External"/><Relationship Id="rId11" Type="http://schemas.openxmlformats.org/officeDocument/2006/relationships/hyperlink" Target="https://drive.google.com/open?id=15ewtfKK1gKb0aSSAJScFIKPRcQe2srpR&amp;authuser=jrd419%40lehigh.edu&amp;usp=drive_fs" TargetMode="External"/><Relationship Id="rId5" Type="http://schemas.openxmlformats.org/officeDocument/2006/relationships/hyperlink" Target="https://drive.google.com/open?id=1yPrJOiAqiuAEVucJ0w2n54jAnpAz1lBg&amp;authuser=jrd419%40lehigh.edu&amp;usp=drive_fs" TargetMode="External"/><Relationship Id="rId15" Type="http://schemas.openxmlformats.org/officeDocument/2006/relationships/hyperlink" Target="https://drive.google.com/open?id=1F3mdSebGc90kEL5Mu2jjRfjAGTHgjSEx&amp;authuser=fsm217%40lehigh.edu&amp;usp=drive_fs" TargetMode="External"/><Relationship Id="rId10" Type="http://schemas.openxmlformats.org/officeDocument/2006/relationships/hyperlink" Target="https://drive.google.com/open?id=15ewtfKK1gKb0aSSAJScFIKPRcQe2srpR&amp;authuser=jrd419%40lehigh.edu&amp;usp=drive_fs" TargetMode="External"/><Relationship Id="rId19" Type="http://schemas.openxmlformats.org/officeDocument/2006/relationships/hyperlink" Target="https://drive.google.com/open?id=1p3FosYfzs6T3jy-sQtbL91HTX6yCAS3M&amp;authuser=fsm217%40lehigh.edu&amp;usp=drive_fs" TargetMode="External"/><Relationship Id="rId4" Type="http://schemas.openxmlformats.org/officeDocument/2006/relationships/hyperlink" Target="https://drive.google.com/open?id=12PeRUYFSZFcSVEIf4jv-Olo_La_GOlgJ&amp;authuser=jrd419%40lehigh.edu&amp;usp=drive_fs" TargetMode="External"/><Relationship Id="rId9" Type="http://schemas.openxmlformats.org/officeDocument/2006/relationships/hyperlink" Target="https://drive.google.com/open?id=15ewtfKK1gKb0aSSAJScFIKPRcQe2srpR&amp;authuser=jrd419%40lehigh.edu&amp;usp=drive_fs" TargetMode="External"/><Relationship Id="rId14" Type="http://schemas.openxmlformats.org/officeDocument/2006/relationships/hyperlink" Target="https://drive.google.com/open?id=1F3mdSebGc90kEL5Mu2jjRfjAGTHgjSEx&amp;authuser=fsm217%40lehigh.edu&amp;usp=drive_fs" TargetMode="External"/><Relationship Id="rId22" Type="http://schemas.openxmlformats.org/officeDocument/2006/relationships/table" Target="../tables/table29.xml"/></Relationships>
</file>

<file path=xl/worksheets/_rels/sheet17.xml.rels><?xml version="1.0" encoding="UTF-8" standalone="yes"?>
<Relationships xmlns="http://schemas.openxmlformats.org/package/2006/relationships"><Relationship Id="rId8" Type="http://schemas.openxmlformats.org/officeDocument/2006/relationships/hyperlink" Target="http://resources.oseco.com/en/rupture-discs/std/std-flyer.pdf" TargetMode="External"/><Relationship Id="rId13" Type="http://schemas.openxmlformats.org/officeDocument/2006/relationships/hyperlink" Target="http://resources.oseco.com/en/rupture-discs/std/std-flyer.pdf" TargetMode="External"/><Relationship Id="rId3" Type="http://schemas.openxmlformats.org/officeDocument/2006/relationships/hyperlink" Target="https://www.highpressure.com/products/valves-fittings-tubing/taper-seal-valves-fittings-and-tubing/rupture-discs/" TargetMode="External"/><Relationship Id="rId7" Type="http://schemas.openxmlformats.org/officeDocument/2006/relationships/hyperlink" Target="http://resources.oseco.com/en/rupture-discs/std/std-flyer.pdf" TargetMode="External"/><Relationship Id="rId12" Type="http://schemas.openxmlformats.org/officeDocument/2006/relationships/hyperlink" Target="http://resources.oseco.com/en/rupture-discs/std/std-flyer.pdf" TargetMode="External"/><Relationship Id="rId2" Type="http://schemas.openxmlformats.org/officeDocument/2006/relationships/hyperlink" Target="https://www.highpressure.com/products/valves-fittings-tubing/taper-seal-valves-fittings-and-tubing/rupture-discs/" TargetMode="External"/><Relationship Id="rId16" Type="http://schemas.openxmlformats.org/officeDocument/2006/relationships/table" Target="../tables/table31.xml"/><Relationship Id="rId1" Type="http://schemas.openxmlformats.org/officeDocument/2006/relationships/hyperlink" Target="https://www.highpressure.com/products/valves-fittings-tubing/taper-seal-valves-fittings-and-tubing/rupture-discs/" TargetMode="External"/><Relationship Id="rId6" Type="http://schemas.openxmlformats.org/officeDocument/2006/relationships/hyperlink" Target="http://resources.oseco.com/en/rupture-discs/std/std-flyer.pdf" TargetMode="External"/><Relationship Id="rId11" Type="http://schemas.openxmlformats.org/officeDocument/2006/relationships/hyperlink" Target="http://resources.oseco.com/en/rupture-discs/std/std-flyer.pdf" TargetMode="External"/><Relationship Id="rId5" Type="http://schemas.openxmlformats.org/officeDocument/2006/relationships/hyperlink" Target="http://resources.oseco.com/en/rupture-discs/std/std-flyer.pdf" TargetMode="External"/><Relationship Id="rId15" Type="http://schemas.openxmlformats.org/officeDocument/2006/relationships/table" Target="../tables/table30.xml"/><Relationship Id="rId10" Type="http://schemas.openxmlformats.org/officeDocument/2006/relationships/hyperlink" Target="http://resources.oseco.com/en/rupture-discs/std/std-flyer.pdf" TargetMode="External"/><Relationship Id="rId4" Type="http://schemas.openxmlformats.org/officeDocument/2006/relationships/hyperlink" Target="https://www.highpressure.com/products/valves-fittings-tubing/taper-seal-valves-fittings-and-tubing/rupture-discs/" TargetMode="External"/><Relationship Id="rId9" Type="http://schemas.openxmlformats.org/officeDocument/2006/relationships/hyperlink" Target="http://resources.oseco.com/en/rupture-discs/std/std-flyer.pdf" TargetMode="External"/><Relationship Id="rId14" Type="http://schemas.openxmlformats.org/officeDocument/2006/relationships/hyperlink" Target="http://resources.oseco.com/en/rupture-discs/std/std-flyer.pdf"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table" Target="../tables/table32.xml"/></Relationships>
</file>

<file path=xl/worksheets/_rels/sheet19.xml.rels><?xml version="1.0" encoding="UTF-8" standalone="yes"?>
<Relationships xmlns="http://schemas.openxmlformats.org/package/2006/relationships"><Relationship Id="rId8" Type="http://schemas.openxmlformats.org/officeDocument/2006/relationships/hyperlink" Target="https://www.highpressure.com/pdfs/section/HighPressure.pdf" TargetMode="External"/><Relationship Id="rId13" Type="http://schemas.openxmlformats.org/officeDocument/2006/relationships/hyperlink" Target="https://www.highpressure.com/pdfs/section/HighPressure.pdf" TargetMode="External"/><Relationship Id="rId18" Type="http://schemas.openxmlformats.org/officeDocument/2006/relationships/hyperlink" Target="https://www.highpressure.com/pdfs/section/HighPressure.pdf" TargetMode="External"/><Relationship Id="rId3" Type="http://schemas.openxmlformats.org/officeDocument/2006/relationships/hyperlink" Target="https://www.highpressure.com/pdfs/section/HighPressure.pdf" TargetMode="External"/><Relationship Id="rId7" Type="http://schemas.openxmlformats.org/officeDocument/2006/relationships/hyperlink" Target="https://www.highpressure.com/pdfs/section/HighPressure.pdf" TargetMode="External"/><Relationship Id="rId12" Type="http://schemas.openxmlformats.org/officeDocument/2006/relationships/hyperlink" Target="https://www.highpressure.com/pdfs/section/HighPressure.pdf" TargetMode="External"/><Relationship Id="rId17" Type="http://schemas.openxmlformats.org/officeDocument/2006/relationships/hyperlink" Target="https://www.highpressure.com/pdfs/section/HighPressure.pdf" TargetMode="External"/><Relationship Id="rId2" Type="http://schemas.openxmlformats.org/officeDocument/2006/relationships/hyperlink" Target="https://www.highpressure.com/pdfs/section/HighPressure.pdf" TargetMode="External"/><Relationship Id="rId16" Type="http://schemas.openxmlformats.org/officeDocument/2006/relationships/hyperlink" Target="https://www.highpressure.com/pdfs/section/HighPressure.pdf" TargetMode="External"/><Relationship Id="rId20" Type="http://schemas.openxmlformats.org/officeDocument/2006/relationships/table" Target="../tables/table35.xml"/><Relationship Id="rId1" Type="http://schemas.openxmlformats.org/officeDocument/2006/relationships/hyperlink" Target="https://www.highpressure.com/pdfs/section/HighPressure.pdf" TargetMode="External"/><Relationship Id="rId6" Type="http://schemas.openxmlformats.org/officeDocument/2006/relationships/hyperlink" Target="https://www.highpressure.com/pdfs/section/HighPressure.pdf" TargetMode="External"/><Relationship Id="rId11" Type="http://schemas.openxmlformats.org/officeDocument/2006/relationships/hyperlink" Target="https://www.highpressure.com/pdfs/section/HighPressure.pdf" TargetMode="External"/><Relationship Id="rId5" Type="http://schemas.openxmlformats.org/officeDocument/2006/relationships/hyperlink" Target="https://www.highpressure.com/pdfs/section/HighPressure.pdf" TargetMode="External"/><Relationship Id="rId15" Type="http://schemas.openxmlformats.org/officeDocument/2006/relationships/hyperlink" Target="https://www.highpressure.com/pdfs/section/HighPressure.pdf" TargetMode="External"/><Relationship Id="rId10" Type="http://schemas.openxmlformats.org/officeDocument/2006/relationships/hyperlink" Target="https://www.highpressure.com/pdfs/section/HighPressure.pdf" TargetMode="External"/><Relationship Id="rId19" Type="http://schemas.openxmlformats.org/officeDocument/2006/relationships/table" Target="../tables/table34.xml"/><Relationship Id="rId4" Type="http://schemas.openxmlformats.org/officeDocument/2006/relationships/hyperlink" Target="https://www.highpressure.com/pdfs/section/HighPressure.pdf" TargetMode="External"/><Relationship Id="rId9" Type="http://schemas.openxmlformats.org/officeDocument/2006/relationships/hyperlink" Target="https://www.highpressure.com/pdfs/section/HighPressure.pdf" TargetMode="External"/><Relationship Id="rId14" Type="http://schemas.openxmlformats.org/officeDocument/2006/relationships/hyperlink" Target="https://www.highpressure.com/pdfs/section/HighPressure.pdf" TargetMode="External"/></Relationships>
</file>

<file path=xl/worksheets/_rels/sheet20.xml.rels><?xml version="1.0" encoding="UTF-8" standalone="yes"?>
<Relationships xmlns="http://schemas.openxmlformats.org/package/2006/relationships"><Relationship Id="rId8" Type="http://schemas.openxmlformats.org/officeDocument/2006/relationships/table" Target="../tables/table37.xml"/><Relationship Id="rId3" Type="http://schemas.openxmlformats.org/officeDocument/2006/relationships/hyperlink" Target="https://drive.google.com/open?id=17DU5pIcmhjILjDzQtVQuLTbzpRt1a026&amp;authuser=jrd419%40lehigh.edu&amp;usp=drive_fs" TargetMode="External"/><Relationship Id="rId7" Type="http://schemas.openxmlformats.org/officeDocument/2006/relationships/table" Target="../tables/table36.xml"/><Relationship Id="rId2" Type="http://schemas.openxmlformats.org/officeDocument/2006/relationships/hyperlink" Target="https://drive.google.com/open?id=17DU5pIcmhjILjDzQtVQuLTbzpRt1a026&amp;authuser=jrd419%40lehigh.edu&amp;usp=drive_fs" TargetMode="External"/><Relationship Id="rId1" Type="http://schemas.openxmlformats.org/officeDocument/2006/relationships/hyperlink" Target="https://drive.google.com/open?id=17DU5pIcmhjILjDzQtVQuLTbzpRt1a026&amp;authuser=jrd419%40lehigh.edu&amp;usp=drive_fs" TargetMode="External"/><Relationship Id="rId6" Type="http://schemas.openxmlformats.org/officeDocument/2006/relationships/hyperlink" Target="https://drive.google.com/open?id=1ID3pxE-pvpZM1jNdYJiV1rgmnHvo_Aq4&amp;authuser=jrd419%40lehigh.edu&amp;usp=drive_fs" TargetMode="External"/><Relationship Id="rId5" Type="http://schemas.openxmlformats.org/officeDocument/2006/relationships/hyperlink" Target="https://drive.google.com/open?id=1ID3pxE-pvpZM1jNdYJiV1rgmnHvo_Aq4&amp;authuser=jrd419%40lehigh.edu&amp;usp=drive_fs" TargetMode="External"/><Relationship Id="rId4" Type="http://schemas.openxmlformats.org/officeDocument/2006/relationships/hyperlink" Target="https://drive.google.com/open?id=1ID3pxE-pvpZM1jNdYJiV1rgmnHvo_Aq4&amp;authuser=jrd419%40lehigh.edu&amp;usp=drive_fs" TargetMode="External"/></Relationships>
</file>

<file path=xl/worksheets/_rels/sheet21.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hyperlink" Target="https://www.highpressure.com/pdfs/section/UltraHighPressure.pdf" TargetMode="External"/><Relationship Id="rId1" Type="http://schemas.openxmlformats.org/officeDocument/2006/relationships/hyperlink" Target="https://www.highpressure.com/pdfs/section/UltraHighPressure.pdf" TargetMode="External"/><Relationship Id="rId4" Type="http://schemas.openxmlformats.org/officeDocument/2006/relationships/table" Target="../tables/table39.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hyperlink" Target="https://www.highpressure.com/pdfs/section/UltraHighPressure.pdf"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drive.google.com/open?id=1LTwIRucvFN5dBB_t5kTP_0muIeuqfUti&amp;authuser=jrd419%40lehigh.edu&amp;usp=drive_fs" TargetMode="External"/><Relationship Id="rId2" Type="http://schemas.openxmlformats.org/officeDocument/2006/relationships/hyperlink" Target="https://drive.google.com/open?id=1LTwIRucvFN5dBB_t5kTP_0muIeuqfUti&amp;authuser=jrd419%40lehigh.edu&amp;usp=drive_fs" TargetMode="External"/><Relationship Id="rId1" Type="http://schemas.openxmlformats.org/officeDocument/2006/relationships/hyperlink" Target="https://drive.google.com/open?id=1AAxVCNyB4wJNp9OTGGTD-c77a7-W_UP4&amp;authuser=jrd419%40lehigh.edu&amp;usp=drive_fs" TargetMode="External"/><Relationship Id="rId5" Type="http://schemas.openxmlformats.org/officeDocument/2006/relationships/table" Target="../tables/table43.xml"/><Relationship Id="rId4" Type="http://schemas.openxmlformats.org/officeDocument/2006/relationships/table" Target="../tables/table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CC946-9DF1-754F-850E-13DD4ACAC879}">
  <sheetPr codeName="Sheet19"/>
  <dimension ref="A1:R2114"/>
  <sheetViews>
    <sheetView zoomScale="107" workbookViewId="0">
      <selection activeCell="B18" sqref="B18"/>
    </sheetView>
  </sheetViews>
  <sheetFormatPr defaultColWidth="11" defaultRowHeight="15.95"/>
  <cols>
    <col min="5" max="5" width="15.5" customWidth="1"/>
    <col min="6" max="6" width="19.125" customWidth="1"/>
    <col min="7" max="7" width="20.375" customWidth="1"/>
    <col min="10" max="11" width="12.625" customWidth="1"/>
    <col min="12" max="12" width="16.5" customWidth="1"/>
    <col min="14" max="15" width="14.625" customWidth="1"/>
  </cols>
  <sheetData>
    <row r="1" spans="1:18" ht="17.100000000000001" thickBot="1">
      <c r="A1" t="s">
        <v>0</v>
      </c>
      <c r="E1" t="s">
        <v>1</v>
      </c>
      <c r="F1" t="s">
        <v>2</v>
      </c>
      <c r="G1" t="s">
        <v>3</v>
      </c>
      <c r="H1" t="s">
        <v>4</v>
      </c>
      <c r="I1" t="s">
        <v>5</v>
      </c>
      <c r="J1" t="s">
        <v>6</v>
      </c>
      <c r="K1" s="51" t="s">
        <v>7</v>
      </c>
      <c r="L1" t="s">
        <v>8</v>
      </c>
      <c r="M1" t="s">
        <v>9</v>
      </c>
      <c r="N1" t="s">
        <v>10</v>
      </c>
      <c r="O1" t="s">
        <v>11</v>
      </c>
      <c r="P1" t="s">
        <v>12</v>
      </c>
      <c r="R1" t="s">
        <v>13</v>
      </c>
    </row>
    <row r="2" spans="1:18">
      <c r="A2" t="s">
        <v>14</v>
      </c>
      <c r="B2" t="s">
        <v>15</v>
      </c>
      <c r="C2" t="s">
        <v>16</v>
      </c>
      <c r="E2" s="146" t="s">
        <v>17</v>
      </c>
      <c r="F2" s="141" t="str">
        <f>EXP_AC[[#This Row],[Setup Location]]</f>
        <v>HPS</v>
      </c>
      <c r="G2" s="141" t="str">
        <f>EXP_AC[[#This Row],[Setup Sub-Location]]</f>
        <v>AC-A</v>
      </c>
      <c r="H2" s="141" t="str">
        <f>EXP_AC[[#This Row],[Sub-Setup Assembly]]</f>
        <v>Vessel</v>
      </c>
      <c r="I2" s="141">
        <f>EXP_AC[[#This Row],[IO type]]</f>
        <v>0</v>
      </c>
      <c r="J2" s="141" t="str">
        <f>EXP_AC[[#This Row],[Zone]]</f>
        <v>AC Body</v>
      </c>
      <c r="K2" s="141" t="str">
        <f>EXP_AC[[#This Row],[Device Type]]</f>
        <v>Old 1"</v>
      </c>
      <c r="L2" s="141" t="str">
        <f>EXP_AC[[#This Row],[Device Tag]]</f>
        <v>A</v>
      </c>
      <c r="M2" s="141">
        <f>EXP_AC[[#This Row],[Device Location]]</f>
        <v>0</v>
      </c>
      <c r="N2" s="141">
        <f>EXP_AC[[#This Row],[Circuit]]</f>
        <v>0</v>
      </c>
      <c r="O2" s="141">
        <f>EXP_AC[[#This Row],[Power Source]]</f>
        <v>0</v>
      </c>
      <c r="P2" s="142" t="str">
        <f>EXP_AC[[#This Row],[Status]]</f>
        <v>Active</v>
      </c>
      <c r="R2">
        <v>1</v>
      </c>
    </row>
    <row r="3" spans="1:18">
      <c r="A3" t="s">
        <v>18</v>
      </c>
      <c r="B3" t="s">
        <v>19</v>
      </c>
      <c r="C3">
        <v>100</v>
      </c>
      <c r="E3" s="147" t="s">
        <v>17</v>
      </c>
      <c r="F3" t="str">
        <f>EXP_AC[[#This Row],[Setup Location]]</f>
        <v>HPS</v>
      </c>
      <c r="G3" t="str">
        <f>EXP_AC[[#This Row],[Setup Sub-Location]]</f>
        <v>AC-AA</v>
      </c>
      <c r="H3" t="str">
        <f>EXP_AC[[#This Row],[Sub-Setup Assembly]]</f>
        <v>Vessel</v>
      </c>
      <c r="I3">
        <f>EXP_AC[[#This Row],[IO type]]</f>
        <v>0</v>
      </c>
      <c r="J3" t="str">
        <f>EXP_AC[[#This Row],[Zone]]</f>
        <v>AC Body</v>
      </c>
      <c r="K3" t="str">
        <f>EXP_AC[[#This Row],[Device Type]]</f>
        <v>New 1" - Bar Seal</v>
      </c>
      <c r="L3" t="str">
        <f>EXP_AC[[#This Row],[Device Tag]]</f>
        <v>AA</v>
      </c>
      <c r="M3">
        <f>EXP_AC[[#This Row],[Device Location]]</f>
        <v>0</v>
      </c>
      <c r="N3">
        <f>EXP_AC[[#This Row],[Circuit]]</f>
        <v>0</v>
      </c>
      <c r="O3">
        <f>EXP_AC[[#This Row],[Power Source]]</f>
        <v>0</v>
      </c>
      <c r="P3" s="143" t="str">
        <f>EXP_AC[[#This Row],[Status]]</f>
        <v>Design</v>
      </c>
      <c r="R3">
        <f>R2+1</f>
        <v>2</v>
      </c>
    </row>
    <row r="4" spans="1:18">
      <c r="A4" t="s">
        <v>20</v>
      </c>
      <c r="B4" t="s">
        <v>21</v>
      </c>
      <c r="C4">
        <v>110</v>
      </c>
      <c r="E4" s="147" t="s">
        <v>17</v>
      </c>
      <c r="F4" t="str">
        <f>EXP_AC[[#This Row],[Setup Location]]</f>
        <v>HPS</v>
      </c>
      <c r="G4" t="str">
        <f>EXP_AC[[#This Row],[Setup Sub-Location]]</f>
        <v>AC-AB</v>
      </c>
      <c r="H4" t="str">
        <f>EXP_AC[[#This Row],[Sub-Setup Assembly]]</f>
        <v>Vessel</v>
      </c>
      <c r="I4">
        <f>EXP_AC[[#This Row],[IO type]]</f>
        <v>0</v>
      </c>
      <c r="J4" t="str">
        <f>EXP_AC[[#This Row],[Zone]]</f>
        <v>AC Body</v>
      </c>
      <c r="K4" t="str">
        <f>EXP_AC[[#This Row],[Device Type]]</f>
        <v>New 1" - Keyed</v>
      </c>
      <c r="L4" t="str">
        <f>EXP_AC[[#This Row],[Device Tag]]</f>
        <v>AB</v>
      </c>
      <c r="M4">
        <f>EXP_AC[[#This Row],[Device Location]]</f>
        <v>0</v>
      </c>
      <c r="N4">
        <f>EXP_AC[[#This Row],[Circuit]]</f>
        <v>0</v>
      </c>
      <c r="O4">
        <f>EXP_AC[[#This Row],[Power Source]]</f>
        <v>0</v>
      </c>
      <c r="P4" s="143" t="str">
        <f>EXP_AC[[#This Row],[Status]]</f>
        <v>Design</v>
      </c>
      <c r="R4">
        <f t="shared" ref="R4:R67" si="0">R3+1</f>
        <v>3</v>
      </c>
    </row>
    <row r="5" spans="1:18">
      <c r="A5" t="s">
        <v>22</v>
      </c>
      <c r="B5" t="s">
        <v>23</v>
      </c>
      <c r="C5">
        <v>60</v>
      </c>
      <c r="E5" s="147" t="s">
        <v>17</v>
      </c>
      <c r="F5" t="str">
        <f>EXP_AC[[#This Row],[Setup Location]]</f>
        <v>HPS</v>
      </c>
      <c r="G5" t="str">
        <f>EXP_AC[[#This Row],[Setup Sub-Location]]</f>
        <v>AC-AC</v>
      </c>
      <c r="H5" t="str">
        <f>EXP_AC[[#This Row],[Sub-Setup Assembly]]</f>
        <v>Vessel</v>
      </c>
      <c r="I5">
        <f>EXP_AC[[#This Row],[IO type]]</f>
        <v>0</v>
      </c>
      <c r="J5" t="str">
        <f>EXP_AC[[#This Row],[Zone]]</f>
        <v>AC Body</v>
      </c>
      <c r="K5" t="str">
        <f>EXP_AC[[#This Row],[Device Type]]</f>
        <v>TZM-13-260-10</v>
      </c>
      <c r="L5" t="str">
        <f>EXP_AC[[#This Row],[Device Tag]]</f>
        <v>AC</v>
      </c>
      <c r="M5">
        <f>EXP_AC[[#This Row],[Device Location]]</f>
        <v>0</v>
      </c>
      <c r="N5">
        <f>EXP_AC[[#This Row],[Circuit]]</f>
        <v>0</v>
      </c>
      <c r="O5">
        <f>EXP_AC[[#This Row],[Power Source]]</f>
        <v>0</v>
      </c>
      <c r="P5" s="143" t="str">
        <f>EXP_AC[[#This Row],[Status]]</f>
        <v>New</v>
      </c>
      <c r="R5">
        <f t="shared" si="0"/>
        <v>4</v>
      </c>
    </row>
    <row r="6" spans="1:18">
      <c r="A6" t="s">
        <v>24</v>
      </c>
      <c r="B6" t="s">
        <v>25</v>
      </c>
      <c r="C6">
        <v>50</v>
      </c>
      <c r="E6" s="147" t="s">
        <v>17</v>
      </c>
      <c r="F6" t="str">
        <f>EXP_AC[[#This Row],[Setup Location]]</f>
        <v>HPS</v>
      </c>
      <c r="G6" t="str">
        <f>EXP_AC[[#This Row],[Setup Sub-Location]]</f>
        <v>AC-AD</v>
      </c>
      <c r="H6" t="str">
        <f>EXP_AC[[#This Row],[Sub-Setup Assembly]]</f>
        <v>Vessel</v>
      </c>
      <c r="I6">
        <f>EXP_AC[[#This Row],[IO type]]</f>
        <v>0</v>
      </c>
      <c r="J6" t="str">
        <f>EXP_AC[[#This Row],[Zone]]</f>
        <v>AC Body</v>
      </c>
      <c r="K6" t="str">
        <f>EXP_AC[[#This Row],[Device Type]]</f>
        <v>76OD-20ID-TZM</v>
      </c>
      <c r="L6" t="str">
        <f>EXP_AC[[#This Row],[Device Tag]]</f>
        <v>AD</v>
      </c>
      <c r="M6">
        <f>EXP_AC[[#This Row],[Device Location]]</f>
        <v>0</v>
      </c>
      <c r="N6">
        <f>EXP_AC[[#This Row],[Circuit]]</f>
        <v>0</v>
      </c>
      <c r="O6">
        <f>EXP_AC[[#This Row],[Power Source]]</f>
        <v>0</v>
      </c>
      <c r="P6" s="143" t="str">
        <f>EXP_AC[[#This Row],[Status]]</f>
        <v>Design</v>
      </c>
      <c r="R6">
        <f t="shared" si="0"/>
        <v>5</v>
      </c>
    </row>
    <row r="7" spans="1:18">
      <c r="A7" t="s">
        <v>26</v>
      </c>
      <c r="B7" t="s">
        <v>27</v>
      </c>
      <c r="C7">
        <v>50</v>
      </c>
      <c r="E7" s="147" t="s">
        <v>17</v>
      </c>
      <c r="F7" t="str">
        <f>EXP_AC[[#This Row],[Setup Location]]</f>
        <v>HPS</v>
      </c>
      <c r="G7" t="str">
        <f>EXP_AC[[#This Row],[Setup Sub-Location]]</f>
        <v>AC-AE</v>
      </c>
      <c r="H7" t="str">
        <f>EXP_AC[[#This Row],[Sub-Setup Assembly]]</f>
        <v>Vessel</v>
      </c>
      <c r="I7">
        <f>EXP_AC[[#This Row],[IO type]]</f>
        <v>0</v>
      </c>
      <c r="J7" t="str">
        <f>EXP_AC[[#This Row],[Zone]]</f>
        <v>AC Body</v>
      </c>
      <c r="K7" t="str">
        <f>EXP_AC[[#This Row],[Device Type]]</f>
        <v>76OD-20ID-TZM-Thread</v>
      </c>
      <c r="L7" t="str">
        <f>EXP_AC[[#This Row],[Device Tag]]</f>
        <v>AE</v>
      </c>
      <c r="M7">
        <f>EXP_AC[[#This Row],[Device Location]]</f>
        <v>0</v>
      </c>
      <c r="N7">
        <f>EXP_AC[[#This Row],[Circuit]]</f>
        <v>0</v>
      </c>
      <c r="O7">
        <f>EXP_AC[[#This Row],[Power Source]]</f>
        <v>0</v>
      </c>
      <c r="P7" s="143" t="str">
        <f>EXP_AC[[#This Row],[Status]]</f>
        <v>Design</v>
      </c>
      <c r="R7">
        <f t="shared" si="0"/>
        <v>6</v>
      </c>
    </row>
    <row r="8" spans="1:18">
      <c r="A8" t="s">
        <v>28</v>
      </c>
      <c r="B8" t="s">
        <v>29</v>
      </c>
      <c r="C8">
        <v>50</v>
      </c>
      <c r="E8" s="147" t="s">
        <v>17</v>
      </c>
      <c r="F8" t="str">
        <f>EXP_AC[[#This Row],[Setup Location]]</f>
        <v>HPS</v>
      </c>
      <c r="G8" t="str">
        <f>EXP_AC[[#This Row],[Setup Sub-Location]]</f>
        <v>AC-AF</v>
      </c>
      <c r="H8" t="str">
        <f>EXP_AC[[#This Row],[Sub-Setup Assembly]]</f>
        <v>Vessel</v>
      </c>
      <c r="I8">
        <f>EXP_AC[[#This Row],[IO type]]</f>
        <v>0</v>
      </c>
      <c r="J8" t="str">
        <f>EXP_AC[[#This Row],[Zone]]</f>
        <v>AC Body</v>
      </c>
      <c r="K8" t="str">
        <f>EXP_AC[[#This Row],[Device Type]]</f>
        <v>76OD-50ID-TZM-Thread-Hemi</v>
      </c>
      <c r="L8" t="str">
        <f>EXP_AC[[#This Row],[Device Tag]]</f>
        <v>AF</v>
      </c>
      <c r="M8">
        <f>EXP_AC[[#This Row],[Device Location]]</f>
        <v>0</v>
      </c>
      <c r="N8">
        <f>EXP_AC[[#This Row],[Circuit]]</f>
        <v>0</v>
      </c>
      <c r="O8">
        <f>EXP_AC[[#This Row],[Power Source]]</f>
        <v>0</v>
      </c>
      <c r="P8" s="143" t="str">
        <f>EXP_AC[[#This Row],[Status]]</f>
        <v>Design</v>
      </c>
      <c r="R8">
        <f t="shared" si="0"/>
        <v>7</v>
      </c>
    </row>
    <row r="9" spans="1:18">
      <c r="A9" t="s">
        <v>30</v>
      </c>
      <c r="B9" t="s">
        <v>31</v>
      </c>
      <c r="C9">
        <v>400</v>
      </c>
      <c r="E9" s="147" t="s">
        <v>17</v>
      </c>
      <c r="F9" t="str">
        <f>EXP_AC[[#This Row],[Setup Location]]</f>
        <v>HPS</v>
      </c>
      <c r="G9" t="str">
        <f>EXP_AC[[#This Row],[Setup Sub-Location]]</f>
        <v>AC-AG</v>
      </c>
      <c r="H9" t="str">
        <f>EXP_AC[[#This Row],[Sub-Setup Assembly]]</f>
        <v>Vessel</v>
      </c>
      <c r="I9">
        <f>EXP_AC[[#This Row],[IO type]]</f>
        <v>0</v>
      </c>
      <c r="J9" t="str">
        <f>EXP_AC[[#This Row],[Zone]]</f>
        <v>AC Body</v>
      </c>
      <c r="K9" t="str">
        <f>EXP_AC[[#This Row],[Device Type]]</f>
        <v>90OD-70ID-TZM</v>
      </c>
      <c r="L9" t="str">
        <f>EXP_AC[[#This Row],[Device Tag]]</f>
        <v>AG</v>
      </c>
      <c r="M9">
        <f>EXP_AC[[#This Row],[Device Location]]</f>
        <v>0</v>
      </c>
      <c r="N9">
        <f>EXP_AC[[#This Row],[Circuit]]</f>
        <v>0</v>
      </c>
      <c r="O9">
        <f>EXP_AC[[#This Row],[Power Source]]</f>
        <v>0</v>
      </c>
      <c r="P9" s="143" t="str">
        <f>EXP_AC[[#This Row],[Status]]</f>
        <v>Design</v>
      </c>
      <c r="R9">
        <f t="shared" si="0"/>
        <v>8</v>
      </c>
    </row>
    <row r="10" spans="1:18">
      <c r="A10" t="s">
        <v>32</v>
      </c>
      <c r="B10" t="s">
        <v>33</v>
      </c>
      <c r="C10">
        <v>100</v>
      </c>
      <c r="E10" s="147" t="s">
        <v>17</v>
      </c>
      <c r="F10" t="str">
        <f>EXP_AC[[#This Row],[Setup Location]]</f>
        <v>HPS</v>
      </c>
      <c r="G10" t="str">
        <f>EXP_AC[[#This Row],[Setup Sub-Location]]</f>
        <v>AC-B</v>
      </c>
      <c r="H10" t="str">
        <f>EXP_AC[[#This Row],[Sub-Setup Assembly]]</f>
        <v>Vessel</v>
      </c>
      <c r="I10">
        <f>EXP_AC[[#This Row],[IO type]]</f>
        <v>0</v>
      </c>
      <c r="J10" t="str">
        <f>EXP_AC[[#This Row],[Zone]]</f>
        <v>AC Body</v>
      </c>
      <c r="K10" t="str">
        <f>EXP_AC[[#This Row],[Device Type]]</f>
        <v>Short 1" - Rene 41</v>
      </c>
      <c r="L10" t="str">
        <f>EXP_AC[[#This Row],[Device Tag]]</f>
        <v>B</v>
      </c>
      <c r="M10">
        <f>EXP_AC[[#This Row],[Device Location]]</f>
        <v>0</v>
      </c>
      <c r="N10">
        <f>EXP_AC[[#This Row],[Circuit]]</f>
        <v>0</v>
      </c>
      <c r="O10">
        <f>EXP_AC[[#This Row],[Power Source]]</f>
        <v>0</v>
      </c>
      <c r="P10" s="143" t="str">
        <f>EXP_AC[[#This Row],[Status]]</f>
        <v>Active</v>
      </c>
      <c r="R10">
        <f t="shared" si="0"/>
        <v>9</v>
      </c>
    </row>
    <row r="11" spans="1:18">
      <c r="A11" t="s">
        <v>34</v>
      </c>
      <c r="B11" t="s">
        <v>35</v>
      </c>
      <c r="C11">
        <v>100</v>
      </c>
      <c r="E11" s="147" t="s">
        <v>17</v>
      </c>
      <c r="F11" t="str">
        <f>EXP_AC[[#This Row],[Setup Location]]</f>
        <v>HPS</v>
      </c>
      <c r="G11" t="str">
        <f>EXP_AC[[#This Row],[Setup Sub-Location]]</f>
        <v>AC-C</v>
      </c>
      <c r="H11" t="str">
        <f>EXP_AC[[#This Row],[Sub-Setup Assembly]]</f>
        <v>Vessel</v>
      </c>
      <c r="I11">
        <f>EXP_AC[[#This Row],[IO type]]</f>
        <v>0</v>
      </c>
      <c r="J11" t="str">
        <f>EXP_AC[[#This Row],[Zone]]</f>
        <v>AC Body</v>
      </c>
      <c r="K11" t="str">
        <f>EXP_AC[[#This Row],[Device Type]]</f>
        <v>Short 1" - Rene 41</v>
      </c>
      <c r="L11" t="str">
        <f>EXP_AC[[#This Row],[Device Tag]]</f>
        <v>C</v>
      </c>
      <c r="M11">
        <f>EXP_AC[[#This Row],[Device Location]]</f>
        <v>0</v>
      </c>
      <c r="N11">
        <f>EXP_AC[[#This Row],[Circuit]]</f>
        <v>0</v>
      </c>
      <c r="O11">
        <f>EXP_AC[[#This Row],[Power Source]]</f>
        <v>0</v>
      </c>
      <c r="P11" s="143" t="str">
        <f>EXP_AC[[#This Row],[Status]]</f>
        <v>Active</v>
      </c>
      <c r="R11">
        <f t="shared" si="0"/>
        <v>10</v>
      </c>
    </row>
    <row r="12" spans="1:18">
      <c r="A12" t="s">
        <v>36</v>
      </c>
      <c r="B12" t="s">
        <v>37</v>
      </c>
      <c r="C12">
        <v>0</v>
      </c>
      <c r="E12" s="147" t="s">
        <v>17</v>
      </c>
      <c r="F12" t="str">
        <f>EXP_AC[[#This Row],[Setup Location]]</f>
        <v>HPS</v>
      </c>
      <c r="G12" t="str">
        <f>EXP_AC[[#This Row],[Setup Sub-Location]]</f>
        <v>AC-D</v>
      </c>
      <c r="H12" t="str">
        <f>EXP_AC[[#This Row],[Sub-Setup Assembly]]</f>
        <v>Vessel</v>
      </c>
      <c r="I12">
        <f>EXP_AC[[#This Row],[IO type]]</f>
        <v>0</v>
      </c>
      <c r="J12" t="str">
        <f>EXP_AC[[#This Row],[Zone]]</f>
        <v>AC Body</v>
      </c>
      <c r="K12" t="str">
        <f>EXP_AC[[#This Row],[Device Type]]</f>
        <v>Short 1" - Rene 41</v>
      </c>
      <c r="L12" t="str">
        <f>EXP_AC[[#This Row],[Device Tag]]</f>
        <v>D</v>
      </c>
      <c r="M12">
        <f>EXP_AC[[#This Row],[Device Location]]</f>
        <v>0</v>
      </c>
      <c r="N12">
        <f>EXP_AC[[#This Row],[Circuit]]</f>
        <v>0</v>
      </c>
      <c r="O12">
        <f>EXP_AC[[#This Row],[Power Source]]</f>
        <v>0</v>
      </c>
      <c r="P12" s="143" t="str">
        <f>EXP_AC[[#This Row],[Status]]</f>
        <v>Active</v>
      </c>
      <c r="R12">
        <f t="shared" si="0"/>
        <v>11</v>
      </c>
    </row>
    <row r="13" spans="1:18">
      <c r="A13" t="s">
        <v>38</v>
      </c>
      <c r="B13" t="s">
        <v>39</v>
      </c>
      <c r="C13">
        <v>100</v>
      </c>
      <c r="E13" s="147" t="s">
        <v>17</v>
      </c>
      <c r="F13" t="str">
        <f>EXP_AC[[#This Row],[Setup Location]]</f>
        <v>HPS</v>
      </c>
      <c r="G13" t="str">
        <f>EXP_AC[[#This Row],[Setup Sub-Location]]</f>
        <v>AC-DUM-1</v>
      </c>
      <c r="H13" t="str">
        <f>EXP_AC[[#This Row],[Sub-Setup Assembly]]</f>
        <v>Vessel</v>
      </c>
      <c r="I13">
        <f>EXP_AC[[#This Row],[IO type]]</f>
        <v>0</v>
      </c>
      <c r="J13" t="str">
        <f>EXP_AC[[#This Row],[Zone]]</f>
        <v>AC Body</v>
      </c>
      <c r="K13" t="str">
        <f>EXP_AC[[#This Row],[Device Type]]</f>
        <v>SS Dummy</v>
      </c>
      <c r="L13" t="str">
        <f>EXP_AC[[#This Row],[Device Tag]]</f>
        <v>DUM-1</v>
      </c>
      <c r="M13">
        <f>EXP_AC[[#This Row],[Device Location]]</f>
        <v>0</v>
      </c>
      <c r="N13">
        <f>EXP_AC[[#This Row],[Circuit]]</f>
        <v>0</v>
      </c>
      <c r="O13">
        <f>EXP_AC[[#This Row],[Power Source]]</f>
        <v>0</v>
      </c>
      <c r="P13" s="143" t="str">
        <f>EXP_AC[[#This Row],[Status]]</f>
        <v>Active</v>
      </c>
      <c r="R13">
        <f t="shared" si="0"/>
        <v>12</v>
      </c>
    </row>
    <row r="14" spans="1:18">
      <c r="A14" t="s">
        <v>40</v>
      </c>
      <c r="B14" t="s">
        <v>41</v>
      </c>
      <c r="C14">
        <v>150</v>
      </c>
      <c r="E14" s="147" t="s">
        <v>17</v>
      </c>
      <c r="F14" t="str">
        <f>EXP_AC[[#This Row],[Setup Location]]</f>
        <v>HPS</v>
      </c>
      <c r="G14" t="str">
        <f>EXP_AC[[#This Row],[Setup Sub-Location]]</f>
        <v>AC-E</v>
      </c>
      <c r="H14" t="str">
        <f>EXP_AC[[#This Row],[Sub-Setup Assembly]]</f>
        <v>Vessel</v>
      </c>
      <c r="I14">
        <f>EXP_AC[[#This Row],[IO type]]</f>
        <v>0</v>
      </c>
      <c r="J14" t="str">
        <f>EXP_AC[[#This Row],[Zone]]</f>
        <v>AC Body</v>
      </c>
      <c r="K14" t="str">
        <f>EXP_AC[[#This Row],[Device Type]]</f>
        <v>Short 1" - Inconel</v>
      </c>
      <c r="L14" t="str">
        <f>EXP_AC[[#This Row],[Device Tag]]</f>
        <v>E</v>
      </c>
      <c r="M14">
        <f>EXP_AC[[#This Row],[Device Location]]</f>
        <v>0</v>
      </c>
      <c r="N14">
        <f>EXP_AC[[#This Row],[Circuit]]</f>
        <v>0</v>
      </c>
      <c r="O14">
        <f>EXP_AC[[#This Row],[Power Source]]</f>
        <v>0</v>
      </c>
      <c r="P14" s="143" t="str">
        <f>EXP_AC[[#This Row],[Status]]</f>
        <v>Active</v>
      </c>
      <c r="R14">
        <f t="shared" si="0"/>
        <v>13</v>
      </c>
    </row>
    <row r="15" spans="1:18">
      <c r="A15" t="s">
        <v>42</v>
      </c>
      <c r="B15" t="s">
        <v>43</v>
      </c>
      <c r="C15">
        <v>150</v>
      </c>
      <c r="E15" s="147" t="s">
        <v>17</v>
      </c>
      <c r="F15" t="str">
        <f>EXP_AC[[#This Row],[Setup Location]]</f>
        <v>HPS</v>
      </c>
      <c r="G15" t="str">
        <f>EXP_AC[[#This Row],[Setup Sub-Location]]</f>
        <v>AC-F</v>
      </c>
      <c r="H15" t="str">
        <f>EXP_AC[[#This Row],[Sub-Setup Assembly]]</f>
        <v>Vessel</v>
      </c>
      <c r="I15">
        <f>EXP_AC[[#This Row],[IO type]]</f>
        <v>0</v>
      </c>
      <c r="J15" t="str">
        <f>EXP_AC[[#This Row],[Zone]]</f>
        <v>AC Body</v>
      </c>
      <c r="K15" t="str">
        <f>EXP_AC[[#This Row],[Device Type]]</f>
        <v>Short 1" - Inconel</v>
      </c>
      <c r="L15" t="str">
        <f>EXP_AC[[#This Row],[Device Tag]]</f>
        <v>F</v>
      </c>
      <c r="M15">
        <f>EXP_AC[[#This Row],[Device Location]]</f>
        <v>0</v>
      </c>
      <c r="N15">
        <f>EXP_AC[[#This Row],[Circuit]]</f>
        <v>0</v>
      </c>
      <c r="O15">
        <f>EXP_AC[[#This Row],[Power Source]]</f>
        <v>0</v>
      </c>
      <c r="P15" s="143" t="str">
        <f>EXP_AC[[#This Row],[Status]]</f>
        <v>Active</v>
      </c>
      <c r="R15">
        <f t="shared" si="0"/>
        <v>14</v>
      </c>
    </row>
    <row r="16" spans="1:18">
      <c r="A16" t="s">
        <v>44</v>
      </c>
      <c r="B16" t="s">
        <v>45</v>
      </c>
      <c r="C16">
        <v>100</v>
      </c>
      <c r="E16" s="147" t="s">
        <v>17</v>
      </c>
      <c r="F16" t="str">
        <f>EXP_AC[[#This Row],[Setup Location]]</f>
        <v>HPS</v>
      </c>
      <c r="G16" t="str">
        <f>EXP_AC[[#This Row],[Setup Sub-Location]]</f>
        <v>AC-G</v>
      </c>
      <c r="H16" t="str">
        <f>EXP_AC[[#This Row],[Sub-Setup Assembly]]</f>
        <v>Vessel</v>
      </c>
      <c r="I16">
        <f>EXP_AC[[#This Row],[IO type]]</f>
        <v>0</v>
      </c>
      <c r="J16" t="str">
        <f>EXP_AC[[#This Row],[Zone]]</f>
        <v>AC Body</v>
      </c>
      <c r="K16" t="str">
        <f>EXP_AC[[#This Row],[Device Type]]</f>
        <v>Short 1" - Inconel</v>
      </c>
      <c r="L16" t="str">
        <f>EXP_AC[[#This Row],[Device Tag]]</f>
        <v>G</v>
      </c>
      <c r="M16">
        <f>EXP_AC[[#This Row],[Device Location]]</f>
        <v>0</v>
      </c>
      <c r="N16">
        <f>EXP_AC[[#This Row],[Circuit]]</f>
        <v>0</v>
      </c>
      <c r="O16">
        <f>EXP_AC[[#This Row],[Power Source]]</f>
        <v>0</v>
      </c>
      <c r="P16" s="143" t="str">
        <f>EXP_AC[[#This Row],[Status]]</f>
        <v>Active</v>
      </c>
      <c r="R16">
        <f t="shared" si="0"/>
        <v>15</v>
      </c>
    </row>
    <row r="17" spans="1:18">
      <c r="A17" t="s">
        <v>46</v>
      </c>
      <c r="B17" t="s">
        <v>47</v>
      </c>
      <c r="C17">
        <v>150</v>
      </c>
      <c r="E17" s="147" t="s">
        <v>17</v>
      </c>
      <c r="F17" t="str">
        <f>EXP_AC[[#This Row],[Setup Location]]</f>
        <v>HPS</v>
      </c>
      <c r="G17" t="str">
        <f>EXP_AC[[#This Row],[Setup Sub-Location]]</f>
        <v>AC-H</v>
      </c>
      <c r="H17" t="str">
        <f>EXP_AC[[#This Row],[Sub-Setup Assembly]]</f>
        <v>Vessel</v>
      </c>
      <c r="I17">
        <f>EXP_AC[[#This Row],[IO type]]</f>
        <v>0</v>
      </c>
      <c r="J17" t="str">
        <f>EXP_AC[[#This Row],[Zone]]</f>
        <v>AC Body</v>
      </c>
      <c r="K17" t="str">
        <f>EXP_AC[[#This Row],[Device Type]]</f>
        <v>SS</v>
      </c>
      <c r="L17" t="str">
        <f>EXP_AC[[#This Row],[Device Tag]]</f>
        <v>H</v>
      </c>
      <c r="M17">
        <f>EXP_AC[[#This Row],[Device Location]]</f>
        <v>0</v>
      </c>
      <c r="N17">
        <f>EXP_AC[[#This Row],[Circuit]]</f>
        <v>0</v>
      </c>
      <c r="O17">
        <f>EXP_AC[[#This Row],[Power Source]]</f>
        <v>0</v>
      </c>
      <c r="P17" s="143" t="str">
        <f>EXP_AC[[#This Row],[Status]]</f>
        <v>Active</v>
      </c>
      <c r="R17">
        <f t="shared" si="0"/>
        <v>16</v>
      </c>
    </row>
    <row r="18" spans="1:18">
      <c r="A18" t="s">
        <v>48</v>
      </c>
      <c r="B18" t="s">
        <v>49</v>
      </c>
      <c r="C18">
        <v>100</v>
      </c>
      <c r="E18" s="147" t="s">
        <v>17</v>
      </c>
      <c r="F18" t="str">
        <f>EXP_AC[[#This Row],[Setup Location]]</f>
        <v>HPS</v>
      </c>
      <c r="G18" t="str">
        <f>EXP_AC[[#This Row],[Setup Sub-Location]]</f>
        <v>AC-K</v>
      </c>
      <c r="H18" t="str">
        <f>EXP_AC[[#This Row],[Sub-Setup Assembly]]</f>
        <v>Vessel</v>
      </c>
      <c r="I18">
        <f>EXP_AC[[#This Row],[IO type]]</f>
        <v>0</v>
      </c>
      <c r="J18" t="str">
        <f>EXP_AC[[#This Row],[Zone]]</f>
        <v>AC Body</v>
      </c>
      <c r="K18" t="str">
        <f>EXP_AC[[#This Row],[Device Type]]</f>
        <v>400 MPa</v>
      </c>
      <c r="L18" t="str">
        <f>EXP_AC[[#This Row],[Device Tag]]</f>
        <v>K</v>
      </c>
      <c r="M18">
        <f>EXP_AC[[#This Row],[Device Location]]</f>
        <v>0</v>
      </c>
      <c r="N18">
        <f>EXP_AC[[#This Row],[Circuit]]</f>
        <v>0</v>
      </c>
      <c r="O18">
        <f>EXP_AC[[#This Row],[Power Source]]</f>
        <v>0</v>
      </c>
      <c r="P18" s="143" t="str">
        <f>EXP_AC[[#This Row],[Status]]</f>
        <v>UCSB</v>
      </c>
      <c r="R18">
        <f t="shared" si="0"/>
        <v>17</v>
      </c>
    </row>
    <row r="19" spans="1:18">
      <c r="A19" t="s">
        <v>50</v>
      </c>
      <c r="B19" t="s">
        <v>51</v>
      </c>
      <c r="C19">
        <v>50</v>
      </c>
      <c r="E19" s="147" t="s">
        <v>17</v>
      </c>
      <c r="F19" t="str">
        <f>EXP_AC[[#This Row],[Setup Location]]</f>
        <v>HPS</v>
      </c>
      <c r="G19" t="str">
        <f>EXP_AC[[#This Row],[Setup Sub-Location]]</f>
        <v>AC-L</v>
      </c>
      <c r="H19" t="str">
        <f>EXP_AC[[#This Row],[Sub-Setup Assembly]]</f>
        <v>Vessel</v>
      </c>
      <c r="I19">
        <f>EXP_AC[[#This Row],[IO type]]</f>
        <v>0</v>
      </c>
      <c r="J19" t="str">
        <f>EXP_AC[[#This Row],[Zone]]</f>
        <v>AC Body</v>
      </c>
      <c r="K19" t="str">
        <f>EXP_AC[[#This Row],[Device Type]]</f>
        <v>400 MPa</v>
      </c>
      <c r="L19" t="str">
        <f>EXP_AC[[#This Row],[Device Tag]]</f>
        <v>L</v>
      </c>
      <c r="M19">
        <f>EXP_AC[[#This Row],[Device Location]]</f>
        <v>0</v>
      </c>
      <c r="N19">
        <f>EXP_AC[[#This Row],[Circuit]]</f>
        <v>0</v>
      </c>
      <c r="O19">
        <f>EXP_AC[[#This Row],[Power Source]]</f>
        <v>0</v>
      </c>
      <c r="P19" s="143" t="str">
        <f>EXP_AC[[#This Row],[Status]]</f>
        <v>UCSB</v>
      </c>
      <c r="R19">
        <f t="shared" si="0"/>
        <v>18</v>
      </c>
    </row>
    <row r="20" spans="1:18">
      <c r="A20" t="s">
        <v>52</v>
      </c>
      <c r="B20" t="s">
        <v>53</v>
      </c>
      <c r="C20">
        <v>200</v>
      </c>
      <c r="E20" s="147" t="s">
        <v>17</v>
      </c>
      <c r="F20" t="str">
        <f>EXP_AC[[#This Row],[Setup Location]]</f>
        <v>HPS</v>
      </c>
      <c r="G20" t="str">
        <f>EXP_AC[[#This Row],[Setup Sub-Location]]</f>
        <v>AC-M</v>
      </c>
      <c r="H20" t="str">
        <f>EXP_AC[[#This Row],[Sub-Setup Assembly]]</f>
        <v>Vessel</v>
      </c>
      <c r="I20">
        <f>EXP_AC[[#This Row],[IO type]]</f>
        <v>0</v>
      </c>
      <c r="J20" t="str">
        <f>EXP_AC[[#This Row],[Zone]]</f>
        <v>AC Body</v>
      </c>
      <c r="K20" t="str">
        <f>EXP_AC[[#This Row],[Device Type]]</f>
        <v>New 1"</v>
      </c>
      <c r="L20" t="str">
        <f>EXP_AC[[#This Row],[Device Tag]]</f>
        <v>M</v>
      </c>
      <c r="M20">
        <f>EXP_AC[[#This Row],[Device Location]]</f>
        <v>0</v>
      </c>
      <c r="N20">
        <f>EXP_AC[[#This Row],[Circuit]]</f>
        <v>0</v>
      </c>
      <c r="O20">
        <f>EXP_AC[[#This Row],[Power Source]]</f>
        <v>0</v>
      </c>
      <c r="P20" s="143" t="str">
        <f>EXP_AC[[#This Row],[Status]]</f>
        <v>UCSB</v>
      </c>
      <c r="R20">
        <f t="shared" si="0"/>
        <v>19</v>
      </c>
    </row>
    <row r="21" spans="1:18">
      <c r="A21" t="s">
        <v>54</v>
      </c>
      <c r="B21" t="s">
        <v>55</v>
      </c>
      <c r="C21">
        <v>50</v>
      </c>
      <c r="E21" s="147" t="s">
        <v>17</v>
      </c>
      <c r="F21" t="str">
        <f>EXP_AC[[#This Row],[Setup Location]]</f>
        <v>HPS</v>
      </c>
      <c r="G21" t="str">
        <f>EXP_AC[[#This Row],[Setup Sub-Location]]</f>
        <v>AC-N</v>
      </c>
      <c r="H21" t="str">
        <f>EXP_AC[[#This Row],[Sub-Setup Assembly]]</f>
        <v>Vessel</v>
      </c>
      <c r="I21">
        <f>EXP_AC[[#This Row],[IO type]]</f>
        <v>0</v>
      </c>
      <c r="J21" t="str">
        <f>EXP_AC[[#This Row],[Zone]]</f>
        <v>AC Body</v>
      </c>
      <c r="K21" t="str">
        <f>EXP_AC[[#This Row],[Device Type]]</f>
        <v>New 1"</v>
      </c>
      <c r="L21" t="str">
        <f>EXP_AC[[#This Row],[Device Tag]]</f>
        <v>N</v>
      </c>
      <c r="M21">
        <f>EXP_AC[[#This Row],[Device Location]]</f>
        <v>0</v>
      </c>
      <c r="N21">
        <f>EXP_AC[[#This Row],[Circuit]]</f>
        <v>0</v>
      </c>
      <c r="O21">
        <f>EXP_AC[[#This Row],[Power Source]]</f>
        <v>0</v>
      </c>
      <c r="P21" s="143" t="str">
        <f>EXP_AC[[#This Row],[Status]]</f>
        <v>UCSB</v>
      </c>
      <c r="R21">
        <f t="shared" si="0"/>
        <v>20</v>
      </c>
    </row>
    <row r="22" spans="1:18">
      <c r="E22" s="147" t="s">
        <v>17</v>
      </c>
      <c r="F22" t="str">
        <f>EXP_AC[[#This Row],[Setup Location]]</f>
        <v>HPS</v>
      </c>
      <c r="G22" t="str">
        <f>EXP_AC[[#This Row],[Setup Sub-Location]]</f>
        <v>AC-P</v>
      </c>
      <c r="H22" t="str">
        <f>EXP_AC[[#This Row],[Sub-Setup Assembly]]</f>
        <v>Vessel</v>
      </c>
      <c r="I22">
        <f>EXP_AC[[#This Row],[IO type]]</f>
        <v>0</v>
      </c>
      <c r="J22" t="str">
        <f>EXP_AC[[#This Row],[Zone]]</f>
        <v>AC Body</v>
      </c>
      <c r="K22" t="str">
        <f>EXP_AC[[#This Row],[Device Type]]</f>
        <v>New 1"</v>
      </c>
      <c r="L22" t="str">
        <f>EXP_AC[[#This Row],[Device Tag]]</f>
        <v>P</v>
      </c>
      <c r="M22">
        <f>EXP_AC[[#This Row],[Device Location]]</f>
        <v>0</v>
      </c>
      <c r="N22">
        <f>EXP_AC[[#This Row],[Circuit]]</f>
        <v>0</v>
      </c>
      <c r="O22">
        <f>EXP_AC[[#This Row],[Power Source]]</f>
        <v>0</v>
      </c>
      <c r="P22" s="143" t="str">
        <f>EXP_AC[[#This Row],[Status]]</f>
        <v>Active</v>
      </c>
      <c r="R22">
        <f t="shared" si="0"/>
        <v>21</v>
      </c>
    </row>
    <row r="23" spans="1:18">
      <c r="E23" s="147" t="s">
        <v>17</v>
      </c>
      <c r="F23" t="str">
        <f>EXP_AC[[#This Row],[Setup Location]]</f>
        <v>HPS</v>
      </c>
      <c r="G23" t="str">
        <f>EXP_AC[[#This Row],[Setup Sub-Location]]</f>
        <v>AC-Parr</v>
      </c>
      <c r="H23" t="str">
        <f>EXP_AC[[#This Row],[Sub-Setup Assembly]]</f>
        <v>Vessel</v>
      </c>
      <c r="I23">
        <f>EXP_AC[[#This Row],[IO type]]</f>
        <v>0</v>
      </c>
      <c r="J23" t="str">
        <f>EXP_AC[[#This Row],[Zone]]</f>
        <v>AC Body</v>
      </c>
      <c r="K23" t="str">
        <f>EXP_AC[[#This Row],[Device Type]]</f>
        <v>Parr 4"</v>
      </c>
      <c r="L23" t="str">
        <f>EXP_AC[[#This Row],[Device Tag]]</f>
        <v>Parr</v>
      </c>
      <c r="M23">
        <f>EXP_AC[[#This Row],[Device Location]]</f>
        <v>0</v>
      </c>
      <c r="N23">
        <f>EXP_AC[[#This Row],[Circuit]]</f>
        <v>0</v>
      </c>
      <c r="O23">
        <f>EXP_AC[[#This Row],[Power Source]]</f>
        <v>0</v>
      </c>
      <c r="P23" s="143" t="str">
        <f>EXP_AC[[#This Row],[Status]]</f>
        <v>Active</v>
      </c>
      <c r="R23">
        <f t="shared" si="0"/>
        <v>22</v>
      </c>
    </row>
    <row r="24" spans="1:18">
      <c r="E24" s="147" t="s">
        <v>17</v>
      </c>
      <c r="F24" t="str">
        <f>EXP_AC[[#This Row],[Setup Location]]</f>
        <v>HPS</v>
      </c>
      <c r="G24" t="str">
        <f>EXP_AC[[#This Row],[Setup Sub-Location]]</f>
        <v>AC-Q</v>
      </c>
      <c r="H24" t="str">
        <f>EXP_AC[[#This Row],[Sub-Setup Assembly]]</f>
        <v>Vessel</v>
      </c>
      <c r="I24">
        <f>EXP_AC[[#This Row],[IO type]]</f>
        <v>0</v>
      </c>
      <c r="J24" t="str">
        <f>EXP_AC[[#This Row],[Zone]]</f>
        <v>AC Body</v>
      </c>
      <c r="K24" t="str">
        <f>EXP_AC[[#This Row],[Device Type]]</f>
        <v>New 1"</v>
      </c>
      <c r="L24" t="str">
        <f>EXP_AC[[#This Row],[Device Tag]]</f>
        <v>Q</v>
      </c>
      <c r="M24">
        <f>EXP_AC[[#This Row],[Device Location]]</f>
        <v>0</v>
      </c>
      <c r="N24">
        <f>EXP_AC[[#This Row],[Circuit]]</f>
        <v>0</v>
      </c>
      <c r="O24">
        <f>EXP_AC[[#This Row],[Power Source]]</f>
        <v>0</v>
      </c>
      <c r="P24" s="143" t="str">
        <f>EXP_AC[[#This Row],[Status]]</f>
        <v>Active</v>
      </c>
      <c r="R24">
        <f t="shared" si="0"/>
        <v>23</v>
      </c>
    </row>
    <row r="25" spans="1:18">
      <c r="E25" s="147" t="s">
        <v>17</v>
      </c>
      <c r="F25" t="str">
        <f>EXP_AC[[#This Row],[Setup Location]]</f>
        <v>HPS</v>
      </c>
      <c r="G25" t="str">
        <f>EXP_AC[[#This Row],[Setup Sub-Location]]</f>
        <v>AC-R</v>
      </c>
      <c r="H25" t="str">
        <f>EXP_AC[[#This Row],[Sub-Setup Assembly]]</f>
        <v>Vessel</v>
      </c>
      <c r="I25">
        <f>EXP_AC[[#This Row],[IO type]]</f>
        <v>0</v>
      </c>
      <c r="J25" t="str">
        <f>EXP_AC[[#This Row],[Zone]]</f>
        <v>AC Body</v>
      </c>
      <c r="K25" t="str">
        <f>EXP_AC[[#This Row],[Device Type]]</f>
        <v>New 1"</v>
      </c>
      <c r="L25" t="str">
        <f>EXP_AC[[#This Row],[Device Tag]]</f>
        <v>R</v>
      </c>
      <c r="M25">
        <f>EXP_AC[[#This Row],[Device Location]]</f>
        <v>0</v>
      </c>
      <c r="N25">
        <f>EXP_AC[[#This Row],[Circuit]]</f>
        <v>0</v>
      </c>
      <c r="O25">
        <f>EXP_AC[[#This Row],[Power Source]]</f>
        <v>0</v>
      </c>
      <c r="P25" s="143" t="str">
        <f>EXP_AC[[#This Row],[Status]]</f>
        <v>Active</v>
      </c>
      <c r="R25">
        <f t="shared" si="0"/>
        <v>24</v>
      </c>
    </row>
    <row r="26" spans="1:18">
      <c r="E26" s="147" t="s">
        <v>17</v>
      </c>
      <c r="F26" t="str">
        <f>EXP_AC[[#This Row],[Setup Location]]</f>
        <v>HPS</v>
      </c>
      <c r="G26" t="str">
        <f>EXP_AC[[#This Row],[Setup Sub-Location]]</f>
        <v>AC-TA</v>
      </c>
      <c r="H26" t="str">
        <f>EXP_AC[[#This Row],[Sub-Setup Assembly]]</f>
        <v>Vessel</v>
      </c>
      <c r="I26">
        <f>EXP_AC[[#This Row],[IO type]]</f>
        <v>0</v>
      </c>
      <c r="J26" t="str">
        <f>EXP_AC[[#This Row],[Zone]]</f>
        <v>AC Body</v>
      </c>
      <c r="K26" t="str">
        <f>EXP_AC[[#This Row],[Device Type]]</f>
        <v>TZM-13-260-10</v>
      </c>
      <c r="L26" t="str">
        <f>EXP_AC[[#This Row],[Device Tag]]</f>
        <v>TA</v>
      </c>
      <c r="M26">
        <f>EXP_AC[[#This Row],[Device Location]]</f>
        <v>0</v>
      </c>
      <c r="N26">
        <f>EXP_AC[[#This Row],[Circuit]]</f>
        <v>0</v>
      </c>
      <c r="O26">
        <f>EXP_AC[[#This Row],[Power Source]]</f>
        <v>0</v>
      </c>
      <c r="P26" s="143" t="str">
        <f>EXP_AC[[#This Row],[Status]]</f>
        <v>Active</v>
      </c>
      <c r="R26">
        <f t="shared" si="0"/>
        <v>25</v>
      </c>
    </row>
    <row r="27" spans="1:18">
      <c r="E27" s="147" t="s">
        <v>17</v>
      </c>
      <c r="F27" t="str">
        <f>EXP_AC[[#This Row],[Setup Location]]</f>
        <v>HPS</v>
      </c>
      <c r="G27" t="str">
        <f>EXP_AC[[#This Row],[Setup Sub-Location]]</f>
        <v>AC-TB</v>
      </c>
      <c r="H27" t="str">
        <f>EXP_AC[[#This Row],[Sub-Setup Assembly]]</f>
        <v>Vessel</v>
      </c>
      <c r="I27">
        <f>EXP_AC[[#This Row],[IO type]]</f>
        <v>0</v>
      </c>
      <c r="J27" t="str">
        <f>EXP_AC[[#This Row],[Zone]]</f>
        <v>AC Body</v>
      </c>
      <c r="K27" t="str">
        <f>EXP_AC[[#This Row],[Device Type]]</f>
        <v>TZM-13-260-10</v>
      </c>
      <c r="L27" t="str">
        <f>EXP_AC[[#This Row],[Device Tag]]</f>
        <v>TB</v>
      </c>
      <c r="M27">
        <f>EXP_AC[[#This Row],[Device Location]]</f>
        <v>0</v>
      </c>
      <c r="N27">
        <f>EXP_AC[[#This Row],[Circuit]]</f>
        <v>0</v>
      </c>
      <c r="O27">
        <f>EXP_AC[[#This Row],[Power Source]]</f>
        <v>0</v>
      </c>
      <c r="P27" s="143" t="str">
        <f>EXP_AC[[#This Row],[Status]]</f>
        <v>Active</v>
      </c>
      <c r="R27">
        <f t="shared" si="0"/>
        <v>26</v>
      </c>
    </row>
    <row r="28" spans="1:18">
      <c r="E28" s="147" t="s">
        <v>17</v>
      </c>
      <c r="F28" t="str">
        <f>EXP_AC[[#This Row],[Setup Location]]</f>
        <v>HPS</v>
      </c>
      <c r="G28" t="str">
        <f>EXP_AC[[#This Row],[Setup Sub-Location]]</f>
        <v>AC-TC</v>
      </c>
      <c r="H28" t="str">
        <f>EXP_AC[[#This Row],[Sub-Setup Assembly]]</f>
        <v>Vessel</v>
      </c>
      <c r="I28">
        <f>EXP_AC[[#This Row],[IO type]]</f>
        <v>0</v>
      </c>
      <c r="J28" t="str">
        <f>EXP_AC[[#This Row],[Zone]]</f>
        <v>AC Body</v>
      </c>
      <c r="K28" t="str">
        <f>EXP_AC[[#This Row],[Device Type]]</f>
        <v>TZM-13-260-10</v>
      </c>
      <c r="L28" t="str">
        <f>EXP_AC[[#This Row],[Device Tag]]</f>
        <v>TC</v>
      </c>
      <c r="M28">
        <f>EXP_AC[[#This Row],[Device Location]]</f>
        <v>0</v>
      </c>
      <c r="N28">
        <f>EXP_AC[[#This Row],[Circuit]]</f>
        <v>0</v>
      </c>
      <c r="O28">
        <f>EXP_AC[[#This Row],[Power Source]]</f>
        <v>0</v>
      </c>
      <c r="P28" s="143" t="str">
        <f>EXP_AC[[#This Row],[Status]]</f>
        <v>Active</v>
      </c>
      <c r="R28">
        <f t="shared" si="0"/>
        <v>27</v>
      </c>
    </row>
    <row r="29" spans="1:18">
      <c r="E29" s="147" t="s">
        <v>17</v>
      </c>
      <c r="F29" t="str">
        <f>EXP_AC[[#This Row],[Setup Location]]</f>
        <v>HPS</v>
      </c>
      <c r="G29" t="str">
        <f>EXP_AC[[#This Row],[Setup Sub-Location]]</f>
        <v>AC-TD</v>
      </c>
      <c r="H29" t="str">
        <f>EXP_AC[[#This Row],[Sub-Setup Assembly]]</f>
        <v>Vessel</v>
      </c>
      <c r="I29">
        <f>EXP_AC[[#This Row],[IO type]]</f>
        <v>0</v>
      </c>
      <c r="J29" t="str">
        <f>EXP_AC[[#This Row],[Zone]]</f>
        <v>AC Body</v>
      </c>
      <c r="K29" t="str">
        <f>EXP_AC[[#This Row],[Device Type]]</f>
        <v>TZM-13-260-10</v>
      </c>
      <c r="L29" t="str">
        <f>EXP_AC[[#This Row],[Device Tag]]</f>
        <v>TD</v>
      </c>
      <c r="M29">
        <f>EXP_AC[[#This Row],[Device Location]]</f>
        <v>0</v>
      </c>
      <c r="N29">
        <f>EXP_AC[[#This Row],[Circuit]]</f>
        <v>0</v>
      </c>
      <c r="O29">
        <f>EXP_AC[[#This Row],[Power Source]]</f>
        <v>0</v>
      </c>
      <c r="P29" s="143" t="str">
        <f>EXP_AC[[#This Row],[Status]]</f>
        <v>Active</v>
      </c>
      <c r="R29">
        <f t="shared" si="0"/>
        <v>28</v>
      </c>
    </row>
    <row r="30" spans="1:18">
      <c r="E30" s="147" t="s">
        <v>17</v>
      </c>
      <c r="F30" t="str">
        <f>EXP_AC[[#This Row],[Setup Location]]</f>
        <v>HPS</v>
      </c>
      <c r="G30" t="str">
        <f>EXP_AC[[#This Row],[Setup Sub-Location]]</f>
        <v>AC-TE</v>
      </c>
      <c r="H30" t="str">
        <f>EXP_AC[[#This Row],[Sub-Setup Assembly]]</f>
        <v>Vessel</v>
      </c>
      <c r="I30">
        <f>EXP_AC[[#This Row],[IO type]]</f>
        <v>0</v>
      </c>
      <c r="J30" t="str">
        <f>EXP_AC[[#This Row],[Zone]]</f>
        <v>AC Body</v>
      </c>
      <c r="K30" t="str">
        <f>EXP_AC[[#This Row],[Device Type]]</f>
        <v>TZM-13-260-10</v>
      </c>
      <c r="L30" t="str">
        <f>EXP_AC[[#This Row],[Device Tag]]</f>
        <v>TE</v>
      </c>
      <c r="M30">
        <f>EXP_AC[[#This Row],[Device Location]]</f>
        <v>0</v>
      </c>
      <c r="N30">
        <f>EXP_AC[[#This Row],[Circuit]]</f>
        <v>0</v>
      </c>
      <c r="O30">
        <f>EXP_AC[[#This Row],[Power Source]]</f>
        <v>0</v>
      </c>
      <c r="P30" s="143" t="str">
        <f>EXP_AC[[#This Row],[Status]]</f>
        <v>Active</v>
      </c>
      <c r="R30">
        <f t="shared" si="0"/>
        <v>29</v>
      </c>
    </row>
    <row r="31" spans="1:18">
      <c r="E31" s="147" t="s">
        <v>17</v>
      </c>
      <c r="F31" t="str">
        <f>EXP_AC[[#This Row],[Setup Location]]</f>
        <v>HPS</v>
      </c>
      <c r="G31" t="str">
        <f>EXP_AC[[#This Row],[Setup Sub-Location]]</f>
        <v>AC-TF</v>
      </c>
      <c r="H31" t="str">
        <f>EXP_AC[[#This Row],[Sub-Setup Assembly]]</f>
        <v>Vessel</v>
      </c>
      <c r="I31">
        <f>EXP_AC[[#This Row],[IO type]]</f>
        <v>0</v>
      </c>
      <c r="J31" t="str">
        <f>EXP_AC[[#This Row],[Zone]]</f>
        <v>AC Body</v>
      </c>
      <c r="K31" t="str">
        <f>EXP_AC[[#This Row],[Device Type]]</f>
        <v>TZM-13-260-13</v>
      </c>
      <c r="L31" t="str">
        <f>EXP_AC[[#This Row],[Device Tag]]</f>
        <v>TF</v>
      </c>
      <c r="M31">
        <f>EXP_AC[[#This Row],[Device Location]]</f>
        <v>0</v>
      </c>
      <c r="N31">
        <f>EXP_AC[[#This Row],[Circuit]]</f>
        <v>0</v>
      </c>
      <c r="O31">
        <f>EXP_AC[[#This Row],[Power Source]]</f>
        <v>0</v>
      </c>
      <c r="P31" s="143" t="str">
        <f>EXP_AC[[#This Row],[Status]]</f>
        <v>New</v>
      </c>
      <c r="R31">
        <f t="shared" si="0"/>
        <v>30</v>
      </c>
    </row>
    <row r="32" spans="1:18">
      <c r="E32" s="147" t="s">
        <v>17</v>
      </c>
      <c r="F32" t="str">
        <f>EXP_AC[[#This Row],[Setup Location]]</f>
        <v>HPS</v>
      </c>
      <c r="G32" t="str">
        <f>EXP_AC[[#This Row],[Setup Sub-Location]]</f>
        <v>AC-TG</v>
      </c>
      <c r="H32" t="str">
        <f>EXP_AC[[#This Row],[Sub-Setup Assembly]]</f>
        <v>Vessel</v>
      </c>
      <c r="I32">
        <f>EXP_AC[[#This Row],[IO type]]</f>
        <v>0</v>
      </c>
      <c r="J32" t="str">
        <f>EXP_AC[[#This Row],[Zone]]</f>
        <v>AC Body</v>
      </c>
      <c r="K32" t="str">
        <f>EXP_AC[[#This Row],[Device Type]]</f>
        <v>TZM-13-260-10-DE</v>
      </c>
      <c r="L32" t="str">
        <f>EXP_AC[[#This Row],[Device Tag]]</f>
        <v>TG</v>
      </c>
      <c r="M32">
        <f>EXP_AC[[#This Row],[Device Location]]</f>
        <v>0</v>
      </c>
      <c r="N32">
        <f>EXP_AC[[#This Row],[Circuit]]</f>
        <v>0</v>
      </c>
      <c r="O32">
        <f>EXP_AC[[#This Row],[Power Source]]</f>
        <v>0</v>
      </c>
      <c r="P32" s="143" t="str">
        <f>EXP_AC[[#This Row],[Status]]</f>
        <v>New</v>
      </c>
      <c r="R32">
        <f t="shared" si="0"/>
        <v>31</v>
      </c>
    </row>
    <row r="33" spans="5:18">
      <c r="E33" s="147" t="s">
        <v>17</v>
      </c>
      <c r="F33" t="str">
        <f>EXP_AC[[#This Row],[Setup Location]]</f>
        <v>HPS</v>
      </c>
      <c r="G33" t="str">
        <f>EXP_AC[[#This Row],[Setup Sub-Location]]</f>
        <v>AC-Z</v>
      </c>
      <c r="H33" t="str">
        <f>EXP_AC[[#This Row],[Sub-Setup Assembly]]</f>
        <v>Vessel</v>
      </c>
      <c r="I33">
        <f>EXP_AC[[#This Row],[IO type]]</f>
        <v>0</v>
      </c>
      <c r="J33" t="str">
        <f>EXP_AC[[#This Row],[Zone]]</f>
        <v>AC Body</v>
      </c>
      <c r="K33" t="str">
        <f>EXP_AC[[#This Row],[Device Type]]</f>
        <v>2"</v>
      </c>
      <c r="L33" t="str">
        <f>EXP_AC[[#This Row],[Device Tag]]</f>
        <v>Z</v>
      </c>
      <c r="M33">
        <f>EXP_AC[[#This Row],[Device Location]]</f>
        <v>0</v>
      </c>
      <c r="N33">
        <f>EXP_AC[[#This Row],[Circuit]]</f>
        <v>0</v>
      </c>
      <c r="O33">
        <f>EXP_AC[[#This Row],[Power Source]]</f>
        <v>0</v>
      </c>
      <c r="P33" s="143" t="str">
        <f>EXP_AC[[#This Row],[Status]]</f>
        <v>UCSB</v>
      </c>
      <c r="R33">
        <f t="shared" si="0"/>
        <v>32</v>
      </c>
    </row>
    <row r="34" spans="5:18">
      <c r="E34" s="147" t="s">
        <v>17</v>
      </c>
      <c r="F34" t="str">
        <f>EXP_AC[[#This Row],[Setup Location]]</f>
        <v>HPS</v>
      </c>
      <c r="G34">
        <f>EXP_AC[[#This Row],[Setup Sub-Location]]</f>
        <v>0</v>
      </c>
      <c r="H34" t="str">
        <f>EXP_AC[[#This Row],[Sub-Setup Assembly]]</f>
        <v>Vessel</v>
      </c>
      <c r="I34">
        <f>EXP_AC[[#This Row],[IO type]]</f>
        <v>0</v>
      </c>
      <c r="J34">
        <f>EXP_AC[[#This Row],[Zone]]</f>
        <v>0</v>
      </c>
      <c r="K34">
        <f>EXP_AC[[#This Row],[Device Type]]</f>
        <v>0</v>
      </c>
      <c r="L34" t="e">
        <f>EXP_AC[[#This Row],[Device Tag]]</f>
        <v>#VALUE!</v>
      </c>
      <c r="M34">
        <f>EXP_AC[[#This Row],[Device Location]]</f>
        <v>0</v>
      </c>
      <c r="N34">
        <f>EXP_AC[[#This Row],[Circuit]]</f>
        <v>0</v>
      </c>
      <c r="O34">
        <f>EXP_AC[[#This Row],[Power Source]]</f>
        <v>0</v>
      </c>
      <c r="P34" s="143" t="str">
        <f>EXP_AC[[#This Row],[Status]]</f>
        <v/>
      </c>
      <c r="R34">
        <f t="shared" si="0"/>
        <v>33</v>
      </c>
    </row>
    <row r="35" spans="5:18">
      <c r="E35" s="147" t="s">
        <v>17</v>
      </c>
      <c r="F35" t="str">
        <f>EXP_AC[[#This Row],[Setup Location]]</f>
        <v>HPS</v>
      </c>
      <c r="G35">
        <f>EXP_AC[[#This Row],[Setup Sub-Location]]</f>
        <v>0</v>
      </c>
      <c r="H35" t="str">
        <f>EXP_AC[[#This Row],[Sub-Setup Assembly]]</f>
        <v>Vessel</v>
      </c>
      <c r="I35">
        <f>EXP_AC[[#This Row],[IO type]]</f>
        <v>0</v>
      </c>
      <c r="J35">
        <f>EXP_AC[[#This Row],[Zone]]</f>
        <v>0</v>
      </c>
      <c r="K35">
        <f>EXP_AC[[#This Row],[Device Type]]</f>
        <v>0</v>
      </c>
      <c r="L35" t="e">
        <f>EXP_AC[[#This Row],[Device Tag]]</f>
        <v>#VALUE!</v>
      </c>
      <c r="M35">
        <f>EXP_AC[[#This Row],[Device Location]]</f>
        <v>0</v>
      </c>
      <c r="N35">
        <f>EXP_AC[[#This Row],[Circuit]]</f>
        <v>0</v>
      </c>
      <c r="O35">
        <f>EXP_AC[[#This Row],[Power Source]]</f>
        <v>0</v>
      </c>
      <c r="P35" s="143" t="str">
        <f>EXP_AC[[#This Row],[Status]]</f>
        <v/>
      </c>
      <c r="R35">
        <f t="shared" si="0"/>
        <v>34</v>
      </c>
    </row>
    <row r="36" spans="5:18">
      <c r="E36" s="147" t="s">
        <v>17</v>
      </c>
      <c r="F36" t="str">
        <f>EXP_AC[[#This Row],[Setup Location]]</f>
        <v>HPS</v>
      </c>
      <c r="G36">
        <f>EXP_AC[[#This Row],[Setup Sub-Location]]</f>
        <v>0</v>
      </c>
      <c r="H36" t="str">
        <f>EXP_AC[[#This Row],[Sub-Setup Assembly]]</f>
        <v>Vessel</v>
      </c>
      <c r="I36">
        <f>EXP_AC[[#This Row],[IO type]]</f>
        <v>0</v>
      </c>
      <c r="J36">
        <f>EXP_AC[[#This Row],[Zone]]</f>
        <v>0</v>
      </c>
      <c r="K36">
        <f>EXP_AC[[#This Row],[Device Type]]</f>
        <v>0</v>
      </c>
      <c r="L36" t="e">
        <f>EXP_AC[[#This Row],[Device Tag]]</f>
        <v>#VALUE!</v>
      </c>
      <c r="M36">
        <f>EXP_AC[[#This Row],[Device Location]]</f>
        <v>0</v>
      </c>
      <c r="N36">
        <f>EXP_AC[[#This Row],[Circuit]]</f>
        <v>0</v>
      </c>
      <c r="O36">
        <f>EXP_AC[[#This Row],[Power Source]]</f>
        <v>0</v>
      </c>
      <c r="P36" s="143" t="str">
        <f>EXP_AC[[#This Row],[Status]]</f>
        <v/>
      </c>
      <c r="R36">
        <f t="shared" si="0"/>
        <v>35</v>
      </c>
    </row>
    <row r="37" spans="5:18">
      <c r="E37" s="147" t="s">
        <v>17</v>
      </c>
      <c r="F37" t="str">
        <f>EXP_AC[[#This Row],[Setup Location]]</f>
        <v>HPS</v>
      </c>
      <c r="G37">
        <f>EXP_AC[[#This Row],[Setup Sub-Location]]</f>
        <v>0</v>
      </c>
      <c r="H37" t="str">
        <f>EXP_AC[[#This Row],[Sub-Setup Assembly]]</f>
        <v>Vessel</v>
      </c>
      <c r="I37">
        <f>EXP_AC[[#This Row],[IO type]]</f>
        <v>0</v>
      </c>
      <c r="J37">
        <f>EXP_AC[[#This Row],[Zone]]</f>
        <v>0</v>
      </c>
      <c r="K37">
        <f>EXP_AC[[#This Row],[Device Type]]</f>
        <v>0</v>
      </c>
      <c r="L37" t="e">
        <f>EXP_AC[[#This Row],[Device Tag]]</f>
        <v>#VALUE!</v>
      </c>
      <c r="M37">
        <f>EXP_AC[[#This Row],[Device Location]]</f>
        <v>0</v>
      </c>
      <c r="N37">
        <f>EXP_AC[[#This Row],[Circuit]]</f>
        <v>0</v>
      </c>
      <c r="O37">
        <f>EXP_AC[[#This Row],[Power Source]]</f>
        <v>0</v>
      </c>
      <c r="P37" s="143" t="str">
        <f>EXP_AC[[#This Row],[Status]]</f>
        <v/>
      </c>
      <c r="R37">
        <f t="shared" si="0"/>
        <v>36</v>
      </c>
    </row>
    <row r="38" spans="5:18">
      <c r="E38" s="147" t="s">
        <v>17</v>
      </c>
      <c r="F38" t="str">
        <f>EXP_AC[[#This Row],[Setup Location]]</f>
        <v>HPS</v>
      </c>
      <c r="G38">
        <f>EXP_AC[[#This Row],[Setup Sub-Location]]</f>
        <v>0</v>
      </c>
      <c r="H38" t="str">
        <f>EXP_AC[[#This Row],[Sub-Setup Assembly]]</f>
        <v>Vessel</v>
      </c>
      <c r="I38">
        <f>EXP_AC[[#This Row],[IO type]]</f>
        <v>0</v>
      </c>
      <c r="J38">
        <f>EXP_AC[[#This Row],[Zone]]</f>
        <v>0</v>
      </c>
      <c r="K38">
        <f>EXP_AC[[#This Row],[Device Type]]</f>
        <v>0</v>
      </c>
      <c r="L38" t="e">
        <f>EXP_AC[[#This Row],[Device Tag]]</f>
        <v>#VALUE!</v>
      </c>
      <c r="M38">
        <f>EXP_AC[[#This Row],[Device Location]]</f>
        <v>0</v>
      </c>
      <c r="N38">
        <f>EXP_AC[[#This Row],[Circuit]]</f>
        <v>0</v>
      </c>
      <c r="O38">
        <f>EXP_AC[[#This Row],[Power Source]]</f>
        <v>0</v>
      </c>
      <c r="P38" s="143" t="str">
        <f>EXP_AC[[#This Row],[Status]]</f>
        <v/>
      </c>
      <c r="R38">
        <f t="shared" si="0"/>
        <v>37</v>
      </c>
    </row>
    <row r="39" spans="5:18">
      <c r="E39" s="147" t="s">
        <v>17</v>
      </c>
      <c r="F39" t="str">
        <f>EXP_AC[[#This Row],[Setup Location]]</f>
        <v>HPS</v>
      </c>
      <c r="G39">
        <f>EXP_AC[[#This Row],[Setup Sub-Location]]</f>
        <v>0</v>
      </c>
      <c r="H39" t="str">
        <f>EXP_AC[[#This Row],[Sub-Setup Assembly]]</f>
        <v>Vessel</v>
      </c>
      <c r="I39">
        <f>EXP_AC[[#This Row],[IO type]]</f>
        <v>0</v>
      </c>
      <c r="J39">
        <f>EXP_AC[[#This Row],[Zone]]</f>
        <v>0</v>
      </c>
      <c r="K39">
        <f>EXP_AC[[#This Row],[Device Type]]</f>
        <v>0</v>
      </c>
      <c r="L39" t="e">
        <f>EXP_AC[[#This Row],[Device Tag]]</f>
        <v>#VALUE!</v>
      </c>
      <c r="M39">
        <f>EXP_AC[[#This Row],[Device Location]]</f>
        <v>0</v>
      </c>
      <c r="N39">
        <f>EXP_AC[[#This Row],[Circuit]]</f>
        <v>0</v>
      </c>
      <c r="O39">
        <f>EXP_AC[[#This Row],[Power Source]]</f>
        <v>0</v>
      </c>
      <c r="P39" s="143" t="str">
        <f>EXP_AC[[#This Row],[Status]]</f>
        <v/>
      </c>
      <c r="R39">
        <f t="shared" si="0"/>
        <v>38</v>
      </c>
    </row>
    <row r="40" spans="5:18">
      <c r="E40" s="147" t="s">
        <v>17</v>
      </c>
      <c r="F40" t="str">
        <f>EXP_AC[[#This Row],[Setup Location]]</f>
        <v>HPS</v>
      </c>
      <c r="G40">
        <f>EXP_AC[[#This Row],[Setup Sub-Location]]</f>
        <v>0</v>
      </c>
      <c r="H40" t="str">
        <f>EXP_AC[[#This Row],[Sub-Setup Assembly]]</f>
        <v>Vessel</v>
      </c>
      <c r="I40">
        <f>EXP_AC[[#This Row],[IO type]]</f>
        <v>0</v>
      </c>
      <c r="J40">
        <f>EXP_AC[[#This Row],[Zone]]</f>
        <v>0</v>
      </c>
      <c r="K40">
        <f>EXP_AC[[#This Row],[Device Type]]</f>
        <v>0</v>
      </c>
      <c r="L40" t="e">
        <f>EXP_AC[[#This Row],[Device Tag]]</f>
        <v>#VALUE!</v>
      </c>
      <c r="M40">
        <f>EXP_AC[[#This Row],[Device Location]]</f>
        <v>0</v>
      </c>
      <c r="N40">
        <f>EXP_AC[[#This Row],[Circuit]]</f>
        <v>0</v>
      </c>
      <c r="O40">
        <f>EXP_AC[[#This Row],[Power Source]]</f>
        <v>0</v>
      </c>
      <c r="P40" s="143" t="str">
        <f>EXP_AC[[#This Row],[Status]]</f>
        <v/>
      </c>
      <c r="R40">
        <f t="shared" si="0"/>
        <v>39</v>
      </c>
    </row>
    <row r="41" spans="5:18">
      <c r="E41" s="147" t="s">
        <v>17</v>
      </c>
      <c r="F41" t="str">
        <f>EXP_AC[[#This Row],[Setup Location]]</f>
        <v>HPS</v>
      </c>
      <c r="G41">
        <f>EXP_AC[[#This Row],[Setup Sub-Location]]</f>
        <v>0</v>
      </c>
      <c r="H41" t="str">
        <f>EXP_AC[[#This Row],[Sub-Setup Assembly]]</f>
        <v>Vessel</v>
      </c>
      <c r="I41">
        <f>EXP_AC[[#This Row],[IO type]]</f>
        <v>0</v>
      </c>
      <c r="J41">
        <f>EXP_AC[[#This Row],[Zone]]</f>
        <v>0</v>
      </c>
      <c r="K41">
        <f>EXP_AC[[#This Row],[Device Type]]</f>
        <v>0</v>
      </c>
      <c r="L41" t="e">
        <f>EXP_AC[[#This Row],[Device Tag]]</f>
        <v>#VALUE!</v>
      </c>
      <c r="M41">
        <f>EXP_AC[[#This Row],[Device Location]]</f>
        <v>0</v>
      </c>
      <c r="N41">
        <f>EXP_AC[[#This Row],[Circuit]]</f>
        <v>0</v>
      </c>
      <c r="O41">
        <f>EXP_AC[[#This Row],[Power Source]]</f>
        <v>0</v>
      </c>
      <c r="P41" s="143" t="str">
        <f>EXP_AC[[#This Row],[Status]]</f>
        <v/>
      </c>
      <c r="R41">
        <f t="shared" si="0"/>
        <v>40</v>
      </c>
    </row>
    <row r="42" spans="5:18">
      <c r="E42" s="147" t="s">
        <v>17</v>
      </c>
      <c r="F42" t="str">
        <f>EXP_AC[[#This Row],[Setup Location]]</f>
        <v>HPS</v>
      </c>
      <c r="G42">
        <f>EXP_AC[[#This Row],[Setup Sub-Location]]</f>
        <v>0</v>
      </c>
      <c r="H42" t="str">
        <f>EXP_AC[[#This Row],[Sub-Setup Assembly]]</f>
        <v>Vessel</v>
      </c>
      <c r="I42">
        <f>EXP_AC[[#This Row],[IO type]]</f>
        <v>0</v>
      </c>
      <c r="J42">
        <f>EXP_AC[[#This Row],[Zone]]</f>
        <v>0</v>
      </c>
      <c r="K42">
        <f>EXP_AC[[#This Row],[Device Type]]</f>
        <v>0</v>
      </c>
      <c r="L42" t="e">
        <f>EXP_AC[[#This Row],[Device Tag]]</f>
        <v>#VALUE!</v>
      </c>
      <c r="M42">
        <f>EXP_AC[[#This Row],[Device Location]]</f>
        <v>0</v>
      </c>
      <c r="N42">
        <f>EXP_AC[[#This Row],[Circuit]]</f>
        <v>0</v>
      </c>
      <c r="O42">
        <f>EXP_AC[[#This Row],[Power Source]]</f>
        <v>0</v>
      </c>
      <c r="P42" s="143" t="str">
        <f>EXP_AC[[#This Row],[Status]]</f>
        <v/>
      </c>
      <c r="R42">
        <f t="shared" si="0"/>
        <v>41</v>
      </c>
    </row>
    <row r="43" spans="5:18">
      <c r="E43" s="147" t="s">
        <v>17</v>
      </c>
      <c r="F43" t="str">
        <f>EXP_AC[[#This Row],[Setup Location]]</f>
        <v>HPS</v>
      </c>
      <c r="G43">
        <f>EXP_AC[[#This Row],[Setup Sub-Location]]</f>
        <v>0</v>
      </c>
      <c r="H43" t="str">
        <f>EXP_AC[[#This Row],[Sub-Setup Assembly]]</f>
        <v>Vessel</v>
      </c>
      <c r="I43">
        <f>EXP_AC[[#This Row],[IO type]]</f>
        <v>0</v>
      </c>
      <c r="J43">
        <f>EXP_AC[[#This Row],[Zone]]</f>
        <v>0</v>
      </c>
      <c r="K43">
        <f>EXP_AC[[#This Row],[Device Type]]</f>
        <v>0</v>
      </c>
      <c r="L43" t="e">
        <f>EXP_AC[[#This Row],[Device Tag]]</f>
        <v>#VALUE!</v>
      </c>
      <c r="M43">
        <f>EXP_AC[[#This Row],[Device Location]]</f>
        <v>0</v>
      </c>
      <c r="N43">
        <f>EXP_AC[[#This Row],[Circuit]]</f>
        <v>0</v>
      </c>
      <c r="O43">
        <f>EXP_AC[[#This Row],[Power Source]]</f>
        <v>0</v>
      </c>
      <c r="P43" s="143" t="str">
        <f>EXP_AC[[#This Row],[Status]]</f>
        <v/>
      </c>
      <c r="R43">
        <f t="shared" si="0"/>
        <v>42</v>
      </c>
    </row>
    <row r="44" spans="5:18">
      <c r="E44" s="147" t="s">
        <v>17</v>
      </c>
      <c r="F44" t="str">
        <f>EXP_AC[[#This Row],[Setup Location]]</f>
        <v>HPS</v>
      </c>
      <c r="G44">
        <f>EXP_AC[[#This Row],[Setup Sub-Location]]</f>
        <v>0</v>
      </c>
      <c r="H44" t="str">
        <f>EXP_AC[[#This Row],[Sub-Setup Assembly]]</f>
        <v>Vessel</v>
      </c>
      <c r="I44">
        <f>EXP_AC[[#This Row],[IO type]]</f>
        <v>0</v>
      </c>
      <c r="J44">
        <f>EXP_AC[[#This Row],[Zone]]</f>
        <v>0</v>
      </c>
      <c r="K44">
        <f>EXP_AC[[#This Row],[Device Type]]</f>
        <v>0</v>
      </c>
      <c r="L44" t="e">
        <f>EXP_AC[[#This Row],[Device Tag]]</f>
        <v>#VALUE!</v>
      </c>
      <c r="M44">
        <f>EXP_AC[[#This Row],[Device Location]]</f>
        <v>0</v>
      </c>
      <c r="N44">
        <f>EXP_AC[[#This Row],[Circuit]]</f>
        <v>0</v>
      </c>
      <c r="O44">
        <f>EXP_AC[[#This Row],[Power Source]]</f>
        <v>0</v>
      </c>
      <c r="P44" s="143" t="str">
        <f>EXP_AC[[#This Row],[Status]]</f>
        <v/>
      </c>
      <c r="R44">
        <f t="shared" si="0"/>
        <v>43</v>
      </c>
    </row>
    <row r="45" spans="5:18">
      <c r="E45" s="147" t="s">
        <v>17</v>
      </c>
      <c r="F45" t="str">
        <f>EXP_AC[[#This Row],[Setup Location]]</f>
        <v>HPS</v>
      </c>
      <c r="G45">
        <f>EXP_AC[[#This Row],[Setup Sub-Location]]</f>
        <v>0</v>
      </c>
      <c r="H45" t="str">
        <f>EXP_AC[[#This Row],[Sub-Setup Assembly]]</f>
        <v>Vessel</v>
      </c>
      <c r="I45">
        <f>EXP_AC[[#This Row],[IO type]]</f>
        <v>0</v>
      </c>
      <c r="J45">
        <f>EXP_AC[[#This Row],[Zone]]</f>
        <v>0</v>
      </c>
      <c r="K45">
        <f>EXP_AC[[#This Row],[Device Type]]</f>
        <v>0</v>
      </c>
      <c r="L45" t="e">
        <f>EXP_AC[[#This Row],[Device Tag]]</f>
        <v>#VALUE!</v>
      </c>
      <c r="M45">
        <f>EXP_AC[[#This Row],[Device Location]]</f>
        <v>0</v>
      </c>
      <c r="N45">
        <f>EXP_AC[[#This Row],[Circuit]]</f>
        <v>0</v>
      </c>
      <c r="O45">
        <f>EXP_AC[[#This Row],[Power Source]]</f>
        <v>0</v>
      </c>
      <c r="P45" s="143" t="str">
        <f>EXP_AC[[#This Row],[Status]]</f>
        <v/>
      </c>
      <c r="R45">
        <f t="shared" si="0"/>
        <v>44</v>
      </c>
    </row>
    <row r="46" spans="5:18">
      <c r="E46" s="147" t="s">
        <v>17</v>
      </c>
      <c r="F46" t="str">
        <f>EXP_AC[[#This Row],[Setup Location]]</f>
        <v>HPS</v>
      </c>
      <c r="G46">
        <f>EXP_AC[[#This Row],[Setup Sub-Location]]</f>
        <v>0</v>
      </c>
      <c r="H46" t="str">
        <f>EXP_AC[[#This Row],[Sub-Setup Assembly]]</f>
        <v>Vessel</v>
      </c>
      <c r="I46">
        <f>EXP_AC[[#This Row],[IO type]]</f>
        <v>0</v>
      </c>
      <c r="J46">
        <f>EXP_AC[[#This Row],[Zone]]</f>
        <v>0</v>
      </c>
      <c r="K46">
        <f>EXP_AC[[#This Row],[Device Type]]</f>
        <v>0</v>
      </c>
      <c r="L46" t="e">
        <f>EXP_AC[[#This Row],[Device Tag]]</f>
        <v>#VALUE!</v>
      </c>
      <c r="M46">
        <f>EXP_AC[[#This Row],[Device Location]]</f>
        <v>0</v>
      </c>
      <c r="N46">
        <f>EXP_AC[[#This Row],[Circuit]]</f>
        <v>0</v>
      </c>
      <c r="O46">
        <f>EXP_AC[[#This Row],[Power Source]]</f>
        <v>0</v>
      </c>
      <c r="P46" s="143" t="str">
        <f>EXP_AC[[#This Row],[Status]]</f>
        <v/>
      </c>
      <c r="R46">
        <f t="shared" si="0"/>
        <v>45</v>
      </c>
    </row>
    <row r="47" spans="5:18">
      <c r="E47" s="147" t="s">
        <v>17</v>
      </c>
      <c r="F47" t="str">
        <f>EXP_AC[[#This Row],[Setup Location]]</f>
        <v>HPS</v>
      </c>
      <c r="G47">
        <f>EXP_AC[[#This Row],[Setup Sub-Location]]</f>
        <v>0</v>
      </c>
      <c r="H47" t="str">
        <f>EXP_AC[[#This Row],[Sub-Setup Assembly]]</f>
        <v>Vessel</v>
      </c>
      <c r="I47">
        <f>EXP_AC[[#This Row],[IO type]]</f>
        <v>0</v>
      </c>
      <c r="J47">
        <f>EXP_AC[[#This Row],[Zone]]</f>
        <v>0</v>
      </c>
      <c r="K47">
        <f>EXP_AC[[#This Row],[Device Type]]</f>
        <v>0</v>
      </c>
      <c r="L47" t="e">
        <f>EXP_AC[[#This Row],[Device Tag]]</f>
        <v>#VALUE!</v>
      </c>
      <c r="M47">
        <f>EXP_AC[[#This Row],[Device Location]]</f>
        <v>0</v>
      </c>
      <c r="N47">
        <f>EXP_AC[[#This Row],[Circuit]]</f>
        <v>0</v>
      </c>
      <c r="O47">
        <f>EXP_AC[[#This Row],[Power Source]]</f>
        <v>0</v>
      </c>
      <c r="P47" s="143" t="str">
        <f>EXP_AC[[#This Row],[Status]]</f>
        <v/>
      </c>
      <c r="R47">
        <f t="shared" si="0"/>
        <v>46</v>
      </c>
    </row>
    <row r="48" spans="5:18">
      <c r="E48" s="147" t="s">
        <v>17</v>
      </c>
      <c r="F48" t="str">
        <f>EXP_AC[[#This Row],[Setup Location]]</f>
        <v>HPS</v>
      </c>
      <c r="G48">
        <f>EXP_AC[[#This Row],[Setup Sub-Location]]</f>
        <v>0</v>
      </c>
      <c r="H48" t="str">
        <f>EXP_AC[[#This Row],[Sub-Setup Assembly]]</f>
        <v>Vessel</v>
      </c>
      <c r="I48">
        <f>EXP_AC[[#This Row],[IO type]]</f>
        <v>0</v>
      </c>
      <c r="J48">
        <f>EXP_AC[[#This Row],[Zone]]</f>
        <v>0</v>
      </c>
      <c r="K48">
        <f>EXP_AC[[#This Row],[Device Type]]</f>
        <v>0</v>
      </c>
      <c r="L48" t="e">
        <f>EXP_AC[[#This Row],[Device Tag]]</f>
        <v>#VALUE!</v>
      </c>
      <c r="M48">
        <f>EXP_AC[[#This Row],[Device Location]]</f>
        <v>0</v>
      </c>
      <c r="N48">
        <f>EXP_AC[[#This Row],[Circuit]]</f>
        <v>0</v>
      </c>
      <c r="O48">
        <f>EXP_AC[[#This Row],[Power Source]]</f>
        <v>0</v>
      </c>
      <c r="P48" s="143" t="str">
        <f>EXP_AC[[#This Row],[Status]]</f>
        <v/>
      </c>
      <c r="R48">
        <f t="shared" si="0"/>
        <v>47</v>
      </c>
    </row>
    <row r="49" spans="5:18">
      <c r="E49" s="147" t="s">
        <v>17</v>
      </c>
      <c r="F49" t="str">
        <f>EXP_AC[[#This Row],[Setup Location]]</f>
        <v>HPS</v>
      </c>
      <c r="G49">
        <f>EXP_AC[[#This Row],[Setup Sub-Location]]</f>
        <v>0</v>
      </c>
      <c r="H49" t="str">
        <f>EXP_AC[[#This Row],[Sub-Setup Assembly]]</f>
        <v>Vessel</v>
      </c>
      <c r="I49">
        <f>EXP_AC[[#This Row],[IO type]]</f>
        <v>0</v>
      </c>
      <c r="J49">
        <f>EXP_AC[[#This Row],[Zone]]</f>
        <v>0</v>
      </c>
      <c r="K49">
        <f>EXP_AC[[#This Row],[Device Type]]</f>
        <v>0</v>
      </c>
      <c r="L49" t="e">
        <f>EXP_AC[[#This Row],[Device Tag]]</f>
        <v>#VALUE!</v>
      </c>
      <c r="M49">
        <f>EXP_AC[[#This Row],[Device Location]]</f>
        <v>0</v>
      </c>
      <c r="N49">
        <f>EXP_AC[[#This Row],[Circuit]]</f>
        <v>0</v>
      </c>
      <c r="O49">
        <f>EXP_AC[[#This Row],[Power Source]]</f>
        <v>0</v>
      </c>
      <c r="P49" s="143" t="str">
        <f>EXP_AC[[#This Row],[Status]]</f>
        <v/>
      </c>
      <c r="R49">
        <f t="shared" si="0"/>
        <v>48</v>
      </c>
    </row>
    <row r="50" spans="5:18">
      <c r="E50" s="147" t="s">
        <v>17</v>
      </c>
      <c r="F50" t="str">
        <f>EXP_AC[[#This Row],[Setup Location]]</f>
        <v>HPS</v>
      </c>
      <c r="G50">
        <f>EXP_AC[[#This Row],[Setup Sub-Location]]</f>
        <v>0</v>
      </c>
      <c r="H50" t="str">
        <f>EXP_AC[[#This Row],[Sub-Setup Assembly]]</f>
        <v>Vessel</v>
      </c>
      <c r="I50">
        <f>EXP_AC[[#This Row],[IO type]]</f>
        <v>0</v>
      </c>
      <c r="J50">
        <f>EXP_AC[[#This Row],[Zone]]</f>
        <v>0</v>
      </c>
      <c r="K50">
        <f>EXP_AC[[#This Row],[Device Type]]</f>
        <v>0</v>
      </c>
      <c r="L50" t="e">
        <f>EXP_AC[[#This Row],[Device Tag]]</f>
        <v>#VALUE!</v>
      </c>
      <c r="M50">
        <f>EXP_AC[[#This Row],[Device Location]]</f>
        <v>0</v>
      </c>
      <c r="N50">
        <f>EXP_AC[[#This Row],[Circuit]]</f>
        <v>0</v>
      </c>
      <c r="O50">
        <f>EXP_AC[[#This Row],[Power Source]]</f>
        <v>0</v>
      </c>
      <c r="P50" s="143" t="str">
        <f>EXP_AC[[#This Row],[Status]]</f>
        <v/>
      </c>
      <c r="R50">
        <f t="shared" si="0"/>
        <v>49</v>
      </c>
    </row>
    <row r="51" spans="5:18">
      <c r="E51" s="147" t="s">
        <v>17</v>
      </c>
      <c r="F51" t="str">
        <f>EXP_AC[[#This Row],[Setup Location]]</f>
        <v>HPS</v>
      </c>
      <c r="G51">
        <f>EXP_AC[[#This Row],[Setup Sub-Location]]</f>
        <v>0</v>
      </c>
      <c r="H51" t="str">
        <f>EXP_AC[[#This Row],[Sub-Setup Assembly]]</f>
        <v>Vessel</v>
      </c>
      <c r="I51">
        <f>EXP_AC[[#This Row],[IO type]]</f>
        <v>0</v>
      </c>
      <c r="J51">
        <f>EXP_AC[[#This Row],[Zone]]</f>
        <v>0</v>
      </c>
      <c r="K51">
        <f>EXP_AC[[#This Row],[Device Type]]</f>
        <v>0</v>
      </c>
      <c r="L51" t="e">
        <f>EXP_AC[[#This Row],[Device Tag]]</f>
        <v>#VALUE!</v>
      </c>
      <c r="M51">
        <f>EXP_AC[[#This Row],[Device Location]]</f>
        <v>0</v>
      </c>
      <c r="N51">
        <f>EXP_AC[[#This Row],[Circuit]]</f>
        <v>0</v>
      </c>
      <c r="O51">
        <f>EXP_AC[[#This Row],[Power Source]]</f>
        <v>0</v>
      </c>
      <c r="P51" s="143" t="str">
        <f>EXP_AC[[#This Row],[Status]]</f>
        <v/>
      </c>
      <c r="R51">
        <f t="shared" si="0"/>
        <v>50</v>
      </c>
    </row>
    <row r="52" spans="5:18">
      <c r="E52" s="147" t="s">
        <v>17</v>
      </c>
      <c r="F52" t="str">
        <f>EXP_AC[[#This Row],[Setup Location]]</f>
        <v>HPS</v>
      </c>
      <c r="G52">
        <f>EXP_AC[[#This Row],[Setup Sub-Location]]</f>
        <v>0</v>
      </c>
      <c r="H52" t="str">
        <f>EXP_AC[[#This Row],[Sub-Setup Assembly]]</f>
        <v>Vessel</v>
      </c>
      <c r="I52">
        <f>EXP_AC[[#This Row],[IO type]]</f>
        <v>0</v>
      </c>
      <c r="J52">
        <f>EXP_AC[[#This Row],[Zone]]</f>
        <v>0</v>
      </c>
      <c r="K52">
        <f>EXP_AC[[#This Row],[Device Type]]</f>
        <v>0</v>
      </c>
      <c r="L52" t="e">
        <f>EXP_AC[[#This Row],[Device Tag]]</f>
        <v>#VALUE!</v>
      </c>
      <c r="M52">
        <f>EXP_AC[[#This Row],[Device Location]]</f>
        <v>0</v>
      </c>
      <c r="N52">
        <f>EXP_AC[[#This Row],[Circuit]]</f>
        <v>0</v>
      </c>
      <c r="O52">
        <f>EXP_AC[[#This Row],[Power Source]]</f>
        <v>0</v>
      </c>
      <c r="P52" s="143" t="str">
        <f>EXP_AC[[#This Row],[Status]]</f>
        <v/>
      </c>
      <c r="R52">
        <f t="shared" si="0"/>
        <v>51</v>
      </c>
    </row>
    <row r="53" spans="5:18">
      <c r="E53" s="147" t="s">
        <v>17</v>
      </c>
      <c r="F53" t="str">
        <f>EXP_AC[[#This Row],[Setup Location]]</f>
        <v>HPS</v>
      </c>
      <c r="G53">
        <f>EXP_AC[[#This Row],[Setup Sub-Location]]</f>
        <v>0</v>
      </c>
      <c r="H53" t="str">
        <f>EXP_AC[[#This Row],[Sub-Setup Assembly]]</f>
        <v>Vessel</v>
      </c>
      <c r="I53">
        <f>EXP_AC[[#This Row],[IO type]]</f>
        <v>0</v>
      </c>
      <c r="J53">
        <f>EXP_AC[[#This Row],[Zone]]</f>
        <v>0</v>
      </c>
      <c r="K53">
        <f>EXP_AC[[#This Row],[Device Type]]</f>
        <v>0</v>
      </c>
      <c r="L53" t="e">
        <f>EXP_AC[[#This Row],[Device Tag]]</f>
        <v>#VALUE!</v>
      </c>
      <c r="M53">
        <f>EXP_AC[[#This Row],[Device Location]]</f>
        <v>0</v>
      </c>
      <c r="N53">
        <f>EXP_AC[[#This Row],[Circuit]]</f>
        <v>0</v>
      </c>
      <c r="O53">
        <f>EXP_AC[[#This Row],[Power Source]]</f>
        <v>0</v>
      </c>
      <c r="P53" s="143" t="str">
        <f>EXP_AC[[#This Row],[Status]]</f>
        <v/>
      </c>
      <c r="R53">
        <f t="shared" si="0"/>
        <v>52</v>
      </c>
    </row>
    <row r="54" spans="5:18">
      <c r="E54" s="147" t="s">
        <v>17</v>
      </c>
      <c r="F54" t="str">
        <f>EXP_AC[[#This Row],[Setup Location]]</f>
        <v>HPS</v>
      </c>
      <c r="G54">
        <f>EXP_AC[[#This Row],[Setup Sub-Location]]</f>
        <v>0</v>
      </c>
      <c r="H54" t="str">
        <f>EXP_AC[[#This Row],[Sub-Setup Assembly]]</f>
        <v>Vessel</v>
      </c>
      <c r="I54">
        <f>EXP_AC[[#This Row],[IO type]]</f>
        <v>0</v>
      </c>
      <c r="J54">
        <f>EXP_AC[[#This Row],[Zone]]</f>
        <v>0</v>
      </c>
      <c r="K54">
        <f>EXP_AC[[#This Row],[Device Type]]</f>
        <v>0</v>
      </c>
      <c r="L54" t="e">
        <f>EXP_AC[[#This Row],[Device Tag]]</f>
        <v>#VALUE!</v>
      </c>
      <c r="M54">
        <f>EXP_AC[[#This Row],[Device Location]]</f>
        <v>0</v>
      </c>
      <c r="N54">
        <f>EXP_AC[[#This Row],[Circuit]]</f>
        <v>0</v>
      </c>
      <c r="O54">
        <f>EXP_AC[[#This Row],[Power Source]]</f>
        <v>0</v>
      </c>
      <c r="P54" s="143" t="str">
        <f>EXP_AC[[#This Row],[Status]]</f>
        <v/>
      </c>
      <c r="R54">
        <f t="shared" si="0"/>
        <v>53</v>
      </c>
    </row>
    <row r="55" spans="5:18">
      <c r="E55" s="147" t="s">
        <v>17</v>
      </c>
      <c r="F55" t="str">
        <f>EXP_AC[[#This Row],[Setup Location]]</f>
        <v>HPS</v>
      </c>
      <c r="G55">
        <f>EXP_AC[[#This Row],[Setup Sub-Location]]</f>
        <v>0</v>
      </c>
      <c r="H55" t="str">
        <f>EXP_AC[[#This Row],[Sub-Setup Assembly]]</f>
        <v>Vessel</v>
      </c>
      <c r="I55">
        <f>EXP_AC[[#This Row],[IO type]]</f>
        <v>0</v>
      </c>
      <c r="J55">
        <f>EXP_AC[[#This Row],[Zone]]</f>
        <v>0</v>
      </c>
      <c r="K55">
        <f>EXP_AC[[#This Row],[Device Type]]</f>
        <v>0</v>
      </c>
      <c r="L55" t="e">
        <f>EXP_AC[[#This Row],[Device Tag]]</f>
        <v>#VALUE!</v>
      </c>
      <c r="M55">
        <f>EXP_AC[[#This Row],[Device Location]]</f>
        <v>0</v>
      </c>
      <c r="N55">
        <f>EXP_AC[[#This Row],[Circuit]]</f>
        <v>0</v>
      </c>
      <c r="O55">
        <f>EXP_AC[[#This Row],[Power Source]]</f>
        <v>0</v>
      </c>
      <c r="P55" s="143" t="str">
        <f>EXP_AC[[#This Row],[Status]]</f>
        <v/>
      </c>
      <c r="R55">
        <f t="shared" si="0"/>
        <v>54</v>
      </c>
    </row>
    <row r="56" spans="5:18">
      <c r="E56" s="147" t="s">
        <v>17</v>
      </c>
      <c r="F56" t="str">
        <f>EXP_AC[[#This Row],[Setup Location]]</f>
        <v>HPS</v>
      </c>
      <c r="G56">
        <f>EXP_AC[[#This Row],[Setup Sub-Location]]</f>
        <v>0</v>
      </c>
      <c r="H56" t="str">
        <f>EXP_AC[[#This Row],[Sub-Setup Assembly]]</f>
        <v>Vessel</v>
      </c>
      <c r="I56">
        <f>EXP_AC[[#This Row],[IO type]]</f>
        <v>0</v>
      </c>
      <c r="J56">
        <f>EXP_AC[[#This Row],[Zone]]</f>
        <v>0</v>
      </c>
      <c r="K56">
        <f>EXP_AC[[#This Row],[Device Type]]</f>
        <v>0</v>
      </c>
      <c r="L56" t="e">
        <f>EXP_AC[[#This Row],[Device Tag]]</f>
        <v>#VALUE!</v>
      </c>
      <c r="M56">
        <f>EXP_AC[[#This Row],[Device Location]]</f>
        <v>0</v>
      </c>
      <c r="N56">
        <f>EXP_AC[[#This Row],[Circuit]]</f>
        <v>0</v>
      </c>
      <c r="O56">
        <f>EXP_AC[[#This Row],[Power Source]]</f>
        <v>0</v>
      </c>
      <c r="P56" s="143" t="str">
        <f>EXP_AC[[#This Row],[Status]]</f>
        <v/>
      </c>
      <c r="R56">
        <f t="shared" si="0"/>
        <v>55</v>
      </c>
    </row>
    <row r="57" spans="5:18">
      <c r="E57" s="147" t="s">
        <v>17</v>
      </c>
      <c r="F57" t="str">
        <f>EXP_AC[[#This Row],[Setup Location]]</f>
        <v>HPS</v>
      </c>
      <c r="G57">
        <f>EXP_AC[[#This Row],[Setup Sub-Location]]</f>
        <v>0</v>
      </c>
      <c r="H57" t="str">
        <f>EXP_AC[[#This Row],[Sub-Setup Assembly]]</f>
        <v>Vessel</v>
      </c>
      <c r="I57">
        <f>EXP_AC[[#This Row],[IO type]]</f>
        <v>0</v>
      </c>
      <c r="J57">
        <f>EXP_AC[[#This Row],[Zone]]</f>
        <v>0</v>
      </c>
      <c r="K57">
        <f>EXP_AC[[#This Row],[Device Type]]</f>
        <v>0</v>
      </c>
      <c r="L57" t="e">
        <f>EXP_AC[[#This Row],[Device Tag]]</f>
        <v>#VALUE!</v>
      </c>
      <c r="M57">
        <f>EXP_AC[[#This Row],[Device Location]]</f>
        <v>0</v>
      </c>
      <c r="N57">
        <f>EXP_AC[[#This Row],[Circuit]]</f>
        <v>0</v>
      </c>
      <c r="O57">
        <f>EXP_AC[[#This Row],[Power Source]]</f>
        <v>0</v>
      </c>
      <c r="P57" s="143" t="str">
        <f>EXP_AC[[#This Row],[Status]]</f>
        <v/>
      </c>
      <c r="R57">
        <f t="shared" si="0"/>
        <v>56</v>
      </c>
    </row>
    <row r="58" spans="5:18">
      <c r="E58" s="147" t="s">
        <v>17</v>
      </c>
      <c r="F58" t="str">
        <f>EXP_AC[[#This Row],[Setup Location]]</f>
        <v>HPS</v>
      </c>
      <c r="G58">
        <f>EXP_AC[[#This Row],[Setup Sub-Location]]</f>
        <v>0</v>
      </c>
      <c r="H58" t="str">
        <f>EXP_AC[[#This Row],[Sub-Setup Assembly]]</f>
        <v>Vessel</v>
      </c>
      <c r="I58">
        <f>EXP_AC[[#This Row],[IO type]]</f>
        <v>0</v>
      </c>
      <c r="J58">
        <f>EXP_AC[[#This Row],[Zone]]</f>
        <v>0</v>
      </c>
      <c r="K58">
        <f>EXP_AC[[#This Row],[Device Type]]</f>
        <v>0</v>
      </c>
      <c r="L58" t="e">
        <f>EXP_AC[[#This Row],[Device Tag]]</f>
        <v>#VALUE!</v>
      </c>
      <c r="M58">
        <f>EXP_AC[[#This Row],[Device Location]]</f>
        <v>0</v>
      </c>
      <c r="N58">
        <f>EXP_AC[[#This Row],[Circuit]]</f>
        <v>0</v>
      </c>
      <c r="O58">
        <f>EXP_AC[[#This Row],[Power Source]]</f>
        <v>0</v>
      </c>
      <c r="P58" s="143" t="str">
        <f>EXP_AC[[#This Row],[Status]]</f>
        <v/>
      </c>
      <c r="R58">
        <f t="shared" si="0"/>
        <v>57</v>
      </c>
    </row>
    <row r="59" spans="5:18">
      <c r="E59" s="147" t="s">
        <v>17</v>
      </c>
      <c r="F59" t="str">
        <f>EXP_AC[[#This Row],[Setup Location]]</f>
        <v>HPS</v>
      </c>
      <c r="G59">
        <f>EXP_AC[[#This Row],[Setup Sub-Location]]</f>
        <v>0</v>
      </c>
      <c r="H59" t="str">
        <f>EXP_AC[[#This Row],[Sub-Setup Assembly]]</f>
        <v>Vessel</v>
      </c>
      <c r="I59">
        <f>EXP_AC[[#This Row],[IO type]]</f>
        <v>0</v>
      </c>
      <c r="J59">
        <f>EXP_AC[[#This Row],[Zone]]</f>
        <v>0</v>
      </c>
      <c r="K59">
        <f>EXP_AC[[#This Row],[Device Type]]</f>
        <v>0</v>
      </c>
      <c r="L59" t="e">
        <f>EXP_AC[[#This Row],[Device Tag]]</f>
        <v>#VALUE!</v>
      </c>
      <c r="M59">
        <f>EXP_AC[[#This Row],[Device Location]]</f>
        <v>0</v>
      </c>
      <c r="N59">
        <f>EXP_AC[[#This Row],[Circuit]]</f>
        <v>0</v>
      </c>
      <c r="O59">
        <f>EXP_AC[[#This Row],[Power Source]]</f>
        <v>0</v>
      </c>
      <c r="P59" s="143" t="str">
        <f>EXP_AC[[#This Row],[Status]]</f>
        <v/>
      </c>
      <c r="R59">
        <f t="shared" si="0"/>
        <v>58</v>
      </c>
    </row>
    <row r="60" spans="5:18">
      <c r="E60" s="147" t="s">
        <v>17</v>
      </c>
      <c r="F60" t="str">
        <f>EXP_AC[[#This Row],[Setup Location]]</f>
        <v>HPS</v>
      </c>
      <c r="G60">
        <f>EXP_AC[[#This Row],[Setup Sub-Location]]</f>
        <v>0</v>
      </c>
      <c r="H60" t="str">
        <f>EXP_AC[[#This Row],[Sub-Setup Assembly]]</f>
        <v>Vessel</v>
      </c>
      <c r="I60">
        <f>EXP_AC[[#This Row],[IO type]]</f>
        <v>0</v>
      </c>
      <c r="J60">
        <f>EXP_AC[[#This Row],[Zone]]</f>
        <v>0</v>
      </c>
      <c r="K60">
        <f>EXP_AC[[#This Row],[Device Type]]</f>
        <v>0</v>
      </c>
      <c r="L60" t="e">
        <f>EXP_AC[[#This Row],[Device Tag]]</f>
        <v>#VALUE!</v>
      </c>
      <c r="M60">
        <f>EXP_AC[[#This Row],[Device Location]]</f>
        <v>0</v>
      </c>
      <c r="N60">
        <f>EXP_AC[[#This Row],[Circuit]]</f>
        <v>0</v>
      </c>
      <c r="O60">
        <f>EXP_AC[[#This Row],[Power Source]]</f>
        <v>0</v>
      </c>
      <c r="P60" s="143" t="str">
        <f>EXP_AC[[#This Row],[Status]]</f>
        <v/>
      </c>
      <c r="R60">
        <f t="shared" si="0"/>
        <v>59</v>
      </c>
    </row>
    <row r="61" spans="5:18">
      <c r="E61" s="147" t="s">
        <v>17</v>
      </c>
      <c r="F61" t="str">
        <f>EXP_AC[[#This Row],[Setup Location]]</f>
        <v>HPS</v>
      </c>
      <c r="G61">
        <f>EXP_AC[[#This Row],[Setup Sub-Location]]</f>
        <v>0</v>
      </c>
      <c r="H61" t="str">
        <f>EXP_AC[[#This Row],[Sub-Setup Assembly]]</f>
        <v>Vessel</v>
      </c>
      <c r="I61">
        <f>EXP_AC[[#This Row],[IO type]]</f>
        <v>0</v>
      </c>
      <c r="J61">
        <f>EXP_AC[[#This Row],[Zone]]</f>
        <v>0</v>
      </c>
      <c r="K61">
        <f>EXP_AC[[#This Row],[Device Type]]</f>
        <v>0</v>
      </c>
      <c r="L61" t="e">
        <f>EXP_AC[[#This Row],[Device Tag]]</f>
        <v>#VALUE!</v>
      </c>
      <c r="M61">
        <f>EXP_AC[[#This Row],[Device Location]]</f>
        <v>0</v>
      </c>
      <c r="N61">
        <f>EXP_AC[[#This Row],[Circuit]]</f>
        <v>0</v>
      </c>
      <c r="O61">
        <f>EXP_AC[[#This Row],[Power Source]]</f>
        <v>0</v>
      </c>
      <c r="P61" s="143" t="str">
        <f>EXP_AC[[#This Row],[Status]]</f>
        <v/>
      </c>
      <c r="R61">
        <f t="shared" si="0"/>
        <v>60</v>
      </c>
    </row>
    <row r="62" spans="5:18">
      <c r="E62" s="147" t="s">
        <v>17</v>
      </c>
      <c r="F62" t="str">
        <f>EXP_AC[[#This Row],[Setup Location]]</f>
        <v>HPS</v>
      </c>
      <c r="G62">
        <f>EXP_AC[[#This Row],[Setup Sub-Location]]</f>
        <v>0</v>
      </c>
      <c r="H62" t="str">
        <f>EXP_AC[[#This Row],[Sub-Setup Assembly]]</f>
        <v>Vessel</v>
      </c>
      <c r="I62">
        <f>EXP_AC[[#This Row],[IO type]]</f>
        <v>0</v>
      </c>
      <c r="J62">
        <f>EXP_AC[[#This Row],[Zone]]</f>
        <v>0</v>
      </c>
      <c r="K62">
        <f>EXP_AC[[#This Row],[Device Type]]</f>
        <v>0</v>
      </c>
      <c r="L62" t="e">
        <f>EXP_AC[[#This Row],[Device Tag]]</f>
        <v>#VALUE!</v>
      </c>
      <c r="M62">
        <f>EXP_AC[[#This Row],[Device Location]]</f>
        <v>0</v>
      </c>
      <c r="N62">
        <f>EXP_AC[[#This Row],[Circuit]]</f>
        <v>0</v>
      </c>
      <c r="O62">
        <f>EXP_AC[[#This Row],[Power Source]]</f>
        <v>0</v>
      </c>
      <c r="P62" s="143" t="str">
        <f>EXP_AC[[#This Row],[Status]]</f>
        <v/>
      </c>
      <c r="R62">
        <f t="shared" si="0"/>
        <v>61</v>
      </c>
    </row>
    <row r="63" spans="5:18">
      <c r="E63" s="147" t="s">
        <v>17</v>
      </c>
      <c r="F63" t="str">
        <f>EXP_AC[[#This Row],[Setup Location]]</f>
        <v>HPS</v>
      </c>
      <c r="G63">
        <f>EXP_AC[[#This Row],[Setup Sub-Location]]</f>
        <v>0</v>
      </c>
      <c r="H63" t="str">
        <f>EXP_AC[[#This Row],[Sub-Setup Assembly]]</f>
        <v>Vessel</v>
      </c>
      <c r="I63">
        <f>EXP_AC[[#This Row],[IO type]]</f>
        <v>0</v>
      </c>
      <c r="J63">
        <f>EXP_AC[[#This Row],[Zone]]</f>
        <v>0</v>
      </c>
      <c r="K63">
        <f>EXP_AC[[#This Row],[Device Type]]</f>
        <v>0</v>
      </c>
      <c r="L63" t="e">
        <f>EXP_AC[[#This Row],[Device Tag]]</f>
        <v>#VALUE!</v>
      </c>
      <c r="M63">
        <f>EXP_AC[[#This Row],[Device Location]]</f>
        <v>0</v>
      </c>
      <c r="N63">
        <f>EXP_AC[[#This Row],[Circuit]]</f>
        <v>0</v>
      </c>
      <c r="O63">
        <f>EXP_AC[[#This Row],[Power Source]]</f>
        <v>0</v>
      </c>
      <c r="P63" s="143" t="str">
        <f>EXP_AC[[#This Row],[Status]]</f>
        <v/>
      </c>
      <c r="R63">
        <f t="shared" si="0"/>
        <v>62</v>
      </c>
    </row>
    <row r="64" spans="5:18">
      <c r="E64" s="147" t="s">
        <v>17</v>
      </c>
      <c r="F64" t="str">
        <f>EXP_AC[[#This Row],[Setup Location]]</f>
        <v>HPS</v>
      </c>
      <c r="G64">
        <f>EXP_AC[[#This Row],[Setup Sub-Location]]</f>
        <v>0</v>
      </c>
      <c r="H64" t="str">
        <f>EXP_AC[[#This Row],[Sub-Setup Assembly]]</f>
        <v>Vessel</v>
      </c>
      <c r="I64">
        <f>EXP_AC[[#This Row],[IO type]]</f>
        <v>0</v>
      </c>
      <c r="J64">
        <f>EXP_AC[[#This Row],[Zone]]</f>
        <v>0</v>
      </c>
      <c r="K64">
        <f>EXP_AC[[#This Row],[Device Type]]</f>
        <v>0</v>
      </c>
      <c r="L64" t="e">
        <f>EXP_AC[[#This Row],[Device Tag]]</f>
        <v>#VALUE!</v>
      </c>
      <c r="M64">
        <f>EXP_AC[[#This Row],[Device Location]]</f>
        <v>0</v>
      </c>
      <c r="N64">
        <f>EXP_AC[[#This Row],[Circuit]]</f>
        <v>0</v>
      </c>
      <c r="O64">
        <f>EXP_AC[[#This Row],[Power Source]]</f>
        <v>0</v>
      </c>
      <c r="P64" s="143" t="str">
        <f>EXP_AC[[#This Row],[Status]]</f>
        <v/>
      </c>
      <c r="R64">
        <f t="shared" si="0"/>
        <v>63</v>
      </c>
    </row>
    <row r="65" spans="5:18">
      <c r="E65" s="147" t="s">
        <v>17</v>
      </c>
      <c r="F65" t="str">
        <f>EXP_AC[[#This Row],[Setup Location]]</f>
        <v>HPS</v>
      </c>
      <c r="G65">
        <f>EXP_AC[[#This Row],[Setup Sub-Location]]</f>
        <v>0</v>
      </c>
      <c r="H65" t="str">
        <f>EXP_AC[[#This Row],[Sub-Setup Assembly]]</f>
        <v>Vessel</v>
      </c>
      <c r="I65">
        <f>EXP_AC[[#This Row],[IO type]]</f>
        <v>0</v>
      </c>
      <c r="J65">
        <f>EXP_AC[[#This Row],[Zone]]</f>
        <v>0</v>
      </c>
      <c r="K65">
        <f>EXP_AC[[#This Row],[Device Type]]</f>
        <v>0</v>
      </c>
      <c r="L65" t="e">
        <f>EXP_AC[[#This Row],[Device Tag]]</f>
        <v>#VALUE!</v>
      </c>
      <c r="M65">
        <f>EXP_AC[[#This Row],[Device Location]]</f>
        <v>0</v>
      </c>
      <c r="N65">
        <f>EXP_AC[[#This Row],[Circuit]]</f>
        <v>0</v>
      </c>
      <c r="O65">
        <f>EXP_AC[[#This Row],[Power Source]]</f>
        <v>0</v>
      </c>
      <c r="P65" s="143" t="str">
        <f>EXP_AC[[#This Row],[Status]]</f>
        <v/>
      </c>
      <c r="R65">
        <f t="shared" si="0"/>
        <v>64</v>
      </c>
    </row>
    <row r="66" spans="5:18">
      <c r="E66" s="147" t="s">
        <v>17</v>
      </c>
      <c r="F66" t="str">
        <f>EXP_AC[[#This Row],[Setup Location]]</f>
        <v>HPS</v>
      </c>
      <c r="G66">
        <f>EXP_AC[[#This Row],[Setup Sub-Location]]</f>
        <v>0</v>
      </c>
      <c r="H66" t="str">
        <f>EXP_AC[[#This Row],[Sub-Setup Assembly]]</f>
        <v>Vessel</v>
      </c>
      <c r="I66">
        <f>EXP_AC[[#This Row],[IO type]]</f>
        <v>0</v>
      </c>
      <c r="J66">
        <f>EXP_AC[[#This Row],[Zone]]</f>
        <v>0</v>
      </c>
      <c r="K66">
        <f>EXP_AC[[#This Row],[Device Type]]</f>
        <v>0</v>
      </c>
      <c r="L66" t="e">
        <f>EXP_AC[[#This Row],[Device Tag]]</f>
        <v>#VALUE!</v>
      </c>
      <c r="M66">
        <f>EXP_AC[[#This Row],[Device Location]]</f>
        <v>0</v>
      </c>
      <c r="N66">
        <f>EXP_AC[[#This Row],[Circuit]]</f>
        <v>0</v>
      </c>
      <c r="O66">
        <f>EXP_AC[[#This Row],[Power Source]]</f>
        <v>0</v>
      </c>
      <c r="P66" s="143" t="str">
        <f>EXP_AC[[#This Row],[Status]]</f>
        <v/>
      </c>
      <c r="R66">
        <f t="shared" si="0"/>
        <v>65</v>
      </c>
    </row>
    <row r="67" spans="5:18">
      <c r="E67" s="147" t="s">
        <v>17</v>
      </c>
      <c r="F67" t="str">
        <f>EXP_AC[[#This Row],[Setup Location]]</f>
        <v>HPS</v>
      </c>
      <c r="G67">
        <f>EXP_AC[[#This Row],[Setup Sub-Location]]</f>
        <v>0</v>
      </c>
      <c r="H67" t="str">
        <f>EXP_AC[[#This Row],[Sub-Setup Assembly]]</f>
        <v>Vessel</v>
      </c>
      <c r="I67">
        <f>EXP_AC[[#This Row],[IO type]]</f>
        <v>0</v>
      </c>
      <c r="J67">
        <f>EXP_AC[[#This Row],[Zone]]</f>
        <v>0</v>
      </c>
      <c r="K67">
        <f>EXP_AC[[#This Row],[Device Type]]</f>
        <v>0</v>
      </c>
      <c r="L67" t="e">
        <f>EXP_AC[[#This Row],[Device Tag]]</f>
        <v>#VALUE!</v>
      </c>
      <c r="M67">
        <f>EXP_AC[[#This Row],[Device Location]]</f>
        <v>0</v>
      </c>
      <c r="N67">
        <f>EXP_AC[[#This Row],[Circuit]]</f>
        <v>0</v>
      </c>
      <c r="O67">
        <f>EXP_AC[[#This Row],[Power Source]]</f>
        <v>0</v>
      </c>
      <c r="P67" s="143" t="str">
        <f>EXP_AC[[#This Row],[Status]]</f>
        <v/>
      </c>
      <c r="R67">
        <f t="shared" si="0"/>
        <v>66</v>
      </c>
    </row>
    <row r="68" spans="5:18">
      <c r="E68" s="147" t="s">
        <v>17</v>
      </c>
      <c r="F68" t="str">
        <f>EXP_AC[[#This Row],[Setup Location]]</f>
        <v>HPS</v>
      </c>
      <c r="G68">
        <f>EXP_AC[[#This Row],[Setup Sub-Location]]</f>
        <v>0</v>
      </c>
      <c r="H68" t="str">
        <f>EXP_AC[[#This Row],[Sub-Setup Assembly]]</f>
        <v>Vessel</v>
      </c>
      <c r="I68">
        <f>EXP_AC[[#This Row],[IO type]]</f>
        <v>0</v>
      </c>
      <c r="J68">
        <f>EXP_AC[[#This Row],[Zone]]</f>
        <v>0</v>
      </c>
      <c r="K68">
        <f>EXP_AC[[#This Row],[Device Type]]</f>
        <v>0</v>
      </c>
      <c r="L68" t="e">
        <f>EXP_AC[[#This Row],[Device Tag]]</f>
        <v>#VALUE!</v>
      </c>
      <c r="M68">
        <f>EXP_AC[[#This Row],[Device Location]]</f>
        <v>0</v>
      </c>
      <c r="N68">
        <f>EXP_AC[[#This Row],[Circuit]]</f>
        <v>0</v>
      </c>
      <c r="O68">
        <f>EXP_AC[[#This Row],[Power Source]]</f>
        <v>0</v>
      </c>
      <c r="P68" s="143" t="str">
        <f>EXP_AC[[#This Row],[Status]]</f>
        <v/>
      </c>
      <c r="R68">
        <f t="shared" ref="R68:R131" si="1">R67+1</f>
        <v>67</v>
      </c>
    </row>
    <row r="69" spans="5:18">
      <c r="E69" s="147" t="s">
        <v>17</v>
      </c>
      <c r="F69" t="str">
        <f>EXP_AC[[#This Row],[Setup Location]]</f>
        <v>HPS</v>
      </c>
      <c r="G69">
        <f>EXP_AC[[#This Row],[Setup Sub-Location]]</f>
        <v>0</v>
      </c>
      <c r="H69" t="str">
        <f>EXP_AC[[#This Row],[Sub-Setup Assembly]]</f>
        <v>Vessel</v>
      </c>
      <c r="I69">
        <f>EXP_AC[[#This Row],[IO type]]</f>
        <v>0</v>
      </c>
      <c r="J69">
        <f>EXP_AC[[#This Row],[Zone]]</f>
        <v>0</v>
      </c>
      <c r="K69">
        <f>EXP_AC[[#This Row],[Device Type]]</f>
        <v>0</v>
      </c>
      <c r="L69" t="e">
        <f>EXP_AC[[#This Row],[Device Tag]]</f>
        <v>#VALUE!</v>
      </c>
      <c r="M69">
        <f>EXP_AC[[#This Row],[Device Location]]</f>
        <v>0</v>
      </c>
      <c r="N69">
        <f>EXP_AC[[#This Row],[Circuit]]</f>
        <v>0</v>
      </c>
      <c r="O69">
        <f>EXP_AC[[#This Row],[Power Source]]</f>
        <v>0</v>
      </c>
      <c r="P69" s="143" t="str">
        <f>EXP_AC[[#This Row],[Status]]</f>
        <v/>
      </c>
      <c r="R69">
        <f t="shared" si="1"/>
        <v>68</v>
      </c>
    </row>
    <row r="70" spans="5:18">
      <c r="E70" s="147" t="s">
        <v>17</v>
      </c>
      <c r="F70" t="str">
        <f>EXP_AC[[#This Row],[Setup Location]]</f>
        <v>HPS</v>
      </c>
      <c r="G70">
        <f>EXP_AC[[#This Row],[Setup Sub-Location]]</f>
        <v>0</v>
      </c>
      <c r="H70" t="str">
        <f>EXP_AC[[#This Row],[Sub-Setup Assembly]]</f>
        <v>Vessel</v>
      </c>
      <c r="I70">
        <f>EXP_AC[[#This Row],[IO type]]</f>
        <v>0</v>
      </c>
      <c r="J70">
        <f>EXP_AC[[#This Row],[Zone]]</f>
        <v>0</v>
      </c>
      <c r="K70">
        <f>EXP_AC[[#This Row],[Device Type]]</f>
        <v>0</v>
      </c>
      <c r="L70" t="e">
        <f>EXP_AC[[#This Row],[Device Tag]]</f>
        <v>#VALUE!</v>
      </c>
      <c r="M70">
        <f>EXP_AC[[#This Row],[Device Location]]</f>
        <v>0</v>
      </c>
      <c r="N70">
        <f>EXP_AC[[#This Row],[Circuit]]</f>
        <v>0</v>
      </c>
      <c r="O70">
        <f>EXP_AC[[#This Row],[Power Source]]</f>
        <v>0</v>
      </c>
      <c r="P70" s="143" t="str">
        <f>EXP_AC[[#This Row],[Status]]</f>
        <v/>
      </c>
      <c r="R70">
        <f t="shared" si="1"/>
        <v>69</v>
      </c>
    </row>
    <row r="71" spans="5:18">
      <c r="E71" s="147" t="s">
        <v>17</v>
      </c>
      <c r="F71" t="str">
        <f>EXP_AC[[#This Row],[Setup Location]]</f>
        <v>HPS</v>
      </c>
      <c r="G71">
        <f>EXP_AC[[#This Row],[Setup Sub-Location]]</f>
        <v>0</v>
      </c>
      <c r="H71" t="str">
        <f>EXP_AC[[#This Row],[Sub-Setup Assembly]]</f>
        <v>Vessel</v>
      </c>
      <c r="I71">
        <f>EXP_AC[[#This Row],[IO type]]</f>
        <v>0</v>
      </c>
      <c r="J71">
        <f>EXP_AC[[#This Row],[Zone]]</f>
        <v>0</v>
      </c>
      <c r="K71">
        <f>EXP_AC[[#This Row],[Device Type]]</f>
        <v>0</v>
      </c>
      <c r="L71" t="e">
        <f>EXP_AC[[#This Row],[Device Tag]]</f>
        <v>#VALUE!</v>
      </c>
      <c r="M71">
        <f>EXP_AC[[#This Row],[Device Location]]</f>
        <v>0</v>
      </c>
      <c r="N71">
        <f>EXP_AC[[#This Row],[Circuit]]</f>
        <v>0</v>
      </c>
      <c r="O71">
        <f>EXP_AC[[#This Row],[Power Source]]</f>
        <v>0</v>
      </c>
      <c r="P71" s="143" t="str">
        <f>EXP_AC[[#This Row],[Status]]</f>
        <v/>
      </c>
      <c r="R71">
        <f t="shared" si="1"/>
        <v>70</v>
      </c>
    </row>
    <row r="72" spans="5:18">
      <c r="E72" s="147" t="s">
        <v>17</v>
      </c>
      <c r="F72" t="str">
        <f>EXP_AC[[#This Row],[Setup Location]]</f>
        <v>HPS</v>
      </c>
      <c r="G72">
        <f>EXP_AC[[#This Row],[Setup Sub-Location]]</f>
        <v>0</v>
      </c>
      <c r="H72" t="str">
        <f>EXP_AC[[#This Row],[Sub-Setup Assembly]]</f>
        <v>Vessel</v>
      </c>
      <c r="I72">
        <f>EXP_AC[[#This Row],[IO type]]</f>
        <v>0</v>
      </c>
      <c r="J72">
        <f>EXP_AC[[#This Row],[Zone]]</f>
        <v>0</v>
      </c>
      <c r="K72">
        <f>EXP_AC[[#This Row],[Device Type]]</f>
        <v>0</v>
      </c>
      <c r="L72" t="e">
        <f>EXP_AC[[#This Row],[Device Tag]]</f>
        <v>#VALUE!</v>
      </c>
      <c r="M72">
        <f>EXP_AC[[#This Row],[Device Location]]</f>
        <v>0</v>
      </c>
      <c r="N72">
        <f>EXP_AC[[#This Row],[Circuit]]</f>
        <v>0</v>
      </c>
      <c r="O72">
        <f>EXP_AC[[#This Row],[Power Source]]</f>
        <v>0</v>
      </c>
      <c r="P72" s="143" t="str">
        <f>EXP_AC[[#This Row],[Status]]</f>
        <v/>
      </c>
      <c r="R72">
        <f t="shared" si="1"/>
        <v>71</v>
      </c>
    </row>
    <row r="73" spans="5:18">
      <c r="E73" s="147" t="s">
        <v>17</v>
      </c>
      <c r="F73" t="str">
        <f>EXP_AC[[#This Row],[Setup Location]]</f>
        <v>HPS</v>
      </c>
      <c r="G73">
        <f>EXP_AC[[#This Row],[Setup Sub-Location]]</f>
        <v>0</v>
      </c>
      <c r="H73" t="str">
        <f>EXP_AC[[#This Row],[Sub-Setup Assembly]]</f>
        <v>Vessel</v>
      </c>
      <c r="I73">
        <f>EXP_AC[[#This Row],[IO type]]</f>
        <v>0</v>
      </c>
      <c r="J73">
        <f>EXP_AC[[#This Row],[Zone]]</f>
        <v>0</v>
      </c>
      <c r="K73">
        <f>EXP_AC[[#This Row],[Device Type]]</f>
        <v>0</v>
      </c>
      <c r="L73" t="e">
        <f>EXP_AC[[#This Row],[Device Tag]]</f>
        <v>#VALUE!</v>
      </c>
      <c r="M73">
        <f>EXP_AC[[#This Row],[Device Location]]</f>
        <v>0</v>
      </c>
      <c r="N73">
        <f>EXP_AC[[#This Row],[Circuit]]</f>
        <v>0</v>
      </c>
      <c r="O73">
        <f>EXP_AC[[#This Row],[Power Source]]</f>
        <v>0</v>
      </c>
      <c r="P73" s="143" t="str">
        <f>EXP_AC[[#This Row],[Status]]</f>
        <v/>
      </c>
      <c r="R73">
        <f t="shared" si="1"/>
        <v>72</v>
      </c>
    </row>
    <row r="74" spans="5:18">
      <c r="E74" s="147" t="s">
        <v>17</v>
      </c>
      <c r="F74" t="str">
        <f>EXP_AC[[#This Row],[Setup Location]]</f>
        <v>HPS</v>
      </c>
      <c r="G74">
        <f>EXP_AC[[#This Row],[Setup Sub-Location]]</f>
        <v>0</v>
      </c>
      <c r="H74" t="str">
        <f>EXP_AC[[#This Row],[Sub-Setup Assembly]]</f>
        <v>Vessel</v>
      </c>
      <c r="I74">
        <f>EXP_AC[[#This Row],[IO type]]</f>
        <v>0</v>
      </c>
      <c r="J74">
        <f>EXP_AC[[#This Row],[Zone]]</f>
        <v>0</v>
      </c>
      <c r="K74">
        <f>EXP_AC[[#This Row],[Device Type]]</f>
        <v>0</v>
      </c>
      <c r="L74" t="e">
        <f>EXP_AC[[#This Row],[Device Tag]]</f>
        <v>#VALUE!</v>
      </c>
      <c r="M74">
        <f>EXP_AC[[#This Row],[Device Location]]</f>
        <v>0</v>
      </c>
      <c r="N74">
        <f>EXP_AC[[#This Row],[Circuit]]</f>
        <v>0</v>
      </c>
      <c r="O74">
        <f>EXP_AC[[#This Row],[Power Source]]</f>
        <v>0</v>
      </c>
      <c r="P74" s="143" t="str">
        <f>EXP_AC[[#This Row],[Status]]</f>
        <v/>
      </c>
      <c r="R74">
        <f t="shared" si="1"/>
        <v>73</v>
      </c>
    </row>
    <row r="75" spans="5:18">
      <c r="E75" s="147" t="s">
        <v>17</v>
      </c>
      <c r="F75" t="str">
        <f>EXP_AC[[#This Row],[Setup Location]]</f>
        <v>HPS</v>
      </c>
      <c r="G75">
        <f>EXP_AC[[#This Row],[Setup Sub-Location]]</f>
        <v>0</v>
      </c>
      <c r="H75" t="str">
        <f>EXP_AC[[#This Row],[Sub-Setup Assembly]]</f>
        <v>Vessel</v>
      </c>
      <c r="I75">
        <f>EXP_AC[[#This Row],[IO type]]</f>
        <v>0</v>
      </c>
      <c r="J75">
        <f>EXP_AC[[#This Row],[Zone]]</f>
        <v>0</v>
      </c>
      <c r="K75">
        <f>EXP_AC[[#This Row],[Device Type]]</f>
        <v>0</v>
      </c>
      <c r="L75" t="e">
        <f>EXP_AC[[#This Row],[Device Tag]]</f>
        <v>#VALUE!</v>
      </c>
      <c r="M75">
        <f>EXP_AC[[#This Row],[Device Location]]</f>
        <v>0</v>
      </c>
      <c r="N75">
        <f>EXP_AC[[#This Row],[Circuit]]</f>
        <v>0</v>
      </c>
      <c r="O75">
        <f>EXP_AC[[#This Row],[Power Source]]</f>
        <v>0</v>
      </c>
      <c r="P75" s="143" t="str">
        <f>EXP_AC[[#This Row],[Status]]</f>
        <v/>
      </c>
      <c r="R75">
        <f t="shared" si="1"/>
        <v>74</v>
      </c>
    </row>
    <row r="76" spans="5:18">
      <c r="E76" s="147" t="s">
        <v>17</v>
      </c>
      <c r="F76" t="str">
        <f>EXP_AC[[#This Row],[Setup Location]]</f>
        <v>HPS</v>
      </c>
      <c r="G76">
        <f>EXP_AC[[#This Row],[Setup Sub-Location]]</f>
        <v>0</v>
      </c>
      <c r="H76" t="str">
        <f>EXP_AC[[#This Row],[Sub-Setup Assembly]]</f>
        <v>Vessel</v>
      </c>
      <c r="I76">
        <f>EXP_AC[[#This Row],[IO type]]</f>
        <v>0</v>
      </c>
      <c r="J76">
        <f>EXP_AC[[#This Row],[Zone]]</f>
        <v>0</v>
      </c>
      <c r="K76">
        <f>EXP_AC[[#This Row],[Device Type]]</f>
        <v>0</v>
      </c>
      <c r="L76" t="e">
        <f>EXP_AC[[#This Row],[Device Tag]]</f>
        <v>#VALUE!</v>
      </c>
      <c r="M76">
        <f>EXP_AC[[#This Row],[Device Location]]</f>
        <v>0</v>
      </c>
      <c r="N76">
        <f>EXP_AC[[#This Row],[Circuit]]</f>
        <v>0</v>
      </c>
      <c r="O76">
        <f>EXP_AC[[#This Row],[Power Source]]</f>
        <v>0</v>
      </c>
      <c r="P76" s="143" t="str">
        <f>EXP_AC[[#This Row],[Status]]</f>
        <v/>
      </c>
      <c r="R76">
        <f t="shared" si="1"/>
        <v>75</v>
      </c>
    </row>
    <row r="77" spans="5:18">
      <c r="E77" s="147" t="s">
        <v>17</v>
      </c>
      <c r="F77" t="str">
        <f>EXP_AC[[#This Row],[Setup Location]]</f>
        <v>HPS</v>
      </c>
      <c r="G77">
        <f>EXP_AC[[#This Row],[Setup Sub-Location]]</f>
        <v>0</v>
      </c>
      <c r="H77" t="str">
        <f>EXP_AC[[#This Row],[Sub-Setup Assembly]]</f>
        <v>Vessel</v>
      </c>
      <c r="I77">
        <f>EXP_AC[[#This Row],[IO type]]</f>
        <v>0</v>
      </c>
      <c r="J77">
        <f>EXP_AC[[#This Row],[Zone]]</f>
        <v>0</v>
      </c>
      <c r="K77">
        <f>EXP_AC[[#This Row],[Device Type]]</f>
        <v>0</v>
      </c>
      <c r="L77" t="e">
        <f>EXP_AC[[#This Row],[Device Tag]]</f>
        <v>#VALUE!</v>
      </c>
      <c r="M77">
        <f>EXP_AC[[#This Row],[Device Location]]</f>
        <v>0</v>
      </c>
      <c r="N77">
        <f>EXP_AC[[#This Row],[Circuit]]</f>
        <v>0</v>
      </c>
      <c r="O77">
        <f>EXP_AC[[#This Row],[Power Source]]</f>
        <v>0</v>
      </c>
      <c r="P77" s="143" t="str">
        <f>EXP_AC[[#This Row],[Status]]</f>
        <v/>
      </c>
      <c r="R77">
        <f t="shared" si="1"/>
        <v>76</v>
      </c>
    </row>
    <row r="78" spans="5:18">
      <c r="E78" s="147" t="s">
        <v>17</v>
      </c>
      <c r="F78" t="str">
        <f>EXP_AC[[#This Row],[Setup Location]]</f>
        <v>HPS</v>
      </c>
      <c r="G78">
        <f>EXP_AC[[#This Row],[Setup Sub-Location]]</f>
        <v>0</v>
      </c>
      <c r="H78" t="str">
        <f>EXP_AC[[#This Row],[Sub-Setup Assembly]]</f>
        <v>Vessel</v>
      </c>
      <c r="I78">
        <f>EXP_AC[[#This Row],[IO type]]</f>
        <v>0</v>
      </c>
      <c r="J78">
        <f>EXP_AC[[#This Row],[Zone]]</f>
        <v>0</v>
      </c>
      <c r="K78">
        <f>EXP_AC[[#This Row],[Device Type]]</f>
        <v>0</v>
      </c>
      <c r="L78" t="e">
        <f>EXP_AC[[#This Row],[Device Tag]]</f>
        <v>#VALUE!</v>
      </c>
      <c r="M78">
        <f>EXP_AC[[#This Row],[Device Location]]</f>
        <v>0</v>
      </c>
      <c r="N78">
        <f>EXP_AC[[#This Row],[Circuit]]</f>
        <v>0</v>
      </c>
      <c r="O78">
        <f>EXP_AC[[#This Row],[Power Source]]</f>
        <v>0</v>
      </c>
      <c r="P78" s="143" t="str">
        <f>EXP_AC[[#This Row],[Status]]</f>
        <v/>
      </c>
      <c r="R78">
        <f t="shared" si="1"/>
        <v>77</v>
      </c>
    </row>
    <row r="79" spans="5:18">
      <c r="E79" s="147" t="s">
        <v>17</v>
      </c>
      <c r="F79" t="str">
        <f>EXP_AC[[#This Row],[Setup Location]]</f>
        <v>HPS</v>
      </c>
      <c r="G79">
        <f>EXP_AC[[#This Row],[Setup Sub-Location]]</f>
        <v>0</v>
      </c>
      <c r="H79" t="str">
        <f>EXP_AC[[#This Row],[Sub-Setup Assembly]]</f>
        <v>Vessel</v>
      </c>
      <c r="I79">
        <f>EXP_AC[[#This Row],[IO type]]</f>
        <v>0</v>
      </c>
      <c r="J79">
        <f>EXP_AC[[#This Row],[Zone]]</f>
        <v>0</v>
      </c>
      <c r="K79">
        <f>EXP_AC[[#This Row],[Device Type]]</f>
        <v>0</v>
      </c>
      <c r="L79" t="e">
        <f>EXP_AC[[#This Row],[Device Tag]]</f>
        <v>#VALUE!</v>
      </c>
      <c r="M79">
        <f>EXP_AC[[#This Row],[Device Location]]</f>
        <v>0</v>
      </c>
      <c r="N79">
        <f>EXP_AC[[#This Row],[Circuit]]</f>
        <v>0</v>
      </c>
      <c r="O79">
        <f>EXP_AC[[#This Row],[Power Source]]</f>
        <v>0</v>
      </c>
      <c r="P79" s="143" t="str">
        <f>EXP_AC[[#This Row],[Status]]</f>
        <v/>
      </c>
      <c r="R79">
        <f t="shared" si="1"/>
        <v>78</v>
      </c>
    </row>
    <row r="80" spans="5:18">
      <c r="E80" s="147" t="s">
        <v>17</v>
      </c>
      <c r="F80" t="str">
        <f>EXP_AC[[#This Row],[Setup Location]]</f>
        <v>HPS</v>
      </c>
      <c r="G80">
        <f>EXP_AC[[#This Row],[Setup Sub-Location]]</f>
        <v>0</v>
      </c>
      <c r="H80" t="str">
        <f>EXP_AC[[#This Row],[Sub-Setup Assembly]]</f>
        <v>Vessel</v>
      </c>
      <c r="I80">
        <f>EXP_AC[[#This Row],[IO type]]</f>
        <v>0</v>
      </c>
      <c r="J80">
        <f>EXP_AC[[#This Row],[Zone]]</f>
        <v>0</v>
      </c>
      <c r="K80">
        <f>EXP_AC[[#This Row],[Device Type]]</f>
        <v>0</v>
      </c>
      <c r="L80" t="e">
        <f>EXP_AC[[#This Row],[Device Tag]]</f>
        <v>#VALUE!</v>
      </c>
      <c r="M80">
        <f>EXP_AC[[#This Row],[Device Location]]</f>
        <v>0</v>
      </c>
      <c r="N80">
        <f>EXP_AC[[#This Row],[Circuit]]</f>
        <v>0</v>
      </c>
      <c r="O80">
        <f>EXP_AC[[#This Row],[Power Source]]</f>
        <v>0</v>
      </c>
      <c r="P80" s="143" t="str">
        <f>EXP_AC[[#This Row],[Status]]</f>
        <v/>
      </c>
      <c r="R80">
        <f t="shared" si="1"/>
        <v>79</v>
      </c>
    </row>
    <row r="81" spans="5:18">
      <c r="E81" s="147" t="s">
        <v>17</v>
      </c>
      <c r="F81" t="str">
        <f>EXP_AC[[#This Row],[Setup Location]]</f>
        <v>HPS</v>
      </c>
      <c r="G81">
        <f>EXP_AC[[#This Row],[Setup Sub-Location]]</f>
        <v>0</v>
      </c>
      <c r="H81" t="str">
        <f>EXP_AC[[#This Row],[Sub-Setup Assembly]]</f>
        <v>Vessel</v>
      </c>
      <c r="I81">
        <f>EXP_AC[[#This Row],[IO type]]</f>
        <v>0</v>
      </c>
      <c r="J81">
        <f>EXP_AC[[#This Row],[Zone]]</f>
        <v>0</v>
      </c>
      <c r="K81">
        <f>EXP_AC[[#This Row],[Device Type]]</f>
        <v>0</v>
      </c>
      <c r="L81" t="e">
        <f>EXP_AC[[#This Row],[Device Tag]]</f>
        <v>#VALUE!</v>
      </c>
      <c r="M81">
        <f>EXP_AC[[#This Row],[Device Location]]</f>
        <v>0</v>
      </c>
      <c r="N81">
        <f>EXP_AC[[#This Row],[Circuit]]</f>
        <v>0</v>
      </c>
      <c r="O81">
        <f>EXP_AC[[#This Row],[Power Source]]</f>
        <v>0</v>
      </c>
      <c r="P81" s="143" t="str">
        <f>EXP_AC[[#This Row],[Status]]</f>
        <v/>
      </c>
      <c r="R81">
        <f t="shared" si="1"/>
        <v>80</v>
      </c>
    </row>
    <row r="82" spans="5:18">
      <c r="E82" s="147" t="s">
        <v>17</v>
      </c>
      <c r="F82" t="str">
        <f>EXP_AC[[#This Row],[Setup Location]]</f>
        <v>HPS</v>
      </c>
      <c r="G82">
        <f>EXP_AC[[#This Row],[Setup Sub-Location]]</f>
        <v>0</v>
      </c>
      <c r="H82" t="str">
        <f>EXP_AC[[#This Row],[Sub-Setup Assembly]]</f>
        <v>Vessel</v>
      </c>
      <c r="I82">
        <f>EXP_AC[[#This Row],[IO type]]</f>
        <v>0</v>
      </c>
      <c r="J82">
        <f>EXP_AC[[#This Row],[Zone]]</f>
        <v>0</v>
      </c>
      <c r="K82">
        <f>EXP_AC[[#This Row],[Device Type]]</f>
        <v>0</v>
      </c>
      <c r="L82" t="e">
        <f>EXP_AC[[#This Row],[Device Tag]]</f>
        <v>#VALUE!</v>
      </c>
      <c r="M82">
        <f>EXP_AC[[#This Row],[Device Location]]</f>
        <v>0</v>
      </c>
      <c r="N82">
        <f>EXP_AC[[#This Row],[Circuit]]</f>
        <v>0</v>
      </c>
      <c r="O82">
        <f>EXP_AC[[#This Row],[Power Source]]</f>
        <v>0</v>
      </c>
      <c r="P82" s="143" t="str">
        <f>EXP_AC[[#This Row],[Status]]</f>
        <v/>
      </c>
      <c r="R82">
        <f t="shared" si="1"/>
        <v>81</v>
      </c>
    </row>
    <row r="83" spans="5:18">
      <c r="E83" s="147" t="s">
        <v>17</v>
      </c>
      <c r="F83" t="str">
        <f>EXP_AC[[#This Row],[Setup Location]]</f>
        <v>HPS</v>
      </c>
      <c r="G83">
        <f>EXP_AC[[#This Row],[Setup Sub-Location]]</f>
        <v>0</v>
      </c>
      <c r="H83" t="str">
        <f>EXP_AC[[#This Row],[Sub-Setup Assembly]]</f>
        <v>Vessel</v>
      </c>
      <c r="I83">
        <f>EXP_AC[[#This Row],[IO type]]</f>
        <v>0</v>
      </c>
      <c r="J83">
        <f>EXP_AC[[#This Row],[Zone]]</f>
        <v>0</v>
      </c>
      <c r="K83">
        <f>EXP_AC[[#This Row],[Device Type]]</f>
        <v>0</v>
      </c>
      <c r="L83" t="e">
        <f>EXP_AC[[#This Row],[Device Tag]]</f>
        <v>#VALUE!</v>
      </c>
      <c r="M83">
        <f>EXP_AC[[#This Row],[Device Location]]</f>
        <v>0</v>
      </c>
      <c r="N83">
        <f>EXP_AC[[#This Row],[Circuit]]</f>
        <v>0</v>
      </c>
      <c r="O83">
        <f>EXP_AC[[#This Row],[Power Source]]</f>
        <v>0</v>
      </c>
      <c r="P83" s="143" t="str">
        <f>EXP_AC[[#This Row],[Status]]</f>
        <v/>
      </c>
      <c r="R83">
        <f t="shared" si="1"/>
        <v>82</v>
      </c>
    </row>
    <row r="84" spans="5:18">
      <c r="E84" s="147" t="s">
        <v>17</v>
      </c>
      <c r="F84" t="str">
        <f>EXP_AC[[#This Row],[Setup Location]]</f>
        <v>HPS</v>
      </c>
      <c r="G84">
        <f>EXP_AC[[#This Row],[Setup Sub-Location]]</f>
        <v>0</v>
      </c>
      <c r="H84" t="str">
        <f>EXP_AC[[#This Row],[Sub-Setup Assembly]]</f>
        <v>Vessel</v>
      </c>
      <c r="I84">
        <f>EXP_AC[[#This Row],[IO type]]</f>
        <v>0</v>
      </c>
      <c r="J84">
        <f>EXP_AC[[#This Row],[Zone]]</f>
        <v>0</v>
      </c>
      <c r="K84">
        <f>EXP_AC[[#This Row],[Device Type]]</f>
        <v>0</v>
      </c>
      <c r="L84" t="e">
        <f>EXP_AC[[#This Row],[Device Tag]]</f>
        <v>#VALUE!</v>
      </c>
      <c r="M84">
        <f>EXP_AC[[#This Row],[Device Location]]</f>
        <v>0</v>
      </c>
      <c r="N84">
        <f>EXP_AC[[#This Row],[Circuit]]</f>
        <v>0</v>
      </c>
      <c r="O84">
        <f>EXP_AC[[#This Row],[Power Source]]</f>
        <v>0</v>
      </c>
      <c r="P84" s="143" t="str">
        <f>EXP_AC[[#This Row],[Status]]</f>
        <v/>
      </c>
      <c r="R84">
        <f t="shared" si="1"/>
        <v>83</v>
      </c>
    </row>
    <row r="85" spans="5:18">
      <c r="E85" s="147" t="s">
        <v>17</v>
      </c>
      <c r="F85" t="str">
        <f>EXP_AC[[#This Row],[Setup Location]]</f>
        <v>HPS</v>
      </c>
      <c r="G85">
        <f>EXP_AC[[#This Row],[Setup Sub-Location]]</f>
        <v>0</v>
      </c>
      <c r="H85" t="str">
        <f>EXP_AC[[#This Row],[Sub-Setup Assembly]]</f>
        <v>Vessel</v>
      </c>
      <c r="I85">
        <f>EXP_AC[[#This Row],[IO type]]</f>
        <v>0</v>
      </c>
      <c r="J85">
        <f>EXP_AC[[#This Row],[Zone]]</f>
        <v>0</v>
      </c>
      <c r="K85">
        <f>EXP_AC[[#This Row],[Device Type]]</f>
        <v>0</v>
      </c>
      <c r="L85" t="e">
        <f>EXP_AC[[#This Row],[Device Tag]]</f>
        <v>#VALUE!</v>
      </c>
      <c r="M85">
        <f>EXP_AC[[#This Row],[Device Location]]</f>
        <v>0</v>
      </c>
      <c r="N85">
        <f>EXP_AC[[#This Row],[Circuit]]</f>
        <v>0</v>
      </c>
      <c r="O85">
        <f>EXP_AC[[#This Row],[Power Source]]</f>
        <v>0</v>
      </c>
      <c r="P85" s="143" t="str">
        <f>EXP_AC[[#This Row],[Status]]</f>
        <v/>
      </c>
      <c r="R85">
        <f t="shared" si="1"/>
        <v>84</v>
      </c>
    </row>
    <row r="86" spans="5:18">
      <c r="E86" s="147" t="s">
        <v>17</v>
      </c>
      <c r="F86" t="str">
        <f>EXP_AC[[#This Row],[Setup Location]]</f>
        <v>HPS</v>
      </c>
      <c r="G86">
        <f>EXP_AC[[#This Row],[Setup Sub-Location]]</f>
        <v>0</v>
      </c>
      <c r="H86" t="str">
        <f>EXP_AC[[#This Row],[Sub-Setup Assembly]]</f>
        <v>Vessel</v>
      </c>
      <c r="I86">
        <f>EXP_AC[[#This Row],[IO type]]</f>
        <v>0</v>
      </c>
      <c r="J86">
        <f>EXP_AC[[#This Row],[Zone]]</f>
        <v>0</v>
      </c>
      <c r="K86">
        <f>EXP_AC[[#This Row],[Device Type]]</f>
        <v>0</v>
      </c>
      <c r="L86" t="e">
        <f>EXP_AC[[#This Row],[Device Tag]]</f>
        <v>#VALUE!</v>
      </c>
      <c r="M86">
        <f>EXP_AC[[#This Row],[Device Location]]</f>
        <v>0</v>
      </c>
      <c r="N86">
        <f>EXP_AC[[#This Row],[Circuit]]</f>
        <v>0</v>
      </c>
      <c r="O86">
        <f>EXP_AC[[#This Row],[Power Source]]</f>
        <v>0</v>
      </c>
      <c r="P86" s="143" t="str">
        <f>EXP_AC[[#This Row],[Status]]</f>
        <v/>
      </c>
      <c r="R86">
        <f t="shared" si="1"/>
        <v>85</v>
      </c>
    </row>
    <row r="87" spans="5:18">
      <c r="E87" s="147" t="s">
        <v>17</v>
      </c>
      <c r="F87" t="str">
        <f>EXP_AC[[#This Row],[Setup Location]]</f>
        <v>HPS</v>
      </c>
      <c r="G87">
        <f>EXP_AC[[#This Row],[Setup Sub-Location]]</f>
        <v>0</v>
      </c>
      <c r="H87" t="str">
        <f>EXP_AC[[#This Row],[Sub-Setup Assembly]]</f>
        <v>Vessel</v>
      </c>
      <c r="I87">
        <f>EXP_AC[[#This Row],[IO type]]</f>
        <v>0</v>
      </c>
      <c r="J87">
        <f>EXP_AC[[#This Row],[Zone]]</f>
        <v>0</v>
      </c>
      <c r="K87">
        <f>EXP_AC[[#This Row],[Device Type]]</f>
        <v>0</v>
      </c>
      <c r="L87" t="e">
        <f>EXP_AC[[#This Row],[Device Tag]]</f>
        <v>#VALUE!</v>
      </c>
      <c r="M87">
        <f>EXP_AC[[#This Row],[Device Location]]</f>
        <v>0</v>
      </c>
      <c r="N87">
        <f>EXP_AC[[#This Row],[Circuit]]</f>
        <v>0</v>
      </c>
      <c r="O87">
        <f>EXP_AC[[#This Row],[Power Source]]</f>
        <v>0</v>
      </c>
      <c r="P87" s="143" t="str">
        <f>EXP_AC[[#This Row],[Status]]</f>
        <v/>
      </c>
      <c r="R87">
        <f t="shared" si="1"/>
        <v>86</v>
      </c>
    </row>
    <row r="88" spans="5:18">
      <c r="E88" s="147" t="s">
        <v>17</v>
      </c>
      <c r="F88" t="str">
        <f>EXP_AC[[#This Row],[Setup Location]]</f>
        <v>HPS</v>
      </c>
      <c r="G88">
        <f>EXP_AC[[#This Row],[Setup Sub-Location]]</f>
        <v>0</v>
      </c>
      <c r="H88" t="str">
        <f>EXP_AC[[#This Row],[Sub-Setup Assembly]]</f>
        <v>Vessel</v>
      </c>
      <c r="I88">
        <f>EXP_AC[[#This Row],[IO type]]</f>
        <v>0</v>
      </c>
      <c r="J88">
        <f>EXP_AC[[#This Row],[Zone]]</f>
        <v>0</v>
      </c>
      <c r="K88">
        <f>EXP_AC[[#This Row],[Device Type]]</f>
        <v>0</v>
      </c>
      <c r="L88" t="e">
        <f>EXP_AC[[#This Row],[Device Tag]]</f>
        <v>#VALUE!</v>
      </c>
      <c r="M88">
        <f>EXP_AC[[#This Row],[Device Location]]</f>
        <v>0</v>
      </c>
      <c r="N88">
        <f>EXP_AC[[#This Row],[Circuit]]</f>
        <v>0</v>
      </c>
      <c r="O88">
        <f>EXP_AC[[#This Row],[Power Source]]</f>
        <v>0</v>
      </c>
      <c r="P88" s="143" t="str">
        <f>EXP_AC[[#This Row],[Status]]</f>
        <v/>
      </c>
      <c r="R88">
        <f t="shared" si="1"/>
        <v>87</v>
      </c>
    </row>
    <row r="89" spans="5:18">
      <c r="E89" s="147" t="s">
        <v>17</v>
      </c>
      <c r="F89" t="str">
        <f>EXP_AC[[#This Row],[Setup Location]]</f>
        <v>HPS</v>
      </c>
      <c r="G89">
        <f>EXP_AC[[#This Row],[Setup Sub-Location]]</f>
        <v>0</v>
      </c>
      <c r="H89" t="str">
        <f>EXP_AC[[#This Row],[Sub-Setup Assembly]]</f>
        <v>Vessel</v>
      </c>
      <c r="I89">
        <f>EXP_AC[[#This Row],[IO type]]</f>
        <v>0</v>
      </c>
      <c r="J89">
        <f>EXP_AC[[#This Row],[Zone]]</f>
        <v>0</v>
      </c>
      <c r="K89">
        <f>EXP_AC[[#This Row],[Device Type]]</f>
        <v>0</v>
      </c>
      <c r="L89" t="e">
        <f>EXP_AC[[#This Row],[Device Tag]]</f>
        <v>#VALUE!</v>
      </c>
      <c r="M89">
        <f>EXP_AC[[#This Row],[Device Location]]</f>
        <v>0</v>
      </c>
      <c r="N89">
        <f>EXP_AC[[#This Row],[Circuit]]</f>
        <v>0</v>
      </c>
      <c r="O89">
        <f>EXP_AC[[#This Row],[Power Source]]</f>
        <v>0</v>
      </c>
      <c r="P89" s="143" t="str">
        <f>EXP_AC[[#This Row],[Status]]</f>
        <v/>
      </c>
      <c r="R89">
        <f t="shared" si="1"/>
        <v>88</v>
      </c>
    </row>
    <row r="90" spans="5:18">
      <c r="E90" s="147" t="s">
        <v>17</v>
      </c>
      <c r="F90" t="str">
        <f>EXP_AC[[#This Row],[Setup Location]]</f>
        <v>HPS</v>
      </c>
      <c r="G90">
        <f>EXP_AC[[#This Row],[Setup Sub-Location]]</f>
        <v>0</v>
      </c>
      <c r="H90" t="str">
        <f>EXP_AC[[#This Row],[Sub-Setup Assembly]]</f>
        <v>Vessel</v>
      </c>
      <c r="I90">
        <f>EXP_AC[[#This Row],[IO type]]</f>
        <v>0</v>
      </c>
      <c r="J90">
        <f>EXP_AC[[#This Row],[Zone]]</f>
        <v>0</v>
      </c>
      <c r="K90">
        <f>EXP_AC[[#This Row],[Device Type]]</f>
        <v>0</v>
      </c>
      <c r="L90" t="e">
        <f>EXP_AC[[#This Row],[Device Tag]]</f>
        <v>#VALUE!</v>
      </c>
      <c r="M90">
        <f>EXP_AC[[#This Row],[Device Location]]</f>
        <v>0</v>
      </c>
      <c r="N90">
        <f>EXP_AC[[#This Row],[Circuit]]</f>
        <v>0</v>
      </c>
      <c r="O90">
        <f>EXP_AC[[#This Row],[Power Source]]</f>
        <v>0</v>
      </c>
      <c r="P90" s="143" t="str">
        <f>EXP_AC[[#This Row],[Status]]</f>
        <v/>
      </c>
      <c r="R90">
        <f t="shared" si="1"/>
        <v>89</v>
      </c>
    </row>
    <row r="91" spans="5:18">
      <c r="E91" s="147" t="s">
        <v>17</v>
      </c>
      <c r="F91" t="str">
        <f>EXP_AC[[#This Row],[Setup Location]]</f>
        <v>HPS</v>
      </c>
      <c r="G91">
        <f>EXP_AC[[#This Row],[Setup Sub-Location]]</f>
        <v>0</v>
      </c>
      <c r="H91" t="str">
        <f>EXP_AC[[#This Row],[Sub-Setup Assembly]]</f>
        <v>Vessel</v>
      </c>
      <c r="I91">
        <f>EXP_AC[[#This Row],[IO type]]</f>
        <v>0</v>
      </c>
      <c r="J91">
        <f>EXP_AC[[#This Row],[Zone]]</f>
        <v>0</v>
      </c>
      <c r="K91">
        <f>EXP_AC[[#This Row],[Device Type]]</f>
        <v>0</v>
      </c>
      <c r="L91" t="e">
        <f>EXP_AC[[#This Row],[Device Tag]]</f>
        <v>#VALUE!</v>
      </c>
      <c r="M91">
        <f>EXP_AC[[#This Row],[Device Location]]</f>
        <v>0</v>
      </c>
      <c r="N91">
        <f>EXP_AC[[#This Row],[Circuit]]</f>
        <v>0</v>
      </c>
      <c r="O91">
        <f>EXP_AC[[#This Row],[Power Source]]</f>
        <v>0</v>
      </c>
      <c r="P91" s="143" t="str">
        <f>EXP_AC[[#This Row],[Status]]</f>
        <v/>
      </c>
      <c r="R91">
        <f t="shared" si="1"/>
        <v>90</v>
      </c>
    </row>
    <row r="92" spans="5:18">
      <c r="E92" s="147" t="s">
        <v>17</v>
      </c>
      <c r="F92" t="str">
        <f>EXP_AC[[#This Row],[Setup Location]]</f>
        <v>HPS</v>
      </c>
      <c r="G92">
        <f>EXP_AC[[#This Row],[Setup Sub-Location]]</f>
        <v>0</v>
      </c>
      <c r="H92" t="str">
        <f>EXP_AC[[#This Row],[Sub-Setup Assembly]]</f>
        <v>Vessel</v>
      </c>
      <c r="I92">
        <f>EXP_AC[[#This Row],[IO type]]</f>
        <v>0</v>
      </c>
      <c r="J92">
        <f>EXP_AC[[#This Row],[Zone]]</f>
        <v>0</v>
      </c>
      <c r="K92">
        <f>EXP_AC[[#This Row],[Device Type]]</f>
        <v>0</v>
      </c>
      <c r="L92" t="e">
        <f>EXP_AC[[#This Row],[Device Tag]]</f>
        <v>#VALUE!</v>
      </c>
      <c r="M92">
        <f>EXP_AC[[#This Row],[Device Location]]</f>
        <v>0</v>
      </c>
      <c r="N92">
        <f>EXP_AC[[#This Row],[Circuit]]</f>
        <v>0</v>
      </c>
      <c r="O92">
        <f>EXP_AC[[#This Row],[Power Source]]</f>
        <v>0</v>
      </c>
      <c r="P92" s="143" t="str">
        <f>EXP_AC[[#This Row],[Status]]</f>
        <v/>
      </c>
      <c r="R92">
        <f t="shared" si="1"/>
        <v>91</v>
      </c>
    </row>
    <row r="93" spans="5:18">
      <c r="E93" s="147" t="s">
        <v>17</v>
      </c>
      <c r="F93" t="str">
        <f>EXP_AC[[#This Row],[Setup Location]]</f>
        <v>HPS</v>
      </c>
      <c r="G93">
        <f>EXP_AC[[#This Row],[Setup Sub-Location]]</f>
        <v>0</v>
      </c>
      <c r="H93" t="str">
        <f>EXP_AC[[#This Row],[Sub-Setup Assembly]]</f>
        <v>Vessel</v>
      </c>
      <c r="I93">
        <f>EXP_AC[[#This Row],[IO type]]</f>
        <v>0</v>
      </c>
      <c r="J93">
        <f>EXP_AC[[#This Row],[Zone]]</f>
        <v>0</v>
      </c>
      <c r="K93">
        <f>EXP_AC[[#This Row],[Device Type]]</f>
        <v>0</v>
      </c>
      <c r="L93" t="e">
        <f>EXP_AC[[#This Row],[Device Tag]]</f>
        <v>#VALUE!</v>
      </c>
      <c r="M93">
        <f>EXP_AC[[#This Row],[Device Location]]</f>
        <v>0</v>
      </c>
      <c r="N93">
        <f>EXP_AC[[#This Row],[Circuit]]</f>
        <v>0</v>
      </c>
      <c r="O93">
        <f>EXP_AC[[#This Row],[Power Source]]</f>
        <v>0</v>
      </c>
      <c r="P93" s="143" t="str">
        <f>EXP_AC[[#This Row],[Status]]</f>
        <v/>
      </c>
      <c r="R93">
        <f t="shared" si="1"/>
        <v>92</v>
      </c>
    </row>
    <row r="94" spans="5:18">
      <c r="E94" s="147" t="s">
        <v>17</v>
      </c>
      <c r="F94" t="str">
        <f>EXP_AC[[#This Row],[Setup Location]]</f>
        <v>HPS</v>
      </c>
      <c r="G94">
        <f>EXP_AC[[#This Row],[Setup Sub-Location]]</f>
        <v>0</v>
      </c>
      <c r="H94" t="str">
        <f>EXP_AC[[#This Row],[Sub-Setup Assembly]]</f>
        <v>Vessel</v>
      </c>
      <c r="I94">
        <f>EXP_AC[[#This Row],[IO type]]</f>
        <v>0</v>
      </c>
      <c r="J94">
        <f>EXP_AC[[#This Row],[Zone]]</f>
        <v>0</v>
      </c>
      <c r="K94">
        <f>EXP_AC[[#This Row],[Device Type]]</f>
        <v>0</v>
      </c>
      <c r="L94" t="e">
        <f>EXP_AC[[#This Row],[Device Tag]]</f>
        <v>#VALUE!</v>
      </c>
      <c r="M94">
        <f>EXP_AC[[#This Row],[Device Location]]</f>
        <v>0</v>
      </c>
      <c r="N94">
        <f>EXP_AC[[#This Row],[Circuit]]</f>
        <v>0</v>
      </c>
      <c r="O94">
        <f>EXP_AC[[#This Row],[Power Source]]</f>
        <v>0</v>
      </c>
      <c r="P94" s="143" t="str">
        <f>EXP_AC[[#This Row],[Status]]</f>
        <v/>
      </c>
      <c r="R94">
        <f t="shared" si="1"/>
        <v>93</v>
      </c>
    </row>
    <row r="95" spans="5:18">
      <c r="E95" s="147" t="s">
        <v>17</v>
      </c>
      <c r="F95" t="str">
        <f>EXP_AC[[#This Row],[Setup Location]]</f>
        <v>HPS</v>
      </c>
      <c r="G95">
        <f>EXP_AC[[#This Row],[Setup Sub-Location]]</f>
        <v>0</v>
      </c>
      <c r="H95" t="str">
        <f>EXP_AC[[#This Row],[Sub-Setup Assembly]]</f>
        <v>Vessel</v>
      </c>
      <c r="I95">
        <f>EXP_AC[[#This Row],[IO type]]</f>
        <v>0</v>
      </c>
      <c r="J95">
        <f>EXP_AC[[#This Row],[Zone]]</f>
        <v>0</v>
      </c>
      <c r="K95">
        <f>EXP_AC[[#This Row],[Device Type]]</f>
        <v>0</v>
      </c>
      <c r="L95" t="e">
        <f>EXP_AC[[#This Row],[Device Tag]]</f>
        <v>#VALUE!</v>
      </c>
      <c r="M95">
        <f>EXP_AC[[#This Row],[Device Location]]</f>
        <v>0</v>
      </c>
      <c r="N95">
        <f>EXP_AC[[#This Row],[Circuit]]</f>
        <v>0</v>
      </c>
      <c r="O95">
        <f>EXP_AC[[#This Row],[Power Source]]</f>
        <v>0</v>
      </c>
      <c r="P95" s="143" t="str">
        <f>EXP_AC[[#This Row],[Status]]</f>
        <v/>
      </c>
      <c r="R95">
        <f t="shared" si="1"/>
        <v>94</v>
      </c>
    </row>
    <row r="96" spans="5:18">
      <c r="E96" s="147" t="s">
        <v>17</v>
      </c>
      <c r="F96" t="str">
        <f>EXP_AC[[#This Row],[Setup Location]]</f>
        <v>HPS</v>
      </c>
      <c r="G96">
        <f>EXP_AC[[#This Row],[Setup Sub-Location]]</f>
        <v>0</v>
      </c>
      <c r="H96" t="str">
        <f>EXP_AC[[#This Row],[Sub-Setup Assembly]]</f>
        <v>Vessel</v>
      </c>
      <c r="I96">
        <f>EXP_AC[[#This Row],[IO type]]</f>
        <v>0</v>
      </c>
      <c r="J96">
        <f>EXP_AC[[#This Row],[Zone]]</f>
        <v>0</v>
      </c>
      <c r="K96">
        <f>EXP_AC[[#This Row],[Device Type]]</f>
        <v>0</v>
      </c>
      <c r="L96" t="e">
        <f>EXP_AC[[#This Row],[Device Tag]]</f>
        <v>#VALUE!</v>
      </c>
      <c r="M96">
        <f>EXP_AC[[#This Row],[Device Location]]</f>
        <v>0</v>
      </c>
      <c r="N96">
        <f>EXP_AC[[#This Row],[Circuit]]</f>
        <v>0</v>
      </c>
      <c r="O96">
        <f>EXP_AC[[#This Row],[Power Source]]</f>
        <v>0</v>
      </c>
      <c r="P96" s="143" t="str">
        <f>EXP_AC[[#This Row],[Status]]</f>
        <v/>
      </c>
      <c r="R96">
        <f t="shared" si="1"/>
        <v>95</v>
      </c>
    </row>
    <row r="97" spans="5:18">
      <c r="E97" s="147" t="s">
        <v>17</v>
      </c>
      <c r="F97" t="str">
        <f>EXP_AC[[#This Row],[Setup Location]]</f>
        <v>HPS</v>
      </c>
      <c r="G97">
        <f>EXP_AC[[#This Row],[Setup Sub-Location]]</f>
        <v>0</v>
      </c>
      <c r="H97" t="str">
        <f>EXP_AC[[#This Row],[Sub-Setup Assembly]]</f>
        <v>Vessel</v>
      </c>
      <c r="I97">
        <f>EXP_AC[[#This Row],[IO type]]</f>
        <v>0</v>
      </c>
      <c r="J97">
        <f>EXP_AC[[#This Row],[Zone]]</f>
        <v>0</v>
      </c>
      <c r="K97">
        <f>EXP_AC[[#This Row],[Device Type]]</f>
        <v>0</v>
      </c>
      <c r="L97" t="e">
        <f>EXP_AC[[#This Row],[Device Tag]]</f>
        <v>#VALUE!</v>
      </c>
      <c r="M97">
        <f>EXP_AC[[#This Row],[Device Location]]</f>
        <v>0</v>
      </c>
      <c r="N97">
        <f>EXP_AC[[#This Row],[Circuit]]</f>
        <v>0</v>
      </c>
      <c r="O97">
        <f>EXP_AC[[#This Row],[Power Source]]</f>
        <v>0</v>
      </c>
      <c r="P97" s="143" t="str">
        <f>EXP_AC[[#This Row],[Status]]</f>
        <v/>
      </c>
      <c r="R97">
        <f t="shared" si="1"/>
        <v>96</v>
      </c>
    </row>
    <row r="98" spans="5:18">
      <c r="E98" s="147" t="s">
        <v>17</v>
      </c>
      <c r="F98" t="str">
        <f>EXP_AC[[#This Row],[Setup Location]]</f>
        <v>HPS</v>
      </c>
      <c r="G98">
        <f>EXP_AC[[#This Row],[Setup Sub-Location]]</f>
        <v>0</v>
      </c>
      <c r="H98" t="str">
        <f>EXP_AC[[#This Row],[Sub-Setup Assembly]]</f>
        <v>Vessel</v>
      </c>
      <c r="I98">
        <f>EXP_AC[[#This Row],[IO type]]</f>
        <v>0</v>
      </c>
      <c r="J98">
        <f>EXP_AC[[#This Row],[Zone]]</f>
        <v>0</v>
      </c>
      <c r="K98">
        <f>EXP_AC[[#This Row],[Device Type]]</f>
        <v>0</v>
      </c>
      <c r="L98" t="e">
        <f>EXP_AC[[#This Row],[Device Tag]]</f>
        <v>#VALUE!</v>
      </c>
      <c r="M98">
        <f>EXP_AC[[#This Row],[Device Location]]</f>
        <v>0</v>
      </c>
      <c r="N98">
        <f>EXP_AC[[#This Row],[Circuit]]</f>
        <v>0</v>
      </c>
      <c r="O98">
        <f>EXP_AC[[#This Row],[Power Source]]</f>
        <v>0</v>
      </c>
      <c r="P98" s="143" t="str">
        <f>EXP_AC[[#This Row],[Status]]</f>
        <v/>
      </c>
      <c r="R98">
        <f t="shared" si="1"/>
        <v>97</v>
      </c>
    </row>
    <row r="99" spans="5:18">
      <c r="E99" s="147" t="s">
        <v>17</v>
      </c>
      <c r="F99" t="str">
        <f>EXP_AC[[#This Row],[Setup Location]]</f>
        <v>HPS</v>
      </c>
      <c r="G99">
        <f>EXP_AC[[#This Row],[Setup Sub-Location]]</f>
        <v>0</v>
      </c>
      <c r="H99" t="str">
        <f>EXP_AC[[#This Row],[Sub-Setup Assembly]]</f>
        <v>Vessel</v>
      </c>
      <c r="I99">
        <f>EXP_AC[[#This Row],[IO type]]</f>
        <v>0</v>
      </c>
      <c r="J99">
        <f>EXP_AC[[#This Row],[Zone]]</f>
        <v>0</v>
      </c>
      <c r="K99">
        <f>EXP_AC[[#This Row],[Device Type]]</f>
        <v>0</v>
      </c>
      <c r="L99" t="e">
        <f>EXP_AC[[#This Row],[Device Tag]]</f>
        <v>#VALUE!</v>
      </c>
      <c r="M99">
        <f>EXP_AC[[#This Row],[Device Location]]</f>
        <v>0</v>
      </c>
      <c r="N99">
        <f>EXP_AC[[#This Row],[Circuit]]</f>
        <v>0</v>
      </c>
      <c r="O99">
        <f>EXP_AC[[#This Row],[Power Source]]</f>
        <v>0</v>
      </c>
      <c r="P99" s="143" t="str">
        <f>EXP_AC[[#This Row],[Status]]</f>
        <v/>
      </c>
      <c r="R99">
        <f t="shared" si="1"/>
        <v>98</v>
      </c>
    </row>
    <row r="100" spans="5:18">
      <c r="E100" s="147" t="s">
        <v>17</v>
      </c>
      <c r="F100" t="str">
        <f>EXP_AC[[#This Row],[Setup Location]]</f>
        <v>HPS</v>
      </c>
      <c r="G100">
        <f>EXP_AC[[#This Row],[Setup Sub-Location]]</f>
        <v>0</v>
      </c>
      <c r="H100" t="str">
        <f>EXP_AC[[#This Row],[Sub-Setup Assembly]]</f>
        <v>Vessel</v>
      </c>
      <c r="I100">
        <f>EXP_AC[[#This Row],[IO type]]</f>
        <v>0</v>
      </c>
      <c r="J100">
        <f>EXP_AC[[#This Row],[Zone]]</f>
        <v>0</v>
      </c>
      <c r="K100">
        <f>EXP_AC[[#This Row],[Device Type]]</f>
        <v>0</v>
      </c>
      <c r="L100" t="e">
        <f>EXP_AC[[#This Row],[Device Tag]]</f>
        <v>#VALUE!</v>
      </c>
      <c r="M100">
        <f>EXP_AC[[#This Row],[Device Location]]</f>
        <v>0</v>
      </c>
      <c r="N100">
        <f>EXP_AC[[#This Row],[Circuit]]</f>
        <v>0</v>
      </c>
      <c r="O100">
        <f>EXP_AC[[#This Row],[Power Source]]</f>
        <v>0</v>
      </c>
      <c r="P100" s="143" t="str">
        <f>EXP_AC[[#This Row],[Status]]</f>
        <v/>
      </c>
      <c r="R100">
        <f t="shared" si="1"/>
        <v>99</v>
      </c>
    </row>
    <row r="101" spans="5:18" ht="17.100000000000001" thickBot="1">
      <c r="E101" s="148" t="s">
        <v>17</v>
      </c>
      <c r="F101" s="144" t="str">
        <f>EXP_AC[[#This Row],[Setup Location]]</f>
        <v>HPS</v>
      </c>
      <c r="G101" s="144">
        <f>EXP_AC[[#This Row],[Setup Sub-Location]]</f>
        <v>0</v>
      </c>
      <c r="H101" s="144" t="str">
        <f>EXP_AC[[#This Row],[Sub-Setup Assembly]]</f>
        <v>Vessel</v>
      </c>
      <c r="I101" s="144">
        <f>EXP_AC[[#This Row],[IO type]]</f>
        <v>0</v>
      </c>
      <c r="J101" s="144">
        <f>EXP_AC[[#This Row],[Zone]]</f>
        <v>0</v>
      </c>
      <c r="K101" s="144">
        <f>EXP_AC[[#This Row],[Device Type]]</f>
        <v>0</v>
      </c>
      <c r="L101" s="144" t="e">
        <f>EXP_AC[[#This Row],[Device Tag]]</f>
        <v>#VALUE!</v>
      </c>
      <c r="M101" s="144">
        <f>EXP_AC[[#This Row],[Device Location]]</f>
        <v>0</v>
      </c>
      <c r="N101" s="144">
        <f>EXP_AC[[#This Row],[Circuit]]</f>
        <v>0</v>
      </c>
      <c r="O101" s="144">
        <f>EXP_AC[[#This Row],[Power Source]]</f>
        <v>0</v>
      </c>
      <c r="P101" s="145" t="str">
        <f>EXP_AC[[#This Row],[Status]]</f>
        <v/>
      </c>
      <c r="R101">
        <f t="shared" si="1"/>
        <v>100</v>
      </c>
    </row>
    <row r="102" spans="5:18">
      <c r="E102" s="146" t="s">
        <v>56</v>
      </c>
      <c r="F102" s="141" t="str">
        <f>AD!CA2</f>
        <v>HPS</v>
      </c>
      <c r="G102" s="141" t="str">
        <f>AD!CB2</f>
        <v>AC</v>
      </c>
      <c r="H102" s="141" t="str">
        <f>AD!CC2</f>
        <v>Vessel</v>
      </c>
      <c r="I102" s="141">
        <f>AD!CD2</f>
        <v>0</v>
      </c>
      <c r="J102" s="141" t="str">
        <f>AD!CE2</f>
        <v>Adaptors</v>
      </c>
      <c r="K102" s="141" t="str">
        <f>AD!CF2</f>
        <v>60-21HF4HF6</v>
      </c>
      <c r="L102" s="141" t="str">
        <f>AD!CG2</f>
        <v>AD-K2</v>
      </c>
      <c r="M102" s="141">
        <f>AD!CH2</f>
        <v>0</v>
      </c>
      <c r="N102" s="141">
        <f>AD!CI2</f>
        <v>0</v>
      </c>
      <c r="O102" s="141">
        <f>AD!CJ2</f>
        <v>0</v>
      </c>
      <c r="P102" s="142" t="str">
        <f>AD!CK2</f>
        <v>Superceded</v>
      </c>
      <c r="R102">
        <f t="shared" si="1"/>
        <v>101</v>
      </c>
    </row>
    <row r="103" spans="5:18">
      <c r="E103" s="147" t="s">
        <v>56</v>
      </c>
      <c r="F103" t="str">
        <f>AD!CA3</f>
        <v>HPS</v>
      </c>
      <c r="G103" t="str">
        <f>AD!CB3</f>
        <v>AC</v>
      </c>
      <c r="H103" t="str">
        <f>AD!CC3</f>
        <v>Vessel</v>
      </c>
      <c r="I103">
        <f>AD!CD3</f>
        <v>0</v>
      </c>
      <c r="J103" t="str">
        <f>AD!CE3</f>
        <v>Adaptors</v>
      </c>
      <c r="K103" t="str">
        <f>AD!CF3</f>
        <v>60-21HF4HF6</v>
      </c>
      <c r="L103" t="str">
        <f>AD!CG3</f>
        <v>AD-L1</v>
      </c>
      <c r="M103">
        <f>AD!CH3</f>
        <v>0</v>
      </c>
      <c r="N103">
        <f>AD!CI3</f>
        <v>0</v>
      </c>
      <c r="O103">
        <f>AD!CJ3</f>
        <v>0</v>
      </c>
      <c r="P103" s="143" t="str">
        <f>AD!CK3</f>
        <v>Superceded</v>
      </c>
      <c r="R103">
        <f t="shared" si="1"/>
        <v>102</v>
      </c>
    </row>
    <row r="104" spans="5:18">
      <c r="E104" s="147" t="s">
        <v>56</v>
      </c>
      <c r="F104" t="str">
        <f>AD!CA4</f>
        <v>HPS</v>
      </c>
      <c r="G104" t="str">
        <f>AD!CB4</f>
        <v>AC</v>
      </c>
      <c r="H104" t="str">
        <f>AD!CC4</f>
        <v>Vessel</v>
      </c>
      <c r="I104">
        <f>AD!CD4</f>
        <v>0</v>
      </c>
      <c r="J104" t="str">
        <f>AD!CE4</f>
        <v>Adaptors</v>
      </c>
      <c r="K104" t="str">
        <f>AD!CF4</f>
        <v>60-21HF4HF6</v>
      </c>
      <c r="L104" t="str">
        <f>AD!CG4</f>
        <v>AD-N1</v>
      </c>
      <c r="M104">
        <f>AD!CH4</f>
        <v>0</v>
      </c>
      <c r="N104">
        <f>AD!CI4</f>
        <v>0</v>
      </c>
      <c r="O104">
        <f>AD!CJ4</f>
        <v>0</v>
      </c>
      <c r="P104" s="143" t="str">
        <f>AD!CK4</f>
        <v>Superceded</v>
      </c>
      <c r="R104">
        <f t="shared" si="1"/>
        <v>103</v>
      </c>
    </row>
    <row r="105" spans="5:18">
      <c r="E105" s="147" t="s">
        <v>56</v>
      </c>
      <c r="F105" t="str">
        <f>AD!CA5</f>
        <v>HPS</v>
      </c>
      <c r="G105" t="str">
        <f>AD!CB5</f>
        <v>AC</v>
      </c>
      <c r="H105" t="str">
        <f>AD!CC5</f>
        <v>Vessel</v>
      </c>
      <c r="I105">
        <f>AD!CD5</f>
        <v>0</v>
      </c>
      <c r="J105" t="str">
        <f>AD!CE5</f>
        <v>Adaptors</v>
      </c>
      <c r="K105" t="str">
        <f>AD!CF5</f>
        <v>60-21HF4HF6</v>
      </c>
      <c r="L105" t="str">
        <f>AD!CG5</f>
        <v>AD-P1</v>
      </c>
      <c r="M105">
        <f>AD!CH5</f>
        <v>0</v>
      </c>
      <c r="N105">
        <f>AD!CI5</f>
        <v>0</v>
      </c>
      <c r="O105">
        <f>AD!CJ5</f>
        <v>0</v>
      </c>
      <c r="P105" s="143" t="str">
        <f>AD!CK5</f>
        <v>Superceded</v>
      </c>
      <c r="R105">
        <f t="shared" si="1"/>
        <v>104</v>
      </c>
    </row>
    <row r="106" spans="5:18">
      <c r="E106" s="147" t="s">
        <v>56</v>
      </c>
      <c r="F106" t="str">
        <f>AD!CA6</f>
        <v>HPS</v>
      </c>
      <c r="G106" t="str">
        <f>AD!CB6</f>
        <v>AC</v>
      </c>
      <c r="H106" t="str">
        <f>AD!CC6</f>
        <v>Vessel</v>
      </c>
      <c r="I106">
        <f>AD!CD6</f>
        <v>0</v>
      </c>
      <c r="J106" t="str">
        <f>AD!CE6</f>
        <v>Adaptors</v>
      </c>
      <c r="K106" t="str">
        <f>AD!CF6</f>
        <v>60-21HF4HF6</v>
      </c>
      <c r="L106" t="str">
        <f>AD!CG6</f>
        <v>AD-Q1</v>
      </c>
      <c r="M106">
        <f>AD!CH6</f>
        <v>0</v>
      </c>
      <c r="N106">
        <f>AD!CI6</f>
        <v>0</v>
      </c>
      <c r="O106">
        <f>AD!CJ6</f>
        <v>0</v>
      </c>
      <c r="P106" s="143" t="str">
        <f>AD!CK6</f>
        <v>Superceded</v>
      </c>
      <c r="R106">
        <f t="shared" si="1"/>
        <v>105</v>
      </c>
    </row>
    <row r="107" spans="5:18">
      <c r="E107" s="147" t="s">
        <v>56</v>
      </c>
      <c r="F107" t="str">
        <f>AD!CA7</f>
        <v>HPS</v>
      </c>
      <c r="G107" t="str">
        <f>AD!CB7</f>
        <v>AC</v>
      </c>
      <c r="H107" t="str">
        <f>AD!CC7</f>
        <v>Vessel</v>
      </c>
      <c r="I107">
        <f>AD!CD7</f>
        <v>0</v>
      </c>
      <c r="J107" t="str">
        <f>AD!CE7</f>
        <v>Adaptors</v>
      </c>
      <c r="K107" t="str">
        <f>AD!CF7</f>
        <v>60-21HF4HF6</v>
      </c>
      <c r="L107" t="str">
        <f>AD!CG7</f>
        <v>AD-R1</v>
      </c>
      <c r="M107">
        <f>AD!CH7</f>
        <v>0</v>
      </c>
      <c r="N107">
        <f>AD!CI7</f>
        <v>0</v>
      </c>
      <c r="O107">
        <f>AD!CJ7</f>
        <v>0</v>
      </c>
      <c r="P107" s="143" t="str">
        <f>AD!CK7</f>
        <v>Superceded</v>
      </c>
      <c r="R107">
        <f t="shared" si="1"/>
        <v>106</v>
      </c>
    </row>
    <row r="108" spans="5:18">
      <c r="E108" s="147" t="s">
        <v>56</v>
      </c>
      <c r="F108" t="str">
        <f>AD!CA8</f>
        <v>HPS</v>
      </c>
      <c r="G108" t="str">
        <f>AD!CB8</f>
        <v>AC</v>
      </c>
      <c r="H108" t="str">
        <f>AD!CC8</f>
        <v>Vessel</v>
      </c>
      <c r="I108">
        <f>AD!CD8</f>
        <v>0</v>
      </c>
      <c r="J108" t="str">
        <f>AD!CE8</f>
        <v>Adaptors</v>
      </c>
      <c r="K108" t="str">
        <f>AD!CF8</f>
        <v>60-21HF6HM4</v>
      </c>
      <c r="L108" t="str">
        <f>AD!CG8</f>
        <v>AD-1</v>
      </c>
      <c r="M108">
        <f>AD!CH8</f>
        <v>0</v>
      </c>
      <c r="N108">
        <f>AD!CI8</f>
        <v>0</v>
      </c>
      <c r="O108">
        <f>AD!CJ8</f>
        <v>0</v>
      </c>
      <c r="P108" s="143" t="str">
        <f>AD!CK8</f>
        <v>Active</v>
      </c>
      <c r="R108">
        <f t="shared" si="1"/>
        <v>107</v>
      </c>
    </row>
    <row r="109" spans="5:18">
      <c r="E109" s="147" t="s">
        <v>56</v>
      </c>
      <c r="F109" t="str">
        <f>AD!CA9</f>
        <v>HPS</v>
      </c>
      <c r="G109" t="str">
        <f>AD!CB9</f>
        <v>AC</v>
      </c>
      <c r="H109" t="str">
        <f>AD!CC9</f>
        <v>Vessel</v>
      </c>
      <c r="I109">
        <f>AD!CD9</f>
        <v>0</v>
      </c>
      <c r="J109" t="str">
        <f>AD!CE9</f>
        <v>Adaptors</v>
      </c>
      <c r="K109" t="str">
        <f>AD!CF9</f>
        <v>60-21HF6HM4</v>
      </c>
      <c r="L109" t="str">
        <f>AD!CG9</f>
        <v>AD-2</v>
      </c>
      <c r="M109">
        <f>AD!CH9</f>
        <v>0</v>
      </c>
      <c r="N109">
        <f>AD!CI9</f>
        <v>0</v>
      </c>
      <c r="O109">
        <f>AD!CJ9</f>
        <v>0</v>
      </c>
      <c r="P109" s="143" t="str">
        <f>AD!CK9</f>
        <v>Active</v>
      </c>
      <c r="R109">
        <f t="shared" si="1"/>
        <v>108</v>
      </c>
    </row>
    <row r="110" spans="5:18">
      <c r="E110" s="147" t="s">
        <v>56</v>
      </c>
      <c r="F110" t="str">
        <f>AD!CA10</f>
        <v>HPS</v>
      </c>
      <c r="G110" t="str">
        <f>AD!CB10</f>
        <v>AC</v>
      </c>
      <c r="H110" t="str">
        <f>AD!CC10</f>
        <v>Vessel</v>
      </c>
      <c r="I110">
        <f>AD!CD10</f>
        <v>0</v>
      </c>
      <c r="J110" t="str">
        <f>AD!CE10</f>
        <v>Adaptors</v>
      </c>
      <c r="K110" t="str">
        <f>AD!CF10</f>
        <v>60-21HF6HM4</v>
      </c>
      <c r="L110" t="str">
        <f>AD!CG10</f>
        <v>AD-3</v>
      </c>
      <c r="M110">
        <f>AD!CH10</f>
        <v>0</v>
      </c>
      <c r="N110">
        <f>AD!CI10</f>
        <v>0</v>
      </c>
      <c r="O110">
        <f>AD!CJ10</f>
        <v>0</v>
      </c>
      <c r="P110" s="143" t="str">
        <f>AD!CK10</f>
        <v>Active</v>
      </c>
      <c r="R110">
        <f t="shared" si="1"/>
        <v>109</v>
      </c>
    </row>
    <row r="111" spans="5:18">
      <c r="E111" s="147" t="s">
        <v>56</v>
      </c>
      <c r="F111" t="str">
        <f>AD!CA11</f>
        <v>HPS</v>
      </c>
      <c r="G111" t="str">
        <f>AD!CB11</f>
        <v>AC</v>
      </c>
      <c r="H111" t="str">
        <f>AD!CC11</f>
        <v>Vessel</v>
      </c>
      <c r="I111">
        <f>AD!CD11</f>
        <v>0</v>
      </c>
      <c r="J111" t="str">
        <f>AD!CE11</f>
        <v>Adaptors</v>
      </c>
      <c r="K111" t="str">
        <f>AD!CF11</f>
        <v>60-21HF6HM4</v>
      </c>
      <c r="L111" t="str">
        <f>AD!CG11</f>
        <v>AD-4</v>
      </c>
      <c r="M111">
        <f>AD!CH11</f>
        <v>0</v>
      </c>
      <c r="N111">
        <f>AD!CI11</f>
        <v>0</v>
      </c>
      <c r="O111">
        <f>AD!CJ11</f>
        <v>0</v>
      </c>
      <c r="P111" s="143" t="str">
        <f>AD!CK11</f>
        <v>Active</v>
      </c>
      <c r="R111">
        <f t="shared" si="1"/>
        <v>110</v>
      </c>
    </row>
    <row r="112" spans="5:18">
      <c r="E112" s="147" t="s">
        <v>56</v>
      </c>
      <c r="F112" t="str">
        <f>AD!CA12</f>
        <v>HPS</v>
      </c>
      <c r="G112" t="str">
        <f>AD!CB12</f>
        <v>AC</v>
      </c>
      <c r="H112" t="str">
        <f>AD!CC12</f>
        <v>Vessel</v>
      </c>
      <c r="I112">
        <f>AD!CD12</f>
        <v>0</v>
      </c>
      <c r="J112" t="str">
        <f>AD!CE12</f>
        <v>Adaptors</v>
      </c>
      <c r="K112" t="str">
        <f>AD!CF12</f>
        <v>60-21HF6HM4</v>
      </c>
      <c r="L112" t="str">
        <f>AD!CG12</f>
        <v>AD-5</v>
      </c>
      <c r="M112">
        <f>AD!CH12</f>
        <v>0</v>
      </c>
      <c r="N112">
        <f>AD!CI12</f>
        <v>0</v>
      </c>
      <c r="O112">
        <f>AD!CJ12</f>
        <v>0</v>
      </c>
      <c r="P112" s="143" t="str">
        <f>AD!CK12</f>
        <v>Active</v>
      </c>
      <c r="R112">
        <f t="shared" si="1"/>
        <v>111</v>
      </c>
    </row>
    <row r="113" spans="5:18">
      <c r="E113" s="147" t="s">
        <v>56</v>
      </c>
      <c r="F113" t="str">
        <f>AD!CA13</f>
        <v>HPS</v>
      </c>
      <c r="G113" t="str">
        <f>AD!CB13</f>
        <v>AC</v>
      </c>
      <c r="H113" t="str">
        <f>AD!CC13</f>
        <v>Vessel</v>
      </c>
      <c r="I113">
        <f>AD!CD13</f>
        <v>0</v>
      </c>
      <c r="J113" t="str">
        <f>AD!CE13</f>
        <v>Adaptors</v>
      </c>
      <c r="K113" t="str">
        <f>AD!CF13</f>
        <v>60-21HF6HM4</v>
      </c>
      <c r="L113" t="str">
        <f>AD!CG13</f>
        <v>AD-6</v>
      </c>
      <c r="M113">
        <f>AD!CH13</f>
        <v>0</v>
      </c>
      <c r="N113">
        <f>AD!CI13</f>
        <v>0</v>
      </c>
      <c r="O113">
        <f>AD!CJ13</f>
        <v>0</v>
      </c>
      <c r="P113" s="143" t="str">
        <f>AD!CK13</f>
        <v>Active</v>
      </c>
      <c r="R113">
        <f t="shared" si="1"/>
        <v>112</v>
      </c>
    </row>
    <row r="114" spans="5:18">
      <c r="E114" s="147" t="s">
        <v>56</v>
      </c>
      <c r="F114" t="str">
        <f>AD!CA14</f>
        <v>HPS</v>
      </c>
      <c r="G114" t="str">
        <f>AD!CB14</f>
        <v>AC</v>
      </c>
      <c r="H114" t="str">
        <f>AD!CC14</f>
        <v>Vessel</v>
      </c>
      <c r="I114">
        <f>AD!CD14</f>
        <v>0</v>
      </c>
      <c r="J114" t="str">
        <f>AD!CE14</f>
        <v>Adaptors</v>
      </c>
      <c r="K114" t="str">
        <f>AD!CF14</f>
        <v>60-21HF6HM4</v>
      </c>
      <c r="L114" t="str">
        <f>AD!CG14</f>
        <v>AD-7</v>
      </c>
      <c r="M114">
        <f>AD!CH14</f>
        <v>0</v>
      </c>
      <c r="N114">
        <f>AD!CI14</f>
        <v>0</v>
      </c>
      <c r="O114">
        <f>AD!CJ14</f>
        <v>0</v>
      </c>
      <c r="P114" s="143" t="str">
        <f>AD!CK14</f>
        <v>Retired</v>
      </c>
      <c r="R114">
        <f t="shared" si="1"/>
        <v>113</v>
      </c>
    </row>
    <row r="115" spans="5:18">
      <c r="E115" s="147" t="s">
        <v>56</v>
      </c>
      <c r="F115" t="str">
        <f>AD!CA15</f>
        <v>HPS</v>
      </c>
      <c r="G115" t="str">
        <f>AD!CB15</f>
        <v>AC</v>
      </c>
      <c r="H115" t="str">
        <f>AD!CC15</f>
        <v>Vessel</v>
      </c>
      <c r="I115">
        <f>AD!CD15</f>
        <v>0</v>
      </c>
      <c r="J115" t="str">
        <f>AD!CE15</f>
        <v>Adaptors</v>
      </c>
      <c r="K115" t="str">
        <f>AD!CF15</f>
        <v>60-21HF6HM4</v>
      </c>
      <c r="L115" t="str">
        <f>AD!CG15</f>
        <v>AD-8</v>
      </c>
      <c r="M115">
        <f>AD!CH15</f>
        <v>0</v>
      </c>
      <c r="N115">
        <f>AD!CI15</f>
        <v>0</v>
      </c>
      <c r="O115">
        <f>AD!CJ15</f>
        <v>0</v>
      </c>
      <c r="P115" s="143" t="str">
        <f>AD!CK15</f>
        <v>Active</v>
      </c>
      <c r="R115">
        <f t="shared" si="1"/>
        <v>114</v>
      </c>
    </row>
    <row r="116" spans="5:18">
      <c r="E116" s="147" t="s">
        <v>56</v>
      </c>
      <c r="F116" t="str">
        <f>AD!CA16</f>
        <v>HPS</v>
      </c>
      <c r="G116" t="str">
        <f>AD!CB16</f>
        <v>AC</v>
      </c>
      <c r="H116" t="str">
        <f>AD!CC16</f>
        <v>Vessel</v>
      </c>
      <c r="I116">
        <f>AD!CD16</f>
        <v>0</v>
      </c>
      <c r="J116" t="str">
        <f>AD!CE16</f>
        <v>Adaptors</v>
      </c>
      <c r="K116" t="str">
        <f>AD!CF16</f>
        <v>60-21HF6HM4</v>
      </c>
      <c r="L116" t="str">
        <f>AD!CG16</f>
        <v>AD-9</v>
      </c>
      <c r="M116">
        <f>AD!CH16</f>
        <v>0</v>
      </c>
      <c r="N116">
        <f>AD!CI16</f>
        <v>0</v>
      </c>
      <c r="O116">
        <f>AD!CJ16</f>
        <v>0</v>
      </c>
      <c r="P116" s="143" t="str">
        <f>AD!CK16</f>
        <v>Active</v>
      </c>
      <c r="R116">
        <f t="shared" si="1"/>
        <v>115</v>
      </c>
    </row>
    <row r="117" spans="5:18">
      <c r="E117" s="147" t="s">
        <v>56</v>
      </c>
      <c r="F117" t="str">
        <f>AD!CA17</f>
        <v>HPS</v>
      </c>
      <c r="G117" t="str">
        <f>AD!CB17</f>
        <v>AC</v>
      </c>
      <c r="H117" t="str">
        <f>AD!CC17</f>
        <v>Vessel</v>
      </c>
      <c r="I117">
        <f>AD!CD17</f>
        <v>0</v>
      </c>
      <c r="J117" t="str">
        <f>AD!CE17</f>
        <v>Adaptors</v>
      </c>
      <c r="K117" t="str">
        <f>AD!CF17</f>
        <v>60-21HF6HM4</v>
      </c>
      <c r="L117" t="str">
        <f>AD!CG17</f>
        <v>AD-10</v>
      </c>
      <c r="M117">
        <f>AD!CH17</f>
        <v>0</v>
      </c>
      <c r="N117">
        <f>AD!CI17</f>
        <v>0</v>
      </c>
      <c r="O117">
        <f>AD!CJ17</f>
        <v>0</v>
      </c>
      <c r="P117" s="143" t="str">
        <f>AD!CK17</f>
        <v>Active</v>
      </c>
      <c r="R117">
        <f t="shared" si="1"/>
        <v>116</v>
      </c>
    </row>
    <row r="118" spans="5:18">
      <c r="E118" s="147" t="s">
        <v>56</v>
      </c>
      <c r="F118" t="str">
        <f>AD!CA18</f>
        <v>HPS</v>
      </c>
      <c r="G118" t="str">
        <f>AD!CB18</f>
        <v>AC</v>
      </c>
      <c r="H118" t="str">
        <f>AD!CC18</f>
        <v>Vessel</v>
      </c>
      <c r="I118">
        <f>AD!CD18</f>
        <v>0</v>
      </c>
      <c r="J118" t="str">
        <f>AD!CE18</f>
        <v>Adaptors</v>
      </c>
      <c r="K118" t="str">
        <f>AD!CF18</f>
        <v>60-21HF6HM4</v>
      </c>
      <c r="L118" t="str">
        <f>AD!CG18</f>
        <v>AD-11</v>
      </c>
      <c r="M118">
        <f>AD!CH18</f>
        <v>0</v>
      </c>
      <c r="N118">
        <f>AD!CI18</f>
        <v>0</v>
      </c>
      <c r="O118">
        <f>AD!CJ18</f>
        <v>0</v>
      </c>
      <c r="P118" s="143" t="str">
        <f>AD!CK18</f>
        <v>Active</v>
      </c>
      <c r="R118">
        <f t="shared" si="1"/>
        <v>117</v>
      </c>
    </row>
    <row r="119" spans="5:18">
      <c r="E119" s="147" t="s">
        <v>56</v>
      </c>
      <c r="F119" t="str">
        <f>AD!CA19</f>
        <v>HPS</v>
      </c>
      <c r="G119" t="str">
        <f>AD!CB19</f>
        <v>AC</v>
      </c>
      <c r="H119" t="str">
        <f>AD!CC19</f>
        <v>Vessel</v>
      </c>
      <c r="I119">
        <f>AD!CD19</f>
        <v>0</v>
      </c>
      <c r="J119" t="str">
        <f>AD!CE19</f>
        <v>Adaptors</v>
      </c>
      <c r="K119" t="str">
        <f>AD!CF19</f>
        <v>60-21HF6HM4</v>
      </c>
      <c r="L119" t="str">
        <f>AD!CG19</f>
        <v>AD-12</v>
      </c>
      <c r="M119">
        <f>AD!CH19</f>
        <v>0</v>
      </c>
      <c r="N119">
        <f>AD!CI19</f>
        <v>0</v>
      </c>
      <c r="O119">
        <f>AD!CJ19</f>
        <v>0</v>
      </c>
      <c r="P119" s="143" t="str">
        <f>AD!CK19</f>
        <v>Active</v>
      </c>
      <c r="R119">
        <f t="shared" si="1"/>
        <v>118</v>
      </c>
    </row>
    <row r="120" spans="5:18">
      <c r="E120" s="147" t="s">
        <v>56</v>
      </c>
      <c r="F120" t="str">
        <f>AD!CA20</f>
        <v>HPS</v>
      </c>
      <c r="G120" t="str">
        <f>AD!CB20</f>
        <v>AC</v>
      </c>
      <c r="H120" t="str">
        <f>AD!CC20</f>
        <v>Vessel</v>
      </c>
      <c r="I120">
        <f>AD!CD20</f>
        <v>0</v>
      </c>
      <c r="J120" t="str">
        <f>AD!CE20</f>
        <v>Adaptors</v>
      </c>
      <c r="K120" t="str">
        <f>AD!CF20</f>
        <v>60-21HF6HM4</v>
      </c>
      <c r="L120" t="str">
        <f>AD!CG20</f>
        <v>AD-13</v>
      </c>
      <c r="M120">
        <f>AD!CH20</f>
        <v>0</v>
      </c>
      <c r="N120">
        <f>AD!CI20</f>
        <v>0</v>
      </c>
      <c r="O120">
        <f>AD!CJ20</f>
        <v>0</v>
      </c>
      <c r="P120" s="143" t="str">
        <f>AD!CK20</f>
        <v>Active</v>
      </c>
      <c r="R120">
        <f t="shared" si="1"/>
        <v>119</v>
      </c>
    </row>
    <row r="121" spans="5:18">
      <c r="E121" s="147" t="s">
        <v>56</v>
      </c>
      <c r="F121" t="str">
        <f>AD!CA21</f>
        <v>HPS</v>
      </c>
      <c r="G121" t="str">
        <f>AD!CB21</f>
        <v>AC</v>
      </c>
      <c r="H121" t="str">
        <f>AD!CC21</f>
        <v>Vessel</v>
      </c>
      <c r="I121">
        <f>AD!CD21</f>
        <v>0</v>
      </c>
      <c r="J121" t="str">
        <f>AD!CE21</f>
        <v>Adaptors</v>
      </c>
      <c r="K121" t="str">
        <f>AD!CF21</f>
        <v>60-21HF6HM4</v>
      </c>
      <c r="L121" t="str">
        <f>AD!CG21</f>
        <v>AD-14</v>
      </c>
      <c r="M121">
        <f>AD!CH21</f>
        <v>0</v>
      </c>
      <c r="N121">
        <f>AD!CI21</f>
        <v>0</v>
      </c>
      <c r="O121">
        <f>AD!CJ21</f>
        <v>0</v>
      </c>
      <c r="P121" s="143" t="str">
        <f>AD!CK21</f>
        <v>Active</v>
      </c>
      <c r="R121">
        <f t="shared" si="1"/>
        <v>120</v>
      </c>
    </row>
    <row r="122" spans="5:18">
      <c r="E122" s="147" t="s">
        <v>56</v>
      </c>
      <c r="F122" t="str">
        <f>AD!CA22</f>
        <v>HPS</v>
      </c>
      <c r="G122" t="str">
        <f>AD!CB22</f>
        <v>AC</v>
      </c>
      <c r="H122" t="str">
        <f>AD!CC22</f>
        <v>Vessel</v>
      </c>
      <c r="I122">
        <f>AD!CD22</f>
        <v>0</v>
      </c>
      <c r="J122" t="str">
        <f>AD!CE22</f>
        <v>Adaptors</v>
      </c>
      <c r="K122" t="str">
        <f>AD!CF22</f>
        <v>60-21HF4HF6</v>
      </c>
      <c r="L122" t="str">
        <f>AD!CG22</f>
        <v>AD-15</v>
      </c>
      <c r="M122">
        <f>AD!CH22</f>
        <v>0</v>
      </c>
      <c r="N122">
        <f>AD!CI22</f>
        <v>0</v>
      </c>
      <c r="O122">
        <f>AD!CJ22</f>
        <v>0</v>
      </c>
      <c r="P122" s="143" t="str">
        <f>AD!CK22</f>
        <v>Active</v>
      </c>
      <c r="R122">
        <f t="shared" si="1"/>
        <v>121</v>
      </c>
    </row>
    <row r="123" spans="5:18">
      <c r="E123" s="147" t="s">
        <v>56</v>
      </c>
      <c r="F123" t="str">
        <f>AD!CA23</f>
        <v>HPS</v>
      </c>
      <c r="G123" t="str">
        <f>AD!CB23</f>
        <v>AC</v>
      </c>
      <c r="H123" t="str">
        <f>AD!CC23</f>
        <v>Vessel</v>
      </c>
      <c r="I123">
        <f>AD!CD23</f>
        <v>0</v>
      </c>
      <c r="J123" t="str">
        <f>AD!CE23</f>
        <v>Adaptors</v>
      </c>
      <c r="K123" t="str">
        <f>AD!CF23</f>
        <v>60-21HF4HF6</v>
      </c>
      <c r="L123" t="str">
        <f>AD!CG23</f>
        <v>AD-16</v>
      </c>
      <c r="M123">
        <f>AD!CH23</f>
        <v>0</v>
      </c>
      <c r="N123">
        <f>AD!CI23</f>
        <v>0</v>
      </c>
      <c r="O123">
        <f>AD!CJ23</f>
        <v>0</v>
      </c>
      <c r="P123" s="143" t="str">
        <f>AD!CK23</f>
        <v>Active</v>
      </c>
      <c r="R123">
        <f t="shared" si="1"/>
        <v>122</v>
      </c>
    </row>
    <row r="124" spans="5:18">
      <c r="E124" s="147" t="s">
        <v>56</v>
      </c>
      <c r="F124" t="str">
        <f>AD!CA24</f>
        <v>HPS</v>
      </c>
      <c r="G124" t="str">
        <f>AD!CB24</f>
        <v>AC</v>
      </c>
      <c r="H124" t="str">
        <f>AD!CC24</f>
        <v>Vessel</v>
      </c>
      <c r="I124">
        <f>AD!CD24</f>
        <v>0</v>
      </c>
      <c r="J124" t="str">
        <f>AD!CE24</f>
        <v>Adaptors</v>
      </c>
      <c r="K124" t="str">
        <f>AD!CF24</f>
        <v>60-21HF4HF6</v>
      </c>
      <c r="L124" t="str">
        <f>AD!CG24</f>
        <v>AD-17</v>
      </c>
      <c r="M124">
        <f>AD!CH24</f>
        <v>0</v>
      </c>
      <c r="N124">
        <f>AD!CI24</f>
        <v>0</v>
      </c>
      <c r="O124">
        <f>AD!CJ24</f>
        <v>0</v>
      </c>
      <c r="P124" s="143" t="str">
        <f>AD!CK24</f>
        <v>Active</v>
      </c>
      <c r="R124">
        <f t="shared" si="1"/>
        <v>123</v>
      </c>
    </row>
    <row r="125" spans="5:18">
      <c r="E125" s="147" t="s">
        <v>56</v>
      </c>
      <c r="F125" t="str">
        <f>AD!CA25</f>
        <v>HPS</v>
      </c>
      <c r="G125" t="str">
        <f>AD!CB25</f>
        <v>AC</v>
      </c>
      <c r="H125" t="str">
        <f>AD!CC25</f>
        <v>Vessel</v>
      </c>
      <c r="I125">
        <f>AD!CD25</f>
        <v>0</v>
      </c>
      <c r="J125" t="str">
        <f>AD!CE25</f>
        <v>Adaptors</v>
      </c>
      <c r="K125" t="str">
        <f>AD!CF25</f>
        <v>60-21HF4HF6</v>
      </c>
      <c r="L125" t="str">
        <f>AD!CG25</f>
        <v>AD-18</v>
      </c>
      <c r="M125">
        <f>AD!CH25</f>
        <v>0</v>
      </c>
      <c r="N125">
        <f>AD!CI25</f>
        <v>0</v>
      </c>
      <c r="O125">
        <f>AD!CJ25</f>
        <v>0</v>
      </c>
      <c r="P125" s="143" t="str">
        <f>AD!CK25</f>
        <v>Active</v>
      </c>
      <c r="R125">
        <f t="shared" si="1"/>
        <v>124</v>
      </c>
    </row>
    <row r="126" spans="5:18">
      <c r="E126" s="147" t="s">
        <v>56</v>
      </c>
      <c r="F126" t="str">
        <f>AD!CA26</f>
        <v>HPS</v>
      </c>
      <c r="G126" t="str">
        <f>AD!CB26</f>
        <v>AC</v>
      </c>
      <c r="H126" t="str">
        <f>AD!CC26</f>
        <v>Vessel</v>
      </c>
      <c r="I126">
        <f>AD!CD26</f>
        <v>0</v>
      </c>
      <c r="J126" t="str">
        <f>AD!CE26</f>
        <v>Adaptors</v>
      </c>
      <c r="K126" t="str">
        <f>AD!CF26</f>
        <v>60-21HF4HF6</v>
      </c>
      <c r="L126" t="str">
        <f>AD!CG26</f>
        <v>AD-19</v>
      </c>
      <c r="M126">
        <f>AD!CH26</f>
        <v>0</v>
      </c>
      <c r="N126">
        <f>AD!CI26</f>
        <v>0</v>
      </c>
      <c r="O126">
        <f>AD!CJ26</f>
        <v>0</v>
      </c>
      <c r="P126" s="143" t="str">
        <f>AD!CK26</f>
        <v>Active</v>
      </c>
      <c r="R126">
        <f t="shared" si="1"/>
        <v>125</v>
      </c>
    </row>
    <row r="127" spans="5:18">
      <c r="E127" s="147" t="s">
        <v>56</v>
      </c>
      <c r="F127" t="str">
        <f>AD!CA27</f>
        <v>HPS</v>
      </c>
      <c r="G127" t="str">
        <f>AD!CB27</f>
        <v>AC</v>
      </c>
      <c r="H127" t="str">
        <f>AD!CC27</f>
        <v>Vessel</v>
      </c>
      <c r="I127">
        <f>AD!CD27</f>
        <v>0</v>
      </c>
      <c r="J127" t="str">
        <f>AD!CE27</f>
        <v>Adaptors</v>
      </c>
      <c r="K127" t="str">
        <f>AD!CF27</f>
        <v>60-21HF4HF6</v>
      </c>
      <c r="L127" t="str">
        <f>AD!CG27</f>
        <v>AD-20</v>
      </c>
      <c r="M127">
        <f>AD!CH27</f>
        <v>0</v>
      </c>
      <c r="N127">
        <f>AD!CI27</f>
        <v>0</v>
      </c>
      <c r="O127">
        <f>AD!CJ27</f>
        <v>0</v>
      </c>
      <c r="P127" s="143" t="str">
        <f>AD!CK27</f>
        <v>Active</v>
      </c>
      <c r="R127">
        <f t="shared" si="1"/>
        <v>126</v>
      </c>
    </row>
    <row r="128" spans="5:18">
      <c r="E128" s="147" t="s">
        <v>56</v>
      </c>
      <c r="F128" t="str">
        <f>AD!CA28</f>
        <v>HPS</v>
      </c>
      <c r="G128" t="str">
        <f>AD!CB28</f>
        <v>AC</v>
      </c>
      <c r="H128" t="str">
        <f>AD!CC28</f>
        <v>Vessel</v>
      </c>
      <c r="I128">
        <f>AD!CD28</f>
        <v>0</v>
      </c>
      <c r="J128" t="str">
        <f>AD!CE28</f>
        <v>Adaptors</v>
      </c>
      <c r="K128" t="str">
        <f>AD!CF28</f>
        <v>60-21HF4HF6</v>
      </c>
      <c r="L128" t="str">
        <f>AD!CG28</f>
        <v>AD-21</v>
      </c>
      <c r="M128">
        <f>AD!CH28</f>
        <v>0</v>
      </c>
      <c r="N128">
        <f>AD!CI28</f>
        <v>0</v>
      </c>
      <c r="O128">
        <f>AD!CJ28</f>
        <v>0</v>
      </c>
      <c r="P128" s="143" t="str">
        <f>AD!CK28</f>
        <v>Active</v>
      </c>
      <c r="R128">
        <f t="shared" si="1"/>
        <v>127</v>
      </c>
    </row>
    <row r="129" spans="5:18">
      <c r="E129" s="147" t="s">
        <v>56</v>
      </c>
      <c r="F129" t="str">
        <f>AD!CA29</f>
        <v>HPS</v>
      </c>
      <c r="G129" t="str">
        <f>AD!CB29</f>
        <v>AC</v>
      </c>
      <c r="H129" t="str">
        <f>AD!CC29</f>
        <v>Vessel</v>
      </c>
      <c r="I129">
        <f>AD!CD29</f>
        <v>0</v>
      </c>
      <c r="J129" t="str">
        <f>AD!CE29</f>
        <v>Adaptors</v>
      </c>
      <c r="K129" t="str">
        <f>AD!CF29</f>
        <v>60-21HF4HF6</v>
      </c>
      <c r="L129" t="str">
        <f>AD!CG29</f>
        <v>AD-22</v>
      </c>
      <c r="M129">
        <f>AD!CH29</f>
        <v>0</v>
      </c>
      <c r="N129">
        <f>AD!CI29</f>
        <v>0</v>
      </c>
      <c r="O129">
        <f>AD!CJ29</f>
        <v>0</v>
      </c>
      <c r="P129" s="143" t="str">
        <f>AD!CK29</f>
        <v>Active</v>
      </c>
      <c r="R129">
        <f t="shared" si="1"/>
        <v>128</v>
      </c>
    </row>
    <row r="130" spans="5:18">
      <c r="E130" s="147" t="s">
        <v>56</v>
      </c>
      <c r="F130" t="str">
        <f>AD!CA30</f>
        <v>HPS</v>
      </c>
      <c r="G130" t="str">
        <f>AD!CB30</f>
        <v>AC</v>
      </c>
      <c r="H130" t="str">
        <f>AD!CC30</f>
        <v>Vessel</v>
      </c>
      <c r="I130">
        <f>AD!CD30</f>
        <v>0</v>
      </c>
      <c r="J130" t="str">
        <f>AD!CE30</f>
        <v>Adaptors</v>
      </c>
      <c r="K130" t="str">
        <f>AD!CF30</f>
        <v>60-21HF4HF6</v>
      </c>
      <c r="L130" t="str">
        <f>AD!CG30</f>
        <v>AD-23</v>
      </c>
      <c r="M130">
        <f>AD!CH30</f>
        <v>0</v>
      </c>
      <c r="N130">
        <f>AD!CI30</f>
        <v>0</v>
      </c>
      <c r="O130">
        <f>AD!CJ30</f>
        <v>0</v>
      </c>
      <c r="P130" s="143" t="str">
        <f>AD!CK30</f>
        <v>Active</v>
      </c>
      <c r="R130">
        <f t="shared" si="1"/>
        <v>129</v>
      </c>
    </row>
    <row r="131" spans="5:18">
      <c r="E131" s="147" t="s">
        <v>56</v>
      </c>
      <c r="F131" t="str">
        <f>AD!CA31</f>
        <v>HPS</v>
      </c>
      <c r="G131" t="str">
        <f>AD!CB31</f>
        <v>AC</v>
      </c>
      <c r="H131" t="str">
        <f>AD!CC31</f>
        <v>Vessel</v>
      </c>
      <c r="I131">
        <f>AD!CD31</f>
        <v>0</v>
      </c>
      <c r="J131" t="str">
        <f>AD!CE31</f>
        <v>Adaptors</v>
      </c>
      <c r="K131" t="str">
        <f>AD!CF31</f>
        <v>60-21HF4HF6</v>
      </c>
      <c r="L131" t="str">
        <f>AD!CG31</f>
        <v>AD-24</v>
      </c>
      <c r="M131">
        <f>AD!CH31</f>
        <v>0</v>
      </c>
      <c r="N131">
        <f>AD!CI31</f>
        <v>0</v>
      </c>
      <c r="O131">
        <f>AD!CJ31</f>
        <v>0</v>
      </c>
      <c r="P131" s="143" t="str">
        <f>AD!CK31</f>
        <v>Active</v>
      </c>
      <c r="R131">
        <f t="shared" si="1"/>
        <v>130</v>
      </c>
    </row>
    <row r="132" spans="5:18">
      <c r="E132" s="147" t="s">
        <v>56</v>
      </c>
      <c r="F132" t="str">
        <f>AD!CA32</f>
        <v>HPS</v>
      </c>
      <c r="G132" t="str">
        <f>AD!CB32</f>
        <v>AC</v>
      </c>
      <c r="H132" t="str">
        <f>AD!CC32</f>
        <v>Vessel</v>
      </c>
      <c r="I132">
        <f>AD!CD32</f>
        <v>0</v>
      </c>
      <c r="J132" t="str">
        <f>AD!CE32</f>
        <v>Adaptors</v>
      </c>
      <c r="K132" t="str">
        <f>AD!CF32</f>
        <v>60-21HF4HF6</v>
      </c>
      <c r="L132" t="str">
        <f>AD!CG32</f>
        <v>AD-25</v>
      </c>
      <c r="M132">
        <f>AD!CH32</f>
        <v>0</v>
      </c>
      <c r="N132">
        <f>AD!CI32</f>
        <v>0</v>
      </c>
      <c r="O132">
        <f>AD!CJ32</f>
        <v>0</v>
      </c>
      <c r="P132" s="143" t="str">
        <f>AD!CK32</f>
        <v>Active</v>
      </c>
      <c r="R132">
        <f t="shared" ref="R132:R195" si="2">R131+1</f>
        <v>131</v>
      </c>
    </row>
    <row r="133" spans="5:18">
      <c r="E133" s="147" t="s">
        <v>56</v>
      </c>
      <c r="F133" t="str">
        <f>AD!CA33</f>
        <v>HPS</v>
      </c>
      <c r="G133" t="str">
        <f>AD!CB33</f>
        <v>AC</v>
      </c>
      <c r="H133" t="str">
        <f>AD!CC33</f>
        <v>Vessel</v>
      </c>
      <c r="I133">
        <f>AD!CD33</f>
        <v>0</v>
      </c>
      <c r="J133" t="str">
        <f>AD!CE33</f>
        <v>Adaptors</v>
      </c>
      <c r="K133" t="str">
        <f>AD!CF33</f>
        <v>60-21HF4HF6</v>
      </c>
      <c r="L133" t="str">
        <f>AD!CG33</f>
        <v>AD-26</v>
      </c>
      <c r="M133">
        <f>AD!CH33</f>
        <v>0</v>
      </c>
      <c r="N133">
        <f>AD!CI33</f>
        <v>0</v>
      </c>
      <c r="O133">
        <f>AD!CJ33</f>
        <v>0</v>
      </c>
      <c r="P133" s="143" t="str">
        <f>AD!CK33</f>
        <v>Active</v>
      </c>
      <c r="R133">
        <f t="shared" si="2"/>
        <v>132</v>
      </c>
    </row>
    <row r="134" spans="5:18">
      <c r="E134" s="147" t="s">
        <v>56</v>
      </c>
      <c r="F134" t="str">
        <f>AD!CA34</f>
        <v>HPS</v>
      </c>
      <c r="G134" t="str">
        <f>AD!CB34</f>
        <v>AC</v>
      </c>
      <c r="H134" t="str">
        <f>AD!CC34</f>
        <v>Vessel</v>
      </c>
      <c r="I134">
        <f>AD!CD34</f>
        <v>0</v>
      </c>
      <c r="J134" t="str">
        <f>AD!CE34</f>
        <v>Adaptors</v>
      </c>
      <c r="K134" t="str">
        <f>AD!CF34</f>
        <v>60-21HF4HF6</v>
      </c>
      <c r="L134" t="str">
        <f>AD!CG34</f>
        <v>AD-27</v>
      </c>
      <c r="M134">
        <f>AD!CH34</f>
        <v>0</v>
      </c>
      <c r="N134">
        <f>AD!CI34</f>
        <v>0</v>
      </c>
      <c r="O134">
        <f>AD!CJ34</f>
        <v>0</v>
      </c>
      <c r="P134" s="143" t="str">
        <f>AD!CK34</f>
        <v>Active</v>
      </c>
      <c r="R134">
        <f t="shared" si="2"/>
        <v>133</v>
      </c>
    </row>
    <row r="135" spans="5:18">
      <c r="E135" s="147" t="s">
        <v>56</v>
      </c>
      <c r="F135" t="str">
        <f>AD!CA35</f>
        <v>HPS</v>
      </c>
      <c r="G135" t="str">
        <f>AD!CB35</f>
        <v>AC</v>
      </c>
      <c r="H135" t="str">
        <f>AD!CC35</f>
        <v>Vessel</v>
      </c>
      <c r="I135">
        <f>AD!CD35</f>
        <v>0</v>
      </c>
      <c r="J135" t="str">
        <f>AD!CE35</f>
        <v>Adaptors</v>
      </c>
      <c r="K135" t="str">
        <f>AD!CF35</f>
        <v>60-21HF4HF6</v>
      </c>
      <c r="L135" t="str">
        <f>AD!CG35</f>
        <v>AD-28</v>
      </c>
      <c r="M135">
        <f>AD!CH35</f>
        <v>0</v>
      </c>
      <c r="N135">
        <f>AD!CI35</f>
        <v>0</v>
      </c>
      <c r="O135">
        <f>AD!CJ35</f>
        <v>0</v>
      </c>
      <c r="P135" s="143" t="str">
        <f>AD!CK35</f>
        <v>Active</v>
      </c>
      <c r="R135">
        <f t="shared" si="2"/>
        <v>134</v>
      </c>
    </row>
    <row r="136" spans="5:18">
      <c r="E136" s="147" t="s">
        <v>56</v>
      </c>
      <c r="F136" t="str">
        <f>AD!CA36</f>
        <v>HPS</v>
      </c>
      <c r="G136" t="str">
        <f>AD!CB36</f>
        <v>AC</v>
      </c>
      <c r="H136" t="str">
        <f>AD!CC36</f>
        <v>Vessel</v>
      </c>
      <c r="I136">
        <f>AD!CD36</f>
        <v>0</v>
      </c>
      <c r="J136" t="str">
        <f>AD!CE36</f>
        <v>Adaptors</v>
      </c>
      <c r="K136" t="str">
        <f>AD!CF36</f>
        <v>60-21HF4HF6</v>
      </c>
      <c r="L136" t="str">
        <f>AD!CG36</f>
        <v>AD-29</v>
      </c>
      <c r="M136">
        <f>AD!CH36</f>
        <v>0</v>
      </c>
      <c r="N136">
        <f>AD!CI36</f>
        <v>0</v>
      </c>
      <c r="O136">
        <f>AD!CJ36</f>
        <v>0</v>
      </c>
      <c r="P136" s="143" t="str">
        <f>AD!CK36</f>
        <v>Active</v>
      </c>
      <c r="R136">
        <f t="shared" si="2"/>
        <v>135</v>
      </c>
    </row>
    <row r="137" spans="5:18">
      <c r="E137" s="147" t="s">
        <v>56</v>
      </c>
      <c r="F137" t="str">
        <f>AD!CA37</f>
        <v>HPS</v>
      </c>
      <c r="G137" t="str">
        <f>AD!CB37</f>
        <v>AC</v>
      </c>
      <c r="H137" t="str">
        <f>AD!CC37</f>
        <v>Vessel</v>
      </c>
      <c r="I137">
        <f>AD!CD37</f>
        <v>0</v>
      </c>
      <c r="J137" t="str">
        <f>AD!CE37</f>
        <v>Adaptors</v>
      </c>
      <c r="K137" t="str">
        <f>AD!CF37</f>
        <v>60-21HF4HF6</v>
      </c>
      <c r="L137" t="str">
        <f>AD!CG37</f>
        <v>AD-30</v>
      </c>
      <c r="M137">
        <f>AD!CH37</f>
        <v>0</v>
      </c>
      <c r="N137">
        <f>AD!CI37</f>
        <v>0</v>
      </c>
      <c r="O137">
        <f>AD!CJ37</f>
        <v>0</v>
      </c>
      <c r="P137" s="143" t="str">
        <f>AD!CK37</f>
        <v>Active</v>
      </c>
      <c r="R137">
        <f t="shared" si="2"/>
        <v>136</v>
      </c>
    </row>
    <row r="138" spans="5:18">
      <c r="E138" s="147" t="s">
        <v>56</v>
      </c>
      <c r="F138" t="str">
        <f>AD!CA38</f>
        <v>HPS</v>
      </c>
      <c r="G138" t="str">
        <f>AD!CB38</f>
        <v>AC</v>
      </c>
      <c r="H138" t="str">
        <f>AD!CC38</f>
        <v>Vessel</v>
      </c>
      <c r="I138">
        <f>AD!CD38</f>
        <v>0</v>
      </c>
      <c r="J138" t="str">
        <f>AD!CE38</f>
        <v>Adaptors</v>
      </c>
      <c r="K138" t="str">
        <f>AD!CF38</f>
        <v>60-21HF4HF6</v>
      </c>
      <c r="L138" t="str">
        <f>AD!CG38</f>
        <v>AD-31</v>
      </c>
      <c r="M138">
        <f>AD!CH38</f>
        <v>0</v>
      </c>
      <c r="N138">
        <f>AD!CI38</f>
        <v>0</v>
      </c>
      <c r="O138">
        <f>AD!CJ38</f>
        <v>0</v>
      </c>
      <c r="P138" s="143" t="str">
        <f>AD!CK38</f>
        <v>Active</v>
      </c>
      <c r="R138">
        <f t="shared" si="2"/>
        <v>137</v>
      </c>
    </row>
    <row r="139" spans="5:18">
      <c r="E139" s="147" t="s">
        <v>56</v>
      </c>
      <c r="F139" t="str">
        <f>AD!CA39</f>
        <v>HPS</v>
      </c>
      <c r="G139" t="str">
        <f>AD!CB39</f>
        <v>AC</v>
      </c>
      <c r="H139" t="str">
        <f>AD!CC39</f>
        <v>Vessel</v>
      </c>
      <c r="I139">
        <f>AD!CD39</f>
        <v>0</v>
      </c>
      <c r="J139" t="str">
        <f>AD!CE39</f>
        <v>Adaptors</v>
      </c>
      <c r="K139" t="str">
        <f>AD!CF39</f>
        <v>60-21HF4HF6</v>
      </c>
      <c r="L139" t="str">
        <f>AD!CG39</f>
        <v>AD-32</v>
      </c>
      <c r="M139">
        <f>AD!CH39</f>
        <v>0</v>
      </c>
      <c r="N139">
        <f>AD!CI39</f>
        <v>0</v>
      </c>
      <c r="O139">
        <f>AD!CJ39</f>
        <v>0</v>
      </c>
      <c r="P139" s="143" t="str">
        <f>AD!CK39</f>
        <v>Active</v>
      </c>
      <c r="R139">
        <f t="shared" si="2"/>
        <v>138</v>
      </c>
    </row>
    <row r="140" spans="5:18">
      <c r="E140" s="147" t="s">
        <v>56</v>
      </c>
      <c r="F140" t="str">
        <f>AD!CA40</f>
        <v>HPS</v>
      </c>
      <c r="G140" t="str">
        <f>AD!CB40</f>
        <v>AC</v>
      </c>
      <c r="H140" t="str">
        <f>AD!CC40</f>
        <v>Vessel</v>
      </c>
      <c r="I140">
        <f>AD!CD40</f>
        <v>0</v>
      </c>
      <c r="J140" t="str">
        <f>AD!CE40</f>
        <v>Adaptors</v>
      </c>
      <c r="K140" t="str">
        <f>AD!CF40</f>
        <v>60-21HF4HF6</v>
      </c>
      <c r="L140" t="str">
        <f>AD!CG40</f>
        <v>AD-33</v>
      </c>
      <c r="M140">
        <f>AD!CH40</f>
        <v>0</v>
      </c>
      <c r="N140">
        <f>AD!CI40</f>
        <v>0</v>
      </c>
      <c r="O140">
        <f>AD!CJ40</f>
        <v>0</v>
      </c>
      <c r="P140" s="143" t="str">
        <f>AD!CK40</f>
        <v>Active</v>
      </c>
      <c r="R140">
        <f t="shared" si="2"/>
        <v>139</v>
      </c>
    </row>
    <row r="141" spans="5:18">
      <c r="E141" s="147" t="s">
        <v>56</v>
      </c>
      <c r="F141" t="str">
        <f>AD!CA41</f>
        <v>HPS</v>
      </c>
      <c r="G141" t="str">
        <f>AD!CB41</f>
        <v>AC</v>
      </c>
      <c r="H141" t="str">
        <f>AD!CC41</f>
        <v>Vessel</v>
      </c>
      <c r="I141">
        <f>AD!CD41</f>
        <v>0</v>
      </c>
      <c r="J141" t="str">
        <f>AD!CE41</f>
        <v>Adaptors</v>
      </c>
      <c r="K141" t="str">
        <f>AD!CF41</f>
        <v>100-21XF6XM4</v>
      </c>
      <c r="L141" t="str">
        <f>AD!CG41</f>
        <v>AD-34</v>
      </c>
      <c r="M141">
        <f>AD!CH41</f>
        <v>0</v>
      </c>
      <c r="N141">
        <f>AD!CI41</f>
        <v>0</v>
      </c>
      <c r="O141">
        <f>AD!CJ41</f>
        <v>0</v>
      </c>
      <c r="P141" s="143" t="str">
        <f>AD!CK41</f>
        <v>Active</v>
      </c>
      <c r="R141">
        <f t="shared" si="2"/>
        <v>140</v>
      </c>
    </row>
    <row r="142" spans="5:18">
      <c r="E142" s="147" t="s">
        <v>56</v>
      </c>
      <c r="F142" t="str">
        <f>AD!CA42</f>
        <v>HPS</v>
      </c>
      <c r="G142" t="str">
        <f>AD!CB42</f>
        <v>AC</v>
      </c>
      <c r="H142" t="str">
        <f>AD!CC42</f>
        <v>Vessel</v>
      </c>
      <c r="I142">
        <f>AD!CD42</f>
        <v>0</v>
      </c>
      <c r="J142" t="str">
        <f>AD!CE42</f>
        <v>Adaptors</v>
      </c>
      <c r="K142" t="str">
        <f>AD!CF42</f>
        <v>100-21XF6XM4</v>
      </c>
      <c r="L142" t="str">
        <f>AD!CG42</f>
        <v>AD-35</v>
      </c>
      <c r="M142">
        <f>AD!CH42</f>
        <v>0</v>
      </c>
      <c r="N142">
        <f>AD!CI42</f>
        <v>0</v>
      </c>
      <c r="O142">
        <f>AD!CJ42</f>
        <v>0</v>
      </c>
      <c r="P142" s="143" t="str">
        <f>AD!CK42</f>
        <v>Active</v>
      </c>
      <c r="R142">
        <f t="shared" si="2"/>
        <v>141</v>
      </c>
    </row>
    <row r="143" spans="5:18">
      <c r="E143" s="147" t="s">
        <v>56</v>
      </c>
      <c r="F143" t="str">
        <f>AD!CA43</f>
        <v>HPS</v>
      </c>
      <c r="G143" t="str">
        <f>AD!CB43</f>
        <v>AC</v>
      </c>
      <c r="H143" t="str">
        <f>AD!CC43</f>
        <v>Vessel</v>
      </c>
      <c r="I143">
        <f>AD!CD43</f>
        <v>0</v>
      </c>
      <c r="J143" t="str">
        <f>AD!CE43</f>
        <v>Adaptors</v>
      </c>
      <c r="K143" t="str">
        <f>AD!CF43</f>
        <v>100-21XF6XM4</v>
      </c>
      <c r="L143" t="str">
        <f>AD!CG43</f>
        <v>AD-36</v>
      </c>
      <c r="M143">
        <f>AD!CH43</f>
        <v>0</v>
      </c>
      <c r="N143">
        <f>AD!CI43</f>
        <v>0</v>
      </c>
      <c r="O143">
        <f>AD!CJ43</f>
        <v>0</v>
      </c>
      <c r="P143" s="143" t="str">
        <f>AD!CK43</f>
        <v>Active</v>
      </c>
      <c r="R143">
        <f t="shared" si="2"/>
        <v>142</v>
      </c>
    </row>
    <row r="144" spans="5:18">
      <c r="E144" s="147" t="s">
        <v>56</v>
      </c>
      <c r="F144" t="str">
        <f>AD!CA44</f>
        <v>HPS</v>
      </c>
      <c r="G144" t="str">
        <f>AD!CB44</f>
        <v>AC</v>
      </c>
      <c r="H144" t="str">
        <f>AD!CC44</f>
        <v>Vessel</v>
      </c>
      <c r="I144">
        <f>AD!CD44</f>
        <v>0</v>
      </c>
      <c r="J144" t="str">
        <f>AD!CE44</f>
        <v>Adaptors</v>
      </c>
      <c r="K144" t="str">
        <f>AD!CF44</f>
        <v>Custom</v>
      </c>
      <c r="L144" t="str">
        <f>AD!CG44</f>
        <v>AD-37</v>
      </c>
      <c r="M144">
        <f>AD!CH44</f>
        <v>0</v>
      </c>
      <c r="N144">
        <f>AD!CI44</f>
        <v>0</v>
      </c>
      <c r="O144">
        <f>AD!CJ44</f>
        <v>0</v>
      </c>
      <c r="P144" s="143" t="str">
        <f>AD!CK44</f>
        <v>Active</v>
      </c>
      <c r="R144">
        <f t="shared" si="2"/>
        <v>143</v>
      </c>
    </row>
    <row r="145" spans="5:18">
      <c r="E145" s="147" t="s">
        <v>56</v>
      </c>
      <c r="F145" t="str">
        <f>AD!CA45</f>
        <v>HPS</v>
      </c>
      <c r="G145" t="str">
        <f>AD!CB45</f>
        <v>AC</v>
      </c>
      <c r="H145" t="str">
        <f>AD!CC45</f>
        <v>Vessel</v>
      </c>
      <c r="I145">
        <f>AD!CD45</f>
        <v>0</v>
      </c>
      <c r="J145" t="str">
        <f>AD!CE45</f>
        <v>Adaptors</v>
      </c>
      <c r="K145" t="str">
        <f>AD!CF45</f>
        <v>100-21XF6XM4</v>
      </c>
      <c r="L145" t="str">
        <f>AD!CG45</f>
        <v>AD-38</v>
      </c>
      <c r="M145">
        <f>AD!CH45</f>
        <v>0</v>
      </c>
      <c r="N145">
        <f>AD!CI45</f>
        <v>0</v>
      </c>
      <c r="O145">
        <f>AD!CJ45</f>
        <v>0</v>
      </c>
      <c r="P145" s="143" t="str">
        <f>AD!CK45</f>
        <v>Active</v>
      </c>
      <c r="R145">
        <f t="shared" si="2"/>
        <v>144</v>
      </c>
    </row>
    <row r="146" spans="5:18">
      <c r="E146" s="147" t="s">
        <v>56</v>
      </c>
      <c r="F146" t="str">
        <f>AD!CA46</f>
        <v>HPS</v>
      </c>
      <c r="G146" t="str">
        <f>AD!CB46</f>
        <v>AC</v>
      </c>
      <c r="H146" t="str">
        <f>AD!CC46</f>
        <v>Vessel</v>
      </c>
      <c r="I146">
        <f>AD!CD46</f>
        <v>0</v>
      </c>
      <c r="J146" t="str">
        <f>AD!CE46</f>
        <v>Adaptors</v>
      </c>
      <c r="K146" t="str">
        <f>AD!CF46</f>
        <v>100-21XF6XM4</v>
      </c>
      <c r="L146" t="str">
        <f>AD!CG46</f>
        <v>AD-39</v>
      </c>
      <c r="M146">
        <f>AD!CH46</f>
        <v>0</v>
      </c>
      <c r="N146">
        <f>AD!CI46</f>
        <v>0</v>
      </c>
      <c r="O146">
        <f>AD!CJ46</f>
        <v>0</v>
      </c>
      <c r="P146" s="143" t="str">
        <f>AD!CK46</f>
        <v>Active</v>
      </c>
      <c r="R146">
        <f t="shared" si="2"/>
        <v>145</v>
      </c>
    </row>
    <row r="147" spans="5:18">
      <c r="E147" s="147" t="s">
        <v>56</v>
      </c>
      <c r="F147" t="str">
        <f>AD!CA47</f>
        <v>HPS</v>
      </c>
      <c r="G147" t="str">
        <f>AD!CB47</f>
        <v>AC</v>
      </c>
      <c r="H147" t="str">
        <f>AD!CC47</f>
        <v>Vessel</v>
      </c>
      <c r="I147">
        <f>AD!CD47</f>
        <v>0</v>
      </c>
      <c r="J147" t="str">
        <f>AD!CE47</f>
        <v>Adaptors</v>
      </c>
      <c r="K147" t="str">
        <f>AD!CF47</f>
        <v>100-21XF6XM4</v>
      </c>
      <c r="L147" t="str">
        <f>AD!CG47</f>
        <v>AD-40</v>
      </c>
      <c r="M147">
        <f>AD!CH47</f>
        <v>0</v>
      </c>
      <c r="N147">
        <f>AD!CI47</f>
        <v>0</v>
      </c>
      <c r="O147">
        <f>AD!CJ47</f>
        <v>0</v>
      </c>
      <c r="P147" s="143" t="str">
        <f>AD!CK47</f>
        <v>Active</v>
      </c>
      <c r="R147">
        <f t="shared" si="2"/>
        <v>146</v>
      </c>
    </row>
    <row r="148" spans="5:18">
      <c r="E148" s="147" t="s">
        <v>56</v>
      </c>
      <c r="F148" t="str">
        <f>AD!CA48</f>
        <v>HPS</v>
      </c>
      <c r="G148" t="str">
        <f>AD!CB48</f>
        <v>AC</v>
      </c>
      <c r="H148" t="str">
        <f>AD!CC48</f>
        <v>Vessel</v>
      </c>
      <c r="I148">
        <f>AD!CD48</f>
        <v>0</v>
      </c>
      <c r="J148" t="str">
        <f>AD!CE48</f>
        <v>Adaptors</v>
      </c>
      <c r="K148" t="str">
        <f>AD!CF48</f>
        <v>Custom</v>
      </c>
      <c r="L148" t="str">
        <f>AD!CG48</f>
        <v>AD-41</v>
      </c>
      <c r="M148">
        <f>AD!CH48</f>
        <v>0</v>
      </c>
      <c r="N148">
        <f>AD!CI48</f>
        <v>0</v>
      </c>
      <c r="O148">
        <f>AD!CJ48</f>
        <v>0</v>
      </c>
      <c r="P148" s="143" t="str">
        <f>AD!CK48</f>
        <v>Active</v>
      </c>
      <c r="R148">
        <f t="shared" si="2"/>
        <v>147</v>
      </c>
    </row>
    <row r="149" spans="5:18">
      <c r="E149" s="147" t="s">
        <v>56</v>
      </c>
      <c r="F149" t="str">
        <f>AD!CA49</f>
        <v>HPS</v>
      </c>
      <c r="G149" t="str">
        <f>AD!CB49</f>
        <v>AC</v>
      </c>
      <c r="H149" t="str">
        <f>AD!CC49</f>
        <v>Vessel</v>
      </c>
      <c r="I149">
        <f>AD!CD49</f>
        <v>0</v>
      </c>
      <c r="J149" t="str">
        <f>AD!CE49</f>
        <v>Adaptors</v>
      </c>
      <c r="K149" t="str">
        <f>AD!CF49</f>
        <v>Custom</v>
      </c>
      <c r="L149" t="str">
        <f>AD!CG49</f>
        <v>AD-42</v>
      </c>
      <c r="M149">
        <f>AD!CH49</f>
        <v>0</v>
      </c>
      <c r="N149">
        <f>AD!CI49</f>
        <v>0</v>
      </c>
      <c r="O149">
        <f>AD!CJ49</f>
        <v>0</v>
      </c>
      <c r="P149" s="143" t="str">
        <f>AD!CK49</f>
        <v>Active</v>
      </c>
      <c r="R149">
        <f t="shared" si="2"/>
        <v>148</v>
      </c>
    </row>
    <row r="150" spans="5:18">
      <c r="E150" s="147" t="s">
        <v>56</v>
      </c>
      <c r="F150" t="str">
        <f>AD!CA50</f>
        <v>HPS</v>
      </c>
      <c r="G150" t="str">
        <f>AD!CB50</f>
        <v>AC</v>
      </c>
      <c r="H150" t="str">
        <f>AD!CC50</f>
        <v>Vessel</v>
      </c>
      <c r="I150">
        <f>AD!CD50</f>
        <v>0</v>
      </c>
      <c r="J150">
        <f>AD!CE50</f>
        <v>0</v>
      </c>
      <c r="K150">
        <f>AD!CF50</f>
        <v>0</v>
      </c>
      <c r="L150">
        <f>AD!CG50</f>
        <v>0</v>
      </c>
      <c r="M150">
        <f>AD!CH50</f>
        <v>0</v>
      </c>
      <c r="N150">
        <f>AD!CI50</f>
        <v>0</v>
      </c>
      <c r="O150">
        <f>AD!CJ50</f>
        <v>0</v>
      </c>
      <c r="P150" s="143" t="str">
        <f>AD!CK50</f>
        <v/>
      </c>
      <c r="R150">
        <f t="shared" si="2"/>
        <v>149</v>
      </c>
    </row>
    <row r="151" spans="5:18">
      <c r="E151" s="147" t="s">
        <v>56</v>
      </c>
      <c r="F151" t="str">
        <f>AD!CA51</f>
        <v>HPS</v>
      </c>
      <c r="G151" t="str">
        <f>AD!CB51</f>
        <v>AC</v>
      </c>
      <c r="H151" t="str">
        <f>AD!CC51</f>
        <v>Vessel</v>
      </c>
      <c r="I151">
        <f>AD!CD51</f>
        <v>0</v>
      </c>
      <c r="J151">
        <f>AD!CE51</f>
        <v>0</v>
      </c>
      <c r="K151">
        <f>AD!CF51</f>
        <v>0</v>
      </c>
      <c r="L151">
        <f>AD!CG51</f>
        <v>0</v>
      </c>
      <c r="M151">
        <f>AD!CH51</f>
        <v>0</v>
      </c>
      <c r="N151">
        <f>AD!CI51</f>
        <v>0</v>
      </c>
      <c r="O151">
        <f>AD!CJ51</f>
        <v>0</v>
      </c>
      <c r="P151" s="143" t="str">
        <f>AD!CK51</f>
        <v/>
      </c>
      <c r="R151">
        <f t="shared" si="2"/>
        <v>150</v>
      </c>
    </row>
    <row r="152" spans="5:18">
      <c r="E152" s="147" t="s">
        <v>56</v>
      </c>
      <c r="F152" t="str">
        <f>AD!CA52</f>
        <v>HPS</v>
      </c>
      <c r="G152" t="str">
        <f>AD!CB52</f>
        <v>AC</v>
      </c>
      <c r="H152" t="str">
        <f>AD!CC52</f>
        <v>Vessel</v>
      </c>
      <c r="I152">
        <f>AD!CD52</f>
        <v>0</v>
      </c>
      <c r="J152">
        <f>AD!CE52</f>
        <v>0</v>
      </c>
      <c r="K152">
        <f>AD!CF52</f>
        <v>0</v>
      </c>
      <c r="L152">
        <f>AD!CG52</f>
        <v>0</v>
      </c>
      <c r="M152">
        <f>AD!CH52</f>
        <v>0</v>
      </c>
      <c r="N152">
        <f>AD!CI52</f>
        <v>0</v>
      </c>
      <c r="O152">
        <f>AD!CJ52</f>
        <v>0</v>
      </c>
      <c r="P152" s="143" t="str">
        <f>AD!CK52</f>
        <v/>
      </c>
      <c r="R152">
        <f t="shared" si="2"/>
        <v>151</v>
      </c>
    </row>
    <row r="153" spans="5:18">
      <c r="E153" s="147" t="s">
        <v>56</v>
      </c>
      <c r="F153" t="str">
        <f>AD!CA53</f>
        <v>HPS</v>
      </c>
      <c r="G153" t="str">
        <f>AD!CB53</f>
        <v>AC</v>
      </c>
      <c r="H153" t="str">
        <f>AD!CC53</f>
        <v>Vessel</v>
      </c>
      <c r="I153">
        <f>AD!CD53</f>
        <v>0</v>
      </c>
      <c r="J153">
        <f>AD!CE53</f>
        <v>0</v>
      </c>
      <c r="K153">
        <f>AD!CF53</f>
        <v>0</v>
      </c>
      <c r="L153">
        <f>AD!CG53</f>
        <v>0</v>
      </c>
      <c r="M153">
        <f>AD!CH53</f>
        <v>0</v>
      </c>
      <c r="N153">
        <f>AD!CI53</f>
        <v>0</v>
      </c>
      <c r="O153">
        <f>AD!CJ53</f>
        <v>0</v>
      </c>
      <c r="P153" s="143" t="str">
        <f>AD!CK53</f>
        <v/>
      </c>
      <c r="R153">
        <f t="shared" si="2"/>
        <v>152</v>
      </c>
    </row>
    <row r="154" spans="5:18">
      <c r="E154" s="147" t="s">
        <v>56</v>
      </c>
      <c r="F154" t="str">
        <f>AD!CA54</f>
        <v>HPS</v>
      </c>
      <c r="G154" t="str">
        <f>AD!CB54</f>
        <v>AC</v>
      </c>
      <c r="H154" t="str">
        <f>AD!CC54</f>
        <v>Vessel</v>
      </c>
      <c r="I154">
        <f>AD!CD54</f>
        <v>0</v>
      </c>
      <c r="J154">
        <f>AD!CE54</f>
        <v>0</v>
      </c>
      <c r="K154">
        <f>AD!CF54</f>
        <v>0</v>
      </c>
      <c r="L154">
        <f>AD!CG54</f>
        <v>0</v>
      </c>
      <c r="M154">
        <f>AD!CH54</f>
        <v>0</v>
      </c>
      <c r="N154">
        <f>AD!CI54</f>
        <v>0</v>
      </c>
      <c r="O154">
        <f>AD!CJ54</f>
        <v>0</v>
      </c>
      <c r="P154" s="143" t="str">
        <f>AD!CK54</f>
        <v/>
      </c>
      <c r="R154">
        <f t="shared" si="2"/>
        <v>153</v>
      </c>
    </row>
    <row r="155" spans="5:18">
      <c r="E155" s="147" t="s">
        <v>56</v>
      </c>
      <c r="F155" t="str">
        <f>AD!CA55</f>
        <v>HPS</v>
      </c>
      <c r="G155" t="str">
        <f>AD!CB55</f>
        <v>AC</v>
      </c>
      <c r="H155" t="str">
        <f>AD!CC55</f>
        <v>Vessel</v>
      </c>
      <c r="I155">
        <f>AD!CD55</f>
        <v>0</v>
      </c>
      <c r="J155">
        <f>AD!CE55</f>
        <v>0</v>
      </c>
      <c r="K155">
        <f>AD!CF55</f>
        <v>0</v>
      </c>
      <c r="L155">
        <f>AD!CG55</f>
        <v>0</v>
      </c>
      <c r="M155">
        <f>AD!CH55</f>
        <v>0</v>
      </c>
      <c r="N155">
        <f>AD!CI55</f>
        <v>0</v>
      </c>
      <c r="O155">
        <f>AD!CJ55</f>
        <v>0</v>
      </c>
      <c r="P155" s="143" t="str">
        <f>AD!CK55</f>
        <v/>
      </c>
      <c r="R155">
        <f t="shared" si="2"/>
        <v>154</v>
      </c>
    </row>
    <row r="156" spans="5:18">
      <c r="E156" s="147" t="s">
        <v>56</v>
      </c>
      <c r="F156" t="str">
        <f>AD!CA56</f>
        <v>HPS</v>
      </c>
      <c r="G156" t="str">
        <f>AD!CB56</f>
        <v>AC</v>
      </c>
      <c r="H156" t="str">
        <f>AD!CC56</f>
        <v>Vessel</v>
      </c>
      <c r="I156">
        <f>AD!CD56</f>
        <v>0</v>
      </c>
      <c r="J156">
        <f>AD!CE56</f>
        <v>0</v>
      </c>
      <c r="K156">
        <f>AD!CF56</f>
        <v>0</v>
      </c>
      <c r="L156">
        <f>AD!CG56</f>
        <v>0</v>
      </c>
      <c r="M156">
        <f>AD!CH56</f>
        <v>0</v>
      </c>
      <c r="N156">
        <f>AD!CI56</f>
        <v>0</v>
      </c>
      <c r="O156">
        <f>AD!CJ56</f>
        <v>0</v>
      </c>
      <c r="P156" s="143" t="str">
        <f>AD!CK56</f>
        <v/>
      </c>
      <c r="R156">
        <f t="shared" si="2"/>
        <v>155</v>
      </c>
    </row>
    <row r="157" spans="5:18">
      <c r="E157" s="147" t="s">
        <v>56</v>
      </c>
      <c r="F157" t="str">
        <f>AD!CA57</f>
        <v>HPS</v>
      </c>
      <c r="G157" t="str">
        <f>AD!CB57</f>
        <v>AC</v>
      </c>
      <c r="H157" t="str">
        <f>AD!CC57</f>
        <v>Vessel</v>
      </c>
      <c r="I157">
        <f>AD!CD57</f>
        <v>0</v>
      </c>
      <c r="J157">
        <f>AD!CE57</f>
        <v>0</v>
      </c>
      <c r="K157">
        <f>AD!CF57</f>
        <v>0</v>
      </c>
      <c r="L157">
        <f>AD!CG57</f>
        <v>0</v>
      </c>
      <c r="M157">
        <f>AD!CH57</f>
        <v>0</v>
      </c>
      <c r="N157">
        <f>AD!CI57</f>
        <v>0</v>
      </c>
      <c r="O157">
        <f>AD!CJ57</f>
        <v>0</v>
      </c>
      <c r="P157" s="143" t="str">
        <f>AD!CK57</f>
        <v/>
      </c>
      <c r="R157">
        <f t="shared" si="2"/>
        <v>156</v>
      </c>
    </row>
    <row r="158" spans="5:18">
      <c r="E158" s="147" t="s">
        <v>56</v>
      </c>
      <c r="F158" t="str">
        <f>AD!CA58</f>
        <v>HPS</v>
      </c>
      <c r="G158" t="str">
        <f>AD!CB58</f>
        <v>AC</v>
      </c>
      <c r="H158" t="str">
        <f>AD!CC58</f>
        <v>Vessel</v>
      </c>
      <c r="I158">
        <f>AD!CD58</f>
        <v>0</v>
      </c>
      <c r="J158">
        <f>AD!CE58</f>
        <v>0</v>
      </c>
      <c r="K158">
        <f>AD!CF58</f>
        <v>0</v>
      </c>
      <c r="L158">
        <f>AD!CG58</f>
        <v>0</v>
      </c>
      <c r="M158">
        <f>AD!CH58</f>
        <v>0</v>
      </c>
      <c r="N158">
        <f>AD!CI58</f>
        <v>0</v>
      </c>
      <c r="O158">
        <f>AD!CJ58</f>
        <v>0</v>
      </c>
      <c r="P158" s="143" t="str">
        <f>AD!CK58</f>
        <v/>
      </c>
      <c r="R158">
        <f t="shared" si="2"/>
        <v>157</v>
      </c>
    </row>
    <row r="159" spans="5:18">
      <c r="E159" s="147" t="s">
        <v>56</v>
      </c>
      <c r="F159" t="str">
        <f>AD!CA59</f>
        <v>HPS</v>
      </c>
      <c r="G159" t="str">
        <f>AD!CB59</f>
        <v>AC</v>
      </c>
      <c r="H159" t="str">
        <f>AD!CC59</f>
        <v>Vessel</v>
      </c>
      <c r="I159">
        <f>AD!CD59</f>
        <v>0</v>
      </c>
      <c r="J159">
        <f>AD!CE59</f>
        <v>0</v>
      </c>
      <c r="K159">
        <f>AD!CF59</f>
        <v>0</v>
      </c>
      <c r="L159">
        <f>AD!CG59</f>
        <v>0</v>
      </c>
      <c r="M159">
        <f>AD!CH59</f>
        <v>0</v>
      </c>
      <c r="N159">
        <f>AD!CI59</f>
        <v>0</v>
      </c>
      <c r="O159">
        <f>AD!CJ59</f>
        <v>0</v>
      </c>
      <c r="P159" s="143" t="str">
        <f>AD!CK59</f>
        <v/>
      </c>
      <c r="R159">
        <f t="shared" si="2"/>
        <v>158</v>
      </c>
    </row>
    <row r="160" spans="5:18">
      <c r="E160" s="147" t="s">
        <v>56</v>
      </c>
      <c r="F160" t="str">
        <f>AD!CA60</f>
        <v>HPS</v>
      </c>
      <c r="G160" t="str">
        <f>AD!CB60</f>
        <v>AC</v>
      </c>
      <c r="H160" t="str">
        <f>AD!CC60</f>
        <v>Vessel</v>
      </c>
      <c r="I160">
        <f>AD!CD60</f>
        <v>0</v>
      </c>
      <c r="J160">
        <f>AD!CE60</f>
        <v>0</v>
      </c>
      <c r="K160">
        <f>AD!CF60</f>
        <v>0</v>
      </c>
      <c r="L160">
        <f>AD!CG60</f>
        <v>0</v>
      </c>
      <c r="M160">
        <f>AD!CH60</f>
        <v>0</v>
      </c>
      <c r="N160">
        <f>AD!CI60</f>
        <v>0</v>
      </c>
      <c r="O160">
        <f>AD!CJ60</f>
        <v>0</v>
      </c>
      <c r="P160" s="143" t="str">
        <f>AD!CK60</f>
        <v/>
      </c>
      <c r="R160">
        <f t="shared" si="2"/>
        <v>159</v>
      </c>
    </row>
    <row r="161" spans="5:18">
      <c r="E161" s="147" t="s">
        <v>56</v>
      </c>
      <c r="F161" t="str">
        <f>AD!CA61</f>
        <v>HPS</v>
      </c>
      <c r="G161" t="str">
        <f>AD!CB61</f>
        <v>AC</v>
      </c>
      <c r="H161" t="str">
        <f>AD!CC61</f>
        <v>Vessel</v>
      </c>
      <c r="I161">
        <f>AD!CD61</f>
        <v>0</v>
      </c>
      <c r="J161">
        <f>AD!CE61</f>
        <v>0</v>
      </c>
      <c r="K161">
        <f>AD!CF61</f>
        <v>0</v>
      </c>
      <c r="L161">
        <f>AD!CG61</f>
        <v>0</v>
      </c>
      <c r="M161">
        <f>AD!CH61</f>
        <v>0</v>
      </c>
      <c r="N161">
        <f>AD!CI61</f>
        <v>0</v>
      </c>
      <c r="O161">
        <f>AD!CJ61</f>
        <v>0</v>
      </c>
      <c r="P161" s="143" t="str">
        <f>AD!CK61</f>
        <v/>
      </c>
      <c r="R161">
        <f t="shared" si="2"/>
        <v>160</v>
      </c>
    </row>
    <row r="162" spans="5:18">
      <c r="E162" s="147" t="s">
        <v>56</v>
      </c>
      <c r="F162" t="str">
        <f>AD!CA62</f>
        <v>HPS</v>
      </c>
      <c r="G162" t="str">
        <f>AD!CB62</f>
        <v>AC</v>
      </c>
      <c r="H162" t="str">
        <f>AD!CC62</f>
        <v>Vessel</v>
      </c>
      <c r="I162">
        <f>AD!CD62</f>
        <v>0</v>
      </c>
      <c r="J162">
        <f>AD!CE62</f>
        <v>0</v>
      </c>
      <c r="K162">
        <f>AD!CF62</f>
        <v>0</v>
      </c>
      <c r="L162">
        <f>AD!CG62</f>
        <v>0</v>
      </c>
      <c r="M162">
        <f>AD!CH62</f>
        <v>0</v>
      </c>
      <c r="N162">
        <f>AD!CI62</f>
        <v>0</v>
      </c>
      <c r="O162">
        <f>AD!CJ62</f>
        <v>0</v>
      </c>
      <c r="P162" s="143" t="str">
        <f>AD!CK62</f>
        <v/>
      </c>
      <c r="R162">
        <f t="shared" si="2"/>
        <v>161</v>
      </c>
    </row>
    <row r="163" spans="5:18">
      <c r="E163" s="147" t="s">
        <v>56</v>
      </c>
      <c r="F163" t="str">
        <f>AD!CA63</f>
        <v>HPS</v>
      </c>
      <c r="G163" t="str">
        <f>AD!CB63</f>
        <v>AC</v>
      </c>
      <c r="H163" t="str">
        <f>AD!CC63</f>
        <v>Vessel</v>
      </c>
      <c r="I163">
        <f>AD!CD63</f>
        <v>0</v>
      </c>
      <c r="J163">
        <f>AD!CE63</f>
        <v>0</v>
      </c>
      <c r="K163">
        <f>AD!CF63</f>
        <v>0</v>
      </c>
      <c r="L163">
        <f>AD!CG63</f>
        <v>0</v>
      </c>
      <c r="M163">
        <f>AD!CH63</f>
        <v>0</v>
      </c>
      <c r="N163">
        <f>AD!CI63</f>
        <v>0</v>
      </c>
      <c r="O163">
        <f>AD!CJ63</f>
        <v>0</v>
      </c>
      <c r="P163" s="143" t="str">
        <f>AD!CK63</f>
        <v/>
      </c>
      <c r="R163">
        <f t="shared" si="2"/>
        <v>162</v>
      </c>
    </row>
    <row r="164" spans="5:18">
      <c r="E164" s="147" t="s">
        <v>56</v>
      </c>
      <c r="F164" t="str">
        <f>AD!CA64</f>
        <v>HPS</v>
      </c>
      <c r="G164" t="str">
        <f>AD!CB64</f>
        <v>AC</v>
      </c>
      <c r="H164" t="str">
        <f>AD!CC64</f>
        <v>Vessel</v>
      </c>
      <c r="I164">
        <f>AD!CD64</f>
        <v>0</v>
      </c>
      <c r="J164">
        <f>AD!CE64</f>
        <v>0</v>
      </c>
      <c r="K164">
        <f>AD!CF64</f>
        <v>0</v>
      </c>
      <c r="L164">
        <f>AD!CG64</f>
        <v>0</v>
      </c>
      <c r="M164">
        <f>AD!CH64</f>
        <v>0</v>
      </c>
      <c r="N164">
        <f>AD!CI64</f>
        <v>0</v>
      </c>
      <c r="O164">
        <f>AD!CJ64</f>
        <v>0</v>
      </c>
      <c r="P164" s="143" t="str">
        <f>AD!CK64</f>
        <v/>
      </c>
      <c r="R164">
        <f t="shared" si="2"/>
        <v>163</v>
      </c>
    </row>
    <row r="165" spans="5:18">
      <c r="E165" s="147" t="s">
        <v>56</v>
      </c>
      <c r="F165" t="str">
        <f>AD!CA65</f>
        <v>HPS</v>
      </c>
      <c r="G165" t="str">
        <f>AD!CB65</f>
        <v>AC</v>
      </c>
      <c r="H165" t="str">
        <f>AD!CC65</f>
        <v>Vessel</v>
      </c>
      <c r="I165">
        <f>AD!CD65</f>
        <v>0</v>
      </c>
      <c r="J165">
        <f>AD!CE65</f>
        <v>0</v>
      </c>
      <c r="K165">
        <f>AD!CF65</f>
        <v>0</v>
      </c>
      <c r="L165">
        <f>AD!CG65</f>
        <v>0</v>
      </c>
      <c r="M165">
        <f>AD!CH65</f>
        <v>0</v>
      </c>
      <c r="N165">
        <f>AD!CI65</f>
        <v>0</v>
      </c>
      <c r="O165">
        <f>AD!CJ65</f>
        <v>0</v>
      </c>
      <c r="P165" s="143" t="str">
        <f>AD!CK65</f>
        <v/>
      </c>
      <c r="R165">
        <f t="shared" si="2"/>
        <v>164</v>
      </c>
    </row>
    <row r="166" spans="5:18">
      <c r="E166" s="147" t="s">
        <v>56</v>
      </c>
      <c r="F166" t="str">
        <f>AD!CA66</f>
        <v>HPS</v>
      </c>
      <c r="G166" t="str">
        <f>AD!CB66</f>
        <v>AC</v>
      </c>
      <c r="H166" t="str">
        <f>AD!CC66</f>
        <v>Vessel</v>
      </c>
      <c r="I166">
        <f>AD!CD66</f>
        <v>0</v>
      </c>
      <c r="J166">
        <f>AD!CE66</f>
        <v>0</v>
      </c>
      <c r="K166">
        <f>AD!CF66</f>
        <v>0</v>
      </c>
      <c r="L166">
        <f>AD!CG66</f>
        <v>0</v>
      </c>
      <c r="M166">
        <f>AD!CH66</f>
        <v>0</v>
      </c>
      <c r="N166">
        <f>AD!CI66</f>
        <v>0</v>
      </c>
      <c r="O166">
        <f>AD!CJ66</f>
        <v>0</v>
      </c>
      <c r="P166" s="143" t="str">
        <f>AD!CK66</f>
        <v/>
      </c>
      <c r="R166">
        <f t="shared" si="2"/>
        <v>165</v>
      </c>
    </row>
    <row r="167" spans="5:18">
      <c r="E167" s="147" t="s">
        <v>56</v>
      </c>
      <c r="F167" t="str">
        <f>AD!CA67</f>
        <v>HPS</v>
      </c>
      <c r="G167" t="str">
        <f>AD!CB67</f>
        <v>AC</v>
      </c>
      <c r="H167" t="str">
        <f>AD!CC67</f>
        <v>Vessel</v>
      </c>
      <c r="I167">
        <f>AD!CD67</f>
        <v>0</v>
      </c>
      <c r="J167">
        <f>AD!CE67</f>
        <v>0</v>
      </c>
      <c r="K167">
        <f>AD!CF67</f>
        <v>0</v>
      </c>
      <c r="L167">
        <f>AD!CG67</f>
        <v>0</v>
      </c>
      <c r="M167">
        <f>AD!CH67</f>
        <v>0</v>
      </c>
      <c r="N167">
        <f>AD!CI67</f>
        <v>0</v>
      </c>
      <c r="O167">
        <f>AD!CJ67</f>
        <v>0</v>
      </c>
      <c r="P167" s="143" t="str">
        <f>AD!CK67</f>
        <v/>
      </c>
      <c r="R167">
        <f t="shared" si="2"/>
        <v>166</v>
      </c>
    </row>
    <row r="168" spans="5:18">
      <c r="E168" s="147" t="s">
        <v>56</v>
      </c>
      <c r="F168" t="str">
        <f>AD!CA68</f>
        <v>HPS</v>
      </c>
      <c r="G168" t="str">
        <f>AD!CB68</f>
        <v>AC</v>
      </c>
      <c r="H168" t="str">
        <f>AD!CC68</f>
        <v>Vessel</v>
      </c>
      <c r="I168">
        <f>AD!CD68</f>
        <v>0</v>
      </c>
      <c r="J168">
        <f>AD!CE68</f>
        <v>0</v>
      </c>
      <c r="K168">
        <f>AD!CF68</f>
        <v>0</v>
      </c>
      <c r="L168">
        <f>AD!CG68</f>
        <v>0</v>
      </c>
      <c r="M168">
        <f>AD!CH68</f>
        <v>0</v>
      </c>
      <c r="N168">
        <f>AD!CI68</f>
        <v>0</v>
      </c>
      <c r="O168">
        <f>AD!CJ68</f>
        <v>0</v>
      </c>
      <c r="P168" s="143" t="str">
        <f>AD!CK68</f>
        <v/>
      </c>
      <c r="R168">
        <f t="shared" si="2"/>
        <v>167</v>
      </c>
    </row>
    <row r="169" spans="5:18">
      <c r="E169" s="147" t="s">
        <v>56</v>
      </c>
      <c r="F169" t="str">
        <f>AD!CA69</f>
        <v>HPS</v>
      </c>
      <c r="G169" t="str">
        <f>AD!CB69</f>
        <v>AC</v>
      </c>
      <c r="H169" t="str">
        <f>AD!CC69</f>
        <v>Vessel</v>
      </c>
      <c r="I169">
        <f>AD!CD69</f>
        <v>0</v>
      </c>
      <c r="J169">
        <f>AD!CE69</f>
        <v>0</v>
      </c>
      <c r="K169">
        <f>AD!CF69</f>
        <v>0</v>
      </c>
      <c r="L169">
        <f>AD!CG69</f>
        <v>0</v>
      </c>
      <c r="M169">
        <f>AD!CH69</f>
        <v>0</v>
      </c>
      <c r="N169">
        <f>AD!CI69</f>
        <v>0</v>
      </c>
      <c r="O169">
        <f>AD!CJ69</f>
        <v>0</v>
      </c>
      <c r="P169" s="143" t="str">
        <f>AD!CK69</f>
        <v/>
      </c>
      <c r="R169">
        <f t="shared" si="2"/>
        <v>168</v>
      </c>
    </row>
    <row r="170" spans="5:18">
      <c r="E170" s="147" t="s">
        <v>56</v>
      </c>
      <c r="F170" t="str">
        <f>AD!CA70</f>
        <v>HPS</v>
      </c>
      <c r="G170" t="str">
        <f>AD!CB70</f>
        <v>AC</v>
      </c>
      <c r="H170" t="str">
        <f>AD!CC70</f>
        <v>Vessel</v>
      </c>
      <c r="I170">
        <f>AD!CD70</f>
        <v>0</v>
      </c>
      <c r="J170">
        <f>AD!CE70</f>
        <v>0</v>
      </c>
      <c r="K170">
        <f>AD!CF70</f>
        <v>0</v>
      </c>
      <c r="L170">
        <f>AD!CG70</f>
        <v>0</v>
      </c>
      <c r="M170">
        <f>AD!CH70</f>
        <v>0</v>
      </c>
      <c r="N170">
        <f>AD!CI70</f>
        <v>0</v>
      </c>
      <c r="O170">
        <f>AD!CJ70</f>
        <v>0</v>
      </c>
      <c r="P170" s="143" t="str">
        <f>AD!CK70</f>
        <v/>
      </c>
      <c r="R170">
        <f t="shared" si="2"/>
        <v>169</v>
      </c>
    </row>
    <row r="171" spans="5:18">
      <c r="E171" s="147" t="s">
        <v>56</v>
      </c>
      <c r="F171" t="str">
        <f>AD!CA71</f>
        <v>HPS</v>
      </c>
      <c r="G171" t="str">
        <f>AD!CB71</f>
        <v>AC</v>
      </c>
      <c r="H171" t="str">
        <f>AD!CC71</f>
        <v>Vessel</v>
      </c>
      <c r="I171">
        <f>AD!CD71</f>
        <v>0</v>
      </c>
      <c r="J171">
        <f>AD!CE71</f>
        <v>0</v>
      </c>
      <c r="K171">
        <f>AD!CF71</f>
        <v>0</v>
      </c>
      <c r="L171">
        <f>AD!CG71</f>
        <v>0</v>
      </c>
      <c r="M171">
        <f>AD!CH71</f>
        <v>0</v>
      </c>
      <c r="N171">
        <f>AD!CI71</f>
        <v>0</v>
      </c>
      <c r="O171">
        <f>AD!CJ71</f>
        <v>0</v>
      </c>
      <c r="P171" s="143" t="str">
        <f>AD!CK71</f>
        <v/>
      </c>
      <c r="R171">
        <f t="shared" si="2"/>
        <v>170</v>
      </c>
    </row>
    <row r="172" spans="5:18">
      <c r="E172" s="147" t="s">
        <v>56</v>
      </c>
      <c r="F172" t="str">
        <f>AD!CA72</f>
        <v>HPS</v>
      </c>
      <c r="G172" t="str">
        <f>AD!CB72</f>
        <v>AC</v>
      </c>
      <c r="H172" t="str">
        <f>AD!CC72</f>
        <v>Vessel</v>
      </c>
      <c r="I172">
        <f>AD!CD72</f>
        <v>0</v>
      </c>
      <c r="J172">
        <f>AD!CE72</f>
        <v>0</v>
      </c>
      <c r="K172">
        <f>AD!CF72</f>
        <v>0</v>
      </c>
      <c r="L172">
        <f>AD!CG72</f>
        <v>0</v>
      </c>
      <c r="M172">
        <f>AD!CH72</f>
        <v>0</v>
      </c>
      <c r="N172">
        <f>AD!CI72</f>
        <v>0</v>
      </c>
      <c r="O172">
        <f>AD!CJ72</f>
        <v>0</v>
      </c>
      <c r="P172" s="143" t="str">
        <f>AD!CK72</f>
        <v/>
      </c>
      <c r="R172">
        <f t="shared" si="2"/>
        <v>171</v>
      </c>
    </row>
    <row r="173" spans="5:18">
      <c r="E173" s="147" t="s">
        <v>56</v>
      </c>
      <c r="F173" t="str">
        <f>AD!CA73</f>
        <v>HPS</v>
      </c>
      <c r="G173" t="str">
        <f>AD!CB73</f>
        <v>AC</v>
      </c>
      <c r="H173" t="str">
        <f>AD!CC73</f>
        <v>Vessel</v>
      </c>
      <c r="I173">
        <f>AD!CD73</f>
        <v>0</v>
      </c>
      <c r="J173">
        <f>AD!CE73</f>
        <v>0</v>
      </c>
      <c r="K173">
        <f>AD!CF73</f>
        <v>0</v>
      </c>
      <c r="L173">
        <f>AD!CG73</f>
        <v>0</v>
      </c>
      <c r="M173">
        <f>AD!CH73</f>
        <v>0</v>
      </c>
      <c r="N173">
        <f>AD!CI73</f>
        <v>0</v>
      </c>
      <c r="O173">
        <f>AD!CJ73</f>
        <v>0</v>
      </c>
      <c r="P173" s="143" t="str">
        <f>AD!CK73</f>
        <v/>
      </c>
      <c r="R173">
        <f t="shared" si="2"/>
        <v>172</v>
      </c>
    </row>
    <row r="174" spans="5:18">
      <c r="E174" s="147" t="s">
        <v>56</v>
      </c>
      <c r="F174" t="str">
        <f>AD!CA74</f>
        <v>HPS</v>
      </c>
      <c r="G174" t="str">
        <f>AD!CB74</f>
        <v>AC</v>
      </c>
      <c r="H174" t="str">
        <f>AD!CC74</f>
        <v>Vessel</v>
      </c>
      <c r="I174">
        <f>AD!CD74</f>
        <v>0</v>
      </c>
      <c r="J174">
        <f>AD!CE74</f>
        <v>0</v>
      </c>
      <c r="K174">
        <f>AD!CF74</f>
        <v>0</v>
      </c>
      <c r="L174">
        <f>AD!CG74</f>
        <v>0</v>
      </c>
      <c r="M174">
        <f>AD!CH74</f>
        <v>0</v>
      </c>
      <c r="N174">
        <f>AD!CI74</f>
        <v>0</v>
      </c>
      <c r="O174">
        <f>AD!CJ74</f>
        <v>0</v>
      </c>
      <c r="P174" s="143" t="str">
        <f>AD!CK74</f>
        <v/>
      </c>
      <c r="R174">
        <f t="shared" si="2"/>
        <v>173</v>
      </c>
    </row>
    <row r="175" spans="5:18">
      <c r="E175" s="147" t="s">
        <v>56</v>
      </c>
      <c r="F175" t="str">
        <f>AD!CA75</f>
        <v>HPS</v>
      </c>
      <c r="G175" t="str">
        <f>AD!CB75</f>
        <v>AC</v>
      </c>
      <c r="H175" t="str">
        <f>AD!CC75</f>
        <v>Vessel</v>
      </c>
      <c r="I175">
        <f>AD!CD75</f>
        <v>0</v>
      </c>
      <c r="J175">
        <f>AD!CE75</f>
        <v>0</v>
      </c>
      <c r="K175">
        <f>AD!CF75</f>
        <v>0</v>
      </c>
      <c r="L175">
        <f>AD!CG75</f>
        <v>0</v>
      </c>
      <c r="M175">
        <f>AD!CH75</f>
        <v>0</v>
      </c>
      <c r="N175">
        <f>AD!CI75</f>
        <v>0</v>
      </c>
      <c r="O175">
        <f>AD!CJ75</f>
        <v>0</v>
      </c>
      <c r="P175" s="143" t="str">
        <f>AD!CK75</f>
        <v/>
      </c>
      <c r="R175">
        <f t="shared" si="2"/>
        <v>174</v>
      </c>
    </row>
    <row r="176" spans="5:18">
      <c r="E176" s="147" t="s">
        <v>56</v>
      </c>
      <c r="F176" t="str">
        <f>AD!CA76</f>
        <v>HPS</v>
      </c>
      <c r="G176" t="str">
        <f>AD!CB76</f>
        <v>AC</v>
      </c>
      <c r="H176" t="str">
        <f>AD!CC76</f>
        <v>Vessel</v>
      </c>
      <c r="I176">
        <f>AD!CD76</f>
        <v>0</v>
      </c>
      <c r="J176">
        <f>AD!CE76</f>
        <v>0</v>
      </c>
      <c r="K176">
        <f>AD!CF76</f>
        <v>0</v>
      </c>
      <c r="L176">
        <f>AD!CG76</f>
        <v>0</v>
      </c>
      <c r="M176">
        <f>AD!CH76</f>
        <v>0</v>
      </c>
      <c r="N176">
        <f>AD!CI76</f>
        <v>0</v>
      </c>
      <c r="O176">
        <f>AD!CJ76</f>
        <v>0</v>
      </c>
      <c r="P176" s="143" t="str">
        <f>AD!CK76</f>
        <v/>
      </c>
      <c r="R176">
        <f t="shared" si="2"/>
        <v>175</v>
      </c>
    </row>
    <row r="177" spans="5:18">
      <c r="E177" s="147" t="s">
        <v>56</v>
      </c>
      <c r="F177" t="str">
        <f>AD!CA77</f>
        <v>HPS</v>
      </c>
      <c r="G177" t="str">
        <f>AD!CB77</f>
        <v>AC</v>
      </c>
      <c r="H177" t="str">
        <f>AD!CC77</f>
        <v>Vessel</v>
      </c>
      <c r="I177">
        <f>AD!CD77</f>
        <v>0</v>
      </c>
      <c r="J177">
        <f>AD!CE77</f>
        <v>0</v>
      </c>
      <c r="K177">
        <f>AD!CF77</f>
        <v>0</v>
      </c>
      <c r="L177">
        <f>AD!CG77</f>
        <v>0</v>
      </c>
      <c r="M177">
        <f>AD!CH77</f>
        <v>0</v>
      </c>
      <c r="N177">
        <f>AD!CI77</f>
        <v>0</v>
      </c>
      <c r="O177">
        <f>AD!CJ77</f>
        <v>0</v>
      </c>
      <c r="P177" s="143" t="str">
        <f>AD!CK77</f>
        <v/>
      </c>
      <c r="R177">
        <f t="shared" si="2"/>
        <v>176</v>
      </c>
    </row>
    <row r="178" spans="5:18">
      <c r="E178" s="147" t="s">
        <v>56</v>
      </c>
      <c r="F178" t="str">
        <f>AD!CA78</f>
        <v>HPS</v>
      </c>
      <c r="G178" t="str">
        <f>AD!CB78</f>
        <v>AC</v>
      </c>
      <c r="H178" t="str">
        <f>AD!CC78</f>
        <v>Vessel</v>
      </c>
      <c r="I178">
        <f>AD!CD78</f>
        <v>0</v>
      </c>
      <c r="J178">
        <f>AD!CE78</f>
        <v>0</v>
      </c>
      <c r="K178">
        <f>AD!CF78</f>
        <v>0</v>
      </c>
      <c r="L178">
        <f>AD!CG78</f>
        <v>0</v>
      </c>
      <c r="M178">
        <f>AD!CH78</f>
        <v>0</v>
      </c>
      <c r="N178">
        <f>AD!CI78</f>
        <v>0</v>
      </c>
      <c r="O178">
        <f>AD!CJ78</f>
        <v>0</v>
      </c>
      <c r="P178" s="143" t="str">
        <f>AD!CK78</f>
        <v/>
      </c>
      <c r="R178">
        <f t="shared" si="2"/>
        <v>177</v>
      </c>
    </row>
    <row r="179" spans="5:18">
      <c r="E179" s="147" t="s">
        <v>56</v>
      </c>
      <c r="F179" t="str">
        <f>AD!CA79</f>
        <v>HPS</v>
      </c>
      <c r="G179" t="str">
        <f>AD!CB79</f>
        <v>AC</v>
      </c>
      <c r="H179" t="str">
        <f>AD!CC79</f>
        <v>Vessel</v>
      </c>
      <c r="I179">
        <f>AD!CD79</f>
        <v>0</v>
      </c>
      <c r="J179">
        <f>AD!CE79</f>
        <v>0</v>
      </c>
      <c r="K179">
        <f>AD!CF79</f>
        <v>0</v>
      </c>
      <c r="L179">
        <f>AD!CG79</f>
        <v>0</v>
      </c>
      <c r="M179">
        <f>AD!CH79</f>
        <v>0</v>
      </c>
      <c r="N179">
        <f>AD!CI79</f>
        <v>0</v>
      </c>
      <c r="O179">
        <f>AD!CJ79</f>
        <v>0</v>
      </c>
      <c r="P179" s="143" t="str">
        <f>AD!CK79</f>
        <v/>
      </c>
      <c r="R179">
        <f t="shared" si="2"/>
        <v>178</v>
      </c>
    </row>
    <row r="180" spans="5:18">
      <c r="E180" s="147" t="s">
        <v>56</v>
      </c>
      <c r="F180" t="str">
        <f>AD!CA80</f>
        <v>HPS</v>
      </c>
      <c r="G180" t="str">
        <f>AD!CB80</f>
        <v>AC</v>
      </c>
      <c r="H180" t="str">
        <f>AD!CC80</f>
        <v>Vessel</v>
      </c>
      <c r="I180">
        <f>AD!CD80</f>
        <v>0</v>
      </c>
      <c r="J180">
        <f>AD!CE80</f>
        <v>0</v>
      </c>
      <c r="K180">
        <f>AD!CF80</f>
        <v>0</v>
      </c>
      <c r="L180">
        <f>AD!CG80</f>
        <v>0</v>
      </c>
      <c r="M180">
        <f>AD!CH80</f>
        <v>0</v>
      </c>
      <c r="N180">
        <f>AD!CI80</f>
        <v>0</v>
      </c>
      <c r="O180">
        <f>AD!CJ80</f>
        <v>0</v>
      </c>
      <c r="P180" s="143" t="str">
        <f>AD!CK80</f>
        <v/>
      </c>
      <c r="R180">
        <f t="shared" si="2"/>
        <v>179</v>
      </c>
    </row>
    <row r="181" spans="5:18">
      <c r="E181" s="147" t="s">
        <v>56</v>
      </c>
      <c r="F181" t="str">
        <f>AD!CA81</f>
        <v>HPS</v>
      </c>
      <c r="G181" t="str">
        <f>AD!CB81</f>
        <v>AC</v>
      </c>
      <c r="H181" t="str">
        <f>AD!CC81</f>
        <v>Vessel</v>
      </c>
      <c r="I181">
        <f>AD!CD81</f>
        <v>0</v>
      </c>
      <c r="J181">
        <f>AD!CE81</f>
        <v>0</v>
      </c>
      <c r="K181">
        <f>AD!CF81</f>
        <v>0</v>
      </c>
      <c r="L181">
        <f>AD!CG81</f>
        <v>0</v>
      </c>
      <c r="M181">
        <f>AD!CH81</f>
        <v>0</v>
      </c>
      <c r="N181">
        <f>AD!CI81</f>
        <v>0</v>
      </c>
      <c r="O181">
        <f>AD!CJ81</f>
        <v>0</v>
      </c>
      <c r="P181" s="143" t="str">
        <f>AD!CK81</f>
        <v/>
      </c>
      <c r="R181">
        <f t="shared" si="2"/>
        <v>180</v>
      </c>
    </row>
    <row r="182" spans="5:18">
      <c r="E182" s="147" t="s">
        <v>56</v>
      </c>
      <c r="F182" t="str">
        <f>AD!CA82</f>
        <v>HPS</v>
      </c>
      <c r="G182" t="str">
        <f>AD!CB82</f>
        <v>AC</v>
      </c>
      <c r="H182" t="str">
        <f>AD!CC82</f>
        <v>Vessel</v>
      </c>
      <c r="I182">
        <f>AD!CD82</f>
        <v>0</v>
      </c>
      <c r="J182">
        <f>AD!CE82</f>
        <v>0</v>
      </c>
      <c r="K182">
        <f>AD!CF82</f>
        <v>0</v>
      </c>
      <c r="L182">
        <f>AD!CG82</f>
        <v>0</v>
      </c>
      <c r="M182">
        <f>AD!CH82</f>
        <v>0</v>
      </c>
      <c r="N182">
        <f>AD!CI82</f>
        <v>0</v>
      </c>
      <c r="O182">
        <f>AD!CJ82</f>
        <v>0</v>
      </c>
      <c r="P182" s="143" t="str">
        <f>AD!CK82</f>
        <v/>
      </c>
      <c r="R182">
        <f t="shared" si="2"/>
        <v>181</v>
      </c>
    </row>
    <row r="183" spans="5:18">
      <c r="E183" s="147" t="s">
        <v>56</v>
      </c>
      <c r="F183" t="str">
        <f>AD!CA83</f>
        <v>HPS</v>
      </c>
      <c r="G183" t="str">
        <f>AD!CB83</f>
        <v>AC</v>
      </c>
      <c r="H183" t="str">
        <f>AD!CC83</f>
        <v>Vessel</v>
      </c>
      <c r="I183">
        <f>AD!CD83</f>
        <v>0</v>
      </c>
      <c r="J183">
        <f>AD!CE83</f>
        <v>0</v>
      </c>
      <c r="K183">
        <f>AD!CF83</f>
        <v>0</v>
      </c>
      <c r="L183">
        <f>AD!CG83</f>
        <v>0</v>
      </c>
      <c r="M183">
        <f>AD!CH83</f>
        <v>0</v>
      </c>
      <c r="N183">
        <f>AD!CI83</f>
        <v>0</v>
      </c>
      <c r="O183">
        <f>AD!CJ83</f>
        <v>0</v>
      </c>
      <c r="P183" s="143" t="str">
        <f>AD!CK83</f>
        <v/>
      </c>
      <c r="R183">
        <f t="shared" si="2"/>
        <v>182</v>
      </c>
    </row>
    <row r="184" spans="5:18">
      <c r="E184" s="147" t="s">
        <v>56</v>
      </c>
      <c r="F184" t="str">
        <f>AD!CA84</f>
        <v>HPS</v>
      </c>
      <c r="G184" t="str">
        <f>AD!CB84</f>
        <v>AC</v>
      </c>
      <c r="H184" t="str">
        <f>AD!CC84</f>
        <v>Vessel</v>
      </c>
      <c r="I184">
        <f>AD!CD84</f>
        <v>0</v>
      </c>
      <c r="J184">
        <f>AD!CE84</f>
        <v>0</v>
      </c>
      <c r="K184">
        <f>AD!CF84</f>
        <v>0</v>
      </c>
      <c r="L184">
        <f>AD!CG84</f>
        <v>0</v>
      </c>
      <c r="M184">
        <f>AD!CH84</f>
        <v>0</v>
      </c>
      <c r="N184">
        <f>AD!CI84</f>
        <v>0</v>
      </c>
      <c r="O184">
        <f>AD!CJ84</f>
        <v>0</v>
      </c>
      <c r="P184" s="143" t="str">
        <f>AD!CK84</f>
        <v/>
      </c>
      <c r="R184">
        <f t="shared" si="2"/>
        <v>183</v>
      </c>
    </row>
    <row r="185" spans="5:18">
      <c r="E185" s="147" t="s">
        <v>56</v>
      </c>
      <c r="F185" t="str">
        <f>AD!CA85</f>
        <v>HPS</v>
      </c>
      <c r="G185" t="str">
        <f>AD!CB85</f>
        <v>AC</v>
      </c>
      <c r="H185" t="str">
        <f>AD!CC85</f>
        <v>Vessel</v>
      </c>
      <c r="I185">
        <f>AD!CD85</f>
        <v>0</v>
      </c>
      <c r="J185">
        <f>AD!CE85</f>
        <v>0</v>
      </c>
      <c r="K185">
        <f>AD!CF85</f>
        <v>0</v>
      </c>
      <c r="L185">
        <f>AD!CG85</f>
        <v>0</v>
      </c>
      <c r="M185">
        <f>AD!CH85</f>
        <v>0</v>
      </c>
      <c r="N185">
        <f>AD!CI85</f>
        <v>0</v>
      </c>
      <c r="O185">
        <f>AD!CJ85</f>
        <v>0</v>
      </c>
      <c r="P185" s="143" t="str">
        <f>AD!CK85</f>
        <v/>
      </c>
      <c r="R185">
        <f t="shared" si="2"/>
        <v>184</v>
      </c>
    </row>
    <row r="186" spans="5:18">
      <c r="E186" s="147" t="s">
        <v>56</v>
      </c>
      <c r="F186" t="str">
        <f>AD!CA86</f>
        <v>HPS</v>
      </c>
      <c r="G186" t="str">
        <f>AD!CB86</f>
        <v>AC</v>
      </c>
      <c r="H186" t="str">
        <f>AD!CC86</f>
        <v>Vessel</v>
      </c>
      <c r="I186">
        <f>AD!CD86</f>
        <v>0</v>
      </c>
      <c r="J186">
        <f>AD!CE86</f>
        <v>0</v>
      </c>
      <c r="K186">
        <f>AD!CF86</f>
        <v>0</v>
      </c>
      <c r="L186">
        <f>AD!CG86</f>
        <v>0</v>
      </c>
      <c r="M186">
        <f>AD!CH86</f>
        <v>0</v>
      </c>
      <c r="N186">
        <f>AD!CI86</f>
        <v>0</v>
      </c>
      <c r="O186">
        <f>AD!CJ86</f>
        <v>0</v>
      </c>
      <c r="P186" s="143" t="str">
        <f>AD!CK86</f>
        <v/>
      </c>
      <c r="R186">
        <f t="shared" si="2"/>
        <v>185</v>
      </c>
    </row>
    <row r="187" spans="5:18">
      <c r="E187" s="147" t="s">
        <v>56</v>
      </c>
      <c r="F187" t="str">
        <f>AD!CA87</f>
        <v>HPS</v>
      </c>
      <c r="G187" t="str">
        <f>AD!CB87</f>
        <v>AC</v>
      </c>
      <c r="H187" t="str">
        <f>AD!CC87</f>
        <v>Vessel</v>
      </c>
      <c r="I187">
        <f>AD!CD87</f>
        <v>0</v>
      </c>
      <c r="J187">
        <f>AD!CE87</f>
        <v>0</v>
      </c>
      <c r="K187">
        <f>AD!CF87</f>
        <v>0</v>
      </c>
      <c r="L187">
        <f>AD!CG87</f>
        <v>0</v>
      </c>
      <c r="M187">
        <f>AD!CH87</f>
        <v>0</v>
      </c>
      <c r="N187">
        <f>AD!CI87</f>
        <v>0</v>
      </c>
      <c r="O187">
        <f>AD!CJ87</f>
        <v>0</v>
      </c>
      <c r="P187" s="143" t="str">
        <f>AD!CK87</f>
        <v/>
      </c>
      <c r="R187">
        <f t="shared" si="2"/>
        <v>186</v>
      </c>
    </row>
    <row r="188" spans="5:18">
      <c r="E188" s="147" t="s">
        <v>56</v>
      </c>
      <c r="F188" t="str">
        <f>AD!CA88</f>
        <v>HPS</v>
      </c>
      <c r="G188" t="str">
        <f>AD!CB88</f>
        <v>AC</v>
      </c>
      <c r="H188" t="str">
        <f>AD!CC88</f>
        <v>Vessel</v>
      </c>
      <c r="I188">
        <f>AD!CD88</f>
        <v>0</v>
      </c>
      <c r="J188">
        <f>AD!CE88</f>
        <v>0</v>
      </c>
      <c r="K188">
        <f>AD!CF88</f>
        <v>0</v>
      </c>
      <c r="L188">
        <f>AD!CG88</f>
        <v>0</v>
      </c>
      <c r="M188">
        <f>AD!CH88</f>
        <v>0</v>
      </c>
      <c r="N188">
        <f>AD!CI88</f>
        <v>0</v>
      </c>
      <c r="O188">
        <f>AD!CJ88</f>
        <v>0</v>
      </c>
      <c r="P188" s="143" t="str">
        <f>AD!CK88</f>
        <v/>
      </c>
      <c r="R188">
        <f t="shared" si="2"/>
        <v>187</v>
      </c>
    </row>
    <row r="189" spans="5:18">
      <c r="E189" s="147" t="s">
        <v>56</v>
      </c>
      <c r="F189" t="str">
        <f>AD!CA89</f>
        <v>HPS</v>
      </c>
      <c r="G189" t="str">
        <f>AD!CB89</f>
        <v>AC</v>
      </c>
      <c r="H189" t="str">
        <f>AD!CC89</f>
        <v>Vessel</v>
      </c>
      <c r="I189">
        <f>AD!CD89</f>
        <v>0</v>
      </c>
      <c r="J189">
        <f>AD!CE89</f>
        <v>0</v>
      </c>
      <c r="K189">
        <f>AD!CF89</f>
        <v>0</v>
      </c>
      <c r="L189">
        <f>AD!CG89</f>
        <v>0</v>
      </c>
      <c r="M189">
        <f>AD!CH89</f>
        <v>0</v>
      </c>
      <c r="N189">
        <f>AD!CI89</f>
        <v>0</v>
      </c>
      <c r="O189">
        <f>AD!CJ89</f>
        <v>0</v>
      </c>
      <c r="P189" s="143" t="str">
        <f>AD!CK89</f>
        <v/>
      </c>
      <c r="R189">
        <f t="shared" si="2"/>
        <v>188</v>
      </c>
    </row>
    <row r="190" spans="5:18">
      <c r="E190" s="147" t="s">
        <v>56</v>
      </c>
      <c r="F190" t="str">
        <f>AD!CA90</f>
        <v>HPS</v>
      </c>
      <c r="G190" t="str">
        <f>AD!CB90</f>
        <v>AC</v>
      </c>
      <c r="H190" t="str">
        <f>AD!CC90</f>
        <v>Vessel</v>
      </c>
      <c r="I190">
        <f>AD!CD90</f>
        <v>0</v>
      </c>
      <c r="J190">
        <f>AD!CE90</f>
        <v>0</v>
      </c>
      <c r="K190">
        <f>AD!CF90</f>
        <v>0</v>
      </c>
      <c r="L190">
        <f>AD!CG90</f>
        <v>0</v>
      </c>
      <c r="M190">
        <f>AD!CH90</f>
        <v>0</v>
      </c>
      <c r="N190">
        <f>AD!CI90</f>
        <v>0</v>
      </c>
      <c r="O190">
        <f>AD!CJ90</f>
        <v>0</v>
      </c>
      <c r="P190" s="143" t="str">
        <f>AD!CK90</f>
        <v/>
      </c>
      <c r="R190">
        <f t="shared" si="2"/>
        <v>189</v>
      </c>
    </row>
    <row r="191" spans="5:18">
      <c r="E191" s="147" t="s">
        <v>56</v>
      </c>
      <c r="F191" t="str">
        <f>AD!CA91</f>
        <v>HPS</v>
      </c>
      <c r="G191" t="str">
        <f>AD!CB91</f>
        <v>AC</v>
      </c>
      <c r="H191" t="str">
        <f>AD!CC91</f>
        <v>Vessel</v>
      </c>
      <c r="I191">
        <f>AD!CD91</f>
        <v>0</v>
      </c>
      <c r="J191">
        <f>AD!CE91</f>
        <v>0</v>
      </c>
      <c r="K191">
        <f>AD!CF91</f>
        <v>0</v>
      </c>
      <c r="L191">
        <f>AD!CG91</f>
        <v>0</v>
      </c>
      <c r="M191">
        <f>AD!CH91</f>
        <v>0</v>
      </c>
      <c r="N191">
        <f>AD!CI91</f>
        <v>0</v>
      </c>
      <c r="O191">
        <f>AD!CJ91</f>
        <v>0</v>
      </c>
      <c r="P191" s="143" t="str">
        <f>AD!CK91</f>
        <v/>
      </c>
      <c r="R191">
        <f t="shared" si="2"/>
        <v>190</v>
      </c>
    </row>
    <row r="192" spans="5:18">
      <c r="E192" s="147" t="s">
        <v>56</v>
      </c>
      <c r="F192" t="str">
        <f>AD!CA92</f>
        <v>HPS</v>
      </c>
      <c r="G192" t="str">
        <f>AD!CB92</f>
        <v>AC</v>
      </c>
      <c r="H192" t="str">
        <f>AD!CC92</f>
        <v>Vessel</v>
      </c>
      <c r="I192">
        <f>AD!CD92</f>
        <v>0</v>
      </c>
      <c r="J192">
        <f>AD!CE92</f>
        <v>0</v>
      </c>
      <c r="K192">
        <f>AD!CF92</f>
        <v>0</v>
      </c>
      <c r="L192">
        <f>AD!CG92</f>
        <v>0</v>
      </c>
      <c r="M192">
        <f>AD!CH92</f>
        <v>0</v>
      </c>
      <c r="N192">
        <f>AD!CI92</f>
        <v>0</v>
      </c>
      <c r="O192">
        <f>AD!CJ92</f>
        <v>0</v>
      </c>
      <c r="P192" s="143" t="str">
        <f>AD!CK92</f>
        <v/>
      </c>
      <c r="R192">
        <f t="shared" si="2"/>
        <v>191</v>
      </c>
    </row>
    <row r="193" spans="5:18">
      <c r="E193" s="147" t="s">
        <v>56</v>
      </c>
      <c r="F193" t="str">
        <f>AD!CA93</f>
        <v>HPS</v>
      </c>
      <c r="G193" t="str">
        <f>AD!CB93</f>
        <v>AC</v>
      </c>
      <c r="H193" t="str">
        <f>AD!CC93</f>
        <v>Vessel</v>
      </c>
      <c r="I193">
        <f>AD!CD93</f>
        <v>0</v>
      </c>
      <c r="J193">
        <f>AD!CE93</f>
        <v>0</v>
      </c>
      <c r="K193">
        <f>AD!CF93</f>
        <v>0</v>
      </c>
      <c r="L193">
        <f>AD!CG93</f>
        <v>0</v>
      </c>
      <c r="M193">
        <f>AD!CH93</f>
        <v>0</v>
      </c>
      <c r="N193">
        <f>AD!CI93</f>
        <v>0</v>
      </c>
      <c r="O193">
        <f>AD!CJ93</f>
        <v>0</v>
      </c>
      <c r="P193" s="143" t="str">
        <f>AD!CK93</f>
        <v/>
      </c>
      <c r="R193">
        <f t="shared" si="2"/>
        <v>192</v>
      </c>
    </row>
    <row r="194" spans="5:18">
      <c r="E194" s="147" t="s">
        <v>56</v>
      </c>
      <c r="F194" t="str">
        <f>AD!CA94</f>
        <v>HPS</v>
      </c>
      <c r="G194" t="str">
        <f>AD!CB94</f>
        <v>AC</v>
      </c>
      <c r="H194" t="str">
        <f>AD!CC94</f>
        <v>Vessel</v>
      </c>
      <c r="I194">
        <f>AD!CD94</f>
        <v>0</v>
      </c>
      <c r="J194">
        <f>AD!CE94</f>
        <v>0</v>
      </c>
      <c r="K194">
        <f>AD!CF94</f>
        <v>0</v>
      </c>
      <c r="L194">
        <f>AD!CG94</f>
        <v>0</v>
      </c>
      <c r="M194">
        <f>AD!CH94</f>
        <v>0</v>
      </c>
      <c r="N194">
        <f>AD!CI94</f>
        <v>0</v>
      </c>
      <c r="O194">
        <f>AD!CJ94</f>
        <v>0</v>
      </c>
      <c r="P194" s="143" t="str">
        <f>AD!CK94</f>
        <v/>
      </c>
      <c r="R194">
        <f t="shared" si="2"/>
        <v>193</v>
      </c>
    </row>
    <row r="195" spans="5:18">
      <c r="E195" s="147" t="s">
        <v>56</v>
      </c>
      <c r="F195" t="str">
        <f>AD!CA95</f>
        <v>HPS</v>
      </c>
      <c r="G195" t="str">
        <f>AD!CB95</f>
        <v>AC</v>
      </c>
      <c r="H195" t="str">
        <f>AD!CC95</f>
        <v>Vessel</v>
      </c>
      <c r="I195">
        <f>AD!CD95</f>
        <v>0</v>
      </c>
      <c r="J195">
        <f>AD!CE95</f>
        <v>0</v>
      </c>
      <c r="K195">
        <f>AD!CF95</f>
        <v>0</v>
      </c>
      <c r="L195">
        <f>AD!CG95</f>
        <v>0</v>
      </c>
      <c r="M195">
        <f>AD!CH95</f>
        <v>0</v>
      </c>
      <c r="N195">
        <f>AD!CI95</f>
        <v>0</v>
      </c>
      <c r="O195">
        <f>AD!CJ95</f>
        <v>0</v>
      </c>
      <c r="P195" s="143" t="str">
        <f>AD!CK95</f>
        <v/>
      </c>
      <c r="R195">
        <f t="shared" si="2"/>
        <v>194</v>
      </c>
    </row>
    <row r="196" spans="5:18">
      <c r="E196" s="147" t="s">
        <v>56</v>
      </c>
      <c r="F196" t="str">
        <f>AD!CA96</f>
        <v>HPS</v>
      </c>
      <c r="G196" t="str">
        <f>AD!CB96</f>
        <v>AC</v>
      </c>
      <c r="H196" t="str">
        <f>AD!CC96</f>
        <v>Vessel</v>
      </c>
      <c r="I196">
        <f>AD!CD96</f>
        <v>0</v>
      </c>
      <c r="J196">
        <f>AD!CE96</f>
        <v>0</v>
      </c>
      <c r="K196">
        <f>AD!CF96</f>
        <v>0</v>
      </c>
      <c r="L196">
        <f>AD!CG96</f>
        <v>0</v>
      </c>
      <c r="M196">
        <f>AD!CH96</f>
        <v>0</v>
      </c>
      <c r="N196">
        <f>AD!CI96</f>
        <v>0</v>
      </c>
      <c r="O196">
        <f>AD!CJ96</f>
        <v>0</v>
      </c>
      <c r="P196" s="143" t="str">
        <f>AD!CK96</f>
        <v/>
      </c>
      <c r="R196">
        <f t="shared" ref="R196:R259" si="3">R195+1</f>
        <v>195</v>
      </c>
    </row>
    <row r="197" spans="5:18">
      <c r="E197" s="147" t="s">
        <v>56</v>
      </c>
      <c r="F197" t="str">
        <f>AD!CA97</f>
        <v>HPS</v>
      </c>
      <c r="G197" t="str">
        <f>AD!CB97</f>
        <v>AC</v>
      </c>
      <c r="H197" t="str">
        <f>AD!CC97</f>
        <v>Vessel</v>
      </c>
      <c r="I197">
        <f>AD!CD97</f>
        <v>0</v>
      </c>
      <c r="J197">
        <f>AD!CE97</f>
        <v>0</v>
      </c>
      <c r="K197">
        <f>AD!CF97</f>
        <v>0</v>
      </c>
      <c r="L197">
        <f>AD!CG97</f>
        <v>0</v>
      </c>
      <c r="M197">
        <f>AD!CH97</f>
        <v>0</v>
      </c>
      <c r="N197">
        <f>AD!CI97</f>
        <v>0</v>
      </c>
      <c r="O197">
        <f>AD!CJ97</f>
        <v>0</v>
      </c>
      <c r="P197" s="143" t="str">
        <f>AD!CK97</f>
        <v/>
      </c>
      <c r="R197">
        <f t="shared" si="3"/>
        <v>196</v>
      </c>
    </row>
    <row r="198" spans="5:18">
      <c r="E198" s="147" t="s">
        <v>56</v>
      </c>
      <c r="F198" t="str">
        <f>AD!CA98</f>
        <v>HPS</v>
      </c>
      <c r="G198" t="str">
        <f>AD!CB98</f>
        <v>AC</v>
      </c>
      <c r="H198" t="str">
        <f>AD!CC98</f>
        <v>Vessel</v>
      </c>
      <c r="I198">
        <f>AD!CD98</f>
        <v>0</v>
      </c>
      <c r="J198">
        <f>AD!CE98</f>
        <v>0</v>
      </c>
      <c r="K198">
        <f>AD!CF98</f>
        <v>0</v>
      </c>
      <c r="L198">
        <f>AD!CG98</f>
        <v>0</v>
      </c>
      <c r="M198">
        <f>AD!CH98</f>
        <v>0</v>
      </c>
      <c r="N198">
        <f>AD!CI98</f>
        <v>0</v>
      </c>
      <c r="O198">
        <f>AD!CJ98</f>
        <v>0</v>
      </c>
      <c r="P198" s="143" t="str">
        <f>AD!CK98</f>
        <v/>
      </c>
      <c r="R198">
        <f t="shared" si="3"/>
        <v>197</v>
      </c>
    </row>
    <row r="199" spans="5:18">
      <c r="E199" s="147" t="s">
        <v>56</v>
      </c>
      <c r="F199" t="str">
        <f>AD!CA99</f>
        <v>HPS</v>
      </c>
      <c r="G199" t="str">
        <f>AD!CB99</f>
        <v>AC</v>
      </c>
      <c r="H199" t="str">
        <f>AD!CC99</f>
        <v>Vessel</v>
      </c>
      <c r="I199">
        <f>AD!CD99</f>
        <v>0</v>
      </c>
      <c r="J199">
        <f>AD!CE99</f>
        <v>0</v>
      </c>
      <c r="K199">
        <f>AD!CF99</f>
        <v>0</v>
      </c>
      <c r="L199">
        <f>AD!CG99</f>
        <v>0</v>
      </c>
      <c r="M199">
        <f>AD!CH99</f>
        <v>0</v>
      </c>
      <c r="N199">
        <f>AD!CI99</f>
        <v>0</v>
      </c>
      <c r="O199">
        <f>AD!CJ99</f>
        <v>0</v>
      </c>
      <c r="P199" s="143" t="str">
        <f>AD!CK99</f>
        <v/>
      </c>
      <c r="R199">
        <f t="shared" si="3"/>
        <v>198</v>
      </c>
    </row>
    <row r="200" spans="5:18">
      <c r="E200" s="147" t="s">
        <v>56</v>
      </c>
      <c r="F200" t="str">
        <f>AD!CA100</f>
        <v>HPS</v>
      </c>
      <c r="G200" t="str">
        <f>AD!CB100</f>
        <v>AC</v>
      </c>
      <c r="H200" t="str">
        <f>AD!CC100</f>
        <v>Vessel</v>
      </c>
      <c r="I200">
        <f>AD!CD100</f>
        <v>0</v>
      </c>
      <c r="J200">
        <f>AD!CE100</f>
        <v>0</v>
      </c>
      <c r="K200">
        <f>AD!CF100</f>
        <v>0</v>
      </c>
      <c r="L200">
        <f>AD!CG100</f>
        <v>0</v>
      </c>
      <c r="M200">
        <f>AD!CH100</f>
        <v>0</v>
      </c>
      <c r="N200">
        <f>AD!CI100</f>
        <v>0</v>
      </c>
      <c r="O200">
        <f>AD!CJ100</f>
        <v>0</v>
      </c>
      <c r="P200" s="143" t="str">
        <f>AD!CK100</f>
        <v/>
      </c>
      <c r="R200">
        <f t="shared" si="3"/>
        <v>199</v>
      </c>
    </row>
    <row r="201" spans="5:18">
      <c r="E201" s="147" t="s">
        <v>56</v>
      </c>
      <c r="F201" t="str">
        <f>AD!CA101</f>
        <v>HPS</v>
      </c>
      <c r="G201" t="str">
        <f>AD!CB101</f>
        <v>AC</v>
      </c>
      <c r="H201" t="str">
        <f>AD!CC101</f>
        <v>Vessel</v>
      </c>
      <c r="I201">
        <f>AD!CD101</f>
        <v>0</v>
      </c>
      <c r="J201">
        <f>AD!CE101</f>
        <v>0</v>
      </c>
      <c r="K201">
        <f>AD!CF101</f>
        <v>0</v>
      </c>
      <c r="L201">
        <f>AD!CG101</f>
        <v>0</v>
      </c>
      <c r="M201">
        <f>AD!CH101</f>
        <v>0</v>
      </c>
      <c r="N201">
        <f>AD!CI101</f>
        <v>0</v>
      </c>
      <c r="O201">
        <f>AD!CJ101</f>
        <v>0</v>
      </c>
      <c r="P201" s="143" t="str">
        <f>AD!CK101</f>
        <v/>
      </c>
      <c r="R201">
        <f t="shared" si="3"/>
        <v>200</v>
      </c>
    </row>
    <row r="202" spans="5:18">
      <c r="E202" s="147" t="s">
        <v>56</v>
      </c>
      <c r="F202" t="str">
        <f>AD!CA102</f>
        <v>HPS</v>
      </c>
      <c r="G202" t="str">
        <f>AD!CB102</f>
        <v>AC</v>
      </c>
      <c r="H202" t="str">
        <f>AD!CC102</f>
        <v>Vessel</v>
      </c>
      <c r="I202">
        <f>AD!CD102</f>
        <v>0</v>
      </c>
      <c r="J202">
        <f>AD!CE102</f>
        <v>0</v>
      </c>
      <c r="K202">
        <f>AD!CF102</f>
        <v>0</v>
      </c>
      <c r="L202">
        <f>AD!CG102</f>
        <v>0</v>
      </c>
      <c r="M202">
        <f>AD!CH102</f>
        <v>0</v>
      </c>
      <c r="N202">
        <f>AD!CI102</f>
        <v>0</v>
      </c>
      <c r="O202">
        <f>AD!CJ102</f>
        <v>0</v>
      </c>
      <c r="P202" s="143" t="str">
        <f>AD!CK102</f>
        <v/>
      </c>
      <c r="R202">
        <f t="shared" si="3"/>
        <v>201</v>
      </c>
    </row>
    <row r="203" spans="5:18">
      <c r="E203" s="147" t="s">
        <v>56</v>
      </c>
      <c r="F203" t="str">
        <f>AD!CA103</f>
        <v>HPS</v>
      </c>
      <c r="G203" t="str">
        <f>AD!CB103</f>
        <v>AC</v>
      </c>
      <c r="H203" t="str">
        <f>AD!CC103</f>
        <v>Vessel</v>
      </c>
      <c r="I203">
        <f>AD!CD103</f>
        <v>0</v>
      </c>
      <c r="J203">
        <f>AD!CE103</f>
        <v>0</v>
      </c>
      <c r="K203">
        <f>AD!CF103</f>
        <v>0</v>
      </c>
      <c r="L203">
        <f>AD!CG103</f>
        <v>0</v>
      </c>
      <c r="M203">
        <f>AD!CH103</f>
        <v>0</v>
      </c>
      <c r="N203">
        <f>AD!CI103</f>
        <v>0</v>
      </c>
      <c r="O203">
        <f>AD!CJ103</f>
        <v>0</v>
      </c>
      <c r="P203" s="143" t="str">
        <f>AD!CK103</f>
        <v/>
      </c>
      <c r="R203">
        <f t="shared" si="3"/>
        <v>202</v>
      </c>
    </row>
    <row r="204" spans="5:18">
      <c r="E204" s="147" t="s">
        <v>56</v>
      </c>
      <c r="F204" t="str">
        <f>AD!CA104</f>
        <v>HPS</v>
      </c>
      <c r="G204" t="str">
        <f>AD!CB104</f>
        <v>AC</v>
      </c>
      <c r="H204" t="str">
        <f>AD!CC104</f>
        <v>Vessel</v>
      </c>
      <c r="I204">
        <f>AD!CD104</f>
        <v>0</v>
      </c>
      <c r="J204">
        <f>AD!CE104</f>
        <v>0</v>
      </c>
      <c r="K204">
        <f>AD!CF104</f>
        <v>0</v>
      </c>
      <c r="L204">
        <f>AD!CG104</f>
        <v>0</v>
      </c>
      <c r="M204">
        <f>AD!CH104</f>
        <v>0</v>
      </c>
      <c r="N204">
        <f>AD!CI104</f>
        <v>0</v>
      </c>
      <c r="O204">
        <f>AD!CJ104</f>
        <v>0</v>
      </c>
      <c r="P204" s="143" t="str">
        <f>AD!CK104</f>
        <v/>
      </c>
      <c r="R204">
        <f t="shared" si="3"/>
        <v>203</v>
      </c>
    </row>
    <row r="205" spans="5:18">
      <c r="E205" s="147" t="s">
        <v>56</v>
      </c>
      <c r="F205" t="str">
        <f>AD!CA105</f>
        <v>HPS</v>
      </c>
      <c r="G205" t="str">
        <f>AD!CB105</f>
        <v>AC</v>
      </c>
      <c r="H205" t="str">
        <f>AD!CC105</f>
        <v>Vessel</v>
      </c>
      <c r="I205">
        <f>AD!CD105</f>
        <v>0</v>
      </c>
      <c r="J205">
        <f>AD!CE105</f>
        <v>0</v>
      </c>
      <c r="K205">
        <f>AD!CF105</f>
        <v>0</v>
      </c>
      <c r="L205">
        <f>AD!CG105</f>
        <v>0</v>
      </c>
      <c r="M205">
        <f>AD!CH105</f>
        <v>0</v>
      </c>
      <c r="N205">
        <f>AD!CI105</f>
        <v>0</v>
      </c>
      <c r="O205">
        <f>AD!CJ105</f>
        <v>0</v>
      </c>
      <c r="P205" s="143" t="str">
        <f>AD!CK105</f>
        <v/>
      </c>
      <c r="R205">
        <f t="shared" si="3"/>
        <v>204</v>
      </c>
    </row>
    <row r="206" spans="5:18">
      <c r="E206" s="147" t="s">
        <v>56</v>
      </c>
      <c r="F206" t="str">
        <f>AD!CA106</f>
        <v>HPS</v>
      </c>
      <c r="G206" t="str">
        <f>AD!CB106</f>
        <v>AC</v>
      </c>
      <c r="H206" t="str">
        <f>AD!CC106</f>
        <v>Vessel</v>
      </c>
      <c r="I206">
        <f>AD!CD106</f>
        <v>0</v>
      </c>
      <c r="J206">
        <f>AD!CE106</f>
        <v>0</v>
      </c>
      <c r="K206">
        <f>AD!CF106</f>
        <v>0</v>
      </c>
      <c r="L206">
        <f>AD!CG106</f>
        <v>0</v>
      </c>
      <c r="M206">
        <f>AD!CH106</f>
        <v>0</v>
      </c>
      <c r="N206">
        <f>AD!CI106</f>
        <v>0</v>
      </c>
      <c r="O206">
        <f>AD!CJ106</f>
        <v>0</v>
      </c>
      <c r="P206" s="143" t="str">
        <f>AD!CK106</f>
        <v/>
      </c>
      <c r="R206">
        <f t="shared" si="3"/>
        <v>205</v>
      </c>
    </row>
    <row r="207" spans="5:18">
      <c r="E207" s="147" t="s">
        <v>56</v>
      </c>
      <c r="F207" t="str">
        <f>AD!CA107</f>
        <v>HPS</v>
      </c>
      <c r="G207" t="str">
        <f>AD!CB107</f>
        <v>AC</v>
      </c>
      <c r="H207" t="str">
        <f>AD!CC107</f>
        <v>Vessel</v>
      </c>
      <c r="I207">
        <f>AD!CD107</f>
        <v>0</v>
      </c>
      <c r="J207">
        <f>AD!CE107</f>
        <v>0</v>
      </c>
      <c r="K207">
        <f>AD!CF107</f>
        <v>0</v>
      </c>
      <c r="L207">
        <f>AD!CG107</f>
        <v>0</v>
      </c>
      <c r="M207">
        <f>AD!CH107</f>
        <v>0</v>
      </c>
      <c r="N207">
        <f>AD!CI107</f>
        <v>0</v>
      </c>
      <c r="O207">
        <f>AD!CJ107</f>
        <v>0</v>
      </c>
      <c r="P207" s="143" t="str">
        <f>AD!CK107</f>
        <v/>
      </c>
      <c r="R207">
        <f t="shared" si="3"/>
        <v>206</v>
      </c>
    </row>
    <row r="208" spans="5:18">
      <c r="E208" s="147" t="s">
        <v>56</v>
      </c>
      <c r="F208" t="str">
        <f>AD!CA108</f>
        <v>HPS</v>
      </c>
      <c r="G208" t="str">
        <f>AD!CB108</f>
        <v>AC</v>
      </c>
      <c r="H208" t="str">
        <f>AD!CC108</f>
        <v>Vessel</v>
      </c>
      <c r="I208">
        <f>AD!CD108</f>
        <v>0</v>
      </c>
      <c r="J208">
        <f>AD!CE108</f>
        <v>0</v>
      </c>
      <c r="K208">
        <f>AD!CF108</f>
        <v>0</v>
      </c>
      <c r="L208">
        <f>AD!CG108</f>
        <v>0</v>
      </c>
      <c r="M208">
        <f>AD!CH108</f>
        <v>0</v>
      </c>
      <c r="N208">
        <f>AD!CI108</f>
        <v>0</v>
      </c>
      <c r="O208">
        <f>AD!CJ108</f>
        <v>0</v>
      </c>
      <c r="P208" s="143" t="str">
        <f>AD!CK108</f>
        <v/>
      </c>
      <c r="R208">
        <f t="shared" si="3"/>
        <v>207</v>
      </c>
    </row>
    <row r="209" spans="5:18">
      <c r="E209" s="147" t="s">
        <v>56</v>
      </c>
      <c r="F209" t="str">
        <f>AD!CA109</f>
        <v>HPS</v>
      </c>
      <c r="G209" t="str">
        <f>AD!CB109</f>
        <v>AC</v>
      </c>
      <c r="H209" t="str">
        <f>AD!CC109</f>
        <v>Vessel</v>
      </c>
      <c r="I209">
        <f>AD!CD109</f>
        <v>0</v>
      </c>
      <c r="J209">
        <f>AD!CE109</f>
        <v>0</v>
      </c>
      <c r="K209">
        <f>AD!CF109</f>
        <v>0</v>
      </c>
      <c r="L209">
        <f>AD!CG109</f>
        <v>0</v>
      </c>
      <c r="M209">
        <f>AD!CH109</f>
        <v>0</v>
      </c>
      <c r="N209">
        <f>AD!CI109</f>
        <v>0</v>
      </c>
      <c r="O209">
        <f>AD!CJ109</f>
        <v>0</v>
      </c>
      <c r="P209" s="143" t="str">
        <f>AD!CK109</f>
        <v/>
      </c>
      <c r="R209">
        <f t="shared" si="3"/>
        <v>208</v>
      </c>
    </row>
    <row r="210" spans="5:18">
      <c r="E210" s="147" t="s">
        <v>56</v>
      </c>
      <c r="F210" t="str">
        <f>AD!CA110</f>
        <v>HPS</v>
      </c>
      <c r="G210" t="str">
        <f>AD!CB110</f>
        <v>AC</v>
      </c>
      <c r="H210" t="str">
        <f>AD!CC110</f>
        <v>Vessel</v>
      </c>
      <c r="I210">
        <f>AD!CD110</f>
        <v>0</v>
      </c>
      <c r="J210">
        <f>AD!CE110</f>
        <v>0</v>
      </c>
      <c r="K210">
        <f>AD!CF110</f>
        <v>0</v>
      </c>
      <c r="L210">
        <f>AD!CG110</f>
        <v>0</v>
      </c>
      <c r="M210">
        <f>AD!CH110</f>
        <v>0</v>
      </c>
      <c r="N210">
        <f>AD!CI110</f>
        <v>0</v>
      </c>
      <c r="O210">
        <f>AD!CJ110</f>
        <v>0</v>
      </c>
      <c r="P210" s="143" t="str">
        <f>AD!CK110</f>
        <v/>
      </c>
      <c r="R210">
        <f t="shared" si="3"/>
        <v>209</v>
      </c>
    </row>
    <row r="211" spans="5:18" ht="17.100000000000001" thickBot="1">
      <c r="E211" s="148" t="s">
        <v>56</v>
      </c>
      <c r="F211" s="144" t="str">
        <f>AD!CA111</f>
        <v>HPS</v>
      </c>
      <c r="G211" s="144" t="str">
        <f>AD!CB111</f>
        <v>AC</v>
      </c>
      <c r="H211" s="144" t="str">
        <f>AD!CC111</f>
        <v>Vessel</v>
      </c>
      <c r="I211" s="144">
        <f>AD!CD111</f>
        <v>0</v>
      </c>
      <c r="J211" s="144">
        <f>AD!CE111</f>
        <v>0</v>
      </c>
      <c r="K211" s="144">
        <f>AD!CF111</f>
        <v>0</v>
      </c>
      <c r="L211" s="144">
        <f>AD!CG111</f>
        <v>0</v>
      </c>
      <c r="M211" s="144">
        <f>AD!CH111</f>
        <v>0</v>
      </c>
      <c r="N211" s="144">
        <f>AD!CI111</f>
        <v>0</v>
      </c>
      <c r="O211" s="144">
        <f>AD!CJ111</f>
        <v>0</v>
      </c>
      <c r="P211" s="145" t="str">
        <f>AD!CK111</f>
        <v/>
      </c>
      <c r="R211">
        <f t="shared" si="3"/>
        <v>210</v>
      </c>
    </row>
    <row r="212" spans="5:18">
      <c r="E212" s="146" t="s">
        <v>57</v>
      </c>
      <c r="F212" s="141" t="str">
        <f>'CR'!CA2</f>
        <v>HPS</v>
      </c>
      <c r="G212" s="141" t="str">
        <f>'CR'!CB2</f>
        <v>AC</v>
      </c>
      <c r="H212" s="141" t="str">
        <f>'CR'!CC2</f>
        <v>Head</v>
      </c>
      <c r="I212" s="141">
        <f>'CR'!CD2</f>
        <v>0</v>
      </c>
      <c r="J212" s="141" t="str">
        <f>'CR'!CE2</f>
        <v>Cross</v>
      </c>
      <c r="K212" s="141" t="str">
        <f>'CR'!CF2</f>
        <v>60-24HF4</v>
      </c>
      <c r="L212" s="141" t="str">
        <f>'CR'!CG2</f>
        <v>CR-1</v>
      </c>
      <c r="M212" s="141">
        <f>'CR'!CH2</f>
        <v>0</v>
      </c>
      <c r="N212" s="141">
        <f>'CR'!CI2</f>
        <v>0</v>
      </c>
      <c r="O212" s="141">
        <f>'CR'!CJ2</f>
        <v>0</v>
      </c>
      <c r="P212" s="142" t="str">
        <f>'CR'!CK2</f>
        <v>Active</v>
      </c>
      <c r="R212">
        <f t="shared" si="3"/>
        <v>211</v>
      </c>
    </row>
    <row r="213" spans="5:18">
      <c r="E213" s="147" t="s">
        <v>57</v>
      </c>
      <c r="F213" t="str">
        <f>'CR'!CA3</f>
        <v>HPS</v>
      </c>
      <c r="G213" t="str">
        <f>'CR'!CB3</f>
        <v>AC</v>
      </c>
      <c r="H213" t="str">
        <f>'CR'!CC3</f>
        <v>Head</v>
      </c>
      <c r="I213">
        <f>'CR'!CD3</f>
        <v>0</v>
      </c>
      <c r="J213" t="str">
        <f>'CR'!CE3</f>
        <v>Cross</v>
      </c>
      <c r="K213" t="str">
        <f>'CR'!CF3</f>
        <v>60-24HF4</v>
      </c>
      <c r="L213" t="str">
        <f>'CR'!CG3</f>
        <v>CR-2</v>
      </c>
      <c r="M213">
        <f>'CR'!CH3</f>
        <v>0</v>
      </c>
      <c r="N213">
        <f>'CR'!CI3</f>
        <v>0</v>
      </c>
      <c r="O213">
        <f>'CR'!CJ3</f>
        <v>0</v>
      </c>
      <c r="P213" s="143" t="str">
        <f>'CR'!CK3</f>
        <v>Active</v>
      </c>
      <c r="R213">
        <f t="shared" si="3"/>
        <v>212</v>
      </c>
    </row>
    <row r="214" spans="5:18">
      <c r="E214" s="147" t="s">
        <v>57</v>
      </c>
      <c r="F214" t="str">
        <f>'CR'!CA4</f>
        <v>HPS</v>
      </c>
      <c r="G214" t="str">
        <f>'CR'!CB4</f>
        <v>AC</v>
      </c>
      <c r="H214" t="str">
        <f>'CR'!CC4</f>
        <v>Head</v>
      </c>
      <c r="I214">
        <f>'CR'!CD4</f>
        <v>0</v>
      </c>
      <c r="J214" t="str">
        <f>'CR'!CE4</f>
        <v>Cross</v>
      </c>
      <c r="K214" t="str">
        <f>'CR'!CF4</f>
        <v>60-24HF4</v>
      </c>
      <c r="L214" t="str">
        <f>'CR'!CG4</f>
        <v>CR-3</v>
      </c>
      <c r="M214">
        <f>'CR'!CH4</f>
        <v>0</v>
      </c>
      <c r="N214">
        <f>'CR'!CI4</f>
        <v>0</v>
      </c>
      <c r="O214">
        <f>'CR'!CJ4</f>
        <v>0</v>
      </c>
      <c r="P214" s="143" t="str">
        <f>'CR'!CK4</f>
        <v>Active</v>
      </c>
      <c r="R214">
        <f t="shared" si="3"/>
        <v>213</v>
      </c>
    </row>
    <row r="215" spans="5:18">
      <c r="E215" s="147" t="s">
        <v>57</v>
      </c>
      <c r="F215" t="str">
        <f>'CR'!CA5</f>
        <v>HPS</v>
      </c>
      <c r="G215" t="str">
        <f>'CR'!CB5</f>
        <v>AC</v>
      </c>
      <c r="H215" t="str">
        <f>'CR'!CC5</f>
        <v>Head</v>
      </c>
      <c r="I215">
        <f>'CR'!CD5</f>
        <v>0</v>
      </c>
      <c r="J215" t="str">
        <f>'CR'!CE5</f>
        <v>Cross</v>
      </c>
      <c r="K215" t="str">
        <f>'CR'!CF5</f>
        <v>60-24HF4</v>
      </c>
      <c r="L215" t="str">
        <f>'CR'!CG5</f>
        <v>CR-4</v>
      </c>
      <c r="M215">
        <f>'CR'!CH5</f>
        <v>0</v>
      </c>
      <c r="N215">
        <f>'CR'!CI5</f>
        <v>0</v>
      </c>
      <c r="O215">
        <f>'CR'!CJ5</f>
        <v>0</v>
      </c>
      <c r="P215" s="143" t="str">
        <f>'CR'!CK5</f>
        <v>Active</v>
      </c>
      <c r="R215">
        <f t="shared" si="3"/>
        <v>214</v>
      </c>
    </row>
    <row r="216" spans="5:18">
      <c r="E216" s="147" t="s">
        <v>57</v>
      </c>
      <c r="F216" t="str">
        <f>'CR'!CA6</f>
        <v>HPS</v>
      </c>
      <c r="G216" t="str">
        <f>'CR'!CB6</f>
        <v>AC</v>
      </c>
      <c r="H216" t="str">
        <f>'CR'!CC6</f>
        <v>Head</v>
      </c>
      <c r="I216">
        <f>'CR'!CD6</f>
        <v>0</v>
      </c>
      <c r="J216" t="str">
        <f>'CR'!CE6</f>
        <v>Cross</v>
      </c>
      <c r="K216" t="str">
        <f>'CR'!CF6</f>
        <v>60-24HF4</v>
      </c>
      <c r="L216" t="str">
        <f>'CR'!CG6</f>
        <v>CR-5</v>
      </c>
      <c r="M216">
        <f>'CR'!CH6</f>
        <v>0</v>
      </c>
      <c r="N216">
        <f>'CR'!CI6</f>
        <v>0</v>
      </c>
      <c r="O216">
        <f>'CR'!CJ6</f>
        <v>0</v>
      </c>
      <c r="P216" s="143" t="str">
        <f>'CR'!CK6</f>
        <v>Active</v>
      </c>
      <c r="R216">
        <f t="shared" si="3"/>
        <v>215</v>
      </c>
    </row>
    <row r="217" spans="5:18">
      <c r="E217" s="147" t="s">
        <v>57</v>
      </c>
      <c r="F217" t="str">
        <f>'CR'!CA7</f>
        <v>HPS</v>
      </c>
      <c r="G217" t="str">
        <f>'CR'!CB7</f>
        <v>AC</v>
      </c>
      <c r="H217" t="str">
        <f>'CR'!CC7</f>
        <v>Head</v>
      </c>
      <c r="I217">
        <f>'CR'!CD7</f>
        <v>0</v>
      </c>
      <c r="J217" t="str">
        <f>'CR'!CE7</f>
        <v>Cross</v>
      </c>
      <c r="K217" t="str">
        <f>'CR'!CF7</f>
        <v>60-24HF4</v>
      </c>
      <c r="L217" t="str">
        <f>'CR'!CG7</f>
        <v>CR-6</v>
      </c>
      <c r="M217">
        <f>'CR'!CH7</f>
        <v>0</v>
      </c>
      <c r="N217">
        <f>'CR'!CI7</f>
        <v>0</v>
      </c>
      <c r="O217">
        <f>'CR'!CJ7</f>
        <v>0</v>
      </c>
      <c r="P217" s="143" t="str">
        <f>'CR'!CK7</f>
        <v>Active</v>
      </c>
      <c r="R217">
        <f t="shared" si="3"/>
        <v>216</v>
      </c>
    </row>
    <row r="218" spans="5:18">
      <c r="E218" s="147" t="s">
        <v>57</v>
      </c>
      <c r="F218" t="str">
        <f>'CR'!CA8</f>
        <v>HPS</v>
      </c>
      <c r="G218" t="str">
        <f>'CR'!CB8</f>
        <v>AC</v>
      </c>
      <c r="H218" t="str">
        <f>'CR'!CC8</f>
        <v>Head</v>
      </c>
      <c r="I218">
        <f>'CR'!CD8</f>
        <v>0</v>
      </c>
      <c r="J218" t="str">
        <f>'CR'!CE8</f>
        <v>Cross</v>
      </c>
      <c r="K218" t="str">
        <f>'CR'!CF8</f>
        <v>60-24HF4</v>
      </c>
      <c r="L218" t="str">
        <f>'CR'!CG8</f>
        <v>CR-7</v>
      </c>
      <c r="M218">
        <f>'CR'!CH8</f>
        <v>0</v>
      </c>
      <c r="N218">
        <f>'CR'!CI8</f>
        <v>0</v>
      </c>
      <c r="O218">
        <f>'CR'!CJ8</f>
        <v>0</v>
      </c>
      <c r="P218" s="143" t="str">
        <f>'CR'!CK8</f>
        <v>Active</v>
      </c>
      <c r="R218">
        <f t="shared" si="3"/>
        <v>217</v>
      </c>
    </row>
    <row r="219" spans="5:18">
      <c r="E219" s="147" t="s">
        <v>57</v>
      </c>
      <c r="F219" t="str">
        <f>'CR'!CA9</f>
        <v>HPS</v>
      </c>
      <c r="G219" t="str">
        <f>'CR'!CB9</f>
        <v>AC</v>
      </c>
      <c r="H219" t="str">
        <f>'CR'!CC9</f>
        <v>Head</v>
      </c>
      <c r="I219">
        <f>'CR'!CD9</f>
        <v>0</v>
      </c>
      <c r="J219" t="str">
        <f>'CR'!CE9</f>
        <v>Cross</v>
      </c>
      <c r="K219" t="str">
        <f>'CR'!CF9</f>
        <v>60-24HF4</v>
      </c>
      <c r="L219" t="str">
        <f>'CR'!CG9</f>
        <v>CR-8</v>
      </c>
      <c r="M219">
        <f>'CR'!CH9</f>
        <v>0</v>
      </c>
      <c r="N219">
        <f>'CR'!CI9</f>
        <v>0</v>
      </c>
      <c r="O219">
        <f>'CR'!CJ9</f>
        <v>0</v>
      </c>
      <c r="P219" s="143" t="str">
        <f>'CR'!CK9</f>
        <v>Active</v>
      </c>
      <c r="R219">
        <f t="shared" si="3"/>
        <v>218</v>
      </c>
    </row>
    <row r="220" spans="5:18">
      <c r="E220" s="147" t="s">
        <v>57</v>
      </c>
      <c r="F220" t="str">
        <f>'CR'!CA10</f>
        <v>HPS</v>
      </c>
      <c r="G220" t="str">
        <f>'CR'!CB10</f>
        <v>AC</v>
      </c>
      <c r="H220" t="str">
        <f>'CR'!CC10</f>
        <v>Head</v>
      </c>
      <c r="I220">
        <f>'CR'!CD10</f>
        <v>0</v>
      </c>
      <c r="J220" t="str">
        <f>'CR'!CE10</f>
        <v>Cross</v>
      </c>
      <c r="K220" t="str">
        <f>'CR'!CF10</f>
        <v>60-24HF4</v>
      </c>
      <c r="L220" t="str">
        <f>'CR'!CG10</f>
        <v>CR-9</v>
      </c>
      <c r="M220">
        <f>'CR'!CH10</f>
        <v>0</v>
      </c>
      <c r="N220">
        <f>'CR'!CI10</f>
        <v>0</v>
      </c>
      <c r="O220">
        <f>'CR'!CJ10</f>
        <v>0</v>
      </c>
      <c r="P220" s="143" t="str">
        <f>'CR'!CK10</f>
        <v>Active</v>
      </c>
      <c r="R220">
        <f t="shared" si="3"/>
        <v>219</v>
      </c>
    </row>
    <row r="221" spans="5:18">
      <c r="E221" s="147" t="s">
        <v>57</v>
      </c>
      <c r="F221" t="str">
        <f>'CR'!CA11</f>
        <v>HPS</v>
      </c>
      <c r="G221" t="str">
        <f>'CR'!CB11</f>
        <v>AC</v>
      </c>
      <c r="H221" t="str">
        <f>'CR'!CC11</f>
        <v>Head</v>
      </c>
      <c r="I221">
        <f>'CR'!CD11</f>
        <v>0</v>
      </c>
      <c r="J221" t="str">
        <f>'CR'!CE11</f>
        <v>Cross</v>
      </c>
      <c r="K221" t="str">
        <f>'CR'!CF11</f>
        <v>60-24HF4</v>
      </c>
      <c r="L221" t="str">
        <f>'CR'!CG11</f>
        <v>CR-10</v>
      </c>
      <c r="M221">
        <f>'CR'!CH11</f>
        <v>0</v>
      </c>
      <c r="N221">
        <f>'CR'!CI11</f>
        <v>0</v>
      </c>
      <c r="O221">
        <f>'CR'!CJ11</f>
        <v>0</v>
      </c>
      <c r="P221" s="143" t="str">
        <f>'CR'!CK11</f>
        <v>Active</v>
      </c>
      <c r="R221">
        <f t="shared" si="3"/>
        <v>220</v>
      </c>
    </row>
    <row r="222" spans="5:18">
      <c r="E222" s="147" t="s">
        <v>57</v>
      </c>
      <c r="F222" t="str">
        <f>'CR'!CA12</f>
        <v>HPS</v>
      </c>
      <c r="G222" t="str">
        <f>'CR'!CB12</f>
        <v>AC</v>
      </c>
      <c r="H222" t="str">
        <f>'CR'!CC12</f>
        <v>Head</v>
      </c>
      <c r="I222">
        <f>'CR'!CD12</f>
        <v>0</v>
      </c>
      <c r="J222" t="str">
        <f>'CR'!CE12</f>
        <v>Cross</v>
      </c>
      <c r="K222" t="str">
        <f>'CR'!CF12</f>
        <v>60-24HF4</v>
      </c>
      <c r="L222" t="str">
        <f>'CR'!CG12</f>
        <v>CR-11</v>
      </c>
      <c r="M222">
        <f>'CR'!CH12</f>
        <v>0</v>
      </c>
      <c r="N222">
        <f>'CR'!CI12</f>
        <v>0</v>
      </c>
      <c r="O222">
        <f>'CR'!CJ12</f>
        <v>0</v>
      </c>
      <c r="P222" s="143" t="str">
        <f>'CR'!CK12</f>
        <v>Active</v>
      </c>
      <c r="R222">
        <f t="shared" si="3"/>
        <v>221</v>
      </c>
    </row>
    <row r="223" spans="5:18">
      <c r="E223" s="147" t="s">
        <v>57</v>
      </c>
      <c r="F223" t="str">
        <f>'CR'!CA13</f>
        <v>HPS</v>
      </c>
      <c r="G223" t="str">
        <f>'CR'!CB13</f>
        <v>AC</v>
      </c>
      <c r="H223" t="str">
        <f>'CR'!CC13</f>
        <v>Head</v>
      </c>
      <c r="I223">
        <f>'CR'!CD13</f>
        <v>0</v>
      </c>
      <c r="J223" t="str">
        <f>'CR'!CE13</f>
        <v>Cross</v>
      </c>
      <c r="K223" t="str">
        <f>'CR'!CF13</f>
        <v>60-24HF4</v>
      </c>
      <c r="L223" t="str">
        <f>'CR'!CG13</f>
        <v>CR-12</v>
      </c>
      <c r="M223">
        <f>'CR'!CH13</f>
        <v>0</v>
      </c>
      <c r="N223">
        <f>'CR'!CI13</f>
        <v>0</v>
      </c>
      <c r="O223">
        <f>'CR'!CJ13</f>
        <v>0</v>
      </c>
      <c r="P223" s="143" t="str">
        <f>'CR'!CK13</f>
        <v>Active</v>
      </c>
      <c r="R223">
        <f t="shared" si="3"/>
        <v>222</v>
      </c>
    </row>
    <row r="224" spans="5:18">
      <c r="E224" s="147" t="s">
        <v>57</v>
      </c>
      <c r="F224" t="str">
        <f>'CR'!CA14</f>
        <v>HPS</v>
      </c>
      <c r="G224" t="str">
        <f>'CR'!CB14</f>
        <v>AC</v>
      </c>
      <c r="H224" t="str">
        <f>'CR'!CC14</f>
        <v>Head</v>
      </c>
      <c r="I224">
        <f>'CR'!CD14</f>
        <v>0</v>
      </c>
      <c r="J224" t="str">
        <f>'CR'!CE14</f>
        <v>Cross</v>
      </c>
      <c r="K224" t="str">
        <f>'CR'!CF14</f>
        <v>60-24HF4</v>
      </c>
      <c r="L224" t="str">
        <f>'CR'!CG14</f>
        <v>CR-13</v>
      </c>
      <c r="M224">
        <f>'CR'!CH14</f>
        <v>0</v>
      </c>
      <c r="N224">
        <f>'CR'!CI14</f>
        <v>0</v>
      </c>
      <c r="O224">
        <f>'CR'!CJ14</f>
        <v>0</v>
      </c>
      <c r="P224" s="143" t="str">
        <f>'CR'!CK14</f>
        <v>Active</v>
      </c>
      <c r="R224">
        <f t="shared" si="3"/>
        <v>223</v>
      </c>
    </row>
    <row r="225" spans="5:18">
      <c r="E225" s="147" t="s">
        <v>57</v>
      </c>
      <c r="F225" t="str">
        <f>'CR'!CA15</f>
        <v>HPS</v>
      </c>
      <c r="G225" t="str">
        <f>'CR'!CB15</f>
        <v>AC</v>
      </c>
      <c r="H225" t="str">
        <f>'CR'!CC15</f>
        <v>Head</v>
      </c>
      <c r="I225">
        <f>'CR'!CD15</f>
        <v>0</v>
      </c>
      <c r="J225" t="str">
        <f>'CR'!CE15</f>
        <v>Cross</v>
      </c>
      <c r="K225" t="str">
        <f>'CR'!CF15</f>
        <v>60-24HF4</v>
      </c>
      <c r="L225" t="str">
        <f>'CR'!CG15</f>
        <v>CR-14</v>
      </c>
      <c r="M225">
        <f>'CR'!CH15</f>
        <v>0</v>
      </c>
      <c r="N225">
        <f>'CR'!CI15</f>
        <v>0</v>
      </c>
      <c r="O225">
        <f>'CR'!CJ15</f>
        <v>0</v>
      </c>
      <c r="P225" s="143" t="str">
        <f>'CR'!CK15</f>
        <v>Active</v>
      </c>
      <c r="R225">
        <f t="shared" si="3"/>
        <v>224</v>
      </c>
    </row>
    <row r="226" spans="5:18">
      <c r="E226" s="147" t="s">
        <v>57</v>
      </c>
      <c r="F226" t="str">
        <f>'CR'!CA16</f>
        <v>HPS</v>
      </c>
      <c r="G226" t="str">
        <f>'CR'!CB16</f>
        <v>AC</v>
      </c>
      <c r="H226" t="str">
        <f>'CR'!CC16</f>
        <v>Head</v>
      </c>
      <c r="I226">
        <f>'CR'!CD16</f>
        <v>0</v>
      </c>
      <c r="J226" t="str">
        <f>'CR'!CE16</f>
        <v>Cross</v>
      </c>
      <c r="K226" t="str">
        <f>'CR'!CF16</f>
        <v>60-24HF4</v>
      </c>
      <c r="L226" t="str">
        <f>'CR'!CG16</f>
        <v>CR-15</v>
      </c>
      <c r="M226">
        <f>'CR'!CH16</f>
        <v>0</v>
      </c>
      <c r="N226">
        <f>'CR'!CI16</f>
        <v>0</v>
      </c>
      <c r="O226">
        <f>'CR'!CJ16</f>
        <v>0</v>
      </c>
      <c r="P226" s="143" t="str">
        <f>'CR'!CK16</f>
        <v>Active</v>
      </c>
      <c r="R226">
        <f t="shared" si="3"/>
        <v>225</v>
      </c>
    </row>
    <row r="227" spans="5:18">
      <c r="E227" s="147" t="s">
        <v>57</v>
      </c>
      <c r="F227" t="str">
        <f>'CR'!CA17</f>
        <v>HPS</v>
      </c>
      <c r="G227" t="str">
        <f>'CR'!CB17</f>
        <v>AC</v>
      </c>
      <c r="H227" t="str">
        <f>'CR'!CC17</f>
        <v>Head</v>
      </c>
      <c r="I227">
        <f>'CR'!CD17</f>
        <v>0</v>
      </c>
      <c r="J227" t="str">
        <f>'CR'!CE17</f>
        <v>Cross</v>
      </c>
      <c r="K227" t="str">
        <f>'CR'!CF17</f>
        <v>60-24HF4</v>
      </c>
      <c r="L227" t="str">
        <f>'CR'!CG17</f>
        <v>CR-16</v>
      </c>
      <c r="M227">
        <f>'CR'!CH17</f>
        <v>0</v>
      </c>
      <c r="N227">
        <f>'CR'!CI17</f>
        <v>0</v>
      </c>
      <c r="O227">
        <f>'CR'!CJ17</f>
        <v>0</v>
      </c>
      <c r="P227" s="143" t="str">
        <f>'CR'!CK17</f>
        <v>Active</v>
      </c>
      <c r="R227">
        <f t="shared" si="3"/>
        <v>226</v>
      </c>
    </row>
    <row r="228" spans="5:18">
      <c r="E228" s="147" t="s">
        <v>57</v>
      </c>
      <c r="F228" t="str">
        <f>'CR'!CA18</f>
        <v>HPS</v>
      </c>
      <c r="G228" t="str">
        <f>'CR'!CB18</f>
        <v>AC</v>
      </c>
      <c r="H228" t="str">
        <f>'CR'!CC18</f>
        <v>Head</v>
      </c>
      <c r="I228">
        <f>'CR'!CD18</f>
        <v>0</v>
      </c>
      <c r="J228" t="str">
        <f>'CR'!CE18</f>
        <v>Cross</v>
      </c>
      <c r="K228" t="str">
        <f>'CR'!CF18</f>
        <v>60-24HF4</v>
      </c>
      <c r="L228" t="str">
        <f>'CR'!CG18</f>
        <v>CR-17</v>
      </c>
      <c r="M228">
        <f>'CR'!CH18</f>
        <v>0</v>
      </c>
      <c r="N228">
        <f>'CR'!CI18</f>
        <v>0</v>
      </c>
      <c r="O228">
        <f>'CR'!CJ18</f>
        <v>0</v>
      </c>
      <c r="P228" s="143" t="str">
        <f>'CR'!CK18</f>
        <v>Active</v>
      </c>
      <c r="R228">
        <f t="shared" si="3"/>
        <v>227</v>
      </c>
    </row>
    <row r="229" spans="5:18">
      <c r="E229" s="147" t="s">
        <v>57</v>
      </c>
      <c r="F229" t="str">
        <f>'CR'!CA19</f>
        <v>HPS</v>
      </c>
      <c r="G229" t="str">
        <f>'CR'!CB19</f>
        <v>AC</v>
      </c>
      <c r="H229" t="str">
        <f>'CR'!CC19</f>
        <v>Head</v>
      </c>
      <c r="I229">
        <f>'CR'!CD19</f>
        <v>0</v>
      </c>
      <c r="J229" t="str">
        <f>'CR'!CE19</f>
        <v>Cross</v>
      </c>
      <c r="K229" t="str">
        <f>'CR'!CF19</f>
        <v>60-24HF4</v>
      </c>
      <c r="L229" t="str">
        <f>'CR'!CG19</f>
        <v>CR-18</v>
      </c>
      <c r="M229">
        <f>'CR'!CH19</f>
        <v>0</v>
      </c>
      <c r="N229">
        <f>'CR'!CI19</f>
        <v>0</v>
      </c>
      <c r="O229">
        <f>'CR'!CJ19</f>
        <v>0</v>
      </c>
      <c r="P229" s="143" t="str">
        <f>'CR'!CK19</f>
        <v>Active</v>
      </c>
      <c r="R229">
        <f t="shared" si="3"/>
        <v>228</v>
      </c>
    </row>
    <row r="230" spans="5:18">
      <c r="E230" s="147" t="s">
        <v>57</v>
      </c>
      <c r="F230" t="str">
        <f>'CR'!CA20</f>
        <v>HPS</v>
      </c>
      <c r="G230" t="str">
        <f>'CR'!CB20</f>
        <v>AC</v>
      </c>
      <c r="H230" t="str">
        <f>'CR'!CC20</f>
        <v>Head</v>
      </c>
      <c r="I230">
        <f>'CR'!CD20</f>
        <v>0</v>
      </c>
      <c r="J230" t="str">
        <f>'CR'!CE20</f>
        <v>Cross</v>
      </c>
      <c r="K230" t="str">
        <f>'CR'!CF20</f>
        <v>60-24HF4</v>
      </c>
      <c r="L230" t="str">
        <f>'CR'!CG20</f>
        <v>CR-19</v>
      </c>
      <c r="M230">
        <f>'CR'!CH20</f>
        <v>0</v>
      </c>
      <c r="N230">
        <f>'CR'!CI20</f>
        <v>0</v>
      </c>
      <c r="O230">
        <f>'CR'!CJ20</f>
        <v>0</v>
      </c>
      <c r="P230" s="143" t="str">
        <f>'CR'!CK20</f>
        <v>Active</v>
      </c>
      <c r="R230">
        <f t="shared" si="3"/>
        <v>229</v>
      </c>
    </row>
    <row r="231" spans="5:18">
      <c r="E231" s="147" t="s">
        <v>57</v>
      </c>
      <c r="F231" t="str">
        <f>'CR'!CA21</f>
        <v>HPS</v>
      </c>
      <c r="G231" t="str">
        <f>'CR'!CB21</f>
        <v>AC</v>
      </c>
      <c r="H231" t="str">
        <f>'CR'!CC21</f>
        <v>Head</v>
      </c>
      <c r="I231">
        <f>'CR'!CD21</f>
        <v>0</v>
      </c>
      <c r="J231" t="str">
        <f>'CR'!CE21</f>
        <v>Cross</v>
      </c>
      <c r="K231" t="str">
        <f>'CR'!CF21</f>
        <v>60-24HF4</v>
      </c>
      <c r="L231" t="str">
        <f>'CR'!CG21</f>
        <v>CR-20</v>
      </c>
      <c r="M231">
        <f>'CR'!CH21</f>
        <v>0</v>
      </c>
      <c r="N231">
        <f>'CR'!CI21</f>
        <v>0</v>
      </c>
      <c r="O231">
        <f>'CR'!CJ21</f>
        <v>0</v>
      </c>
      <c r="P231" s="143" t="str">
        <f>'CR'!CK21</f>
        <v>Active</v>
      </c>
      <c r="R231">
        <f t="shared" si="3"/>
        <v>230</v>
      </c>
    </row>
    <row r="232" spans="5:18">
      <c r="E232" s="147" t="s">
        <v>57</v>
      </c>
      <c r="F232" t="str">
        <f>'CR'!CA22</f>
        <v>HPS</v>
      </c>
      <c r="G232" t="str">
        <f>'CR'!CB22</f>
        <v>AC</v>
      </c>
      <c r="H232" t="str">
        <f>'CR'!CC22</f>
        <v>Head</v>
      </c>
      <c r="I232">
        <f>'CR'!CD22</f>
        <v>0</v>
      </c>
      <c r="J232" t="str">
        <f>'CR'!CE22</f>
        <v>Cross</v>
      </c>
      <c r="K232" t="str">
        <f>'CR'!CF22</f>
        <v>60-24HF4</v>
      </c>
      <c r="L232" t="str">
        <f>'CR'!CG22</f>
        <v>CR-21</v>
      </c>
      <c r="M232">
        <f>'CR'!CH22</f>
        <v>0</v>
      </c>
      <c r="N232">
        <f>'CR'!CI22</f>
        <v>0</v>
      </c>
      <c r="O232">
        <f>'CR'!CJ22</f>
        <v>0</v>
      </c>
      <c r="P232" s="143" t="str">
        <f>'CR'!CK22</f>
        <v>Active</v>
      </c>
      <c r="R232">
        <f t="shared" si="3"/>
        <v>231</v>
      </c>
    </row>
    <row r="233" spans="5:18">
      <c r="E233" s="147" t="s">
        <v>57</v>
      </c>
      <c r="F233" t="str">
        <f>'CR'!CA23</f>
        <v>HPS</v>
      </c>
      <c r="G233" t="str">
        <f>'CR'!CB23</f>
        <v>AC</v>
      </c>
      <c r="H233" t="str">
        <f>'CR'!CC23</f>
        <v>Head</v>
      </c>
      <c r="I233">
        <f>'CR'!CD23</f>
        <v>0</v>
      </c>
      <c r="J233" t="str">
        <f>'CR'!CE23</f>
        <v>Cross</v>
      </c>
      <c r="K233" t="str">
        <f>'CR'!CF23</f>
        <v>60-24HF4</v>
      </c>
      <c r="L233" t="str">
        <f>'CR'!CG23</f>
        <v>CR-22</v>
      </c>
      <c r="M233">
        <f>'CR'!CH23</f>
        <v>0</v>
      </c>
      <c r="N233">
        <f>'CR'!CI23</f>
        <v>0</v>
      </c>
      <c r="O233">
        <f>'CR'!CJ23</f>
        <v>0</v>
      </c>
      <c r="P233" s="143" t="str">
        <f>'CR'!CK23</f>
        <v>Active</v>
      </c>
      <c r="R233">
        <f t="shared" si="3"/>
        <v>232</v>
      </c>
    </row>
    <row r="234" spans="5:18">
      <c r="E234" s="147" t="s">
        <v>57</v>
      </c>
      <c r="F234" t="str">
        <f>'CR'!CA24</f>
        <v>HPS</v>
      </c>
      <c r="G234" t="str">
        <f>'CR'!CB24</f>
        <v>AC</v>
      </c>
      <c r="H234" t="str">
        <f>'CR'!CC24</f>
        <v>Head</v>
      </c>
      <c r="I234">
        <f>'CR'!CD24</f>
        <v>0</v>
      </c>
      <c r="J234" t="str">
        <f>'CR'!CE24</f>
        <v>Cross</v>
      </c>
      <c r="K234" t="str">
        <f>'CR'!CF24</f>
        <v>100-24XF4</v>
      </c>
      <c r="L234" t="str">
        <f>'CR'!CG24</f>
        <v>CR-23</v>
      </c>
      <c r="M234">
        <f>'CR'!CH24</f>
        <v>0</v>
      </c>
      <c r="N234">
        <f>'CR'!CI24</f>
        <v>0</v>
      </c>
      <c r="O234">
        <f>'CR'!CJ24</f>
        <v>0</v>
      </c>
      <c r="P234" s="143" t="str">
        <f>'CR'!CK24</f>
        <v>Active</v>
      </c>
      <c r="R234">
        <f t="shared" si="3"/>
        <v>233</v>
      </c>
    </row>
    <row r="235" spans="5:18">
      <c r="E235" s="147" t="s">
        <v>57</v>
      </c>
      <c r="F235" t="str">
        <f>'CR'!CA25</f>
        <v>HPS</v>
      </c>
      <c r="G235" t="str">
        <f>'CR'!CB25</f>
        <v>AC</v>
      </c>
      <c r="H235" t="str">
        <f>'CR'!CC25</f>
        <v>Head</v>
      </c>
      <c r="I235">
        <f>'CR'!CD25</f>
        <v>0</v>
      </c>
      <c r="J235" t="str">
        <f>'CR'!CE25</f>
        <v>Cross</v>
      </c>
      <c r="K235" t="str">
        <f>'CR'!CF25</f>
        <v>100-24XF4</v>
      </c>
      <c r="L235" t="str">
        <f>'CR'!CG25</f>
        <v>CR-24</v>
      </c>
      <c r="M235">
        <f>'CR'!CH25</f>
        <v>0</v>
      </c>
      <c r="N235">
        <f>'CR'!CI25</f>
        <v>0</v>
      </c>
      <c r="O235">
        <f>'CR'!CJ25</f>
        <v>0</v>
      </c>
      <c r="P235" s="143" t="str">
        <f>'CR'!CK25</f>
        <v>Active</v>
      </c>
      <c r="R235">
        <f t="shared" si="3"/>
        <v>234</v>
      </c>
    </row>
    <row r="236" spans="5:18">
      <c r="E236" s="147" t="s">
        <v>57</v>
      </c>
      <c r="F236" t="str">
        <f>'CR'!CA26</f>
        <v>HPS</v>
      </c>
      <c r="G236" t="str">
        <f>'CR'!CB26</f>
        <v>AC</v>
      </c>
      <c r="H236" t="str">
        <f>'CR'!CC26</f>
        <v>Head</v>
      </c>
      <c r="I236">
        <f>'CR'!CD26</f>
        <v>0</v>
      </c>
      <c r="J236" t="str">
        <f>'CR'!CE26</f>
        <v>Cross</v>
      </c>
      <c r="K236" t="str">
        <f>'CR'!CF26</f>
        <v>100-24XF4</v>
      </c>
      <c r="L236" t="str">
        <f>'CR'!CG26</f>
        <v>CR-25</v>
      </c>
      <c r="M236">
        <f>'CR'!CH26</f>
        <v>0</v>
      </c>
      <c r="N236">
        <f>'CR'!CI26</f>
        <v>0</v>
      </c>
      <c r="O236">
        <f>'CR'!CJ26</f>
        <v>0</v>
      </c>
      <c r="P236" s="143" t="str">
        <f>'CR'!CK26</f>
        <v>Active</v>
      </c>
      <c r="R236">
        <f t="shared" si="3"/>
        <v>235</v>
      </c>
    </row>
    <row r="237" spans="5:18">
      <c r="E237" s="147" t="s">
        <v>57</v>
      </c>
      <c r="F237" t="str">
        <f>'CR'!CA27</f>
        <v>HPS</v>
      </c>
      <c r="G237" t="str">
        <f>'CR'!CB27</f>
        <v>AC</v>
      </c>
      <c r="H237" t="str">
        <f>'CR'!CC27</f>
        <v>Head</v>
      </c>
      <c r="I237">
        <f>'CR'!CD27</f>
        <v>0</v>
      </c>
      <c r="J237" t="str">
        <f>'CR'!CE27</f>
        <v>Cross</v>
      </c>
      <c r="K237" t="str">
        <f>'CR'!CF27</f>
        <v>100-24XF4</v>
      </c>
      <c r="L237" t="str">
        <f>'CR'!CG27</f>
        <v>CR-26</v>
      </c>
      <c r="M237">
        <f>'CR'!CH27</f>
        <v>0</v>
      </c>
      <c r="N237">
        <f>'CR'!CI27</f>
        <v>0</v>
      </c>
      <c r="O237">
        <f>'CR'!CJ27</f>
        <v>0</v>
      </c>
      <c r="P237" s="143" t="str">
        <f>'CR'!CK27</f>
        <v>Active</v>
      </c>
      <c r="R237">
        <f t="shared" si="3"/>
        <v>236</v>
      </c>
    </row>
    <row r="238" spans="5:18">
      <c r="E238" s="147" t="s">
        <v>57</v>
      </c>
      <c r="F238" t="str">
        <f>'CR'!CA28</f>
        <v>HPS</v>
      </c>
      <c r="G238" t="str">
        <f>'CR'!CB28</f>
        <v>AC</v>
      </c>
      <c r="H238" t="str">
        <f>'CR'!CC28</f>
        <v>Head</v>
      </c>
      <c r="I238">
        <f>'CR'!CD28</f>
        <v>0</v>
      </c>
      <c r="J238" t="str">
        <f>'CR'!CE28</f>
        <v>Cross</v>
      </c>
      <c r="K238" t="str">
        <f>'CR'!CF28</f>
        <v>100-24XF4</v>
      </c>
      <c r="L238" t="str">
        <f>'CR'!CG28</f>
        <v>CR-27</v>
      </c>
      <c r="M238">
        <f>'CR'!CH28</f>
        <v>0</v>
      </c>
      <c r="N238">
        <f>'CR'!CI28</f>
        <v>0</v>
      </c>
      <c r="O238">
        <f>'CR'!CJ28</f>
        <v>0</v>
      </c>
      <c r="P238" s="143" t="str">
        <f>'CR'!CK28</f>
        <v>Active</v>
      </c>
      <c r="R238">
        <f t="shared" si="3"/>
        <v>237</v>
      </c>
    </row>
    <row r="239" spans="5:18">
      <c r="E239" s="147" t="s">
        <v>57</v>
      </c>
      <c r="F239" t="str">
        <f>'CR'!CA29</f>
        <v>HPS</v>
      </c>
      <c r="G239" t="str">
        <f>'CR'!CB29</f>
        <v>AC</v>
      </c>
      <c r="H239" t="str">
        <f>'CR'!CC29</f>
        <v>Head</v>
      </c>
      <c r="I239">
        <f>'CR'!CD29</f>
        <v>0</v>
      </c>
      <c r="J239" t="str">
        <f>'CR'!CE29</f>
        <v>Cross</v>
      </c>
      <c r="K239" t="str">
        <f>'CR'!CF29</f>
        <v>Custom</v>
      </c>
      <c r="L239" t="str">
        <f>'CR'!CG29</f>
        <v>CR-28</v>
      </c>
      <c r="M239">
        <f>'CR'!CH29</f>
        <v>0</v>
      </c>
      <c r="N239">
        <f>'CR'!CI29</f>
        <v>0</v>
      </c>
      <c r="O239">
        <f>'CR'!CJ29</f>
        <v>0</v>
      </c>
      <c r="P239" s="143" t="str">
        <f>'CR'!CK29</f>
        <v>Active</v>
      </c>
      <c r="R239">
        <f t="shared" si="3"/>
        <v>238</v>
      </c>
    </row>
    <row r="240" spans="5:18">
      <c r="E240" s="147" t="s">
        <v>57</v>
      </c>
      <c r="F240" t="str">
        <f>'CR'!CA30</f>
        <v>HPS</v>
      </c>
      <c r="G240" t="str">
        <f>'CR'!CB30</f>
        <v>AC</v>
      </c>
      <c r="H240" t="str">
        <f>'CR'!CC30</f>
        <v>Head</v>
      </c>
      <c r="I240">
        <f>'CR'!CD30</f>
        <v>0</v>
      </c>
      <c r="J240" t="str">
        <f>'CR'!CE30</f>
        <v>Cross</v>
      </c>
      <c r="K240" t="str">
        <f>'CR'!CF30</f>
        <v>Custom</v>
      </c>
      <c r="L240" t="str">
        <f>'CR'!CG30</f>
        <v>CR-29</v>
      </c>
      <c r="M240">
        <f>'CR'!CH30</f>
        <v>0</v>
      </c>
      <c r="N240">
        <f>'CR'!CI30</f>
        <v>0</v>
      </c>
      <c r="O240">
        <f>'CR'!CJ30</f>
        <v>0</v>
      </c>
      <c r="P240" s="143" t="str">
        <f>'CR'!CK30</f>
        <v>Active</v>
      </c>
      <c r="R240">
        <f t="shared" si="3"/>
        <v>239</v>
      </c>
    </row>
    <row r="241" spans="5:18">
      <c r="E241" s="147" t="s">
        <v>57</v>
      </c>
      <c r="F241" t="str">
        <f>'CR'!CA31</f>
        <v>HPS</v>
      </c>
      <c r="G241" t="str">
        <f>'CR'!CB31</f>
        <v>AC</v>
      </c>
      <c r="H241" t="str">
        <f>'CR'!CC31</f>
        <v>Head</v>
      </c>
      <c r="I241">
        <f>'CR'!CD31</f>
        <v>0</v>
      </c>
      <c r="J241">
        <f>'CR'!CE31</f>
        <v>0</v>
      </c>
      <c r="K241">
        <f>'CR'!CF31</f>
        <v>0</v>
      </c>
      <c r="L241">
        <f>'CR'!CG31</f>
        <v>0</v>
      </c>
      <c r="M241">
        <f>'CR'!CH31</f>
        <v>0</v>
      </c>
      <c r="N241">
        <f>'CR'!CI31</f>
        <v>0</v>
      </c>
      <c r="O241">
        <f>'CR'!CJ31</f>
        <v>0</v>
      </c>
      <c r="P241" s="143" t="str">
        <f>'CR'!CK31</f>
        <v/>
      </c>
      <c r="R241">
        <f t="shared" si="3"/>
        <v>240</v>
      </c>
    </row>
    <row r="242" spans="5:18">
      <c r="E242" s="147" t="s">
        <v>57</v>
      </c>
      <c r="F242" t="str">
        <f>'CR'!CA32</f>
        <v>HPS</v>
      </c>
      <c r="G242" t="str">
        <f>'CR'!CB32</f>
        <v>AC</v>
      </c>
      <c r="H242" t="str">
        <f>'CR'!CC32</f>
        <v>Head</v>
      </c>
      <c r="I242">
        <f>'CR'!CD32</f>
        <v>0</v>
      </c>
      <c r="J242">
        <f>'CR'!CE32</f>
        <v>0</v>
      </c>
      <c r="K242">
        <f>'CR'!CF32</f>
        <v>0</v>
      </c>
      <c r="L242">
        <f>'CR'!CG32</f>
        <v>0</v>
      </c>
      <c r="M242">
        <f>'CR'!CH32</f>
        <v>0</v>
      </c>
      <c r="N242">
        <f>'CR'!CI32</f>
        <v>0</v>
      </c>
      <c r="O242">
        <f>'CR'!CJ32</f>
        <v>0</v>
      </c>
      <c r="P242" s="143" t="str">
        <f>'CR'!CK32</f>
        <v/>
      </c>
      <c r="R242">
        <f t="shared" si="3"/>
        <v>241</v>
      </c>
    </row>
    <row r="243" spans="5:18">
      <c r="E243" s="147" t="s">
        <v>57</v>
      </c>
      <c r="F243" t="str">
        <f>'CR'!CA33</f>
        <v>HPS</v>
      </c>
      <c r="G243" t="str">
        <f>'CR'!CB33</f>
        <v>AC</v>
      </c>
      <c r="H243" t="str">
        <f>'CR'!CC33</f>
        <v>Head</v>
      </c>
      <c r="I243">
        <f>'CR'!CD33</f>
        <v>0</v>
      </c>
      <c r="J243">
        <f>'CR'!CE33</f>
        <v>0</v>
      </c>
      <c r="K243">
        <f>'CR'!CF33</f>
        <v>0</v>
      </c>
      <c r="L243">
        <f>'CR'!CG33</f>
        <v>0</v>
      </c>
      <c r="M243">
        <f>'CR'!CH33</f>
        <v>0</v>
      </c>
      <c r="N243">
        <f>'CR'!CI33</f>
        <v>0</v>
      </c>
      <c r="O243">
        <f>'CR'!CJ33</f>
        <v>0</v>
      </c>
      <c r="P243" s="143" t="str">
        <f>'CR'!CK33</f>
        <v/>
      </c>
      <c r="R243">
        <f t="shared" si="3"/>
        <v>242</v>
      </c>
    </row>
    <row r="244" spans="5:18">
      <c r="E244" s="147" t="s">
        <v>57</v>
      </c>
      <c r="F244" t="str">
        <f>'CR'!CA34</f>
        <v>HPS</v>
      </c>
      <c r="G244" t="str">
        <f>'CR'!CB34</f>
        <v>AC</v>
      </c>
      <c r="H244" t="str">
        <f>'CR'!CC34</f>
        <v>Head</v>
      </c>
      <c r="I244">
        <f>'CR'!CD34</f>
        <v>0</v>
      </c>
      <c r="J244">
        <f>'CR'!CE34</f>
        <v>0</v>
      </c>
      <c r="K244">
        <f>'CR'!CF34</f>
        <v>0</v>
      </c>
      <c r="L244">
        <f>'CR'!CG34</f>
        <v>0</v>
      </c>
      <c r="M244">
        <f>'CR'!CH34</f>
        <v>0</v>
      </c>
      <c r="N244">
        <f>'CR'!CI34</f>
        <v>0</v>
      </c>
      <c r="O244">
        <f>'CR'!CJ34</f>
        <v>0</v>
      </c>
      <c r="P244" s="143" t="str">
        <f>'CR'!CK34</f>
        <v/>
      </c>
      <c r="R244">
        <f t="shared" si="3"/>
        <v>243</v>
      </c>
    </row>
    <row r="245" spans="5:18">
      <c r="E245" s="147" t="s">
        <v>57</v>
      </c>
      <c r="F245" t="str">
        <f>'CR'!CA35</f>
        <v>HPS</v>
      </c>
      <c r="G245" t="str">
        <f>'CR'!CB35</f>
        <v>AC</v>
      </c>
      <c r="H245" t="str">
        <f>'CR'!CC35</f>
        <v>Head</v>
      </c>
      <c r="I245">
        <f>'CR'!CD35</f>
        <v>0</v>
      </c>
      <c r="J245">
        <f>'CR'!CE35</f>
        <v>0</v>
      </c>
      <c r="K245">
        <f>'CR'!CF35</f>
        <v>0</v>
      </c>
      <c r="L245">
        <f>'CR'!CG35</f>
        <v>0</v>
      </c>
      <c r="M245">
        <f>'CR'!CH35</f>
        <v>0</v>
      </c>
      <c r="N245">
        <f>'CR'!CI35</f>
        <v>0</v>
      </c>
      <c r="O245">
        <f>'CR'!CJ35</f>
        <v>0</v>
      </c>
      <c r="P245" s="143" t="str">
        <f>'CR'!CK35</f>
        <v/>
      </c>
      <c r="R245">
        <f t="shared" si="3"/>
        <v>244</v>
      </c>
    </row>
    <row r="246" spans="5:18">
      <c r="E246" s="147" t="s">
        <v>57</v>
      </c>
      <c r="F246" t="str">
        <f>'CR'!CA36</f>
        <v>HPS</v>
      </c>
      <c r="G246" t="str">
        <f>'CR'!CB36</f>
        <v>AC</v>
      </c>
      <c r="H246" t="str">
        <f>'CR'!CC36</f>
        <v>Head</v>
      </c>
      <c r="I246">
        <f>'CR'!CD36</f>
        <v>0</v>
      </c>
      <c r="J246">
        <f>'CR'!CE36</f>
        <v>0</v>
      </c>
      <c r="K246">
        <f>'CR'!CF36</f>
        <v>0</v>
      </c>
      <c r="L246">
        <f>'CR'!CG36</f>
        <v>0</v>
      </c>
      <c r="M246">
        <f>'CR'!CH36</f>
        <v>0</v>
      </c>
      <c r="N246">
        <f>'CR'!CI36</f>
        <v>0</v>
      </c>
      <c r="O246">
        <f>'CR'!CJ36</f>
        <v>0</v>
      </c>
      <c r="P246" s="143" t="str">
        <f>'CR'!CK36</f>
        <v/>
      </c>
      <c r="R246">
        <f t="shared" si="3"/>
        <v>245</v>
      </c>
    </row>
    <row r="247" spans="5:18">
      <c r="E247" s="147" t="s">
        <v>57</v>
      </c>
      <c r="F247" t="str">
        <f>'CR'!CA37</f>
        <v>HPS</v>
      </c>
      <c r="G247" t="str">
        <f>'CR'!CB37</f>
        <v>AC</v>
      </c>
      <c r="H247" t="str">
        <f>'CR'!CC37</f>
        <v>Head</v>
      </c>
      <c r="I247">
        <f>'CR'!CD37</f>
        <v>0</v>
      </c>
      <c r="J247">
        <f>'CR'!CE37</f>
        <v>0</v>
      </c>
      <c r="K247">
        <f>'CR'!CF37</f>
        <v>0</v>
      </c>
      <c r="L247">
        <f>'CR'!CG37</f>
        <v>0</v>
      </c>
      <c r="M247">
        <f>'CR'!CH37</f>
        <v>0</v>
      </c>
      <c r="N247">
        <f>'CR'!CI37</f>
        <v>0</v>
      </c>
      <c r="O247">
        <f>'CR'!CJ37</f>
        <v>0</v>
      </c>
      <c r="P247" s="143" t="str">
        <f>'CR'!CK37</f>
        <v/>
      </c>
      <c r="R247">
        <f t="shared" si="3"/>
        <v>246</v>
      </c>
    </row>
    <row r="248" spans="5:18">
      <c r="E248" s="147" t="s">
        <v>57</v>
      </c>
      <c r="F248" t="str">
        <f>'CR'!CA38</f>
        <v>HPS</v>
      </c>
      <c r="G248" t="str">
        <f>'CR'!CB38</f>
        <v>AC</v>
      </c>
      <c r="H248" t="str">
        <f>'CR'!CC38</f>
        <v>Head</v>
      </c>
      <c r="I248">
        <f>'CR'!CD38</f>
        <v>0</v>
      </c>
      <c r="J248">
        <f>'CR'!CE38</f>
        <v>0</v>
      </c>
      <c r="K248">
        <f>'CR'!CF38</f>
        <v>0</v>
      </c>
      <c r="L248">
        <f>'CR'!CG38</f>
        <v>0</v>
      </c>
      <c r="M248">
        <f>'CR'!CH38</f>
        <v>0</v>
      </c>
      <c r="N248">
        <f>'CR'!CI38</f>
        <v>0</v>
      </c>
      <c r="O248">
        <f>'CR'!CJ38</f>
        <v>0</v>
      </c>
      <c r="P248" s="143" t="str">
        <f>'CR'!CK38</f>
        <v/>
      </c>
      <c r="R248">
        <f t="shared" si="3"/>
        <v>247</v>
      </c>
    </row>
    <row r="249" spans="5:18">
      <c r="E249" s="147" t="s">
        <v>57</v>
      </c>
      <c r="F249" t="str">
        <f>'CR'!CA39</f>
        <v>HPS</v>
      </c>
      <c r="G249" t="str">
        <f>'CR'!CB39</f>
        <v>AC</v>
      </c>
      <c r="H249" t="str">
        <f>'CR'!CC39</f>
        <v>Head</v>
      </c>
      <c r="I249">
        <f>'CR'!CD39</f>
        <v>0</v>
      </c>
      <c r="J249">
        <f>'CR'!CE39</f>
        <v>0</v>
      </c>
      <c r="K249">
        <f>'CR'!CF39</f>
        <v>0</v>
      </c>
      <c r="L249">
        <f>'CR'!CG39</f>
        <v>0</v>
      </c>
      <c r="M249">
        <f>'CR'!CH39</f>
        <v>0</v>
      </c>
      <c r="N249">
        <f>'CR'!CI39</f>
        <v>0</v>
      </c>
      <c r="O249">
        <f>'CR'!CJ39</f>
        <v>0</v>
      </c>
      <c r="P249" s="143" t="str">
        <f>'CR'!CK39</f>
        <v/>
      </c>
      <c r="R249">
        <f t="shared" si="3"/>
        <v>248</v>
      </c>
    </row>
    <row r="250" spans="5:18">
      <c r="E250" s="147" t="s">
        <v>57</v>
      </c>
      <c r="F250" t="str">
        <f>'CR'!CA40</f>
        <v>HPS</v>
      </c>
      <c r="G250" t="str">
        <f>'CR'!CB40</f>
        <v>AC</v>
      </c>
      <c r="H250" t="str">
        <f>'CR'!CC40</f>
        <v>Head</v>
      </c>
      <c r="I250">
        <f>'CR'!CD40</f>
        <v>0</v>
      </c>
      <c r="J250">
        <f>'CR'!CE40</f>
        <v>0</v>
      </c>
      <c r="K250">
        <f>'CR'!CF40</f>
        <v>0</v>
      </c>
      <c r="L250">
        <f>'CR'!CG40</f>
        <v>0</v>
      </c>
      <c r="M250">
        <f>'CR'!CH40</f>
        <v>0</v>
      </c>
      <c r="N250">
        <f>'CR'!CI40</f>
        <v>0</v>
      </c>
      <c r="O250">
        <f>'CR'!CJ40</f>
        <v>0</v>
      </c>
      <c r="P250" s="143" t="str">
        <f>'CR'!CK40</f>
        <v/>
      </c>
      <c r="R250">
        <f t="shared" si="3"/>
        <v>249</v>
      </c>
    </row>
    <row r="251" spans="5:18">
      <c r="E251" s="147" t="s">
        <v>57</v>
      </c>
      <c r="F251" t="str">
        <f>'CR'!CA41</f>
        <v>HPS</v>
      </c>
      <c r="G251" t="str">
        <f>'CR'!CB41</f>
        <v>AC</v>
      </c>
      <c r="H251" t="str">
        <f>'CR'!CC41</f>
        <v>Head</v>
      </c>
      <c r="I251">
        <f>'CR'!CD41</f>
        <v>0</v>
      </c>
      <c r="J251">
        <f>'CR'!CE41</f>
        <v>0</v>
      </c>
      <c r="K251">
        <f>'CR'!CF41</f>
        <v>0</v>
      </c>
      <c r="L251">
        <f>'CR'!CG41</f>
        <v>0</v>
      </c>
      <c r="M251">
        <f>'CR'!CH41</f>
        <v>0</v>
      </c>
      <c r="N251">
        <f>'CR'!CI41</f>
        <v>0</v>
      </c>
      <c r="O251">
        <f>'CR'!CJ41</f>
        <v>0</v>
      </c>
      <c r="P251" s="143" t="str">
        <f>'CR'!CK41</f>
        <v/>
      </c>
      <c r="R251">
        <f t="shared" si="3"/>
        <v>250</v>
      </c>
    </row>
    <row r="252" spans="5:18">
      <c r="E252" s="147" t="s">
        <v>57</v>
      </c>
      <c r="F252" t="str">
        <f>'CR'!CA42</f>
        <v>HPS</v>
      </c>
      <c r="G252" t="str">
        <f>'CR'!CB42</f>
        <v>AC</v>
      </c>
      <c r="H252" t="str">
        <f>'CR'!CC42</f>
        <v>Head</v>
      </c>
      <c r="I252">
        <f>'CR'!CD42</f>
        <v>0</v>
      </c>
      <c r="J252">
        <f>'CR'!CE42</f>
        <v>0</v>
      </c>
      <c r="K252">
        <f>'CR'!CF42</f>
        <v>0</v>
      </c>
      <c r="L252">
        <f>'CR'!CG42</f>
        <v>0</v>
      </c>
      <c r="M252">
        <f>'CR'!CH42</f>
        <v>0</v>
      </c>
      <c r="N252">
        <f>'CR'!CI42</f>
        <v>0</v>
      </c>
      <c r="O252">
        <f>'CR'!CJ42</f>
        <v>0</v>
      </c>
      <c r="P252" s="143" t="str">
        <f>'CR'!CK42</f>
        <v/>
      </c>
      <c r="R252">
        <f t="shared" si="3"/>
        <v>251</v>
      </c>
    </row>
    <row r="253" spans="5:18">
      <c r="E253" s="147" t="s">
        <v>57</v>
      </c>
      <c r="F253" t="str">
        <f>'CR'!CA43</f>
        <v>HPS</v>
      </c>
      <c r="G253" t="str">
        <f>'CR'!CB43</f>
        <v>AC</v>
      </c>
      <c r="H253" t="str">
        <f>'CR'!CC43</f>
        <v>Head</v>
      </c>
      <c r="I253">
        <f>'CR'!CD43</f>
        <v>0</v>
      </c>
      <c r="J253">
        <f>'CR'!CE43</f>
        <v>0</v>
      </c>
      <c r="K253">
        <f>'CR'!CF43</f>
        <v>0</v>
      </c>
      <c r="L253">
        <f>'CR'!CG43</f>
        <v>0</v>
      </c>
      <c r="M253">
        <f>'CR'!CH43</f>
        <v>0</v>
      </c>
      <c r="N253">
        <f>'CR'!CI43</f>
        <v>0</v>
      </c>
      <c r="O253">
        <f>'CR'!CJ43</f>
        <v>0</v>
      </c>
      <c r="P253" s="143" t="str">
        <f>'CR'!CK43</f>
        <v/>
      </c>
      <c r="R253">
        <f t="shared" si="3"/>
        <v>252</v>
      </c>
    </row>
    <row r="254" spans="5:18">
      <c r="E254" s="147" t="s">
        <v>57</v>
      </c>
      <c r="F254" t="str">
        <f>'CR'!CA44</f>
        <v>HPS</v>
      </c>
      <c r="G254" t="str">
        <f>'CR'!CB44</f>
        <v>AC</v>
      </c>
      <c r="H254" t="str">
        <f>'CR'!CC44</f>
        <v>Head</v>
      </c>
      <c r="I254">
        <f>'CR'!CD44</f>
        <v>0</v>
      </c>
      <c r="J254">
        <f>'CR'!CE44</f>
        <v>0</v>
      </c>
      <c r="K254">
        <f>'CR'!CF44</f>
        <v>0</v>
      </c>
      <c r="L254">
        <f>'CR'!CG44</f>
        <v>0</v>
      </c>
      <c r="M254">
        <f>'CR'!CH44</f>
        <v>0</v>
      </c>
      <c r="N254">
        <f>'CR'!CI44</f>
        <v>0</v>
      </c>
      <c r="O254">
        <f>'CR'!CJ44</f>
        <v>0</v>
      </c>
      <c r="P254" s="143" t="str">
        <f>'CR'!CK44</f>
        <v/>
      </c>
      <c r="R254">
        <f t="shared" si="3"/>
        <v>253</v>
      </c>
    </row>
    <row r="255" spans="5:18">
      <c r="E255" s="147" t="s">
        <v>57</v>
      </c>
      <c r="F255" t="str">
        <f>'CR'!CA45</f>
        <v>HPS</v>
      </c>
      <c r="G255" t="str">
        <f>'CR'!CB45</f>
        <v>AC</v>
      </c>
      <c r="H255" t="str">
        <f>'CR'!CC45</f>
        <v>Head</v>
      </c>
      <c r="I255">
        <f>'CR'!CD45</f>
        <v>0</v>
      </c>
      <c r="J255">
        <f>'CR'!CE45</f>
        <v>0</v>
      </c>
      <c r="K255">
        <f>'CR'!CF45</f>
        <v>0</v>
      </c>
      <c r="L255">
        <f>'CR'!CG45</f>
        <v>0</v>
      </c>
      <c r="M255">
        <f>'CR'!CH45</f>
        <v>0</v>
      </c>
      <c r="N255">
        <f>'CR'!CI45</f>
        <v>0</v>
      </c>
      <c r="O255">
        <f>'CR'!CJ45</f>
        <v>0</v>
      </c>
      <c r="P255" s="143" t="str">
        <f>'CR'!CK45</f>
        <v/>
      </c>
      <c r="R255">
        <f t="shared" si="3"/>
        <v>254</v>
      </c>
    </row>
    <row r="256" spans="5:18">
      <c r="E256" s="147" t="s">
        <v>57</v>
      </c>
      <c r="F256" t="str">
        <f>'CR'!CA46</f>
        <v>HPS</v>
      </c>
      <c r="G256" t="str">
        <f>'CR'!CB46</f>
        <v>AC</v>
      </c>
      <c r="H256" t="str">
        <f>'CR'!CC46</f>
        <v>Head</v>
      </c>
      <c r="I256">
        <f>'CR'!CD46</f>
        <v>0</v>
      </c>
      <c r="J256">
        <f>'CR'!CE46</f>
        <v>0</v>
      </c>
      <c r="K256">
        <f>'CR'!CF46</f>
        <v>0</v>
      </c>
      <c r="L256">
        <f>'CR'!CG46</f>
        <v>0</v>
      </c>
      <c r="M256">
        <f>'CR'!CH46</f>
        <v>0</v>
      </c>
      <c r="N256">
        <f>'CR'!CI46</f>
        <v>0</v>
      </c>
      <c r="O256">
        <f>'CR'!CJ46</f>
        <v>0</v>
      </c>
      <c r="P256" s="143" t="str">
        <f>'CR'!CK46</f>
        <v/>
      </c>
      <c r="R256">
        <f t="shared" si="3"/>
        <v>255</v>
      </c>
    </row>
    <row r="257" spans="5:18">
      <c r="E257" s="147" t="s">
        <v>57</v>
      </c>
      <c r="F257" t="str">
        <f>'CR'!CA47</f>
        <v>HPS</v>
      </c>
      <c r="G257" t="str">
        <f>'CR'!CB47</f>
        <v>AC</v>
      </c>
      <c r="H257" t="str">
        <f>'CR'!CC47</f>
        <v>Head</v>
      </c>
      <c r="I257">
        <f>'CR'!CD47</f>
        <v>0</v>
      </c>
      <c r="J257">
        <f>'CR'!CE47</f>
        <v>0</v>
      </c>
      <c r="K257">
        <f>'CR'!CF47</f>
        <v>0</v>
      </c>
      <c r="L257">
        <f>'CR'!CG47</f>
        <v>0</v>
      </c>
      <c r="M257">
        <f>'CR'!CH47</f>
        <v>0</v>
      </c>
      <c r="N257">
        <f>'CR'!CI47</f>
        <v>0</v>
      </c>
      <c r="O257">
        <f>'CR'!CJ47</f>
        <v>0</v>
      </c>
      <c r="P257" s="143" t="str">
        <f>'CR'!CK47</f>
        <v/>
      </c>
      <c r="R257">
        <f t="shared" si="3"/>
        <v>256</v>
      </c>
    </row>
    <row r="258" spans="5:18">
      <c r="E258" s="147" t="s">
        <v>57</v>
      </c>
      <c r="F258" t="str">
        <f>'CR'!CA48</f>
        <v>HPS</v>
      </c>
      <c r="G258" t="str">
        <f>'CR'!CB48</f>
        <v>AC</v>
      </c>
      <c r="H258" t="str">
        <f>'CR'!CC48</f>
        <v>Head</v>
      </c>
      <c r="I258">
        <f>'CR'!CD48</f>
        <v>0</v>
      </c>
      <c r="J258">
        <f>'CR'!CE48</f>
        <v>0</v>
      </c>
      <c r="K258">
        <f>'CR'!CF48</f>
        <v>0</v>
      </c>
      <c r="L258">
        <f>'CR'!CG48</f>
        <v>0</v>
      </c>
      <c r="M258">
        <f>'CR'!CH48</f>
        <v>0</v>
      </c>
      <c r="N258">
        <f>'CR'!CI48</f>
        <v>0</v>
      </c>
      <c r="O258">
        <f>'CR'!CJ48</f>
        <v>0</v>
      </c>
      <c r="P258" s="143" t="str">
        <f>'CR'!CK48</f>
        <v/>
      </c>
      <c r="R258">
        <f t="shared" si="3"/>
        <v>257</v>
      </c>
    </row>
    <row r="259" spans="5:18">
      <c r="E259" s="147" t="s">
        <v>57</v>
      </c>
      <c r="F259" t="str">
        <f>'CR'!CA49</f>
        <v>HPS</v>
      </c>
      <c r="G259" t="str">
        <f>'CR'!CB49</f>
        <v>AC</v>
      </c>
      <c r="H259" t="str">
        <f>'CR'!CC49</f>
        <v>Head</v>
      </c>
      <c r="I259">
        <f>'CR'!CD49</f>
        <v>0</v>
      </c>
      <c r="J259">
        <f>'CR'!CE49</f>
        <v>0</v>
      </c>
      <c r="K259">
        <f>'CR'!CF49</f>
        <v>0</v>
      </c>
      <c r="L259">
        <f>'CR'!CG49</f>
        <v>0</v>
      </c>
      <c r="M259">
        <f>'CR'!CH49</f>
        <v>0</v>
      </c>
      <c r="N259">
        <f>'CR'!CI49</f>
        <v>0</v>
      </c>
      <c r="O259">
        <f>'CR'!CJ49</f>
        <v>0</v>
      </c>
      <c r="P259" s="143" t="str">
        <f>'CR'!CK49</f>
        <v/>
      </c>
      <c r="R259">
        <f t="shared" si="3"/>
        <v>258</v>
      </c>
    </row>
    <row r="260" spans="5:18">
      <c r="E260" s="147" t="s">
        <v>57</v>
      </c>
      <c r="F260" t="str">
        <f>'CR'!CA50</f>
        <v>HPS</v>
      </c>
      <c r="G260" t="str">
        <f>'CR'!CB50</f>
        <v>AC</v>
      </c>
      <c r="H260" t="str">
        <f>'CR'!CC50</f>
        <v>Head</v>
      </c>
      <c r="I260">
        <f>'CR'!CD50</f>
        <v>0</v>
      </c>
      <c r="J260">
        <f>'CR'!CE50</f>
        <v>0</v>
      </c>
      <c r="K260">
        <f>'CR'!CF50</f>
        <v>0</v>
      </c>
      <c r="L260">
        <f>'CR'!CG50</f>
        <v>0</v>
      </c>
      <c r="M260">
        <f>'CR'!CH50</f>
        <v>0</v>
      </c>
      <c r="N260">
        <f>'CR'!CI50</f>
        <v>0</v>
      </c>
      <c r="O260">
        <f>'CR'!CJ50</f>
        <v>0</v>
      </c>
      <c r="P260" s="143" t="str">
        <f>'CR'!CK50</f>
        <v/>
      </c>
      <c r="R260">
        <f t="shared" ref="R260:R323" si="4">R259+1</f>
        <v>259</v>
      </c>
    </row>
    <row r="261" spans="5:18">
      <c r="E261" s="147" t="s">
        <v>57</v>
      </c>
      <c r="F261" t="str">
        <f>'CR'!CA51</f>
        <v>HPS</v>
      </c>
      <c r="G261" t="str">
        <f>'CR'!CB51</f>
        <v>AC</v>
      </c>
      <c r="H261" t="str">
        <f>'CR'!CC51</f>
        <v>Head</v>
      </c>
      <c r="I261">
        <f>'CR'!CD51</f>
        <v>0</v>
      </c>
      <c r="J261">
        <f>'CR'!CE51</f>
        <v>0</v>
      </c>
      <c r="K261">
        <f>'CR'!CF51</f>
        <v>0</v>
      </c>
      <c r="L261">
        <f>'CR'!CG51</f>
        <v>0</v>
      </c>
      <c r="M261">
        <f>'CR'!CH51</f>
        <v>0</v>
      </c>
      <c r="N261">
        <f>'CR'!CI51</f>
        <v>0</v>
      </c>
      <c r="O261">
        <f>'CR'!CJ51</f>
        <v>0</v>
      </c>
      <c r="P261" s="143" t="str">
        <f>'CR'!CK51</f>
        <v/>
      </c>
      <c r="R261">
        <f t="shared" si="4"/>
        <v>260</v>
      </c>
    </row>
    <row r="262" spans="5:18">
      <c r="E262" s="147" t="s">
        <v>57</v>
      </c>
      <c r="F262" t="str">
        <f>'CR'!CA52</f>
        <v>HPS</v>
      </c>
      <c r="G262" t="str">
        <f>'CR'!CB52</f>
        <v>AC</v>
      </c>
      <c r="H262" t="str">
        <f>'CR'!CC52</f>
        <v>Head</v>
      </c>
      <c r="I262">
        <f>'CR'!CD52</f>
        <v>0</v>
      </c>
      <c r="J262">
        <f>'CR'!CE52</f>
        <v>0</v>
      </c>
      <c r="K262">
        <f>'CR'!CF52</f>
        <v>0</v>
      </c>
      <c r="L262">
        <f>'CR'!CG52</f>
        <v>0</v>
      </c>
      <c r="M262">
        <f>'CR'!CH52</f>
        <v>0</v>
      </c>
      <c r="N262">
        <f>'CR'!CI52</f>
        <v>0</v>
      </c>
      <c r="O262">
        <f>'CR'!CJ52</f>
        <v>0</v>
      </c>
      <c r="P262" s="143" t="str">
        <f>'CR'!CK52</f>
        <v/>
      </c>
      <c r="R262">
        <f t="shared" si="4"/>
        <v>261</v>
      </c>
    </row>
    <row r="263" spans="5:18">
      <c r="E263" s="147" t="s">
        <v>57</v>
      </c>
      <c r="F263" t="str">
        <f>'CR'!CA53</f>
        <v>HPS</v>
      </c>
      <c r="G263" t="str">
        <f>'CR'!CB53</f>
        <v>AC</v>
      </c>
      <c r="H263" t="str">
        <f>'CR'!CC53</f>
        <v>Head</v>
      </c>
      <c r="I263">
        <f>'CR'!CD53</f>
        <v>0</v>
      </c>
      <c r="J263">
        <f>'CR'!CE53</f>
        <v>0</v>
      </c>
      <c r="K263">
        <f>'CR'!CF53</f>
        <v>0</v>
      </c>
      <c r="L263">
        <f>'CR'!CG53</f>
        <v>0</v>
      </c>
      <c r="M263">
        <f>'CR'!CH53</f>
        <v>0</v>
      </c>
      <c r="N263">
        <f>'CR'!CI53</f>
        <v>0</v>
      </c>
      <c r="O263">
        <f>'CR'!CJ53</f>
        <v>0</v>
      </c>
      <c r="P263" s="143" t="str">
        <f>'CR'!CK53</f>
        <v/>
      </c>
      <c r="R263">
        <f t="shared" si="4"/>
        <v>262</v>
      </c>
    </row>
    <row r="264" spans="5:18">
      <c r="E264" s="147" t="s">
        <v>57</v>
      </c>
      <c r="F264" t="str">
        <f>'CR'!CA54</f>
        <v>HPS</v>
      </c>
      <c r="G264" t="str">
        <f>'CR'!CB54</f>
        <v>AC</v>
      </c>
      <c r="H264" t="str">
        <f>'CR'!CC54</f>
        <v>Head</v>
      </c>
      <c r="I264">
        <f>'CR'!CD54</f>
        <v>0</v>
      </c>
      <c r="J264">
        <f>'CR'!CE54</f>
        <v>0</v>
      </c>
      <c r="K264">
        <f>'CR'!CF54</f>
        <v>0</v>
      </c>
      <c r="L264">
        <f>'CR'!CG54</f>
        <v>0</v>
      </c>
      <c r="M264">
        <f>'CR'!CH54</f>
        <v>0</v>
      </c>
      <c r="N264">
        <f>'CR'!CI54</f>
        <v>0</v>
      </c>
      <c r="O264">
        <f>'CR'!CJ54</f>
        <v>0</v>
      </c>
      <c r="P264" s="143" t="str">
        <f>'CR'!CK54</f>
        <v/>
      </c>
      <c r="R264">
        <f t="shared" si="4"/>
        <v>263</v>
      </c>
    </row>
    <row r="265" spans="5:18">
      <c r="E265" s="147" t="s">
        <v>57</v>
      </c>
      <c r="F265" t="str">
        <f>'CR'!CA55</f>
        <v>HPS</v>
      </c>
      <c r="G265" t="str">
        <f>'CR'!CB55</f>
        <v>AC</v>
      </c>
      <c r="H265" t="str">
        <f>'CR'!CC55</f>
        <v>Head</v>
      </c>
      <c r="I265">
        <f>'CR'!CD55</f>
        <v>0</v>
      </c>
      <c r="J265">
        <f>'CR'!CE55</f>
        <v>0</v>
      </c>
      <c r="K265">
        <f>'CR'!CF55</f>
        <v>0</v>
      </c>
      <c r="L265">
        <f>'CR'!CG55</f>
        <v>0</v>
      </c>
      <c r="M265">
        <f>'CR'!CH55</f>
        <v>0</v>
      </c>
      <c r="N265">
        <f>'CR'!CI55</f>
        <v>0</v>
      </c>
      <c r="O265">
        <f>'CR'!CJ55</f>
        <v>0</v>
      </c>
      <c r="P265" s="143" t="str">
        <f>'CR'!CK55</f>
        <v/>
      </c>
      <c r="R265">
        <f t="shared" si="4"/>
        <v>264</v>
      </c>
    </row>
    <row r="266" spans="5:18">
      <c r="E266" s="147" t="s">
        <v>57</v>
      </c>
      <c r="F266" t="str">
        <f>'CR'!CA56</f>
        <v>HPS</v>
      </c>
      <c r="G266" t="str">
        <f>'CR'!CB56</f>
        <v>AC</v>
      </c>
      <c r="H266" t="str">
        <f>'CR'!CC56</f>
        <v>Head</v>
      </c>
      <c r="I266">
        <f>'CR'!CD56</f>
        <v>0</v>
      </c>
      <c r="J266">
        <f>'CR'!CE56</f>
        <v>0</v>
      </c>
      <c r="K266">
        <f>'CR'!CF56</f>
        <v>0</v>
      </c>
      <c r="L266">
        <f>'CR'!CG56</f>
        <v>0</v>
      </c>
      <c r="M266">
        <f>'CR'!CH56</f>
        <v>0</v>
      </c>
      <c r="N266">
        <f>'CR'!CI56</f>
        <v>0</v>
      </c>
      <c r="O266">
        <f>'CR'!CJ56</f>
        <v>0</v>
      </c>
      <c r="P266" s="143" t="str">
        <f>'CR'!CK56</f>
        <v/>
      </c>
      <c r="R266">
        <f t="shared" si="4"/>
        <v>265</v>
      </c>
    </row>
    <row r="267" spans="5:18">
      <c r="E267" s="147" t="s">
        <v>57</v>
      </c>
      <c r="F267" t="str">
        <f>'CR'!CA57</f>
        <v>HPS</v>
      </c>
      <c r="G267" t="str">
        <f>'CR'!CB57</f>
        <v>AC</v>
      </c>
      <c r="H267" t="str">
        <f>'CR'!CC57</f>
        <v>Head</v>
      </c>
      <c r="I267">
        <f>'CR'!CD57</f>
        <v>0</v>
      </c>
      <c r="J267">
        <f>'CR'!CE57</f>
        <v>0</v>
      </c>
      <c r="K267">
        <f>'CR'!CF57</f>
        <v>0</v>
      </c>
      <c r="L267">
        <f>'CR'!CG57</f>
        <v>0</v>
      </c>
      <c r="M267">
        <f>'CR'!CH57</f>
        <v>0</v>
      </c>
      <c r="N267">
        <f>'CR'!CI57</f>
        <v>0</v>
      </c>
      <c r="O267">
        <f>'CR'!CJ57</f>
        <v>0</v>
      </c>
      <c r="P267" s="143" t="str">
        <f>'CR'!CK57</f>
        <v/>
      </c>
      <c r="R267">
        <f t="shared" si="4"/>
        <v>266</v>
      </c>
    </row>
    <row r="268" spans="5:18">
      <c r="E268" s="147" t="s">
        <v>57</v>
      </c>
      <c r="F268" t="str">
        <f>'CR'!CA58</f>
        <v>HPS</v>
      </c>
      <c r="G268" t="str">
        <f>'CR'!CB58</f>
        <v>AC</v>
      </c>
      <c r="H268" t="str">
        <f>'CR'!CC58</f>
        <v>Head</v>
      </c>
      <c r="I268">
        <f>'CR'!CD58</f>
        <v>0</v>
      </c>
      <c r="J268">
        <f>'CR'!CE58</f>
        <v>0</v>
      </c>
      <c r="K268">
        <f>'CR'!CF58</f>
        <v>0</v>
      </c>
      <c r="L268">
        <f>'CR'!CG58</f>
        <v>0</v>
      </c>
      <c r="M268">
        <f>'CR'!CH58</f>
        <v>0</v>
      </c>
      <c r="N268">
        <f>'CR'!CI58</f>
        <v>0</v>
      </c>
      <c r="O268">
        <f>'CR'!CJ58</f>
        <v>0</v>
      </c>
      <c r="P268" s="143" t="str">
        <f>'CR'!CK58</f>
        <v/>
      </c>
      <c r="R268">
        <f t="shared" si="4"/>
        <v>267</v>
      </c>
    </row>
    <row r="269" spans="5:18">
      <c r="E269" s="147" t="s">
        <v>57</v>
      </c>
      <c r="F269" t="str">
        <f>'CR'!CA59</f>
        <v>HPS</v>
      </c>
      <c r="G269" t="str">
        <f>'CR'!CB59</f>
        <v>AC</v>
      </c>
      <c r="H269" t="str">
        <f>'CR'!CC59</f>
        <v>Head</v>
      </c>
      <c r="I269">
        <f>'CR'!CD59</f>
        <v>0</v>
      </c>
      <c r="J269">
        <f>'CR'!CE59</f>
        <v>0</v>
      </c>
      <c r="K269">
        <f>'CR'!CF59</f>
        <v>0</v>
      </c>
      <c r="L269">
        <f>'CR'!CG59</f>
        <v>0</v>
      </c>
      <c r="M269">
        <f>'CR'!CH59</f>
        <v>0</v>
      </c>
      <c r="N269">
        <f>'CR'!CI59</f>
        <v>0</v>
      </c>
      <c r="O269">
        <f>'CR'!CJ59</f>
        <v>0</v>
      </c>
      <c r="P269" s="143" t="str">
        <f>'CR'!CK59</f>
        <v/>
      </c>
      <c r="R269">
        <f t="shared" si="4"/>
        <v>268</v>
      </c>
    </row>
    <row r="270" spans="5:18">
      <c r="E270" s="147" t="s">
        <v>57</v>
      </c>
      <c r="F270" t="str">
        <f>'CR'!CA60</f>
        <v>HPS</v>
      </c>
      <c r="G270" t="str">
        <f>'CR'!CB60</f>
        <v>AC</v>
      </c>
      <c r="H270" t="str">
        <f>'CR'!CC60</f>
        <v>Head</v>
      </c>
      <c r="I270">
        <f>'CR'!CD60</f>
        <v>0</v>
      </c>
      <c r="J270">
        <f>'CR'!CE60</f>
        <v>0</v>
      </c>
      <c r="K270">
        <f>'CR'!CF60</f>
        <v>0</v>
      </c>
      <c r="L270">
        <f>'CR'!CG60</f>
        <v>0</v>
      </c>
      <c r="M270">
        <f>'CR'!CH60</f>
        <v>0</v>
      </c>
      <c r="N270">
        <f>'CR'!CI60</f>
        <v>0</v>
      </c>
      <c r="O270">
        <f>'CR'!CJ60</f>
        <v>0</v>
      </c>
      <c r="P270" s="143" t="str">
        <f>'CR'!CK60</f>
        <v/>
      </c>
      <c r="R270">
        <f t="shared" si="4"/>
        <v>269</v>
      </c>
    </row>
    <row r="271" spans="5:18" ht="17.100000000000001" thickBot="1">
      <c r="E271" s="148" t="s">
        <v>57</v>
      </c>
      <c r="F271" s="144" t="str">
        <f>'CR'!CA61</f>
        <v>HPS</v>
      </c>
      <c r="G271" s="144" t="str">
        <f>'CR'!CB61</f>
        <v>AC</v>
      </c>
      <c r="H271" s="144" t="str">
        <f>'CR'!CC61</f>
        <v>Head</v>
      </c>
      <c r="I271" s="144">
        <f>'CR'!CD61</f>
        <v>0</v>
      </c>
      <c r="J271" s="144">
        <f>'CR'!CE61</f>
        <v>0</v>
      </c>
      <c r="K271" s="144">
        <f>'CR'!CF61</f>
        <v>0</v>
      </c>
      <c r="L271" s="144">
        <f>'CR'!CG61</f>
        <v>0</v>
      </c>
      <c r="M271" s="144">
        <f>'CR'!CH61</f>
        <v>0</v>
      </c>
      <c r="N271" s="144">
        <f>'CR'!CI61</f>
        <v>0</v>
      </c>
      <c r="O271" s="144">
        <f>'CR'!CJ61</f>
        <v>0</v>
      </c>
      <c r="P271" s="145" t="str">
        <f>'CR'!CK61</f>
        <v/>
      </c>
      <c r="R271">
        <f t="shared" si="4"/>
        <v>270</v>
      </c>
    </row>
    <row r="272" spans="5:18">
      <c r="E272" s="146" t="s">
        <v>58</v>
      </c>
      <c r="F272" s="141" t="str">
        <f>'CUP'!CB2</f>
        <v>HPS</v>
      </c>
      <c r="G272" s="141" t="str">
        <f>'CUP'!CC2</f>
        <v>AC</v>
      </c>
      <c r="H272" s="141" t="str">
        <f>'CUP'!CD2</f>
        <v>Vessel</v>
      </c>
      <c r="I272" s="141">
        <f>'CUP'!CE2</f>
        <v>0</v>
      </c>
      <c r="J272" s="141" t="str">
        <f>'CUP'!CF2</f>
        <v>Coupling</v>
      </c>
      <c r="K272" s="141" t="str">
        <f>'CUP'!CG2</f>
        <v>TZM-1/2"</v>
      </c>
      <c r="L272" s="141" t="str">
        <f>'CUP'!CH2</f>
        <v>CUP-TA</v>
      </c>
      <c r="M272" s="141">
        <f>'CUP'!CI2</f>
        <v>0</v>
      </c>
      <c r="N272" s="141">
        <f>'CUP'!CJ2</f>
        <v>0</v>
      </c>
      <c r="O272" s="141">
        <f>'CUP'!CK2</f>
        <v>0</v>
      </c>
      <c r="P272" s="142" t="str">
        <f>'CUP'!CL2</f>
        <v>Active</v>
      </c>
      <c r="R272">
        <f t="shared" si="4"/>
        <v>271</v>
      </c>
    </row>
    <row r="273" spans="5:18">
      <c r="E273" s="147" t="s">
        <v>58</v>
      </c>
      <c r="F273" t="str">
        <f>'CUP'!CB3</f>
        <v>HPS</v>
      </c>
      <c r="G273" t="str">
        <f>'CUP'!CC3</f>
        <v>AC</v>
      </c>
      <c r="H273" t="str">
        <f>'CUP'!CD3</f>
        <v>Vessel</v>
      </c>
      <c r="I273">
        <f>'CUP'!CE3</f>
        <v>0</v>
      </c>
      <c r="J273" t="str">
        <f>'CUP'!CF3</f>
        <v>Coupling</v>
      </c>
      <c r="K273" t="str">
        <f>'CUP'!CG3</f>
        <v>TZM-1/2"</v>
      </c>
      <c r="L273" t="str">
        <f>'CUP'!CH3</f>
        <v>CUP-TB</v>
      </c>
      <c r="M273">
        <f>'CUP'!CI3</f>
        <v>0</v>
      </c>
      <c r="N273">
        <f>'CUP'!CJ3</f>
        <v>0</v>
      </c>
      <c r="O273">
        <f>'CUP'!CK3</f>
        <v>0</v>
      </c>
      <c r="P273" s="143" t="str">
        <f>'CUP'!CL3</f>
        <v>Active</v>
      </c>
      <c r="R273">
        <f t="shared" si="4"/>
        <v>272</v>
      </c>
    </row>
    <row r="274" spans="5:18">
      <c r="E274" s="147" t="s">
        <v>58</v>
      </c>
      <c r="F274" t="str">
        <f>'CUP'!CB4</f>
        <v>HPS</v>
      </c>
      <c r="G274" t="str">
        <f>'CUP'!CC4</f>
        <v>AC</v>
      </c>
      <c r="H274" t="str">
        <f>'CUP'!CD4</f>
        <v>Vessel</v>
      </c>
      <c r="I274">
        <f>'CUP'!CE4</f>
        <v>0</v>
      </c>
      <c r="J274" t="str">
        <f>'CUP'!CF4</f>
        <v>Coupling</v>
      </c>
      <c r="K274" t="str">
        <f>'CUP'!CG4</f>
        <v>TZM-1/2"</v>
      </c>
      <c r="L274" t="str">
        <f>'CUP'!CH4</f>
        <v>CUP-TC</v>
      </c>
      <c r="M274">
        <f>'CUP'!CI4</f>
        <v>0</v>
      </c>
      <c r="N274">
        <f>'CUP'!CJ4</f>
        <v>0</v>
      </c>
      <c r="O274">
        <f>'CUP'!CK4</f>
        <v>0</v>
      </c>
      <c r="P274" s="143" t="str">
        <f>'CUP'!CL4</f>
        <v>Active</v>
      </c>
      <c r="R274">
        <f t="shared" si="4"/>
        <v>273</v>
      </c>
    </row>
    <row r="275" spans="5:18">
      <c r="E275" s="147" t="s">
        <v>58</v>
      </c>
      <c r="F275" t="str">
        <f>'CUP'!CB5</f>
        <v>HPS</v>
      </c>
      <c r="G275" t="str">
        <f>'CUP'!CC5</f>
        <v>AC</v>
      </c>
      <c r="H275" t="str">
        <f>'CUP'!CD5</f>
        <v>Vessel</v>
      </c>
      <c r="I275">
        <f>'CUP'!CE5</f>
        <v>0</v>
      </c>
      <c r="J275" t="str">
        <f>'CUP'!CF5</f>
        <v>Coupling</v>
      </c>
      <c r="K275" t="str">
        <f>'CUP'!CG5</f>
        <v>TZM-1/2"</v>
      </c>
      <c r="L275" t="str">
        <f>'CUP'!CH5</f>
        <v>CUP-TD</v>
      </c>
      <c r="M275">
        <f>'CUP'!CI5</f>
        <v>0</v>
      </c>
      <c r="N275">
        <f>'CUP'!CJ5</f>
        <v>0</v>
      </c>
      <c r="O275">
        <f>'CUP'!CK5</f>
        <v>0</v>
      </c>
      <c r="P275" s="143" t="str">
        <f>'CUP'!CL5</f>
        <v>Active</v>
      </c>
      <c r="R275">
        <f t="shared" si="4"/>
        <v>274</v>
      </c>
    </row>
    <row r="276" spans="5:18">
      <c r="E276" s="147" t="s">
        <v>58</v>
      </c>
      <c r="F276" t="str">
        <f>'CUP'!CB6</f>
        <v>HPS</v>
      </c>
      <c r="G276" t="str">
        <f>'CUP'!CC6</f>
        <v>AC</v>
      </c>
      <c r="H276" t="str">
        <f>'CUP'!CD6</f>
        <v>Vessel</v>
      </c>
      <c r="I276">
        <f>'CUP'!CE6</f>
        <v>0</v>
      </c>
      <c r="J276" t="str">
        <f>'CUP'!CF6</f>
        <v>Coupling</v>
      </c>
      <c r="K276" t="str">
        <f>'CUP'!CG6</f>
        <v>TZM-1/2"</v>
      </c>
      <c r="L276" t="str">
        <f>'CUP'!CH6</f>
        <v>CUP-TE</v>
      </c>
      <c r="M276">
        <f>'CUP'!CI6</f>
        <v>0</v>
      </c>
      <c r="N276">
        <f>'CUP'!CJ6</f>
        <v>0</v>
      </c>
      <c r="O276">
        <f>'CUP'!CK6</f>
        <v>0</v>
      </c>
      <c r="P276" s="143" t="str">
        <f>'CUP'!CL6</f>
        <v>Active</v>
      </c>
      <c r="R276">
        <f t="shared" si="4"/>
        <v>275</v>
      </c>
    </row>
    <row r="277" spans="5:18">
      <c r="E277" s="147" t="s">
        <v>58</v>
      </c>
      <c r="F277" t="str">
        <f>'CUP'!CB7</f>
        <v>HPS</v>
      </c>
      <c r="G277" t="str">
        <f>'CUP'!CC7</f>
        <v>AC</v>
      </c>
      <c r="H277" t="str">
        <f>'CUP'!CD7</f>
        <v>Vessel</v>
      </c>
      <c r="I277">
        <f>'CUP'!CE7</f>
        <v>0</v>
      </c>
      <c r="J277" t="str">
        <f>'CUP'!CF7</f>
        <v>Coupling</v>
      </c>
      <c r="K277" t="str">
        <f>'CUP'!CG7</f>
        <v>TZM-1/2"</v>
      </c>
      <c r="L277" t="str">
        <f>'CUP'!CH7</f>
        <v>CUP-TF</v>
      </c>
      <c r="M277">
        <f>'CUP'!CI7</f>
        <v>0</v>
      </c>
      <c r="N277">
        <f>'CUP'!CJ7</f>
        <v>0</v>
      </c>
      <c r="O277">
        <f>'CUP'!CK7</f>
        <v>0</v>
      </c>
      <c r="P277" s="143" t="str">
        <f>'CUP'!CL7</f>
        <v>Active</v>
      </c>
      <c r="R277">
        <f t="shared" si="4"/>
        <v>276</v>
      </c>
    </row>
    <row r="278" spans="5:18">
      <c r="E278" s="147" t="s">
        <v>58</v>
      </c>
      <c r="F278" t="str">
        <f>'CUP'!CB8</f>
        <v>HPS</v>
      </c>
      <c r="G278" t="str">
        <f>'CUP'!CC8</f>
        <v>AC</v>
      </c>
      <c r="H278" t="str">
        <f>'CUP'!CD8</f>
        <v>Vessel</v>
      </c>
      <c r="I278">
        <f>'CUP'!CE8</f>
        <v>0</v>
      </c>
      <c r="J278" t="str">
        <f>'CUP'!CF8</f>
        <v>Coupling</v>
      </c>
      <c r="K278" t="str">
        <f>'CUP'!CG8</f>
        <v>TZM-1/2"</v>
      </c>
      <c r="L278" t="str">
        <f>'CUP'!CH8</f>
        <v>CUP-TG</v>
      </c>
      <c r="M278">
        <f>'CUP'!CI8</f>
        <v>0</v>
      </c>
      <c r="N278">
        <f>'CUP'!CJ8</f>
        <v>0</v>
      </c>
      <c r="O278">
        <f>'CUP'!CK8</f>
        <v>0</v>
      </c>
      <c r="P278" s="143" t="str">
        <f>'CUP'!CL8</f>
        <v>Active</v>
      </c>
      <c r="R278">
        <f t="shared" si="4"/>
        <v>277</v>
      </c>
    </row>
    <row r="279" spans="5:18">
      <c r="E279" s="147" t="s">
        <v>58</v>
      </c>
      <c r="F279" t="str">
        <f>'CUP'!CB9</f>
        <v>HPS</v>
      </c>
      <c r="G279" t="str">
        <f>'CUP'!CC9</f>
        <v>AC</v>
      </c>
      <c r="H279" t="str">
        <f>'CUP'!CD9</f>
        <v>Vessel</v>
      </c>
      <c r="I279">
        <f>'CUP'!CE9</f>
        <v>0</v>
      </c>
      <c r="J279" t="str">
        <f>'CUP'!CF9</f>
        <v>Coupling</v>
      </c>
      <c r="K279" t="str">
        <f>'CUP'!CG9</f>
        <v>TZM-1/2"</v>
      </c>
      <c r="L279" t="str">
        <f>'CUP'!CH9</f>
        <v>CUP-TH</v>
      </c>
      <c r="M279">
        <f>'CUP'!CI9</f>
        <v>0</v>
      </c>
      <c r="N279">
        <f>'CUP'!CJ9</f>
        <v>0</v>
      </c>
      <c r="O279">
        <f>'CUP'!CK9</f>
        <v>0</v>
      </c>
      <c r="P279" s="143" t="str">
        <f>'CUP'!CL9</f>
        <v>Active</v>
      </c>
      <c r="R279">
        <f t="shared" si="4"/>
        <v>278</v>
      </c>
    </row>
    <row r="280" spans="5:18">
      <c r="E280" s="147" t="s">
        <v>58</v>
      </c>
      <c r="F280" t="str">
        <f>'CUP'!CB10</f>
        <v>HPS</v>
      </c>
      <c r="G280" t="str">
        <f>'CUP'!CC10</f>
        <v>AC</v>
      </c>
      <c r="H280" t="str">
        <f>'CUP'!CD10</f>
        <v>Vessel</v>
      </c>
      <c r="I280">
        <f>'CUP'!CE10</f>
        <v>0</v>
      </c>
      <c r="J280" t="str">
        <f>'CUP'!CF10</f>
        <v>Coupling</v>
      </c>
      <c r="K280" t="str">
        <f>'CUP'!CG10</f>
        <v>TZM-1/2"</v>
      </c>
      <c r="L280" t="str">
        <f>'CUP'!CH10</f>
        <v>CUP-TI</v>
      </c>
      <c r="M280">
        <f>'CUP'!CI10</f>
        <v>0</v>
      </c>
      <c r="N280">
        <f>'CUP'!CJ10</f>
        <v>0</v>
      </c>
      <c r="O280">
        <f>'CUP'!CK10</f>
        <v>0</v>
      </c>
      <c r="P280" s="143" t="str">
        <f>'CUP'!CL10</f>
        <v>Active</v>
      </c>
      <c r="R280">
        <f t="shared" si="4"/>
        <v>279</v>
      </c>
    </row>
    <row r="281" spans="5:18">
      <c r="E281" s="147" t="s">
        <v>58</v>
      </c>
      <c r="F281" t="str">
        <f>'CUP'!CB11</f>
        <v>HPS</v>
      </c>
      <c r="G281" t="str">
        <f>'CUP'!CC11</f>
        <v>AC</v>
      </c>
      <c r="H281" t="str">
        <f>'CUP'!CD11</f>
        <v>Vessel</v>
      </c>
      <c r="I281">
        <f>'CUP'!CE11</f>
        <v>0</v>
      </c>
      <c r="J281" t="str">
        <f>'CUP'!CF11</f>
        <v>Coupling</v>
      </c>
      <c r="K281" t="str">
        <f>'CUP'!CG11</f>
        <v>TZM-1/2"</v>
      </c>
      <c r="L281" t="str">
        <f>'CUP'!CH11</f>
        <v>CUP-TJ</v>
      </c>
      <c r="M281">
        <f>'CUP'!CI11</f>
        <v>0</v>
      </c>
      <c r="N281">
        <f>'CUP'!CJ11</f>
        <v>0</v>
      </c>
      <c r="O281">
        <f>'CUP'!CK11</f>
        <v>0</v>
      </c>
      <c r="P281" s="143" t="str">
        <f>'CUP'!CL11</f>
        <v>Active</v>
      </c>
      <c r="R281">
        <f t="shared" si="4"/>
        <v>280</v>
      </c>
    </row>
    <row r="282" spans="5:18">
      <c r="E282" s="147" t="s">
        <v>58</v>
      </c>
      <c r="F282" t="str">
        <f>'CUP'!CB12</f>
        <v>HPS</v>
      </c>
      <c r="G282" t="str">
        <f>'CUP'!CC12</f>
        <v>AC</v>
      </c>
      <c r="H282" t="str">
        <f>'CUP'!CD12</f>
        <v>Vessel</v>
      </c>
      <c r="I282">
        <f>'CUP'!CE12</f>
        <v>0</v>
      </c>
      <c r="J282" t="str">
        <f>'CUP'!CF12</f>
        <v>Coupling</v>
      </c>
      <c r="K282" t="str">
        <f>'CUP'!CG12</f>
        <v>TZM-1/2"</v>
      </c>
      <c r="L282" t="str">
        <f>'CUP'!CH12</f>
        <v>CUP-TK</v>
      </c>
      <c r="M282">
        <f>'CUP'!CI12</f>
        <v>0</v>
      </c>
      <c r="N282">
        <f>'CUP'!CJ12</f>
        <v>0</v>
      </c>
      <c r="O282">
        <f>'CUP'!CK12</f>
        <v>0</v>
      </c>
      <c r="P282" s="143" t="str">
        <f>'CUP'!CL12</f>
        <v>Active</v>
      </c>
      <c r="R282">
        <f t="shared" si="4"/>
        <v>281</v>
      </c>
    </row>
    <row r="283" spans="5:18">
      <c r="E283" s="147" t="s">
        <v>58</v>
      </c>
      <c r="F283" t="str">
        <f>'CUP'!CB13</f>
        <v>HPS</v>
      </c>
      <c r="G283" t="str">
        <f>'CUP'!CC13</f>
        <v>AC</v>
      </c>
      <c r="H283" t="str">
        <f>'CUP'!CD13</f>
        <v>Vessel</v>
      </c>
      <c r="I283">
        <f>'CUP'!CE13</f>
        <v>0</v>
      </c>
      <c r="J283" t="str">
        <f>'CUP'!CF13</f>
        <v>Coupling</v>
      </c>
      <c r="K283">
        <f>'CUP'!CG13</f>
        <v>0</v>
      </c>
      <c r="L283" t="str">
        <f>'CUP'!CH13</f>
        <v>CUP-TL</v>
      </c>
      <c r="M283">
        <f>'CUP'!CI13</f>
        <v>0</v>
      </c>
      <c r="N283">
        <f>'CUP'!CJ13</f>
        <v>0</v>
      </c>
      <c r="O283">
        <f>'CUP'!CK13</f>
        <v>0</v>
      </c>
      <c r="P283" s="143" t="str">
        <f>'CUP'!CL13</f>
        <v>New</v>
      </c>
      <c r="R283">
        <f t="shared" si="4"/>
        <v>282</v>
      </c>
    </row>
    <row r="284" spans="5:18">
      <c r="E284" s="147" t="s">
        <v>58</v>
      </c>
      <c r="F284" t="str">
        <f>'CUP'!CB14</f>
        <v>HPS</v>
      </c>
      <c r="G284" t="str">
        <f>'CUP'!CC14</f>
        <v>AC</v>
      </c>
      <c r="H284" t="str">
        <f>'CUP'!CD14</f>
        <v>Vessel</v>
      </c>
      <c r="I284">
        <f>'CUP'!CE14</f>
        <v>0</v>
      </c>
      <c r="J284" t="str">
        <f>'CUP'!CF14</f>
        <v>Coupling</v>
      </c>
      <c r="K284">
        <f>'CUP'!CG14</f>
        <v>0</v>
      </c>
      <c r="L284" t="str">
        <f>'CUP'!CH14</f>
        <v>CUP-TM</v>
      </c>
      <c r="M284">
        <f>'CUP'!CI14</f>
        <v>0</v>
      </c>
      <c r="N284">
        <f>'CUP'!CJ14</f>
        <v>0</v>
      </c>
      <c r="O284">
        <f>'CUP'!CK14</f>
        <v>0</v>
      </c>
      <c r="P284" s="143" t="str">
        <f>'CUP'!CL14</f>
        <v>New</v>
      </c>
      <c r="R284">
        <f t="shared" si="4"/>
        <v>283</v>
      </c>
    </row>
    <row r="285" spans="5:18">
      <c r="E285" s="147" t="s">
        <v>58</v>
      </c>
      <c r="F285" t="str">
        <f>'CUP'!CB15</f>
        <v>HPS</v>
      </c>
      <c r="G285" t="str">
        <f>'CUP'!CC15</f>
        <v>AC</v>
      </c>
      <c r="H285" t="str">
        <f>'CUP'!CD15</f>
        <v>Vessel</v>
      </c>
      <c r="I285">
        <f>'CUP'!CE15</f>
        <v>0</v>
      </c>
      <c r="J285" t="str">
        <f>'CUP'!CF15</f>
        <v>Coupling</v>
      </c>
      <c r="K285">
        <f>'CUP'!CG15</f>
        <v>0</v>
      </c>
      <c r="L285" t="str">
        <f>'CUP'!CH15</f>
        <v>CUP-TN</v>
      </c>
      <c r="M285">
        <f>'CUP'!CI15</f>
        <v>0</v>
      </c>
      <c r="N285">
        <f>'CUP'!CJ15</f>
        <v>0</v>
      </c>
      <c r="O285">
        <f>'CUP'!CK15</f>
        <v>0</v>
      </c>
      <c r="P285" s="143" t="str">
        <f>'CUP'!CL15</f>
        <v>New</v>
      </c>
      <c r="R285">
        <f t="shared" si="4"/>
        <v>284</v>
      </c>
    </row>
    <row r="286" spans="5:18">
      <c r="E286" s="147" t="s">
        <v>58</v>
      </c>
      <c r="F286" t="str">
        <f>'CUP'!CB16</f>
        <v>HPS</v>
      </c>
      <c r="G286" t="str">
        <f>'CUP'!CC16</f>
        <v>AC</v>
      </c>
      <c r="H286" t="str">
        <f>'CUP'!CD16</f>
        <v>Vessel</v>
      </c>
      <c r="I286">
        <f>'CUP'!CE16</f>
        <v>0</v>
      </c>
      <c r="J286" t="str">
        <f>'CUP'!CF16</f>
        <v>Coupling</v>
      </c>
      <c r="K286">
        <f>'CUP'!CG16</f>
        <v>0</v>
      </c>
      <c r="L286" t="str">
        <f>'CUP'!CH16</f>
        <v>CUP-TO</v>
      </c>
      <c r="M286">
        <f>'CUP'!CI16</f>
        <v>0</v>
      </c>
      <c r="N286">
        <f>'CUP'!CJ16</f>
        <v>0</v>
      </c>
      <c r="O286">
        <f>'CUP'!CK16</f>
        <v>0</v>
      </c>
      <c r="P286" s="143" t="str">
        <f>'CUP'!CL16</f>
        <v>New</v>
      </c>
      <c r="R286">
        <f t="shared" si="4"/>
        <v>285</v>
      </c>
    </row>
    <row r="287" spans="5:18">
      <c r="E287" s="147" t="s">
        <v>58</v>
      </c>
      <c r="F287" t="str">
        <f>'CUP'!CB17</f>
        <v>HPS</v>
      </c>
      <c r="G287" t="str">
        <f>'CUP'!CC17</f>
        <v>AC</v>
      </c>
      <c r="H287" t="str">
        <f>'CUP'!CD17</f>
        <v>Vessel</v>
      </c>
      <c r="I287">
        <f>'CUP'!CE17</f>
        <v>0</v>
      </c>
      <c r="J287" t="str">
        <f>'CUP'!CF17</f>
        <v>Coupling</v>
      </c>
      <c r="K287">
        <f>'CUP'!CG17</f>
        <v>0</v>
      </c>
      <c r="L287" t="str">
        <f>'CUP'!CH17</f>
        <v>CUP-TP</v>
      </c>
      <c r="M287">
        <f>'CUP'!CI17</f>
        <v>0</v>
      </c>
      <c r="N287">
        <f>'CUP'!CJ17</f>
        <v>0</v>
      </c>
      <c r="O287">
        <f>'CUP'!CK17</f>
        <v>0</v>
      </c>
      <c r="P287" s="143" t="str">
        <f>'CUP'!CL17</f>
        <v>New</v>
      </c>
      <c r="R287">
        <f t="shared" si="4"/>
        <v>286</v>
      </c>
    </row>
    <row r="288" spans="5:18">
      <c r="E288" s="147" t="s">
        <v>58</v>
      </c>
      <c r="F288" t="str">
        <f>'CUP'!CB18</f>
        <v>HPS</v>
      </c>
      <c r="G288" t="str">
        <f>'CUP'!CC18</f>
        <v>AC</v>
      </c>
      <c r="H288" t="str">
        <f>'CUP'!CD18</f>
        <v>Vessel</v>
      </c>
      <c r="I288">
        <f>'CUP'!CE18</f>
        <v>0</v>
      </c>
      <c r="J288">
        <f>'CUP'!CF18</f>
        <v>0</v>
      </c>
      <c r="K288">
        <f>'CUP'!CG18</f>
        <v>0</v>
      </c>
      <c r="L288">
        <f>'CUP'!CH18</f>
        <v>0</v>
      </c>
      <c r="M288">
        <f>'CUP'!CI18</f>
        <v>0</v>
      </c>
      <c r="N288">
        <f>'CUP'!CJ18</f>
        <v>0</v>
      </c>
      <c r="O288">
        <f>'CUP'!CK18</f>
        <v>0</v>
      </c>
      <c r="P288" s="143" t="str">
        <f>'CUP'!CL18</f>
        <v/>
      </c>
      <c r="R288">
        <f t="shared" si="4"/>
        <v>287</v>
      </c>
    </row>
    <row r="289" spans="5:18">
      <c r="E289" s="147" t="s">
        <v>58</v>
      </c>
      <c r="F289" t="str">
        <f>'CUP'!CB19</f>
        <v>HPS</v>
      </c>
      <c r="G289" t="str">
        <f>'CUP'!CC19</f>
        <v>AC</v>
      </c>
      <c r="H289" t="str">
        <f>'CUP'!CD19</f>
        <v>Vessel</v>
      </c>
      <c r="I289">
        <f>'CUP'!CE19</f>
        <v>0</v>
      </c>
      <c r="J289">
        <f>'CUP'!CF19</f>
        <v>0</v>
      </c>
      <c r="K289">
        <f>'CUP'!CG19</f>
        <v>0</v>
      </c>
      <c r="L289">
        <f>'CUP'!CH19</f>
        <v>0</v>
      </c>
      <c r="M289">
        <f>'CUP'!CI19</f>
        <v>0</v>
      </c>
      <c r="N289">
        <f>'CUP'!CJ19</f>
        <v>0</v>
      </c>
      <c r="O289">
        <f>'CUP'!CK19</f>
        <v>0</v>
      </c>
      <c r="P289" s="143" t="str">
        <f>'CUP'!CL19</f>
        <v/>
      </c>
      <c r="R289">
        <f t="shared" si="4"/>
        <v>288</v>
      </c>
    </row>
    <row r="290" spans="5:18">
      <c r="E290" s="147" t="s">
        <v>58</v>
      </c>
      <c r="F290" t="str">
        <f>'CUP'!CB20</f>
        <v>HPS</v>
      </c>
      <c r="G290" t="str">
        <f>'CUP'!CC20</f>
        <v>AC</v>
      </c>
      <c r="H290" t="str">
        <f>'CUP'!CD20</f>
        <v>Vessel</v>
      </c>
      <c r="I290">
        <f>'CUP'!CE20</f>
        <v>0</v>
      </c>
      <c r="J290">
        <f>'CUP'!CF20</f>
        <v>0</v>
      </c>
      <c r="K290">
        <f>'CUP'!CG20</f>
        <v>0</v>
      </c>
      <c r="L290">
        <f>'CUP'!CH20</f>
        <v>0</v>
      </c>
      <c r="M290">
        <f>'CUP'!CI20</f>
        <v>0</v>
      </c>
      <c r="N290">
        <f>'CUP'!CJ20</f>
        <v>0</v>
      </c>
      <c r="O290">
        <f>'CUP'!CK20</f>
        <v>0</v>
      </c>
      <c r="P290" s="143" t="str">
        <f>'CUP'!CL20</f>
        <v/>
      </c>
      <c r="R290">
        <f t="shared" si="4"/>
        <v>289</v>
      </c>
    </row>
    <row r="291" spans="5:18">
      <c r="E291" s="147" t="s">
        <v>58</v>
      </c>
      <c r="F291" t="str">
        <f>'CUP'!CB21</f>
        <v>HPS</v>
      </c>
      <c r="G291" t="str">
        <f>'CUP'!CC21</f>
        <v>AC</v>
      </c>
      <c r="H291" t="str">
        <f>'CUP'!CD21</f>
        <v>Vessel</v>
      </c>
      <c r="I291">
        <f>'CUP'!CE21</f>
        <v>0</v>
      </c>
      <c r="J291">
        <f>'CUP'!CF21</f>
        <v>0</v>
      </c>
      <c r="K291">
        <f>'CUP'!CG21</f>
        <v>0</v>
      </c>
      <c r="L291">
        <f>'CUP'!CH21</f>
        <v>0</v>
      </c>
      <c r="M291">
        <f>'CUP'!CI21</f>
        <v>0</v>
      </c>
      <c r="N291">
        <f>'CUP'!CJ21</f>
        <v>0</v>
      </c>
      <c r="O291">
        <f>'CUP'!CK21</f>
        <v>0</v>
      </c>
      <c r="P291" s="143" t="str">
        <f>'CUP'!CL21</f>
        <v/>
      </c>
      <c r="R291">
        <f t="shared" si="4"/>
        <v>290</v>
      </c>
    </row>
    <row r="292" spans="5:18">
      <c r="E292" s="147" t="s">
        <v>58</v>
      </c>
      <c r="F292" t="str">
        <f>'CUP'!CB22</f>
        <v>HPS</v>
      </c>
      <c r="G292" t="str">
        <f>'CUP'!CC22</f>
        <v>AC</v>
      </c>
      <c r="H292" t="str">
        <f>'CUP'!CD22</f>
        <v>Vessel</v>
      </c>
      <c r="I292">
        <f>'CUP'!CE22</f>
        <v>0</v>
      </c>
      <c r="J292">
        <f>'CUP'!CF22</f>
        <v>0</v>
      </c>
      <c r="K292">
        <f>'CUP'!CG22</f>
        <v>0</v>
      </c>
      <c r="L292">
        <f>'CUP'!CH22</f>
        <v>0</v>
      </c>
      <c r="M292">
        <f>'CUP'!CI22</f>
        <v>0</v>
      </c>
      <c r="N292">
        <f>'CUP'!CJ22</f>
        <v>0</v>
      </c>
      <c r="O292">
        <f>'CUP'!CK22</f>
        <v>0</v>
      </c>
      <c r="P292" s="143" t="str">
        <f>'CUP'!CL22</f>
        <v/>
      </c>
      <c r="R292">
        <f t="shared" si="4"/>
        <v>291</v>
      </c>
    </row>
    <row r="293" spans="5:18">
      <c r="E293" s="147" t="s">
        <v>58</v>
      </c>
      <c r="F293" t="str">
        <f>'CUP'!CB23</f>
        <v>HPS</v>
      </c>
      <c r="G293" t="str">
        <f>'CUP'!CC23</f>
        <v>AC</v>
      </c>
      <c r="H293" t="str">
        <f>'CUP'!CD23</f>
        <v>Vessel</v>
      </c>
      <c r="I293">
        <f>'CUP'!CE23</f>
        <v>0</v>
      </c>
      <c r="J293">
        <f>'CUP'!CF23</f>
        <v>0</v>
      </c>
      <c r="K293">
        <f>'CUP'!CG23</f>
        <v>0</v>
      </c>
      <c r="L293">
        <f>'CUP'!CH23</f>
        <v>0</v>
      </c>
      <c r="M293">
        <f>'CUP'!CI23</f>
        <v>0</v>
      </c>
      <c r="N293">
        <f>'CUP'!CJ23</f>
        <v>0</v>
      </c>
      <c r="O293">
        <f>'CUP'!CK23</f>
        <v>0</v>
      </c>
      <c r="P293" s="143" t="str">
        <f>'CUP'!CL23</f>
        <v/>
      </c>
      <c r="R293">
        <f t="shared" si="4"/>
        <v>292</v>
      </c>
    </row>
    <row r="294" spans="5:18">
      <c r="E294" s="147" t="s">
        <v>58</v>
      </c>
      <c r="F294" t="str">
        <f>'CUP'!CB24</f>
        <v>HPS</v>
      </c>
      <c r="G294" t="str">
        <f>'CUP'!CC24</f>
        <v>AC</v>
      </c>
      <c r="H294" t="str">
        <f>'CUP'!CD24</f>
        <v>Vessel</v>
      </c>
      <c r="I294">
        <f>'CUP'!CE24</f>
        <v>0</v>
      </c>
      <c r="J294">
        <f>'CUP'!CF24</f>
        <v>0</v>
      </c>
      <c r="K294">
        <f>'CUP'!CG24</f>
        <v>0</v>
      </c>
      <c r="L294">
        <f>'CUP'!CH24</f>
        <v>0</v>
      </c>
      <c r="M294">
        <f>'CUP'!CI24</f>
        <v>0</v>
      </c>
      <c r="N294">
        <f>'CUP'!CJ24</f>
        <v>0</v>
      </c>
      <c r="O294">
        <f>'CUP'!CK24</f>
        <v>0</v>
      </c>
      <c r="P294" s="143" t="str">
        <f>'CUP'!CL24</f>
        <v/>
      </c>
      <c r="R294">
        <f t="shared" si="4"/>
        <v>293</v>
      </c>
    </row>
    <row r="295" spans="5:18">
      <c r="E295" s="147" t="s">
        <v>58</v>
      </c>
      <c r="F295" t="str">
        <f>'CUP'!CB25</f>
        <v>HPS</v>
      </c>
      <c r="G295" t="str">
        <f>'CUP'!CC25</f>
        <v>AC</v>
      </c>
      <c r="H295" t="str">
        <f>'CUP'!CD25</f>
        <v>Vessel</v>
      </c>
      <c r="I295">
        <f>'CUP'!CE25</f>
        <v>0</v>
      </c>
      <c r="J295">
        <f>'CUP'!CF25</f>
        <v>0</v>
      </c>
      <c r="K295">
        <f>'CUP'!CG25</f>
        <v>0</v>
      </c>
      <c r="L295">
        <f>'CUP'!CH25</f>
        <v>0</v>
      </c>
      <c r="M295">
        <f>'CUP'!CI25</f>
        <v>0</v>
      </c>
      <c r="N295">
        <f>'CUP'!CJ25</f>
        <v>0</v>
      </c>
      <c r="O295">
        <f>'CUP'!CK25</f>
        <v>0</v>
      </c>
      <c r="P295" s="143" t="str">
        <f>'CUP'!CL25</f>
        <v/>
      </c>
      <c r="R295">
        <f t="shared" si="4"/>
        <v>294</v>
      </c>
    </row>
    <row r="296" spans="5:18">
      <c r="E296" s="147" t="s">
        <v>58</v>
      </c>
      <c r="F296" t="str">
        <f>'CUP'!CB26</f>
        <v>HPS</v>
      </c>
      <c r="G296" t="str">
        <f>'CUP'!CC26</f>
        <v>AC</v>
      </c>
      <c r="H296" t="str">
        <f>'CUP'!CD26</f>
        <v>Vessel</v>
      </c>
      <c r="I296">
        <f>'CUP'!CE26</f>
        <v>0</v>
      </c>
      <c r="J296">
        <f>'CUP'!CF26</f>
        <v>0</v>
      </c>
      <c r="K296">
        <f>'CUP'!CG26</f>
        <v>0</v>
      </c>
      <c r="L296">
        <f>'CUP'!CH26</f>
        <v>0</v>
      </c>
      <c r="M296">
        <f>'CUP'!CI26</f>
        <v>0</v>
      </c>
      <c r="N296">
        <f>'CUP'!CJ26</f>
        <v>0</v>
      </c>
      <c r="O296">
        <f>'CUP'!CK26</f>
        <v>0</v>
      </c>
      <c r="P296" s="143" t="str">
        <f>'CUP'!CL26</f>
        <v/>
      </c>
      <c r="R296">
        <f t="shared" si="4"/>
        <v>295</v>
      </c>
    </row>
    <row r="297" spans="5:18">
      <c r="E297" s="147" t="s">
        <v>58</v>
      </c>
      <c r="F297" t="str">
        <f>'CUP'!CB27</f>
        <v>HPS</v>
      </c>
      <c r="G297" t="str">
        <f>'CUP'!CC27</f>
        <v>AC</v>
      </c>
      <c r="H297" t="str">
        <f>'CUP'!CD27</f>
        <v>Vessel</v>
      </c>
      <c r="I297">
        <f>'CUP'!CE27</f>
        <v>0</v>
      </c>
      <c r="J297">
        <f>'CUP'!CF27</f>
        <v>0</v>
      </c>
      <c r="K297">
        <f>'CUP'!CG27</f>
        <v>0</v>
      </c>
      <c r="L297">
        <f>'CUP'!CH27</f>
        <v>0</v>
      </c>
      <c r="M297">
        <f>'CUP'!CI27</f>
        <v>0</v>
      </c>
      <c r="N297">
        <f>'CUP'!CJ27</f>
        <v>0</v>
      </c>
      <c r="O297">
        <f>'CUP'!CK27</f>
        <v>0</v>
      </c>
      <c r="P297" s="143" t="str">
        <f>'CUP'!CL27</f>
        <v/>
      </c>
      <c r="R297">
        <f t="shared" si="4"/>
        <v>296</v>
      </c>
    </row>
    <row r="298" spans="5:18">
      <c r="E298" s="147" t="s">
        <v>58</v>
      </c>
      <c r="F298" t="str">
        <f>'CUP'!CB28</f>
        <v>HPS</v>
      </c>
      <c r="G298" t="str">
        <f>'CUP'!CC28</f>
        <v>AC</v>
      </c>
      <c r="H298" t="str">
        <f>'CUP'!CD28</f>
        <v>Vessel</v>
      </c>
      <c r="I298">
        <f>'CUP'!CE28</f>
        <v>0</v>
      </c>
      <c r="J298">
        <f>'CUP'!CF28</f>
        <v>0</v>
      </c>
      <c r="K298">
        <f>'CUP'!CG28</f>
        <v>0</v>
      </c>
      <c r="L298">
        <f>'CUP'!CH28</f>
        <v>0</v>
      </c>
      <c r="M298">
        <f>'CUP'!CI28</f>
        <v>0</v>
      </c>
      <c r="N298">
        <f>'CUP'!CJ28</f>
        <v>0</v>
      </c>
      <c r="O298">
        <f>'CUP'!CK28</f>
        <v>0</v>
      </c>
      <c r="P298" s="143" t="str">
        <f>'CUP'!CL28</f>
        <v/>
      </c>
      <c r="R298">
        <f t="shared" si="4"/>
        <v>297</v>
      </c>
    </row>
    <row r="299" spans="5:18">
      <c r="E299" s="147" t="s">
        <v>58</v>
      </c>
      <c r="F299" t="str">
        <f>'CUP'!CB29</f>
        <v>HPS</v>
      </c>
      <c r="G299" t="str">
        <f>'CUP'!CC29</f>
        <v>AC</v>
      </c>
      <c r="H299" t="str">
        <f>'CUP'!CD29</f>
        <v>Vessel</v>
      </c>
      <c r="I299">
        <f>'CUP'!CE29</f>
        <v>0</v>
      </c>
      <c r="J299">
        <f>'CUP'!CF29</f>
        <v>0</v>
      </c>
      <c r="K299">
        <f>'CUP'!CG29</f>
        <v>0</v>
      </c>
      <c r="L299">
        <f>'CUP'!CH29</f>
        <v>0</v>
      </c>
      <c r="M299">
        <f>'CUP'!CI29</f>
        <v>0</v>
      </c>
      <c r="N299">
        <f>'CUP'!CJ29</f>
        <v>0</v>
      </c>
      <c r="O299">
        <f>'CUP'!CK29</f>
        <v>0</v>
      </c>
      <c r="P299" s="143" t="str">
        <f>'CUP'!CL29</f>
        <v/>
      </c>
      <c r="R299">
        <f t="shared" si="4"/>
        <v>298</v>
      </c>
    </row>
    <row r="300" spans="5:18">
      <c r="E300" s="147" t="s">
        <v>58</v>
      </c>
      <c r="F300" t="str">
        <f>'CUP'!CB30</f>
        <v>HPS</v>
      </c>
      <c r="G300" t="str">
        <f>'CUP'!CC30</f>
        <v>AC</v>
      </c>
      <c r="H300" t="str">
        <f>'CUP'!CD30</f>
        <v>Vessel</v>
      </c>
      <c r="I300">
        <f>'CUP'!CE30</f>
        <v>0</v>
      </c>
      <c r="J300">
        <f>'CUP'!CF30</f>
        <v>0</v>
      </c>
      <c r="K300">
        <f>'CUP'!CG30</f>
        <v>0</v>
      </c>
      <c r="L300">
        <f>'CUP'!CH30</f>
        <v>0</v>
      </c>
      <c r="M300">
        <f>'CUP'!CI30</f>
        <v>0</v>
      </c>
      <c r="N300">
        <f>'CUP'!CJ30</f>
        <v>0</v>
      </c>
      <c r="O300">
        <f>'CUP'!CK30</f>
        <v>0</v>
      </c>
      <c r="P300" s="143" t="str">
        <f>'CUP'!CL30</f>
        <v/>
      </c>
      <c r="R300">
        <f t="shared" si="4"/>
        <v>299</v>
      </c>
    </row>
    <row r="301" spans="5:18">
      <c r="E301" s="147" t="s">
        <v>58</v>
      </c>
      <c r="F301" t="str">
        <f>'CUP'!CB31</f>
        <v>HPS</v>
      </c>
      <c r="G301" t="str">
        <f>'CUP'!CC31</f>
        <v>AC</v>
      </c>
      <c r="H301" t="str">
        <f>'CUP'!CD31</f>
        <v>Vessel</v>
      </c>
      <c r="I301">
        <f>'CUP'!CE31</f>
        <v>0</v>
      </c>
      <c r="J301">
        <f>'CUP'!CF31</f>
        <v>0</v>
      </c>
      <c r="K301">
        <f>'CUP'!CG31</f>
        <v>0</v>
      </c>
      <c r="L301">
        <f>'CUP'!CH31</f>
        <v>0</v>
      </c>
      <c r="M301">
        <f>'CUP'!CI31</f>
        <v>0</v>
      </c>
      <c r="N301">
        <f>'CUP'!CJ31</f>
        <v>0</v>
      </c>
      <c r="O301">
        <f>'CUP'!CK31</f>
        <v>0</v>
      </c>
      <c r="P301" s="143" t="str">
        <f>'CUP'!CL31</f>
        <v/>
      </c>
      <c r="R301">
        <f t="shared" si="4"/>
        <v>300</v>
      </c>
    </row>
    <row r="302" spans="5:18">
      <c r="E302" s="147" t="s">
        <v>58</v>
      </c>
      <c r="F302" t="str">
        <f>'CUP'!CB32</f>
        <v>HPS</v>
      </c>
      <c r="G302" t="str">
        <f>'CUP'!CC32</f>
        <v>AC</v>
      </c>
      <c r="H302" t="str">
        <f>'CUP'!CD32</f>
        <v>Vessel</v>
      </c>
      <c r="I302">
        <f>'CUP'!CE32</f>
        <v>0</v>
      </c>
      <c r="J302">
        <f>'CUP'!CF32</f>
        <v>0</v>
      </c>
      <c r="K302">
        <f>'CUP'!CG32</f>
        <v>0</v>
      </c>
      <c r="L302">
        <f>'CUP'!CH32</f>
        <v>0</v>
      </c>
      <c r="M302">
        <f>'CUP'!CI32</f>
        <v>0</v>
      </c>
      <c r="N302">
        <f>'CUP'!CJ32</f>
        <v>0</v>
      </c>
      <c r="O302">
        <f>'CUP'!CK32</f>
        <v>0</v>
      </c>
      <c r="P302" s="143" t="str">
        <f>'CUP'!CL32</f>
        <v/>
      </c>
      <c r="R302">
        <f t="shared" si="4"/>
        <v>301</v>
      </c>
    </row>
    <row r="303" spans="5:18">
      <c r="E303" s="147" t="s">
        <v>58</v>
      </c>
      <c r="F303" t="str">
        <f>'CUP'!CB33</f>
        <v>HPS</v>
      </c>
      <c r="G303" t="str">
        <f>'CUP'!CC33</f>
        <v>AC</v>
      </c>
      <c r="H303" t="str">
        <f>'CUP'!CD33</f>
        <v>Vessel</v>
      </c>
      <c r="I303">
        <f>'CUP'!CE33</f>
        <v>0</v>
      </c>
      <c r="J303">
        <f>'CUP'!CF33</f>
        <v>0</v>
      </c>
      <c r="K303">
        <f>'CUP'!CG33</f>
        <v>0</v>
      </c>
      <c r="L303">
        <f>'CUP'!CH33</f>
        <v>0</v>
      </c>
      <c r="M303">
        <f>'CUP'!CI33</f>
        <v>0</v>
      </c>
      <c r="N303">
        <f>'CUP'!CJ33</f>
        <v>0</v>
      </c>
      <c r="O303">
        <f>'CUP'!CK33</f>
        <v>0</v>
      </c>
      <c r="P303" s="143" t="str">
        <f>'CUP'!CL33</f>
        <v/>
      </c>
      <c r="R303">
        <f t="shared" si="4"/>
        <v>302</v>
      </c>
    </row>
    <row r="304" spans="5:18">
      <c r="E304" s="147" t="s">
        <v>58</v>
      </c>
      <c r="F304" t="str">
        <f>'CUP'!CB34</f>
        <v>HPS</v>
      </c>
      <c r="G304" t="str">
        <f>'CUP'!CC34</f>
        <v>AC</v>
      </c>
      <c r="H304" t="str">
        <f>'CUP'!CD34</f>
        <v>Vessel</v>
      </c>
      <c r="I304">
        <f>'CUP'!CE34</f>
        <v>0</v>
      </c>
      <c r="J304">
        <f>'CUP'!CF34</f>
        <v>0</v>
      </c>
      <c r="K304">
        <f>'CUP'!CG34</f>
        <v>0</v>
      </c>
      <c r="L304">
        <f>'CUP'!CH34</f>
        <v>0</v>
      </c>
      <c r="M304">
        <f>'CUP'!CI34</f>
        <v>0</v>
      </c>
      <c r="N304">
        <f>'CUP'!CJ34</f>
        <v>0</v>
      </c>
      <c r="O304">
        <f>'CUP'!CK34</f>
        <v>0</v>
      </c>
      <c r="P304" s="143" t="str">
        <f>'CUP'!CL34</f>
        <v/>
      </c>
      <c r="R304">
        <f t="shared" si="4"/>
        <v>303</v>
      </c>
    </row>
    <row r="305" spans="5:18">
      <c r="E305" s="147" t="s">
        <v>58</v>
      </c>
      <c r="F305" t="str">
        <f>'CUP'!CB35</f>
        <v>HPS</v>
      </c>
      <c r="G305" t="str">
        <f>'CUP'!CC35</f>
        <v>AC</v>
      </c>
      <c r="H305" t="str">
        <f>'CUP'!CD35</f>
        <v>Vessel</v>
      </c>
      <c r="I305">
        <f>'CUP'!CE35</f>
        <v>0</v>
      </c>
      <c r="J305">
        <f>'CUP'!CF35</f>
        <v>0</v>
      </c>
      <c r="K305">
        <f>'CUP'!CG35</f>
        <v>0</v>
      </c>
      <c r="L305">
        <f>'CUP'!CH35</f>
        <v>0</v>
      </c>
      <c r="M305">
        <f>'CUP'!CI35</f>
        <v>0</v>
      </c>
      <c r="N305">
        <f>'CUP'!CJ35</f>
        <v>0</v>
      </c>
      <c r="O305">
        <f>'CUP'!CK35</f>
        <v>0</v>
      </c>
      <c r="P305" s="143" t="str">
        <f>'CUP'!CL35</f>
        <v/>
      </c>
      <c r="R305">
        <f t="shared" si="4"/>
        <v>304</v>
      </c>
    </row>
    <row r="306" spans="5:18">
      <c r="E306" s="147" t="s">
        <v>58</v>
      </c>
      <c r="F306" t="str">
        <f>'CUP'!CB36</f>
        <v>HPS</v>
      </c>
      <c r="G306" t="str">
        <f>'CUP'!CC36</f>
        <v>AC</v>
      </c>
      <c r="H306" t="str">
        <f>'CUP'!CD36</f>
        <v>Vessel</v>
      </c>
      <c r="I306">
        <f>'CUP'!CE36</f>
        <v>0</v>
      </c>
      <c r="J306">
        <f>'CUP'!CF36</f>
        <v>0</v>
      </c>
      <c r="K306">
        <f>'CUP'!CG36</f>
        <v>0</v>
      </c>
      <c r="L306">
        <f>'CUP'!CH36</f>
        <v>0</v>
      </c>
      <c r="M306">
        <f>'CUP'!CI36</f>
        <v>0</v>
      </c>
      <c r="N306">
        <f>'CUP'!CJ36</f>
        <v>0</v>
      </c>
      <c r="O306">
        <f>'CUP'!CK36</f>
        <v>0</v>
      </c>
      <c r="P306" s="143" t="str">
        <f>'CUP'!CL36</f>
        <v/>
      </c>
      <c r="R306">
        <f t="shared" si="4"/>
        <v>305</v>
      </c>
    </row>
    <row r="307" spans="5:18">
      <c r="E307" s="147" t="s">
        <v>58</v>
      </c>
      <c r="F307" t="str">
        <f>'CUP'!CB37</f>
        <v>HPS</v>
      </c>
      <c r="G307" t="str">
        <f>'CUP'!CC37</f>
        <v>AC</v>
      </c>
      <c r="H307" t="str">
        <f>'CUP'!CD37</f>
        <v>Vessel</v>
      </c>
      <c r="I307">
        <f>'CUP'!CE37</f>
        <v>0</v>
      </c>
      <c r="J307">
        <f>'CUP'!CF37</f>
        <v>0</v>
      </c>
      <c r="K307">
        <f>'CUP'!CG37</f>
        <v>0</v>
      </c>
      <c r="L307">
        <f>'CUP'!CH37</f>
        <v>0</v>
      </c>
      <c r="M307">
        <f>'CUP'!CI37</f>
        <v>0</v>
      </c>
      <c r="N307">
        <f>'CUP'!CJ37</f>
        <v>0</v>
      </c>
      <c r="O307">
        <f>'CUP'!CK37</f>
        <v>0</v>
      </c>
      <c r="P307" s="143" t="str">
        <f>'CUP'!CL37</f>
        <v/>
      </c>
      <c r="R307">
        <f t="shared" si="4"/>
        <v>306</v>
      </c>
    </row>
    <row r="308" spans="5:18">
      <c r="E308" s="147" t="s">
        <v>58</v>
      </c>
      <c r="F308" t="str">
        <f>'CUP'!CB38</f>
        <v>HPS</v>
      </c>
      <c r="G308" t="str">
        <f>'CUP'!CC38</f>
        <v>AC</v>
      </c>
      <c r="H308" t="str">
        <f>'CUP'!CD38</f>
        <v>Vessel</v>
      </c>
      <c r="I308">
        <f>'CUP'!CE38</f>
        <v>0</v>
      </c>
      <c r="J308">
        <f>'CUP'!CF38</f>
        <v>0</v>
      </c>
      <c r="K308">
        <f>'CUP'!CG38</f>
        <v>0</v>
      </c>
      <c r="L308">
        <f>'CUP'!CH38</f>
        <v>0</v>
      </c>
      <c r="M308">
        <f>'CUP'!CI38</f>
        <v>0</v>
      </c>
      <c r="N308">
        <f>'CUP'!CJ38</f>
        <v>0</v>
      </c>
      <c r="O308">
        <f>'CUP'!CK38</f>
        <v>0</v>
      </c>
      <c r="P308" s="143" t="str">
        <f>'CUP'!CL38</f>
        <v/>
      </c>
      <c r="R308">
        <f t="shared" si="4"/>
        <v>307</v>
      </c>
    </row>
    <row r="309" spans="5:18">
      <c r="E309" s="147" t="s">
        <v>58</v>
      </c>
      <c r="F309" t="str">
        <f>'CUP'!CB39</f>
        <v>HPS</v>
      </c>
      <c r="G309" t="str">
        <f>'CUP'!CC39</f>
        <v>AC</v>
      </c>
      <c r="H309" t="str">
        <f>'CUP'!CD39</f>
        <v>Vessel</v>
      </c>
      <c r="I309">
        <f>'CUP'!CE39</f>
        <v>0</v>
      </c>
      <c r="J309">
        <f>'CUP'!CF39</f>
        <v>0</v>
      </c>
      <c r="K309">
        <f>'CUP'!CG39</f>
        <v>0</v>
      </c>
      <c r="L309">
        <f>'CUP'!CH39</f>
        <v>0</v>
      </c>
      <c r="M309">
        <f>'CUP'!CI39</f>
        <v>0</v>
      </c>
      <c r="N309">
        <f>'CUP'!CJ39</f>
        <v>0</v>
      </c>
      <c r="O309">
        <f>'CUP'!CK39</f>
        <v>0</v>
      </c>
      <c r="P309" s="143" t="str">
        <f>'CUP'!CL39</f>
        <v/>
      </c>
      <c r="R309">
        <f t="shared" si="4"/>
        <v>308</v>
      </c>
    </row>
    <row r="310" spans="5:18">
      <c r="E310" s="147" t="s">
        <v>58</v>
      </c>
      <c r="F310" t="str">
        <f>'CUP'!CB40</f>
        <v>HPS</v>
      </c>
      <c r="G310" t="str">
        <f>'CUP'!CC40</f>
        <v>AC</v>
      </c>
      <c r="H310" t="str">
        <f>'CUP'!CD40</f>
        <v>Vessel</v>
      </c>
      <c r="I310">
        <f>'CUP'!CE40</f>
        <v>0</v>
      </c>
      <c r="J310">
        <f>'CUP'!CF40</f>
        <v>0</v>
      </c>
      <c r="K310">
        <f>'CUP'!CG40</f>
        <v>0</v>
      </c>
      <c r="L310">
        <f>'CUP'!CH40</f>
        <v>0</v>
      </c>
      <c r="M310">
        <f>'CUP'!CI40</f>
        <v>0</v>
      </c>
      <c r="N310">
        <f>'CUP'!CJ40</f>
        <v>0</v>
      </c>
      <c r="O310">
        <f>'CUP'!CK40</f>
        <v>0</v>
      </c>
      <c r="P310" s="143" t="str">
        <f>'CUP'!CL40</f>
        <v/>
      </c>
      <c r="R310">
        <f t="shared" si="4"/>
        <v>309</v>
      </c>
    </row>
    <row r="311" spans="5:18">
      <c r="E311" s="147" t="s">
        <v>58</v>
      </c>
      <c r="F311" t="str">
        <f>'CUP'!CB41</f>
        <v>HPS</v>
      </c>
      <c r="G311" t="str">
        <f>'CUP'!CC41</f>
        <v>AC</v>
      </c>
      <c r="H311" t="str">
        <f>'CUP'!CD41</f>
        <v>Vessel</v>
      </c>
      <c r="I311">
        <f>'CUP'!CE41</f>
        <v>0</v>
      </c>
      <c r="J311">
        <f>'CUP'!CF41</f>
        <v>0</v>
      </c>
      <c r="K311">
        <f>'CUP'!CG41</f>
        <v>0</v>
      </c>
      <c r="L311">
        <f>'CUP'!CH41</f>
        <v>0</v>
      </c>
      <c r="M311">
        <f>'CUP'!CI41</f>
        <v>0</v>
      </c>
      <c r="N311">
        <f>'CUP'!CJ41</f>
        <v>0</v>
      </c>
      <c r="O311">
        <f>'CUP'!CK41</f>
        <v>0</v>
      </c>
      <c r="P311" s="143" t="str">
        <f>'CUP'!CL41</f>
        <v/>
      </c>
      <c r="R311">
        <f t="shared" si="4"/>
        <v>310</v>
      </c>
    </row>
    <row r="312" spans="5:18">
      <c r="E312" s="147" t="s">
        <v>58</v>
      </c>
      <c r="F312" t="str">
        <f>'CUP'!CB42</f>
        <v>HPS</v>
      </c>
      <c r="G312" t="str">
        <f>'CUP'!CC42</f>
        <v>AC</v>
      </c>
      <c r="H312" t="str">
        <f>'CUP'!CD42</f>
        <v>Vessel</v>
      </c>
      <c r="I312">
        <f>'CUP'!CE42</f>
        <v>0</v>
      </c>
      <c r="J312">
        <f>'CUP'!CF42</f>
        <v>0</v>
      </c>
      <c r="K312">
        <f>'CUP'!CG42</f>
        <v>0</v>
      </c>
      <c r="L312">
        <f>'CUP'!CH42</f>
        <v>0</v>
      </c>
      <c r="M312">
        <f>'CUP'!CI42</f>
        <v>0</v>
      </c>
      <c r="N312">
        <f>'CUP'!CJ42</f>
        <v>0</v>
      </c>
      <c r="O312">
        <f>'CUP'!CK42</f>
        <v>0</v>
      </c>
      <c r="P312" s="143" t="str">
        <f>'CUP'!CL42</f>
        <v/>
      </c>
      <c r="R312">
        <f t="shared" si="4"/>
        <v>311</v>
      </c>
    </row>
    <row r="313" spans="5:18">
      <c r="E313" s="147" t="s">
        <v>58</v>
      </c>
      <c r="F313" t="str">
        <f>'CUP'!CB43</f>
        <v>HPS</v>
      </c>
      <c r="G313" t="str">
        <f>'CUP'!CC43</f>
        <v>AC</v>
      </c>
      <c r="H313" t="str">
        <f>'CUP'!CD43</f>
        <v>Vessel</v>
      </c>
      <c r="I313">
        <f>'CUP'!CE43</f>
        <v>0</v>
      </c>
      <c r="J313">
        <f>'CUP'!CF43</f>
        <v>0</v>
      </c>
      <c r="K313">
        <f>'CUP'!CG43</f>
        <v>0</v>
      </c>
      <c r="L313">
        <f>'CUP'!CH43</f>
        <v>0</v>
      </c>
      <c r="M313">
        <f>'CUP'!CI43</f>
        <v>0</v>
      </c>
      <c r="N313">
        <f>'CUP'!CJ43</f>
        <v>0</v>
      </c>
      <c r="O313">
        <f>'CUP'!CK43</f>
        <v>0</v>
      </c>
      <c r="P313" s="143" t="str">
        <f>'CUP'!CL43</f>
        <v/>
      </c>
      <c r="R313">
        <f t="shared" si="4"/>
        <v>312</v>
      </c>
    </row>
    <row r="314" spans="5:18">
      <c r="E314" s="147" t="s">
        <v>58</v>
      </c>
      <c r="F314" t="str">
        <f>'CUP'!CB44</f>
        <v>HPS</v>
      </c>
      <c r="G314" t="str">
        <f>'CUP'!CC44</f>
        <v>AC</v>
      </c>
      <c r="H314" t="str">
        <f>'CUP'!CD44</f>
        <v>Vessel</v>
      </c>
      <c r="I314">
        <f>'CUP'!CE44</f>
        <v>0</v>
      </c>
      <c r="J314">
        <f>'CUP'!CF44</f>
        <v>0</v>
      </c>
      <c r="K314">
        <f>'CUP'!CG44</f>
        <v>0</v>
      </c>
      <c r="L314">
        <f>'CUP'!CH44</f>
        <v>0</v>
      </c>
      <c r="M314">
        <f>'CUP'!CI44</f>
        <v>0</v>
      </c>
      <c r="N314">
        <f>'CUP'!CJ44</f>
        <v>0</v>
      </c>
      <c r="O314">
        <f>'CUP'!CK44</f>
        <v>0</v>
      </c>
      <c r="P314" s="143" t="str">
        <f>'CUP'!CL44</f>
        <v/>
      </c>
      <c r="R314">
        <f t="shared" si="4"/>
        <v>313</v>
      </c>
    </row>
    <row r="315" spans="5:18">
      <c r="E315" s="147" t="s">
        <v>58</v>
      </c>
      <c r="F315" t="str">
        <f>'CUP'!CB45</f>
        <v>HPS</v>
      </c>
      <c r="G315" t="str">
        <f>'CUP'!CC45</f>
        <v>AC</v>
      </c>
      <c r="H315" t="str">
        <f>'CUP'!CD45</f>
        <v>Vessel</v>
      </c>
      <c r="I315">
        <f>'CUP'!CE45</f>
        <v>0</v>
      </c>
      <c r="J315">
        <f>'CUP'!CF45</f>
        <v>0</v>
      </c>
      <c r="K315">
        <f>'CUP'!CG45</f>
        <v>0</v>
      </c>
      <c r="L315">
        <f>'CUP'!CH45</f>
        <v>0</v>
      </c>
      <c r="M315">
        <f>'CUP'!CI45</f>
        <v>0</v>
      </c>
      <c r="N315">
        <f>'CUP'!CJ45</f>
        <v>0</v>
      </c>
      <c r="O315">
        <f>'CUP'!CK45</f>
        <v>0</v>
      </c>
      <c r="P315" s="143" t="str">
        <f>'CUP'!CL45</f>
        <v/>
      </c>
      <c r="R315">
        <f t="shared" si="4"/>
        <v>314</v>
      </c>
    </row>
    <row r="316" spans="5:18">
      <c r="E316" s="147" t="s">
        <v>58</v>
      </c>
      <c r="F316" t="str">
        <f>'CUP'!CB46</f>
        <v>HPS</v>
      </c>
      <c r="G316" t="str">
        <f>'CUP'!CC46</f>
        <v>AC</v>
      </c>
      <c r="H316" t="str">
        <f>'CUP'!CD46</f>
        <v>Vessel</v>
      </c>
      <c r="I316">
        <f>'CUP'!CE46</f>
        <v>0</v>
      </c>
      <c r="J316">
        <f>'CUP'!CF46</f>
        <v>0</v>
      </c>
      <c r="K316">
        <f>'CUP'!CG46</f>
        <v>0</v>
      </c>
      <c r="L316">
        <f>'CUP'!CH46</f>
        <v>0</v>
      </c>
      <c r="M316">
        <f>'CUP'!CI46</f>
        <v>0</v>
      </c>
      <c r="N316">
        <f>'CUP'!CJ46</f>
        <v>0</v>
      </c>
      <c r="O316">
        <f>'CUP'!CK46</f>
        <v>0</v>
      </c>
      <c r="P316" s="143" t="str">
        <f>'CUP'!CL46</f>
        <v/>
      </c>
      <c r="R316">
        <f t="shared" si="4"/>
        <v>315</v>
      </c>
    </row>
    <row r="317" spans="5:18">
      <c r="E317" s="147" t="s">
        <v>58</v>
      </c>
      <c r="F317" t="str">
        <f>'CUP'!CB47</f>
        <v>HPS</v>
      </c>
      <c r="G317" t="str">
        <f>'CUP'!CC47</f>
        <v>AC</v>
      </c>
      <c r="H317" t="str">
        <f>'CUP'!CD47</f>
        <v>Vessel</v>
      </c>
      <c r="I317">
        <f>'CUP'!CE47</f>
        <v>0</v>
      </c>
      <c r="J317">
        <f>'CUP'!CF47</f>
        <v>0</v>
      </c>
      <c r="K317">
        <f>'CUP'!CG47</f>
        <v>0</v>
      </c>
      <c r="L317">
        <f>'CUP'!CH47</f>
        <v>0</v>
      </c>
      <c r="M317">
        <f>'CUP'!CI47</f>
        <v>0</v>
      </c>
      <c r="N317">
        <f>'CUP'!CJ47</f>
        <v>0</v>
      </c>
      <c r="O317">
        <f>'CUP'!CK47</f>
        <v>0</v>
      </c>
      <c r="P317" s="143" t="str">
        <f>'CUP'!CL47</f>
        <v/>
      </c>
      <c r="R317">
        <f t="shared" si="4"/>
        <v>316</v>
      </c>
    </row>
    <row r="318" spans="5:18">
      <c r="E318" s="147" t="s">
        <v>58</v>
      </c>
      <c r="F318" t="str">
        <f>'CUP'!CB48</f>
        <v>HPS</v>
      </c>
      <c r="G318" t="str">
        <f>'CUP'!CC48</f>
        <v>AC</v>
      </c>
      <c r="H318" t="str">
        <f>'CUP'!CD48</f>
        <v>Vessel</v>
      </c>
      <c r="I318">
        <f>'CUP'!CE48</f>
        <v>0</v>
      </c>
      <c r="J318">
        <f>'CUP'!CF48</f>
        <v>0</v>
      </c>
      <c r="K318">
        <f>'CUP'!CG48</f>
        <v>0</v>
      </c>
      <c r="L318">
        <f>'CUP'!CH48</f>
        <v>0</v>
      </c>
      <c r="M318">
        <f>'CUP'!CI48</f>
        <v>0</v>
      </c>
      <c r="N318">
        <f>'CUP'!CJ48</f>
        <v>0</v>
      </c>
      <c r="O318">
        <f>'CUP'!CK48</f>
        <v>0</v>
      </c>
      <c r="P318" s="143" t="str">
        <f>'CUP'!CL48</f>
        <v/>
      </c>
      <c r="R318">
        <f t="shared" si="4"/>
        <v>317</v>
      </c>
    </row>
    <row r="319" spans="5:18">
      <c r="E319" s="147" t="s">
        <v>58</v>
      </c>
      <c r="F319" t="str">
        <f>'CUP'!CB49</f>
        <v>HPS</v>
      </c>
      <c r="G319" t="str">
        <f>'CUP'!CC49</f>
        <v>AC</v>
      </c>
      <c r="H319" t="str">
        <f>'CUP'!CD49</f>
        <v>Vessel</v>
      </c>
      <c r="I319">
        <f>'CUP'!CE49</f>
        <v>0</v>
      </c>
      <c r="J319">
        <f>'CUP'!CF49</f>
        <v>0</v>
      </c>
      <c r="K319">
        <f>'CUP'!CG49</f>
        <v>0</v>
      </c>
      <c r="L319">
        <f>'CUP'!CH49</f>
        <v>0</v>
      </c>
      <c r="M319">
        <f>'CUP'!CI49</f>
        <v>0</v>
      </c>
      <c r="N319">
        <f>'CUP'!CJ49</f>
        <v>0</v>
      </c>
      <c r="O319">
        <f>'CUP'!CK49</f>
        <v>0</v>
      </c>
      <c r="P319" s="143" t="str">
        <f>'CUP'!CL49</f>
        <v/>
      </c>
      <c r="R319">
        <f t="shared" si="4"/>
        <v>318</v>
      </c>
    </row>
    <row r="320" spans="5:18">
      <c r="E320" s="147" t="s">
        <v>58</v>
      </c>
      <c r="F320" t="str">
        <f>'CUP'!CB50</f>
        <v>HPS</v>
      </c>
      <c r="G320" t="str">
        <f>'CUP'!CC50</f>
        <v>AC</v>
      </c>
      <c r="H320" t="str">
        <f>'CUP'!CD50</f>
        <v>Vessel</v>
      </c>
      <c r="I320">
        <f>'CUP'!CE50</f>
        <v>0</v>
      </c>
      <c r="J320">
        <f>'CUP'!CF50</f>
        <v>0</v>
      </c>
      <c r="K320">
        <f>'CUP'!CG50</f>
        <v>0</v>
      </c>
      <c r="L320">
        <f>'CUP'!CH50</f>
        <v>0</v>
      </c>
      <c r="M320">
        <f>'CUP'!CI50</f>
        <v>0</v>
      </c>
      <c r="N320">
        <f>'CUP'!CJ50</f>
        <v>0</v>
      </c>
      <c r="O320">
        <f>'CUP'!CK50</f>
        <v>0</v>
      </c>
      <c r="P320" s="143" t="str">
        <f>'CUP'!CL50</f>
        <v/>
      </c>
      <c r="R320">
        <f t="shared" si="4"/>
        <v>319</v>
      </c>
    </row>
    <row r="321" spans="5:18" ht="17.100000000000001" thickBot="1">
      <c r="E321" s="148" t="s">
        <v>58</v>
      </c>
      <c r="F321" s="144" t="str">
        <f>'CUP'!CB51</f>
        <v>HPS</v>
      </c>
      <c r="G321" s="144" t="str">
        <f>'CUP'!CC51</f>
        <v>AC</v>
      </c>
      <c r="H321" s="144" t="str">
        <f>'CUP'!CD51</f>
        <v>Vessel</v>
      </c>
      <c r="I321" s="144">
        <f>'CUP'!CE51</f>
        <v>0</v>
      </c>
      <c r="J321" s="144">
        <f>'CUP'!CF51</f>
        <v>0</v>
      </c>
      <c r="K321" s="144">
        <f>'CUP'!CG51</f>
        <v>0</v>
      </c>
      <c r="L321" s="144">
        <f>'CUP'!CH51</f>
        <v>0</v>
      </c>
      <c r="M321" s="144">
        <f>'CUP'!CI51</f>
        <v>0</v>
      </c>
      <c r="N321" s="144">
        <f>'CUP'!CJ51</f>
        <v>0</v>
      </c>
      <c r="O321" s="144">
        <f>'CUP'!CK51</f>
        <v>0</v>
      </c>
      <c r="P321" s="145" t="str">
        <f>'CUP'!CL51</f>
        <v/>
      </c>
      <c r="R321">
        <f t="shared" si="4"/>
        <v>320</v>
      </c>
    </row>
    <row r="322" spans="5:18">
      <c r="E322" s="146" t="s">
        <v>59</v>
      </c>
      <c r="F322" s="141" t="str">
        <f>EL!CA2</f>
        <v>HPS</v>
      </c>
      <c r="G322" s="141" t="str">
        <f>EL!CB2</f>
        <v>AC</v>
      </c>
      <c r="H322" s="141" t="str">
        <f>EL!CC2</f>
        <v>Vessel</v>
      </c>
      <c r="I322" s="141">
        <f>EL!CD2</f>
        <v>0</v>
      </c>
      <c r="J322" s="141" t="str">
        <f>EL!CE2</f>
        <v>Elbow</v>
      </c>
      <c r="K322" s="141" t="str">
        <f>EL!CF2</f>
        <v>60-22HF4</v>
      </c>
      <c r="L322" s="141" t="str">
        <f>EL!CG2</f>
        <v>EL-1</v>
      </c>
      <c r="M322" s="141">
        <f>EL!CH2</f>
        <v>0</v>
      </c>
      <c r="N322" s="141">
        <f>EL!CI2</f>
        <v>0</v>
      </c>
      <c r="O322" s="141">
        <f>EL!CJ2</f>
        <v>0</v>
      </c>
      <c r="P322" s="142" t="str">
        <f>EL!CK2</f>
        <v>Active</v>
      </c>
      <c r="R322">
        <f t="shared" si="4"/>
        <v>321</v>
      </c>
    </row>
    <row r="323" spans="5:18">
      <c r="E323" s="147" t="s">
        <v>59</v>
      </c>
      <c r="F323" t="str">
        <f>EL!CA3</f>
        <v>HPS</v>
      </c>
      <c r="G323" t="str">
        <f>EL!CB3</f>
        <v>AC</v>
      </c>
      <c r="H323" t="str">
        <f>EL!CC3</f>
        <v>Vessel</v>
      </c>
      <c r="I323">
        <f>EL!CD3</f>
        <v>0</v>
      </c>
      <c r="J323" t="str">
        <f>EL!CE3</f>
        <v>Elbow</v>
      </c>
      <c r="K323" t="str">
        <f>EL!CF3</f>
        <v>60-22HF4</v>
      </c>
      <c r="L323" t="str">
        <f>EL!CG3</f>
        <v>EL-2</v>
      </c>
      <c r="M323">
        <f>EL!CH3</f>
        <v>0</v>
      </c>
      <c r="N323">
        <f>EL!CI3</f>
        <v>0</v>
      </c>
      <c r="O323">
        <f>EL!CJ3</f>
        <v>0</v>
      </c>
      <c r="P323" s="143" t="str">
        <f>EL!CK3</f>
        <v>Active</v>
      </c>
      <c r="R323">
        <f t="shared" si="4"/>
        <v>322</v>
      </c>
    </row>
    <row r="324" spans="5:18">
      <c r="E324" s="147" t="s">
        <v>59</v>
      </c>
      <c r="F324" t="str">
        <f>EL!CA4</f>
        <v>HPS</v>
      </c>
      <c r="G324" t="str">
        <f>EL!CB4</f>
        <v>AC</v>
      </c>
      <c r="H324" t="str">
        <f>EL!CC4</f>
        <v>Vessel</v>
      </c>
      <c r="I324">
        <f>EL!CD4</f>
        <v>0</v>
      </c>
      <c r="J324" t="str">
        <f>EL!CE4</f>
        <v>Elbow</v>
      </c>
      <c r="K324" t="str">
        <f>EL!CF4</f>
        <v>60-22HF4</v>
      </c>
      <c r="L324" t="str">
        <f>EL!CG4</f>
        <v>EL-3</v>
      </c>
      <c r="M324">
        <f>EL!CH4</f>
        <v>0</v>
      </c>
      <c r="N324">
        <f>EL!CI4</f>
        <v>0</v>
      </c>
      <c r="O324">
        <f>EL!CJ4</f>
        <v>0</v>
      </c>
      <c r="P324" s="143" t="str">
        <f>EL!CK4</f>
        <v>Active</v>
      </c>
      <c r="R324">
        <f t="shared" ref="R324:R387" si="5">R323+1</f>
        <v>323</v>
      </c>
    </row>
    <row r="325" spans="5:18">
      <c r="E325" s="147" t="s">
        <v>59</v>
      </c>
      <c r="F325" t="str">
        <f>EL!CA5</f>
        <v>HPS</v>
      </c>
      <c r="G325" t="str">
        <f>EL!CB5</f>
        <v>AC</v>
      </c>
      <c r="H325" t="str">
        <f>EL!CC5</f>
        <v>Vessel</v>
      </c>
      <c r="I325">
        <f>EL!CD5</f>
        <v>0</v>
      </c>
      <c r="J325" t="str">
        <f>EL!CE5</f>
        <v>Elbow</v>
      </c>
      <c r="K325" t="str">
        <f>EL!CF5</f>
        <v>60-22HF4</v>
      </c>
      <c r="L325" t="str">
        <f>EL!CG5</f>
        <v>EL-4</v>
      </c>
      <c r="M325">
        <f>EL!CH5</f>
        <v>0</v>
      </c>
      <c r="N325">
        <f>EL!CI5</f>
        <v>0</v>
      </c>
      <c r="O325">
        <f>EL!CJ5</f>
        <v>0</v>
      </c>
      <c r="P325" s="143" t="str">
        <f>EL!CK5</f>
        <v>Active</v>
      </c>
      <c r="R325">
        <f t="shared" si="5"/>
        <v>324</v>
      </c>
    </row>
    <row r="326" spans="5:18">
      <c r="E326" s="147" t="s">
        <v>59</v>
      </c>
      <c r="F326" t="str">
        <f>EL!CA6</f>
        <v>HPS</v>
      </c>
      <c r="G326" t="str">
        <f>EL!CB6</f>
        <v>AC</v>
      </c>
      <c r="H326" t="str">
        <f>EL!CC6</f>
        <v>Vessel</v>
      </c>
      <c r="I326">
        <f>EL!CD6</f>
        <v>0</v>
      </c>
      <c r="J326" t="str">
        <f>EL!CE6</f>
        <v>Elbow</v>
      </c>
      <c r="K326" t="str">
        <f>EL!CF6</f>
        <v>60-22HF4</v>
      </c>
      <c r="L326" t="str">
        <f>EL!CG6</f>
        <v>EL-5</v>
      </c>
      <c r="M326">
        <f>EL!CH6</f>
        <v>0</v>
      </c>
      <c r="N326">
        <f>EL!CI6</f>
        <v>0</v>
      </c>
      <c r="O326">
        <f>EL!CJ6</f>
        <v>0</v>
      </c>
      <c r="P326" s="143" t="str">
        <f>EL!CK6</f>
        <v>Active</v>
      </c>
      <c r="R326">
        <f t="shared" si="5"/>
        <v>325</v>
      </c>
    </row>
    <row r="327" spans="5:18">
      <c r="E327" s="147" t="s">
        <v>59</v>
      </c>
      <c r="F327" t="str">
        <f>EL!CA7</f>
        <v>HPS</v>
      </c>
      <c r="G327" t="str">
        <f>EL!CB7</f>
        <v>AC</v>
      </c>
      <c r="H327" t="str">
        <f>EL!CC7</f>
        <v>Vessel</v>
      </c>
      <c r="I327">
        <f>EL!CD7</f>
        <v>0</v>
      </c>
      <c r="J327" t="str">
        <f>EL!CE7</f>
        <v>Elbow</v>
      </c>
      <c r="K327" t="str">
        <f>EL!CF7</f>
        <v>60-22HF4</v>
      </c>
      <c r="L327" t="str">
        <f>EL!CG7</f>
        <v>EL-6</v>
      </c>
      <c r="M327">
        <f>EL!CH7</f>
        <v>0</v>
      </c>
      <c r="N327">
        <f>EL!CI7</f>
        <v>0</v>
      </c>
      <c r="O327">
        <f>EL!CJ7</f>
        <v>0</v>
      </c>
      <c r="P327" s="143" t="str">
        <f>EL!CK7</f>
        <v>Active</v>
      </c>
      <c r="R327">
        <f t="shared" si="5"/>
        <v>326</v>
      </c>
    </row>
    <row r="328" spans="5:18">
      <c r="E328" s="147" t="s">
        <v>59</v>
      </c>
      <c r="F328" t="str">
        <f>EL!CA8</f>
        <v>HPS</v>
      </c>
      <c r="G328" t="str">
        <f>EL!CB8</f>
        <v>AC</v>
      </c>
      <c r="H328" t="str">
        <f>EL!CC8</f>
        <v>Vessel</v>
      </c>
      <c r="I328">
        <f>EL!CD8</f>
        <v>0</v>
      </c>
      <c r="J328" t="str">
        <f>EL!CE8</f>
        <v>Elbow</v>
      </c>
      <c r="K328" t="str">
        <f>EL!CF8</f>
        <v>60-22HF4</v>
      </c>
      <c r="L328" t="str">
        <f>EL!CG8</f>
        <v>EL-7</v>
      </c>
      <c r="M328">
        <f>EL!CH8</f>
        <v>0</v>
      </c>
      <c r="N328">
        <f>EL!CI8</f>
        <v>0</v>
      </c>
      <c r="O328">
        <f>EL!CJ8</f>
        <v>0</v>
      </c>
      <c r="P328" s="143" t="str">
        <f>EL!CK8</f>
        <v>Active</v>
      </c>
      <c r="R328">
        <f t="shared" si="5"/>
        <v>327</v>
      </c>
    </row>
    <row r="329" spans="5:18">
      <c r="E329" s="147" t="s">
        <v>59</v>
      </c>
      <c r="F329" t="str">
        <f>EL!CA9</f>
        <v>HPS</v>
      </c>
      <c r="G329" t="str">
        <f>EL!CB9</f>
        <v>AC</v>
      </c>
      <c r="H329" t="str">
        <f>EL!CC9</f>
        <v>Vessel</v>
      </c>
      <c r="I329">
        <f>EL!CD9</f>
        <v>0</v>
      </c>
      <c r="J329" t="str">
        <f>EL!CE9</f>
        <v>Elbow</v>
      </c>
      <c r="K329" t="str">
        <f>EL!CF9</f>
        <v>60-22HF4</v>
      </c>
      <c r="L329" t="str">
        <f>EL!CG9</f>
        <v>EL-8</v>
      </c>
      <c r="M329">
        <f>EL!CH9</f>
        <v>0</v>
      </c>
      <c r="N329">
        <f>EL!CI9</f>
        <v>0</v>
      </c>
      <c r="O329">
        <f>EL!CJ9</f>
        <v>0</v>
      </c>
      <c r="P329" s="143" t="str">
        <f>EL!CK9</f>
        <v>Active</v>
      </c>
      <c r="R329">
        <f t="shared" si="5"/>
        <v>328</v>
      </c>
    </row>
    <row r="330" spans="5:18">
      <c r="E330" s="147" t="s">
        <v>59</v>
      </c>
      <c r="F330" t="str">
        <f>EL!CA10</f>
        <v>HPS</v>
      </c>
      <c r="G330" t="str">
        <f>EL!CB10</f>
        <v>AC</v>
      </c>
      <c r="H330" t="str">
        <f>EL!CC10</f>
        <v>Vessel</v>
      </c>
      <c r="I330">
        <f>EL!CD10</f>
        <v>0</v>
      </c>
      <c r="J330" t="str">
        <f>EL!CE10</f>
        <v>Elbow</v>
      </c>
      <c r="K330" t="str">
        <f>EL!CF10</f>
        <v>60-22HF4</v>
      </c>
      <c r="L330" t="str">
        <f>EL!CG10</f>
        <v>EL-9</v>
      </c>
      <c r="M330">
        <f>EL!CH10</f>
        <v>0</v>
      </c>
      <c r="N330">
        <f>EL!CI10</f>
        <v>0</v>
      </c>
      <c r="O330">
        <f>EL!CJ10</f>
        <v>0</v>
      </c>
      <c r="P330" s="143" t="str">
        <f>EL!CK10</f>
        <v>Active</v>
      </c>
      <c r="R330">
        <f t="shared" si="5"/>
        <v>329</v>
      </c>
    </row>
    <row r="331" spans="5:18">
      <c r="E331" s="147" t="s">
        <v>59</v>
      </c>
      <c r="F331" t="str">
        <f>EL!CA11</f>
        <v>HPS</v>
      </c>
      <c r="G331" t="str">
        <f>EL!CB11</f>
        <v>AC</v>
      </c>
      <c r="H331" t="str">
        <f>EL!CC11</f>
        <v>Vessel</v>
      </c>
      <c r="I331">
        <f>EL!CD11</f>
        <v>0</v>
      </c>
      <c r="J331" t="str">
        <f>EL!CE11</f>
        <v>Elbow</v>
      </c>
      <c r="K331" t="str">
        <f>EL!CF11</f>
        <v>60-22HF4</v>
      </c>
      <c r="L331" t="str">
        <f>EL!CG11</f>
        <v>EL-10</v>
      </c>
      <c r="M331">
        <f>EL!CH11</f>
        <v>0</v>
      </c>
      <c r="N331">
        <f>EL!CI11</f>
        <v>0</v>
      </c>
      <c r="O331">
        <f>EL!CJ11</f>
        <v>0</v>
      </c>
      <c r="P331" s="143" t="str">
        <f>EL!CK11</f>
        <v>Active</v>
      </c>
      <c r="R331">
        <f t="shared" si="5"/>
        <v>330</v>
      </c>
    </row>
    <row r="332" spans="5:18">
      <c r="E332" s="147" t="s">
        <v>59</v>
      </c>
      <c r="F332" t="str">
        <f>EL!CA12</f>
        <v>HPS</v>
      </c>
      <c r="G332" t="str">
        <f>EL!CB12</f>
        <v>AC</v>
      </c>
      <c r="H332" t="str">
        <f>EL!CC12</f>
        <v>Vessel</v>
      </c>
      <c r="I332">
        <f>EL!CD12</f>
        <v>0</v>
      </c>
      <c r="J332" t="str">
        <f>EL!CE12</f>
        <v>Elbow</v>
      </c>
      <c r="K332" t="str">
        <f>EL!CF12</f>
        <v>60-22HF4</v>
      </c>
      <c r="L332" t="str">
        <f>EL!CG12</f>
        <v>EL-11</v>
      </c>
      <c r="M332">
        <f>EL!CH12</f>
        <v>0</v>
      </c>
      <c r="N332">
        <f>EL!CI12</f>
        <v>0</v>
      </c>
      <c r="O332">
        <f>EL!CJ12</f>
        <v>0</v>
      </c>
      <c r="P332" s="143" t="str">
        <f>EL!CK12</f>
        <v>Active</v>
      </c>
      <c r="R332">
        <f t="shared" si="5"/>
        <v>331</v>
      </c>
    </row>
    <row r="333" spans="5:18">
      <c r="E333" s="147" t="s">
        <v>59</v>
      </c>
      <c r="F333" t="str">
        <f>EL!CA13</f>
        <v>HPS</v>
      </c>
      <c r="G333" t="str">
        <f>EL!CB13</f>
        <v>AC</v>
      </c>
      <c r="H333" t="str">
        <f>EL!CC13</f>
        <v>Vessel</v>
      </c>
      <c r="I333">
        <f>EL!CD13</f>
        <v>0</v>
      </c>
      <c r="J333" t="str">
        <f>EL!CE13</f>
        <v>Elbow</v>
      </c>
      <c r="K333" t="str">
        <f>EL!CF13</f>
        <v>60-22HF4</v>
      </c>
      <c r="L333" t="str">
        <f>EL!CG13</f>
        <v>EL-12</v>
      </c>
      <c r="M333">
        <f>EL!CH13</f>
        <v>0</v>
      </c>
      <c r="N333">
        <f>EL!CI13</f>
        <v>0</v>
      </c>
      <c r="O333">
        <f>EL!CJ13</f>
        <v>0</v>
      </c>
      <c r="P333" s="143" t="str">
        <f>EL!CK13</f>
        <v>Active</v>
      </c>
      <c r="R333">
        <f t="shared" si="5"/>
        <v>332</v>
      </c>
    </row>
    <row r="334" spans="5:18">
      <c r="E334" s="147" t="s">
        <v>59</v>
      </c>
      <c r="F334" t="str">
        <f>EL!CA14</f>
        <v>HPS</v>
      </c>
      <c r="G334" t="str">
        <f>EL!CB14</f>
        <v>AC</v>
      </c>
      <c r="H334" t="str">
        <f>EL!CC14</f>
        <v>Vessel</v>
      </c>
      <c r="I334">
        <f>EL!CD14</f>
        <v>0</v>
      </c>
      <c r="J334" t="str">
        <f>EL!CE14</f>
        <v>Elbow</v>
      </c>
      <c r="K334" t="str">
        <f>EL!CF14</f>
        <v>100-22XF4</v>
      </c>
      <c r="L334" t="str">
        <f>EL!CG14</f>
        <v>EL-13</v>
      </c>
      <c r="M334">
        <f>EL!CH14</f>
        <v>0</v>
      </c>
      <c r="N334">
        <f>EL!CI14</f>
        <v>0</v>
      </c>
      <c r="O334">
        <f>EL!CJ14</f>
        <v>0</v>
      </c>
      <c r="P334" s="143" t="str">
        <f>EL!CK14</f>
        <v>Active</v>
      </c>
      <c r="R334">
        <f t="shared" si="5"/>
        <v>333</v>
      </c>
    </row>
    <row r="335" spans="5:18">
      <c r="E335" s="147" t="s">
        <v>59</v>
      </c>
      <c r="F335" t="str">
        <f>EL!CA15</f>
        <v>HPS</v>
      </c>
      <c r="G335" t="str">
        <f>EL!CB15</f>
        <v>AC</v>
      </c>
      <c r="H335" t="str">
        <f>EL!CC15</f>
        <v>Vessel</v>
      </c>
      <c r="I335">
        <f>EL!CD15</f>
        <v>0</v>
      </c>
      <c r="J335" t="str">
        <f>EL!CE15</f>
        <v>Elbow</v>
      </c>
      <c r="K335" t="str">
        <f>EL!CF15</f>
        <v>100-22XF4</v>
      </c>
      <c r="L335" t="str">
        <f>EL!CG15</f>
        <v>EL-14</v>
      </c>
      <c r="M335">
        <f>EL!CH15</f>
        <v>0</v>
      </c>
      <c r="N335">
        <f>EL!CI15</f>
        <v>0</v>
      </c>
      <c r="O335">
        <f>EL!CJ15</f>
        <v>0</v>
      </c>
      <c r="P335" s="143" t="str">
        <f>EL!CK15</f>
        <v>Active</v>
      </c>
      <c r="R335">
        <f t="shared" si="5"/>
        <v>334</v>
      </c>
    </row>
    <row r="336" spans="5:18">
      <c r="E336" s="147" t="s">
        <v>59</v>
      </c>
      <c r="F336" t="str">
        <f>EL!CA16</f>
        <v>HPS</v>
      </c>
      <c r="G336" t="str">
        <f>EL!CB16</f>
        <v>AC</v>
      </c>
      <c r="H336" t="str">
        <f>EL!CC16</f>
        <v>Vessel</v>
      </c>
      <c r="I336">
        <f>EL!CD16</f>
        <v>0</v>
      </c>
      <c r="J336" t="str">
        <f>EL!CE16</f>
        <v>Elbow</v>
      </c>
      <c r="K336" t="str">
        <f>EL!CF16</f>
        <v>60-63HF4</v>
      </c>
      <c r="L336" t="str">
        <f>EL!CG16</f>
        <v>EL-15</v>
      </c>
      <c r="M336">
        <f>EL!CH16</f>
        <v>0</v>
      </c>
      <c r="N336">
        <f>EL!CI16</f>
        <v>0</v>
      </c>
      <c r="O336">
        <f>EL!CJ16</f>
        <v>0</v>
      </c>
      <c r="P336" s="143" t="str">
        <f>EL!CK16</f>
        <v>Active</v>
      </c>
      <c r="R336">
        <f t="shared" si="5"/>
        <v>335</v>
      </c>
    </row>
    <row r="337" spans="5:18">
      <c r="E337" s="147" t="s">
        <v>59</v>
      </c>
      <c r="F337" t="str">
        <f>EL!CA17</f>
        <v>HPS</v>
      </c>
      <c r="G337" t="str">
        <f>EL!CB17</f>
        <v>AC</v>
      </c>
      <c r="H337" t="str">
        <f>EL!CC17</f>
        <v>Vessel</v>
      </c>
      <c r="I337">
        <f>EL!CD17</f>
        <v>0</v>
      </c>
      <c r="J337">
        <f>EL!CE17</f>
        <v>0</v>
      </c>
      <c r="K337">
        <f>EL!CF17</f>
        <v>0</v>
      </c>
      <c r="L337">
        <f>EL!CG17</f>
        <v>0</v>
      </c>
      <c r="M337">
        <f>EL!CH17</f>
        <v>0</v>
      </c>
      <c r="N337">
        <f>EL!CI17</f>
        <v>0</v>
      </c>
      <c r="O337">
        <f>EL!CJ17</f>
        <v>0</v>
      </c>
      <c r="P337" s="143" t="str">
        <f>EL!CK17</f>
        <v/>
      </c>
      <c r="R337">
        <f t="shared" si="5"/>
        <v>336</v>
      </c>
    </row>
    <row r="338" spans="5:18">
      <c r="E338" s="147" t="s">
        <v>59</v>
      </c>
      <c r="F338" t="str">
        <f>EL!CA18</f>
        <v>HPS</v>
      </c>
      <c r="G338" t="str">
        <f>EL!CB18</f>
        <v>AC</v>
      </c>
      <c r="H338" t="str">
        <f>EL!CC18</f>
        <v>Vessel</v>
      </c>
      <c r="I338">
        <f>EL!CD18</f>
        <v>0</v>
      </c>
      <c r="J338">
        <f>EL!CE18</f>
        <v>0</v>
      </c>
      <c r="K338">
        <f>EL!CF18</f>
        <v>0</v>
      </c>
      <c r="L338">
        <f>EL!CG18</f>
        <v>0</v>
      </c>
      <c r="M338">
        <f>EL!CH18</f>
        <v>0</v>
      </c>
      <c r="N338">
        <f>EL!CI18</f>
        <v>0</v>
      </c>
      <c r="O338">
        <f>EL!CJ18</f>
        <v>0</v>
      </c>
      <c r="P338" s="143" t="str">
        <f>EL!CK18</f>
        <v/>
      </c>
      <c r="R338">
        <f t="shared" si="5"/>
        <v>337</v>
      </c>
    </row>
    <row r="339" spans="5:18">
      <c r="E339" s="147" t="s">
        <v>59</v>
      </c>
      <c r="F339" t="str">
        <f>EL!CA19</f>
        <v>HPS</v>
      </c>
      <c r="G339" t="str">
        <f>EL!CB19</f>
        <v>AC</v>
      </c>
      <c r="H339" t="str">
        <f>EL!CC19</f>
        <v>Vessel</v>
      </c>
      <c r="I339">
        <f>EL!CD19</f>
        <v>0</v>
      </c>
      <c r="J339">
        <f>EL!CE19</f>
        <v>0</v>
      </c>
      <c r="K339">
        <f>EL!CF19</f>
        <v>0</v>
      </c>
      <c r="L339">
        <f>EL!CG19</f>
        <v>0</v>
      </c>
      <c r="M339">
        <f>EL!CH19</f>
        <v>0</v>
      </c>
      <c r="N339">
        <f>EL!CI19</f>
        <v>0</v>
      </c>
      <c r="O339">
        <f>EL!CJ19</f>
        <v>0</v>
      </c>
      <c r="P339" s="143" t="str">
        <f>EL!CK19</f>
        <v/>
      </c>
      <c r="R339">
        <f t="shared" si="5"/>
        <v>338</v>
      </c>
    </row>
    <row r="340" spans="5:18">
      <c r="E340" s="147" t="s">
        <v>59</v>
      </c>
      <c r="F340" t="str">
        <f>EL!CA20</f>
        <v>HPS</v>
      </c>
      <c r="G340" t="str">
        <f>EL!CB20</f>
        <v>AC</v>
      </c>
      <c r="H340" t="str">
        <f>EL!CC20</f>
        <v>Vessel</v>
      </c>
      <c r="I340">
        <f>EL!CD20</f>
        <v>0</v>
      </c>
      <c r="J340">
        <f>EL!CE20</f>
        <v>0</v>
      </c>
      <c r="K340">
        <f>EL!CF20</f>
        <v>0</v>
      </c>
      <c r="L340">
        <f>EL!CG20</f>
        <v>0</v>
      </c>
      <c r="M340">
        <f>EL!CH20</f>
        <v>0</v>
      </c>
      <c r="N340">
        <f>EL!CI20</f>
        <v>0</v>
      </c>
      <c r="O340">
        <f>EL!CJ20</f>
        <v>0</v>
      </c>
      <c r="P340" s="143" t="str">
        <f>EL!CK20</f>
        <v/>
      </c>
      <c r="R340">
        <f t="shared" si="5"/>
        <v>339</v>
      </c>
    </row>
    <row r="341" spans="5:18">
      <c r="E341" s="147" t="s">
        <v>59</v>
      </c>
      <c r="F341" t="str">
        <f>EL!CA21</f>
        <v>HPS</v>
      </c>
      <c r="G341" t="str">
        <f>EL!CB21</f>
        <v>AC</v>
      </c>
      <c r="H341" t="str">
        <f>EL!CC21</f>
        <v>Vessel</v>
      </c>
      <c r="I341">
        <f>EL!CD21</f>
        <v>0</v>
      </c>
      <c r="J341">
        <f>EL!CE21</f>
        <v>0</v>
      </c>
      <c r="K341">
        <f>EL!CF21</f>
        <v>0</v>
      </c>
      <c r="L341">
        <f>EL!CG21</f>
        <v>0</v>
      </c>
      <c r="M341">
        <f>EL!CH21</f>
        <v>0</v>
      </c>
      <c r="N341">
        <f>EL!CI21</f>
        <v>0</v>
      </c>
      <c r="O341">
        <f>EL!CJ21</f>
        <v>0</v>
      </c>
      <c r="P341" s="143" t="str">
        <f>EL!CK21</f>
        <v/>
      </c>
      <c r="R341">
        <f t="shared" si="5"/>
        <v>340</v>
      </c>
    </row>
    <row r="342" spans="5:18">
      <c r="E342" s="147" t="s">
        <v>59</v>
      </c>
      <c r="F342" t="str">
        <f>EL!CA22</f>
        <v>HPS</v>
      </c>
      <c r="G342" t="str">
        <f>EL!CB22</f>
        <v>AC</v>
      </c>
      <c r="H342" t="str">
        <f>EL!CC22</f>
        <v>Vessel</v>
      </c>
      <c r="I342">
        <f>EL!CD22</f>
        <v>0</v>
      </c>
      <c r="J342">
        <f>EL!CE22</f>
        <v>0</v>
      </c>
      <c r="K342">
        <f>EL!CF22</f>
        <v>0</v>
      </c>
      <c r="L342">
        <f>EL!CG22</f>
        <v>0</v>
      </c>
      <c r="M342">
        <f>EL!CH22</f>
        <v>0</v>
      </c>
      <c r="N342">
        <f>EL!CI22</f>
        <v>0</v>
      </c>
      <c r="O342">
        <f>EL!CJ22</f>
        <v>0</v>
      </c>
      <c r="P342" s="143" t="str">
        <f>EL!CK22</f>
        <v/>
      </c>
      <c r="R342">
        <f t="shared" si="5"/>
        <v>341</v>
      </c>
    </row>
    <row r="343" spans="5:18">
      <c r="E343" s="147" t="s">
        <v>59</v>
      </c>
      <c r="F343" t="str">
        <f>EL!CA23</f>
        <v>HPS</v>
      </c>
      <c r="G343" t="str">
        <f>EL!CB23</f>
        <v>AC</v>
      </c>
      <c r="H343" t="str">
        <f>EL!CC23</f>
        <v>Vessel</v>
      </c>
      <c r="I343">
        <f>EL!CD23</f>
        <v>0</v>
      </c>
      <c r="J343">
        <f>EL!CE23</f>
        <v>0</v>
      </c>
      <c r="K343">
        <f>EL!CF23</f>
        <v>0</v>
      </c>
      <c r="L343">
        <f>EL!CG23</f>
        <v>0</v>
      </c>
      <c r="M343">
        <f>EL!CH23</f>
        <v>0</v>
      </c>
      <c r="N343">
        <f>EL!CI23</f>
        <v>0</v>
      </c>
      <c r="O343">
        <f>EL!CJ23</f>
        <v>0</v>
      </c>
      <c r="P343" s="143" t="str">
        <f>EL!CK23</f>
        <v/>
      </c>
      <c r="R343">
        <f t="shared" si="5"/>
        <v>342</v>
      </c>
    </row>
    <row r="344" spans="5:18">
      <c r="E344" s="147" t="s">
        <v>59</v>
      </c>
      <c r="F344" t="str">
        <f>EL!CA24</f>
        <v>HPS</v>
      </c>
      <c r="G344" t="str">
        <f>EL!CB24</f>
        <v>AC</v>
      </c>
      <c r="H344" t="str">
        <f>EL!CC24</f>
        <v>Vessel</v>
      </c>
      <c r="I344">
        <f>EL!CD24</f>
        <v>0</v>
      </c>
      <c r="J344">
        <f>EL!CE24</f>
        <v>0</v>
      </c>
      <c r="K344">
        <f>EL!CF24</f>
        <v>0</v>
      </c>
      <c r="L344">
        <f>EL!CG24</f>
        <v>0</v>
      </c>
      <c r="M344">
        <f>EL!CH24</f>
        <v>0</v>
      </c>
      <c r="N344">
        <f>EL!CI24</f>
        <v>0</v>
      </c>
      <c r="O344">
        <f>EL!CJ24</f>
        <v>0</v>
      </c>
      <c r="P344" s="143" t="str">
        <f>EL!CK24</f>
        <v/>
      </c>
      <c r="R344">
        <f t="shared" si="5"/>
        <v>343</v>
      </c>
    </row>
    <row r="345" spans="5:18">
      <c r="E345" s="147" t="s">
        <v>59</v>
      </c>
      <c r="F345" t="str">
        <f>EL!CA25</f>
        <v>HPS</v>
      </c>
      <c r="G345" t="str">
        <f>EL!CB25</f>
        <v>AC</v>
      </c>
      <c r="H345" t="str">
        <f>EL!CC25</f>
        <v>Vessel</v>
      </c>
      <c r="I345">
        <f>EL!CD25</f>
        <v>0</v>
      </c>
      <c r="J345">
        <f>EL!CE25</f>
        <v>0</v>
      </c>
      <c r="K345">
        <f>EL!CF25</f>
        <v>0</v>
      </c>
      <c r="L345">
        <f>EL!CG25</f>
        <v>0</v>
      </c>
      <c r="M345">
        <f>EL!CH25</f>
        <v>0</v>
      </c>
      <c r="N345">
        <f>EL!CI25</f>
        <v>0</v>
      </c>
      <c r="O345">
        <f>EL!CJ25</f>
        <v>0</v>
      </c>
      <c r="P345" s="143" t="str">
        <f>EL!CK25</f>
        <v/>
      </c>
      <c r="R345">
        <f t="shared" si="5"/>
        <v>344</v>
      </c>
    </row>
    <row r="346" spans="5:18">
      <c r="E346" s="147" t="s">
        <v>59</v>
      </c>
      <c r="F346" t="str">
        <f>EL!CA26</f>
        <v>HPS</v>
      </c>
      <c r="G346" t="str">
        <f>EL!CB26</f>
        <v>AC</v>
      </c>
      <c r="H346" t="str">
        <f>EL!CC26</f>
        <v>Vessel</v>
      </c>
      <c r="I346">
        <f>EL!CD26</f>
        <v>0</v>
      </c>
      <c r="J346">
        <f>EL!CE26</f>
        <v>0</v>
      </c>
      <c r="K346">
        <f>EL!CF26</f>
        <v>0</v>
      </c>
      <c r="L346">
        <f>EL!CG26</f>
        <v>0</v>
      </c>
      <c r="M346">
        <f>EL!CH26</f>
        <v>0</v>
      </c>
      <c r="N346">
        <f>EL!CI26</f>
        <v>0</v>
      </c>
      <c r="O346">
        <f>EL!CJ26</f>
        <v>0</v>
      </c>
      <c r="P346" s="143" t="str">
        <f>EL!CK26</f>
        <v/>
      </c>
      <c r="R346">
        <f t="shared" si="5"/>
        <v>345</v>
      </c>
    </row>
    <row r="347" spans="5:18">
      <c r="E347" s="147" t="s">
        <v>59</v>
      </c>
      <c r="F347" t="str">
        <f>EL!CA27</f>
        <v>HPS</v>
      </c>
      <c r="G347" t="str">
        <f>EL!CB27</f>
        <v>AC</v>
      </c>
      <c r="H347" t="str">
        <f>EL!CC27</f>
        <v>Vessel</v>
      </c>
      <c r="I347">
        <f>EL!CD27</f>
        <v>0</v>
      </c>
      <c r="J347">
        <f>EL!CE27</f>
        <v>0</v>
      </c>
      <c r="K347">
        <f>EL!CF27</f>
        <v>0</v>
      </c>
      <c r="L347">
        <f>EL!CG27</f>
        <v>0</v>
      </c>
      <c r="M347">
        <f>EL!CH27</f>
        <v>0</v>
      </c>
      <c r="N347">
        <f>EL!CI27</f>
        <v>0</v>
      </c>
      <c r="O347">
        <f>EL!CJ27</f>
        <v>0</v>
      </c>
      <c r="P347" s="143" t="str">
        <f>EL!CK27</f>
        <v/>
      </c>
      <c r="R347">
        <f t="shared" si="5"/>
        <v>346</v>
      </c>
    </row>
    <row r="348" spans="5:18">
      <c r="E348" s="147" t="s">
        <v>59</v>
      </c>
      <c r="F348" t="str">
        <f>EL!CA28</f>
        <v>HPS</v>
      </c>
      <c r="G348" t="str">
        <f>EL!CB28</f>
        <v>AC</v>
      </c>
      <c r="H348" t="str">
        <f>EL!CC28</f>
        <v>Vessel</v>
      </c>
      <c r="I348">
        <f>EL!CD28</f>
        <v>0</v>
      </c>
      <c r="J348">
        <f>EL!CE28</f>
        <v>0</v>
      </c>
      <c r="K348">
        <f>EL!CF28</f>
        <v>0</v>
      </c>
      <c r="L348">
        <f>EL!CG28</f>
        <v>0</v>
      </c>
      <c r="M348">
        <f>EL!CH28</f>
        <v>0</v>
      </c>
      <c r="N348">
        <f>EL!CI28</f>
        <v>0</v>
      </c>
      <c r="O348">
        <f>EL!CJ28</f>
        <v>0</v>
      </c>
      <c r="P348" s="143" t="str">
        <f>EL!CK28</f>
        <v/>
      </c>
      <c r="R348">
        <f t="shared" si="5"/>
        <v>347</v>
      </c>
    </row>
    <row r="349" spans="5:18">
      <c r="E349" s="147" t="s">
        <v>59</v>
      </c>
      <c r="F349" t="str">
        <f>EL!CA29</f>
        <v>HPS</v>
      </c>
      <c r="G349" t="str">
        <f>EL!CB29</f>
        <v>AC</v>
      </c>
      <c r="H349" t="str">
        <f>EL!CC29</f>
        <v>Vessel</v>
      </c>
      <c r="I349">
        <f>EL!CD29</f>
        <v>0</v>
      </c>
      <c r="J349">
        <f>EL!CE29</f>
        <v>0</v>
      </c>
      <c r="K349">
        <f>EL!CF29</f>
        <v>0</v>
      </c>
      <c r="L349">
        <f>EL!CG29</f>
        <v>0</v>
      </c>
      <c r="M349">
        <f>EL!CH29</f>
        <v>0</v>
      </c>
      <c r="N349">
        <f>EL!CI29</f>
        <v>0</v>
      </c>
      <c r="O349">
        <f>EL!CJ29</f>
        <v>0</v>
      </c>
      <c r="P349" s="143" t="str">
        <f>EL!CK29</f>
        <v/>
      </c>
      <c r="R349">
        <f t="shared" si="5"/>
        <v>348</v>
      </c>
    </row>
    <row r="350" spans="5:18">
      <c r="E350" s="147" t="s">
        <v>59</v>
      </c>
      <c r="F350" t="str">
        <f>EL!CA30</f>
        <v>HPS</v>
      </c>
      <c r="G350" t="str">
        <f>EL!CB30</f>
        <v>AC</v>
      </c>
      <c r="H350" t="str">
        <f>EL!CC30</f>
        <v>Vessel</v>
      </c>
      <c r="I350">
        <f>EL!CD30</f>
        <v>0</v>
      </c>
      <c r="J350">
        <f>EL!CE30</f>
        <v>0</v>
      </c>
      <c r="K350">
        <f>EL!CF30</f>
        <v>0</v>
      </c>
      <c r="L350">
        <f>EL!CG30</f>
        <v>0</v>
      </c>
      <c r="M350">
        <f>EL!CH30</f>
        <v>0</v>
      </c>
      <c r="N350">
        <f>EL!CI30</f>
        <v>0</v>
      </c>
      <c r="O350">
        <f>EL!CJ30</f>
        <v>0</v>
      </c>
      <c r="P350" s="143" t="str">
        <f>EL!CK30</f>
        <v/>
      </c>
      <c r="R350">
        <f t="shared" si="5"/>
        <v>349</v>
      </c>
    </row>
    <row r="351" spans="5:18">
      <c r="E351" s="147" t="s">
        <v>59</v>
      </c>
      <c r="F351" t="str">
        <f>EL!CA31</f>
        <v>HPS</v>
      </c>
      <c r="G351" t="str">
        <f>EL!CB31</f>
        <v>AC</v>
      </c>
      <c r="H351" t="str">
        <f>EL!CC31</f>
        <v>Vessel</v>
      </c>
      <c r="I351">
        <f>EL!CD31</f>
        <v>0</v>
      </c>
      <c r="J351">
        <f>EL!CE31</f>
        <v>0</v>
      </c>
      <c r="K351">
        <f>EL!CF31</f>
        <v>0</v>
      </c>
      <c r="L351">
        <f>EL!CG31</f>
        <v>0</v>
      </c>
      <c r="M351">
        <f>EL!CH31</f>
        <v>0</v>
      </c>
      <c r="N351">
        <f>EL!CI31</f>
        <v>0</v>
      </c>
      <c r="O351">
        <f>EL!CJ31</f>
        <v>0</v>
      </c>
      <c r="P351" s="143" t="str">
        <f>EL!CK31</f>
        <v/>
      </c>
      <c r="R351">
        <f t="shared" si="5"/>
        <v>350</v>
      </c>
    </row>
    <row r="352" spans="5:18">
      <c r="E352" s="147" t="s">
        <v>59</v>
      </c>
      <c r="F352" t="str">
        <f>EL!CA32</f>
        <v>HPS</v>
      </c>
      <c r="G352" t="str">
        <f>EL!CB32</f>
        <v>AC</v>
      </c>
      <c r="H352" t="str">
        <f>EL!CC32</f>
        <v>Vessel</v>
      </c>
      <c r="I352">
        <f>EL!CD32</f>
        <v>0</v>
      </c>
      <c r="J352">
        <f>EL!CE32</f>
        <v>0</v>
      </c>
      <c r="K352">
        <f>EL!CF32</f>
        <v>0</v>
      </c>
      <c r="L352">
        <f>EL!CG32</f>
        <v>0</v>
      </c>
      <c r="M352">
        <f>EL!CH32</f>
        <v>0</v>
      </c>
      <c r="N352">
        <f>EL!CI32</f>
        <v>0</v>
      </c>
      <c r="O352">
        <f>EL!CJ32</f>
        <v>0</v>
      </c>
      <c r="P352" s="143" t="str">
        <f>EL!CK32</f>
        <v/>
      </c>
      <c r="R352">
        <f t="shared" si="5"/>
        <v>351</v>
      </c>
    </row>
    <row r="353" spans="5:18">
      <c r="E353" s="147" t="s">
        <v>59</v>
      </c>
      <c r="F353" t="str">
        <f>EL!CA33</f>
        <v>HPS</v>
      </c>
      <c r="G353" t="str">
        <f>EL!CB33</f>
        <v>AC</v>
      </c>
      <c r="H353" t="str">
        <f>EL!CC33</f>
        <v>Vessel</v>
      </c>
      <c r="I353">
        <f>EL!CD33</f>
        <v>0</v>
      </c>
      <c r="J353">
        <f>EL!CE33</f>
        <v>0</v>
      </c>
      <c r="K353">
        <f>EL!CF33</f>
        <v>0</v>
      </c>
      <c r="L353">
        <f>EL!CG33</f>
        <v>0</v>
      </c>
      <c r="M353">
        <f>EL!CH33</f>
        <v>0</v>
      </c>
      <c r="N353">
        <f>EL!CI33</f>
        <v>0</v>
      </c>
      <c r="O353">
        <f>EL!CJ33</f>
        <v>0</v>
      </c>
      <c r="P353" s="143" t="str">
        <f>EL!CK33</f>
        <v/>
      </c>
      <c r="R353">
        <f t="shared" si="5"/>
        <v>352</v>
      </c>
    </row>
    <row r="354" spans="5:18">
      <c r="E354" s="147" t="s">
        <v>59</v>
      </c>
      <c r="F354" t="str">
        <f>EL!CA34</f>
        <v>HPS</v>
      </c>
      <c r="G354" t="str">
        <f>EL!CB34</f>
        <v>AC</v>
      </c>
      <c r="H354" t="str">
        <f>EL!CC34</f>
        <v>Vessel</v>
      </c>
      <c r="I354">
        <f>EL!CD34</f>
        <v>0</v>
      </c>
      <c r="J354">
        <f>EL!CE34</f>
        <v>0</v>
      </c>
      <c r="K354">
        <f>EL!CF34</f>
        <v>0</v>
      </c>
      <c r="L354">
        <f>EL!CG34</f>
        <v>0</v>
      </c>
      <c r="M354">
        <f>EL!CH34</f>
        <v>0</v>
      </c>
      <c r="N354">
        <f>EL!CI34</f>
        <v>0</v>
      </c>
      <c r="O354">
        <f>EL!CJ34</f>
        <v>0</v>
      </c>
      <c r="P354" s="143" t="str">
        <f>EL!CK34</f>
        <v/>
      </c>
      <c r="R354">
        <f t="shared" si="5"/>
        <v>353</v>
      </c>
    </row>
    <row r="355" spans="5:18">
      <c r="E355" s="147" t="s">
        <v>59</v>
      </c>
      <c r="F355" t="str">
        <f>EL!CA35</f>
        <v>HPS</v>
      </c>
      <c r="G355" t="str">
        <f>EL!CB35</f>
        <v>AC</v>
      </c>
      <c r="H355" t="str">
        <f>EL!CC35</f>
        <v>Vessel</v>
      </c>
      <c r="I355">
        <f>EL!CD35</f>
        <v>0</v>
      </c>
      <c r="J355">
        <f>EL!CE35</f>
        <v>0</v>
      </c>
      <c r="K355">
        <f>EL!CF35</f>
        <v>0</v>
      </c>
      <c r="L355">
        <f>EL!CG35</f>
        <v>0</v>
      </c>
      <c r="M355">
        <f>EL!CH35</f>
        <v>0</v>
      </c>
      <c r="N355">
        <f>EL!CI35</f>
        <v>0</v>
      </c>
      <c r="O355">
        <f>EL!CJ35</f>
        <v>0</v>
      </c>
      <c r="P355" s="143" t="str">
        <f>EL!CK35</f>
        <v/>
      </c>
      <c r="R355">
        <f t="shared" si="5"/>
        <v>354</v>
      </c>
    </row>
    <row r="356" spans="5:18">
      <c r="E356" s="147" t="s">
        <v>59</v>
      </c>
      <c r="F356" t="str">
        <f>EL!CA36</f>
        <v>HPS</v>
      </c>
      <c r="G356" t="str">
        <f>EL!CB36</f>
        <v>AC</v>
      </c>
      <c r="H356" t="str">
        <f>EL!CC36</f>
        <v>Vessel</v>
      </c>
      <c r="I356">
        <f>EL!CD36</f>
        <v>0</v>
      </c>
      <c r="J356">
        <f>EL!CE36</f>
        <v>0</v>
      </c>
      <c r="K356">
        <f>EL!CF36</f>
        <v>0</v>
      </c>
      <c r="L356">
        <f>EL!CG36</f>
        <v>0</v>
      </c>
      <c r="M356">
        <f>EL!CH36</f>
        <v>0</v>
      </c>
      <c r="N356">
        <f>EL!CI36</f>
        <v>0</v>
      </c>
      <c r="O356">
        <f>EL!CJ36</f>
        <v>0</v>
      </c>
      <c r="P356" s="143" t="str">
        <f>EL!CK36</f>
        <v/>
      </c>
      <c r="R356">
        <f t="shared" si="5"/>
        <v>355</v>
      </c>
    </row>
    <row r="357" spans="5:18">
      <c r="E357" s="147" t="s">
        <v>59</v>
      </c>
      <c r="F357" t="str">
        <f>EL!CA37</f>
        <v>HPS</v>
      </c>
      <c r="G357" t="str">
        <f>EL!CB37</f>
        <v>AC</v>
      </c>
      <c r="H357" t="str">
        <f>EL!CC37</f>
        <v>Vessel</v>
      </c>
      <c r="I357">
        <f>EL!CD37</f>
        <v>0</v>
      </c>
      <c r="J357">
        <f>EL!CE37</f>
        <v>0</v>
      </c>
      <c r="K357">
        <f>EL!CF37</f>
        <v>0</v>
      </c>
      <c r="L357">
        <f>EL!CG37</f>
        <v>0</v>
      </c>
      <c r="M357">
        <f>EL!CH37</f>
        <v>0</v>
      </c>
      <c r="N357">
        <f>EL!CI37</f>
        <v>0</v>
      </c>
      <c r="O357">
        <f>EL!CJ37</f>
        <v>0</v>
      </c>
      <c r="P357" s="143" t="str">
        <f>EL!CK37</f>
        <v/>
      </c>
      <c r="R357">
        <f t="shared" si="5"/>
        <v>356</v>
      </c>
    </row>
    <row r="358" spans="5:18">
      <c r="E358" s="147" t="s">
        <v>59</v>
      </c>
      <c r="F358" t="str">
        <f>EL!CA38</f>
        <v>HPS</v>
      </c>
      <c r="G358" t="str">
        <f>EL!CB38</f>
        <v>AC</v>
      </c>
      <c r="H358" t="str">
        <f>EL!CC38</f>
        <v>Vessel</v>
      </c>
      <c r="I358">
        <f>EL!CD38</f>
        <v>0</v>
      </c>
      <c r="J358">
        <f>EL!CE38</f>
        <v>0</v>
      </c>
      <c r="K358">
        <f>EL!CF38</f>
        <v>0</v>
      </c>
      <c r="L358">
        <f>EL!CG38</f>
        <v>0</v>
      </c>
      <c r="M358">
        <f>EL!CH38</f>
        <v>0</v>
      </c>
      <c r="N358">
        <f>EL!CI38</f>
        <v>0</v>
      </c>
      <c r="O358">
        <f>EL!CJ38</f>
        <v>0</v>
      </c>
      <c r="P358" s="143" t="str">
        <f>EL!CK38</f>
        <v/>
      </c>
      <c r="R358">
        <f t="shared" si="5"/>
        <v>357</v>
      </c>
    </row>
    <row r="359" spans="5:18">
      <c r="E359" s="147" t="s">
        <v>59</v>
      </c>
      <c r="F359" t="str">
        <f>EL!CA39</f>
        <v>HPS</v>
      </c>
      <c r="G359" t="str">
        <f>EL!CB39</f>
        <v>AC</v>
      </c>
      <c r="H359" t="str">
        <f>EL!CC39</f>
        <v>Vessel</v>
      </c>
      <c r="I359">
        <f>EL!CD39</f>
        <v>0</v>
      </c>
      <c r="J359">
        <f>EL!CE39</f>
        <v>0</v>
      </c>
      <c r="K359">
        <f>EL!CF39</f>
        <v>0</v>
      </c>
      <c r="L359">
        <f>EL!CG39</f>
        <v>0</v>
      </c>
      <c r="M359">
        <f>EL!CH39</f>
        <v>0</v>
      </c>
      <c r="N359">
        <f>EL!CI39</f>
        <v>0</v>
      </c>
      <c r="O359">
        <f>EL!CJ39</f>
        <v>0</v>
      </c>
      <c r="P359" s="143" t="str">
        <f>EL!CK39</f>
        <v/>
      </c>
      <c r="R359">
        <f t="shared" si="5"/>
        <v>358</v>
      </c>
    </row>
    <row r="360" spans="5:18">
      <c r="E360" s="147" t="s">
        <v>59</v>
      </c>
      <c r="F360" t="str">
        <f>EL!CA40</f>
        <v>HPS</v>
      </c>
      <c r="G360" t="str">
        <f>EL!CB40</f>
        <v>AC</v>
      </c>
      <c r="H360" t="str">
        <f>EL!CC40</f>
        <v>Vessel</v>
      </c>
      <c r="I360">
        <f>EL!CD40</f>
        <v>0</v>
      </c>
      <c r="J360">
        <f>EL!CE40</f>
        <v>0</v>
      </c>
      <c r="K360">
        <f>EL!CF40</f>
        <v>0</v>
      </c>
      <c r="L360">
        <f>EL!CG40</f>
        <v>0</v>
      </c>
      <c r="M360">
        <f>EL!CH40</f>
        <v>0</v>
      </c>
      <c r="N360">
        <f>EL!CI40</f>
        <v>0</v>
      </c>
      <c r="O360">
        <f>EL!CJ40</f>
        <v>0</v>
      </c>
      <c r="P360" s="143" t="str">
        <f>EL!CK40</f>
        <v/>
      </c>
      <c r="R360">
        <f t="shared" si="5"/>
        <v>359</v>
      </c>
    </row>
    <row r="361" spans="5:18">
      <c r="E361" s="147" t="s">
        <v>59</v>
      </c>
      <c r="F361" t="str">
        <f>EL!CA41</f>
        <v>HPS</v>
      </c>
      <c r="G361" t="str">
        <f>EL!CB41</f>
        <v>AC</v>
      </c>
      <c r="H361" t="str">
        <f>EL!CC41</f>
        <v>Vessel</v>
      </c>
      <c r="I361">
        <f>EL!CD41</f>
        <v>0</v>
      </c>
      <c r="J361">
        <f>EL!CE41</f>
        <v>0</v>
      </c>
      <c r="K361">
        <f>EL!CF41</f>
        <v>0</v>
      </c>
      <c r="L361">
        <f>EL!CG41</f>
        <v>0</v>
      </c>
      <c r="M361">
        <f>EL!CH41</f>
        <v>0</v>
      </c>
      <c r="N361">
        <f>EL!CI41</f>
        <v>0</v>
      </c>
      <c r="O361">
        <f>EL!CJ41</f>
        <v>0</v>
      </c>
      <c r="P361" s="143" t="str">
        <f>EL!CK41</f>
        <v/>
      </c>
      <c r="R361">
        <f t="shared" si="5"/>
        <v>360</v>
      </c>
    </row>
    <row r="362" spans="5:18">
      <c r="E362" s="147" t="s">
        <v>59</v>
      </c>
      <c r="F362" t="str">
        <f>EL!CA42</f>
        <v>HPS</v>
      </c>
      <c r="G362" t="str">
        <f>EL!CB42</f>
        <v>AC</v>
      </c>
      <c r="H362" t="str">
        <f>EL!CC42</f>
        <v>Vessel</v>
      </c>
      <c r="I362">
        <f>EL!CD42</f>
        <v>0</v>
      </c>
      <c r="J362">
        <f>EL!CE42</f>
        <v>0</v>
      </c>
      <c r="K362">
        <f>EL!CF42</f>
        <v>0</v>
      </c>
      <c r="L362">
        <f>EL!CG42</f>
        <v>0</v>
      </c>
      <c r="M362">
        <f>EL!CH42</f>
        <v>0</v>
      </c>
      <c r="N362">
        <f>EL!CI42</f>
        <v>0</v>
      </c>
      <c r="O362">
        <f>EL!CJ42</f>
        <v>0</v>
      </c>
      <c r="P362" s="143" t="str">
        <f>EL!CK42</f>
        <v/>
      </c>
      <c r="R362">
        <f t="shared" si="5"/>
        <v>361</v>
      </c>
    </row>
    <row r="363" spans="5:18">
      <c r="E363" s="147" t="s">
        <v>59</v>
      </c>
      <c r="F363" t="str">
        <f>EL!CA43</f>
        <v>HPS</v>
      </c>
      <c r="G363" t="str">
        <f>EL!CB43</f>
        <v>AC</v>
      </c>
      <c r="H363" t="str">
        <f>EL!CC43</f>
        <v>Vessel</v>
      </c>
      <c r="I363">
        <f>EL!CD43</f>
        <v>0</v>
      </c>
      <c r="J363">
        <f>EL!CE43</f>
        <v>0</v>
      </c>
      <c r="K363">
        <f>EL!CF43</f>
        <v>0</v>
      </c>
      <c r="L363">
        <f>EL!CG43</f>
        <v>0</v>
      </c>
      <c r="M363">
        <f>EL!CH43</f>
        <v>0</v>
      </c>
      <c r="N363">
        <f>EL!CI43</f>
        <v>0</v>
      </c>
      <c r="O363">
        <f>EL!CJ43</f>
        <v>0</v>
      </c>
      <c r="P363" s="143" t="str">
        <f>EL!CK43</f>
        <v/>
      </c>
      <c r="R363">
        <f t="shared" si="5"/>
        <v>362</v>
      </c>
    </row>
    <row r="364" spans="5:18">
      <c r="E364" s="147" t="s">
        <v>59</v>
      </c>
      <c r="F364" t="str">
        <f>EL!CA44</f>
        <v>HPS</v>
      </c>
      <c r="G364" t="str">
        <f>EL!CB44</f>
        <v>AC</v>
      </c>
      <c r="H364" t="str">
        <f>EL!CC44</f>
        <v>Vessel</v>
      </c>
      <c r="I364">
        <f>EL!CD44</f>
        <v>0</v>
      </c>
      <c r="J364">
        <f>EL!CE44</f>
        <v>0</v>
      </c>
      <c r="K364">
        <f>EL!CF44</f>
        <v>0</v>
      </c>
      <c r="L364">
        <f>EL!CG44</f>
        <v>0</v>
      </c>
      <c r="M364">
        <f>EL!CH44</f>
        <v>0</v>
      </c>
      <c r="N364">
        <f>EL!CI44</f>
        <v>0</v>
      </c>
      <c r="O364">
        <f>EL!CJ44</f>
        <v>0</v>
      </c>
      <c r="P364" s="143" t="str">
        <f>EL!CK44</f>
        <v/>
      </c>
      <c r="R364">
        <f t="shared" si="5"/>
        <v>363</v>
      </c>
    </row>
    <row r="365" spans="5:18">
      <c r="E365" s="147" t="s">
        <v>59</v>
      </c>
      <c r="F365" t="str">
        <f>EL!CA45</f>
        <v>HPS</v>
      </c>
      <c r="G365" t="str">
        <f>EL!CB45</f>
        <v>AC</v>
      </c>
      <c r="H365" t="str">
        <f>EL!CC45</f>
        <v>Vessel</v>
      </c>
      <c r="I365">
        <f>EL!CD45</f>
        <v>0</v>
      </c>
      <c r="J365">
        <f>EL!CE45</f>
        <v>0</v>
      </c>
      <c r="K365">
        <f>EL!CF45</f>
        <v>0</v>
      </c>
      <c r="L365">
        <f>EL!CG45</f>
        <v>0</v>
      </c>
      <c r="M365">
        <f>EL!CH45</f>
        <v>0</v>
      </c>
      <c r="N365">
        <f>EL!CI45</f>
        <v>0</v>
      </c>
      <c r="O365">
        <f>EL!CJ45</f>
        <v>0</v>
      </c>
      <c r="P365" s="143" t="str">
        <f>EL!CK45</f>
        <v/>
      </c>
      <c r="R365">
        <f t="shared" si="5"/>
        <v>364</v>
      </c>
    </row>
    <row r="366" spans="5:18">
      <c r="E366" s="147" t="s">
        <v>59</v>
      </c>
      <c r="F366" t="str">
        <f>EL!CA46</f>
        <v>HPS</v>
      </c>
      <c r="G366" t="str">
        <f>EL!CB46</f>
        <v>AC</v>
      </c>
      <c r="H366" t="str">
        <f>EL!CC46</f>
        <v>Vessel</v>
      </c>
      <c r="I366">
        <f>EL!CD46</f>
        <v>0</v>
      </c>
      <c r="J366">
        <f>EL!CE46</f>
        <v>0</v>
      </c>
      <c r="K366">
        <f>EL!CF46</f>
        <v>0</v>
      </c>
      <c r="L366">
        <f>EL!CG46</f>
        <v>0</v>
      </c>
      <c r="M366">
        <f>EL!CH46</f>
        <v>0</v>
      </c>
      <c r="N366">
        <f>EL!CI46</f>
        <v>0</v>
      </c>
      <c r="O366">
        <f>EL!CJ46</f>
        <v>0</v>
      </c>
      <c r="P366" s="143" t="str">
        <f>EL!CK46</f>
        <v/>
      </c>
      <c r="R366">
        <f t="shared" si="5"/>
        <v>365</v>
      </c>
    </row>
    <row r="367" spans="5:18">
      <c r="E367" s="147" t="s">
        <v>59</v>
      </c>
      <c r="F367" t="str">
        <f>EL!CA47</f>
        <v>HPS</v>
      </c>
      <c r="G367" t="str">
        <f>EL!CB47</f>
        <v>AC</v>
      </c>
      <c r="H367" t="str">
        <f>EL!CC47</f>
        <v>Vessel</v>
      </c>
      <c r="I367">
        <f>EL!CD47</f>
        <v>0</v>
      </c>
      <c r="J367">
        <f>EL!CE47</f>
        <v>0</v>
      </c>
      <c r="K367">
        <f>EL!CF47</f>
        <v>0</v>
      </c>
      <c r="L367">
        <f>EL!CG47</f>
        <v>0</v>
      </c>
      <c r="M367">
        <f>EL!CH47</f>
        <v>0</v>
      </c>
      <c r="N367">
        <f>EL!CI47</f>
        <v>0</v>
      </c>
      <c r="O367">
        <f>EL!CJ47</f>
        <v>0</v>
      </c>
      <c r="P367" s="143" t="str">
        <f>EL!CK47</f>
        <v/>
      </c>
      <c r="R367">
        <f t="shared" si="5"/>
        <v>366</v>
      </c>
    </row>
    <row r="368" spans="5:18">
      <c r="E368" s="147" t="s">
        <v>59</v>
      </c>
      <c r="F368" t="str">
        <f>EL!CA48</f>
        <v>HPS</v>
      </c>
      <c r="G368" t="str">
        <f>EL!CB48</f>
        <v>AC</v>
      </c>
      <c r="H368" t="str">
        <f>EL!CC48</f>
        <v>Vessel</v>
      </c>
      <c r="I368">
        <f>EL!CD48</f>
        <v>0</v>
      </c>
      <c r="J368">
        <f>EL!CE48</f>
        <v>0</v>
      </c>
      <c r="K368">
        <f>EL!CF48</f>
        <v>0</v>
      </c>
      <c r="L368">
        <f>EL!CG48</f>
        <v>0</v>
      </c>
      <c r="M368">
        <f>EL!CH48</f>
        <v>0</v>
      </c>
      <c r="N368">
        <f>EL!CI48</f>
        <v>0</v>
      </c>
      <c r="O368">
        <f>EL!CJ48</f>
        <v>0</v>
      </c>
      <c r="P368" s="143" t="str">
        <f>EL!CK48</f>
        <v/>
      </c>
      <c r="R368">
        <f t="shared" si="5"/>
        <v>367</v>
      </c>
    </row>
    <row r="369" spans="5:18">
      <c r="E369" s="147" t="s">
        <v>59</v>
      </c>
      <c r="F369" t="str">
        <f>EL!CA49</f>
        <v>HPS</v>
      </c>
      <c r="G369" t="str">
        <f>EL!CB49</f>
        <v>AC</v>
      </c>
      <c r="H369" t="str">
        <f>EL!CC49</f>
        <v>Vessel</v>
      </c>
      <c r="I369">
        <f>EL!CD49</f>
        <v>0</v>
      </c>
      <c r="J369">
        <f>EL!CE49</f>
        <v>0</v>
      </c>
      <c r="K369">
        <f>EL!CF49</f>
        <v>0</v>
      </c>
      <c r="L369">
        <f>EL!CG49</f>
        <v>0</v>
      </c>
      <c r="M369">
        <f>EL!CH49</f>
        <v>0</v>
      </c>
      <c r="N369">
        <f>EL!CI49</f>
        <v>0</v>
      </c>
      <c r="O369">
        <f>EL!CJ49</f>
        <v>0</v>
      </c>
      <c r="P369" s="143" t="str">
        <f>EL!CK49</f>
        <v/>
      </c>
      <c r="R369">
        <f t="shared" si="5"/>
        <v>368</v>
      </c>
    </row>
    <row r="370" spans="5:18">
      <c r="E370" s="147" t="s">
        <v>59</v>
      </c>
      <c r="F370" t="str">
        <f>EL!CA50</f>
        <v>HPS</v>
      </c>
      <c r="G370" t="str">
        <f>EL!CB50</f>
        <v>AC</v>
      </c>
      <c r="H370" t="str">
        <f>EL!CC50</f>
        <v>Vessel</v>
      </c>
      <c r="I370">
        <f>EL!CD50</f>
        <v>0</v>
      </c>
      <c r="J370">
        <f>EL!CE50</f>
        <v>0</v>
      </c>
      <c r="K370">
        <f>EL!CF50</f>
        <v>0</v>
      </c>
      <c r="L370">
        <f>EL!CG50</f>
        <v>0</v>
      </c>
      <c r="M370">
        <f>EL!CH50</f>
        <v>0</v>
      </c>
      <c r="N370">
        <f>EL!CI50</f>
        <v>0</v>
      </c>
      <c r="O370">
        <f>EL!CJ50</f>
        <v>0</v>
      </c>
      <c r="P370" s="143" t="str">
        <f>EL!CK50</f>
        <v/>
      </c>
      <c r="R370">
        <f t="shared" si="5"/>
        <v>369</v>
      </c>
    </row>
    <row r="371" spans="5:18" ht="17.100000000000001" thickBot="1">
      <c r="E371" s="148" t="s">
        <v>59</v>
      </c>
      <c r="F371" s="144" t="str">
        <f>EL!CA51</f>
        <v>HPS</v>
      </c>
      <c r="G371" s="144" t="str">
        <f>EL!CB51</f>
        <v>AC</v>
      </c>
      <c r="H371" s="144" t="str">
        <f>EL!CC51</f>
        <v>Vessel</v>
      </c>
      <c r="I371" s="144">
        <f>EL!CD51</f>
        <v>0</v>
      </c>
      <c r="J371" s="144">
        <f>EL!CE51</f>
        <v>0</v>
      </c>
      <c r="K371" s="144">
        <f>EL!CF51</f>
        <v>0</v>
      </c>
      <c r="L371" s="144">
        <f>EL!CG51</f>
        <v>0</v>
      </c>
      <c r="M371" s="144">
        <f>EL!CH51</f>
        <v>0</v>
      </c>
      <c r="N371" s="144">
        <f>EL!CI51</f>
        <v>0</v>
      </c>
      <c r="O371" s="144">
        <f>EL!CJ51</f>
        <v>0</v>
      </c>
      <c r="P371" s="145" t="str">
        <f>EL!CK51</f>
        <v/>
      </c>
      <c r="R371">
        <f t="shared" si="5"/>
        <v>370</v>
      </c>
    </row>
    <row r="372" spans="5:18">
      <c r="E372" s="146" t="s">
        <v>29</v>
      </c>
      <c r="F372" s="141" t="str">
        <f>FI!CA2</f>
        <v>HPS</v>
      </c>
      <c r="G372" s="141" t="str">
        <f>FI!CB2</f>
        <v>AC</v>
      </c>
      <c r="H372" s="141" t="str">
        <f>FI!CC2</f>
        <v>Head</v>
      </c>
      <c r="I372" s="141">
        <f>FI!CD2</f>
        <v>0</v>
      </c>
      <c r="J372" s="141" t="str">
        <f>FI!CE2</f>
        <v>Filter</v>
      </c>
      <c r="K372" s="141" t="str">
        <f>FI!CF2</f>
        <v>60F-51HF4-2</v>
      </c>
      <c r="L372" s="141" t="str">
        <f>FI!CG2</f>
        <v>FID-2</v>
      </c>
      <c r="M372" s="141">
        <f>FI!CH2</f>
        <v>0</v>
      </c>
      <c r="N372" s="141">
        <f>FI!CI2</f>
        <v>0</v>
      </c>
      <c r="O372" s="141">
        <f>FI!CJ2</f>
        <v>0</v>
      </c>
      <c r="P372" s="142" t="str">
        <f>FI!CK2</f>
        <v>Active</v>
      </c>
      <c r="R372">
        <f t="shared" si="5"/>
        <v>371</v>
      </c>
    </row>
    <row r="373" spans="5:18">
      <c r="E373" s="147" t="s">
        <v>29</v>
      </c>
      <c r="F373" t="str">
        <f>FI!CA3</f>
        <v>HPS</v>
      </c>
      <c r="G373" t="str">
        <f>FI!CB3</f>
        <v>AC</v>
      </c>
      <c r="H373" t="str">
        <f>FI!CC3</f>
        <v>Head</v>
      </c>
      <c r="I373">
        <f>FI!CD3</f>
        <v>0</v>
      </c>
      <c r="J373" t="str">
        <f>FI!CE3</f>
        <v>Filter</v>
      </c>
      <c r="K373" t="str">
        <f>FI!CF3</f>
        <v>60F-51HF4-2</v>
      </c>
      <c r="L373" t="str">
        <f>FI!CG3</f>
        <v>FID-2</v>
      </c>
      <c r="M373">
        <f>FI!CH3</f>
        <v>0</v>
      </c>
      <c r="N373">
        <f>FI!CI3</f>
        <v>0</v>
      </c>
      <c r="O373">
        <f>FI!CJ3</f>
        <v>0</v>
      </c>
      <c r="P373" s="143" t="str">
        <f>FI!CK3</f>
        <v>Active</v>
      </c>
      <c r="R373">
        <f t="shared" si="5"/>
        <v>372</v>
      </c>
    </row>
    <row r="374" spans="5:18">
      <c r="E374" s="147" t="s">
        <v>29</v>
      </c>
      <c r="F374" t="str">
        <f>FI!CA4</f>
        <v>HPS</v>
      </c>
      <c r="G374" t="str">
        <f>FI!CB4</f>
        <v>AC</v>
      </c>
      <c r="H374" t="str">
        <f>FI!CC4</f>
        <v>Head</v>
      </c>
      <c r="I374">
        <f>FI!CD4</f>
        <v>0</v>
      </c>
      <c r="J374" t="str">
        <f>FI!CE4</f>
        <v>Filter</v>
      </c>
      <c r="K374" t="str">
        <f>FI!CF4</f>
        <v>60F-51HF4-2</v>
      </c>
      <c r="L374" t="str">
        <f>FI!CG4</f>
        <v>FID-2</v>
      </c>
      <c r="M374">
        <f>FI!CH4</f>
        <v>0</v>
      </c>
      <c r="N374">
        <f>FI!CI4</f>
        <v>0</v>
      </c>
      <c r="O374">
        <f>FI!CJ4</f>
        <v>0</v>
      </c>
      <c r="P374" s="143" t="str">
        <f>FI!CK4</f>
        <v>Active</v>
      </c>
      <c r="R374">
        <f t="shared" si="5"/>
        <v>373</v>
      </c>
    </row>
    <row r="375" spans="5:18">
      <c r="E375" s="147" t="s">
        <v>29</v>
      </c>
      <c r="F375" t="str">
        <f>FI!CA5</f>
        <v>HPS</v>
      </c>
      <c r="G375" t="str">
        <f>FI!CB5</f>
        <v>AC</v>
      </c>
      <c r="H375" t="str">
        <f>FI!CC5</f>
        <v>Head</v>
      </c>
      <c r="I375">
        <f>FI!CD5</f>
        <v>0</v>
      </c>
      <c r="J375" t="str">
        <f>FI!CE5</f>
        <v>Filter</v>
      </c>
      <c r="K375" t="str">
        <f>FI!CF5</f>
        <v>60F-51HF4-2</v>
      </c>
      <c r="L375" t="str">
        <f>FI!CG5</f>
        <v>FID-2</v>
      </c>
      <c r="M375">
        <f>FI!CH5</f>
        <v>0</v>
      </c>
      <c r="N375">
        <f>FI!CI5</f>
        <v>0</v>
      </c>
      <c r="O375">
        <f>FI!CJ5</f>
        <v>0</v>
      </c>
      <c r="P375" s="143" t="str">
        <f>FI!CK5</f>
        <v>Active</v>
      </c>
      <c r="R375">
        <f t="shared" si="5"/>
        <v>374</v>
      </c>
    </row>
    <row r="376" spans="5:18">
      <c r="E376" s="147" t="s">
        <v>29</v>
      </c>
      <c r="F376" t="str">
        <f>FI!CA6</f>
        <v>HPS</v>
      </c>
      <c r="G376" t="str">
        <f>FI!CB6</f>
        <v>AC</v>
      </c>
      <c r="H376" t="str">
        <f>FI!CC6</f>
        <v>Head</v>
      </c>
      <c r="I376">
        <f>FI!CD6</f>
        <v>0</v>
      </c>
      <c r="J376" t="str">
        <f>FI!CE6</f>
        <v>Filter</v>
      </c>
      <c r="K376" t="str">
        <f>FI!CF6</f>
        <v>60F-51HF4-5</v>
      </c>
      <c r="L376" t="str">
        <f>FI!CG6</f>
        <v>FID-3</v>
      </c>
      <c r="M376">
        <f>FI!CH6</f>
        <v>0</v>
      </c>
      <c r="N376">
        <f>FI!CI6</f>
        <v>0</v>
      </c>
      <c r="O376">
        <f>FI!CJ6</f>
        <v>0</v>
      </c>
      <c r="P376" s="143" t="str">
        <f>FI!CK6</f>
        <v>Active</v>
      </c>
      <c r="R376">
        <f t="shared" si="5"/>
        <v>375</v>
      </c>
    </row>
    <row r="377" spans="5:18">
      <c r="E377" s="147" t="s">
        <v>29</v>
      </c>
      <c r="F377" t="str">
        <f>FI!CA7</f>
        <v>HPS</v>
      </c>
      <c r="G377" t="str">
        <f>FI!CB7</f>
        <v>AC</v>
      </c>
      <c r="H377" t="str">
        <f>FI!CC7</f>
        <v>Head</v>
      </c>
      <c r="I377">
        <f>FI!CD7</f>
        <v>0</v>
      </c>
      <c r="J377" t="str">
        <f>FI!CE7</f>
        <v>Filter</v>
      </c>
      <c r="K377" t="str">
        <f>FI!CF7</f>
        <v>60F-51HF4-0.5</v>
      </c>
      <c r="L377" t="str">
        <f>FI!CG7</f>
        <v>FID-1</v>
      </c>
      <c r="M377">
        <f>FI!CH7</f>
        <v>0</v>
      </c>
      <c r="N377">
        <f>FI!CI7</f>
        <v>0</v>
      </c>
      <c r="O377">
        <f>FI!CJ7</f>
        <v>0</v>
      </c>
      <c r="P377" s="143" t="str">
        <f>FI!CK7</f>
        <v>Active</v>
      </c>
      <c r="R377">
        <f t="shared" si="5"/>
        <v>376</v>
      </c>
    </row>
    <row r="378" spans="5:18">
      <c r="E378" s="147" t="s">
        <v>29</v>
      </c>
      <c r="F378" t="str">
        <f>FI!CA8</f>
        <v>HPS</v>
      </c>
      <c r="G378" t="str">
        <f>FI!CB8</f>
        <v>AC</v>
      </c>
      <c r="H378" t="str">
        <f>FI!CC8</f>
        <v>Head</v>
      </c>
      <c r="I378">
        <f>FI!CD8</f>
        <v>0</v>
      </c>
      <c r="J378" t="str">
        <f>FI!CE8</f>
        <v>Filter Disc</v>
      </c>
      <c r="K378" t="str">
        <f>FI!CF8</f>
        <v>B01446</v>
      </c>
      <c r="L378" t="str">
        <f>FI!CG8</f>
        <v>-</v>
      </c>
      <c r="M378">
        <f>FI!CH8</f>
        <v>0</v>
      </c>
      <c r="N378">
        <f>FI!CI8</f>
        <v>0</v>
      </c>
      <c r="O378">
        <f>FI!CJ8</f>
        <v>0</v>
      </c>
      <c r="P378" s="143" t="str">
        <f>FI!CK8</f>
        <v>New</v>
      </c>
      <c r="R378">
        <f t="shared" si="5"/>
        <v>377</v>
      </c>
    </row>
    <row r="379" spans="5:18">
      <c r="E379" s="147" t="s">
        <v>29</v>
      </c>
      <c r="F379" t="str">
        <f>FI!CA9</f>
        <v>HPS</v>
      </c>
      <c r="G379" t="str">
        <f>FI!CB9</f>
        <v>AC</v>
      </c>
      <c r="H379" t="str">
        <f>FI!CC9</f>
        <v>Head</v>
      </c>
      <c r="I379">
        <f>FI!CD9</f>
        <v>0</v>
      </c>
      <c r="J379" t="str">
        <f>FI!CE9</f>
        <v>Filter Disc</v>
      </c>
      <c r="K379" t="str">
        <f>FI!CF9</f>
        <v>B01447</v>
      </c>
      <c r="L379" t="str">
        <f>FI!CG9</f>
        <v>-</v>
      </c>
      <c r="M379">
        <f>FI!CH9</f>
        <v>0</v>
      </c>
      <c r="N379">
        <f>FI!CI9</f>
        <v>0</v>
      </c>
      <c r="O379">
        <f>FI!CJ9</f>
        <v>0</v>
      </c>
      <c r="P379" s="143" t="str">
        <f>FI!CK9</f>
        <v>New</v>
      </c>
      <c r="R379">
        <f t="shared" si="5"/>
        <v>378</v>
      </c>
    </row>
    <row r="380" spans="5:18">
      <c r="E380" s="147" t="s">
        <v>29</v>
      </c>
      <c r="F380" t="str">
        <f>FI!CA10</f>
        <v>HPS</v>
      </c>
      <c r="G380" t="str">
        <f>FI!CB10</f>
        <v>AC</v>
      </c>
      <c r="H380" t="str">
        <f>FI!CC10</f>
        <v>Head</v>
      </c>
      <c r="I380">
        <f>FI!CD10</f>
        <v>0</v>
      </c>
      <c r="J380" t="str">
        <f>FI!CE10</f>
        <v>Filter Disc</v>
      </c>
      <c r="K380" t="str">
        <f>FI!CF10</f>
        <v>B01448</v>
      </c>
      <c r="L380" t="str">
        <f>FI!CG10</f>
        <v>-</v>
      </c>
      <c r="M380">
        <f>FI!CH10</f>
        <v>0</v>
      </c>
      <c r="N380">
        <f>FI!CI10</f>
        <v>0</v>
      </c>
      <c r="O380">
        <f>FI!CJ10</f>
        <v>0</v>
      </c>
      <c r="P380" s="143" t="str">
        <f>FI!CK10</f>
        <v>New</v>
      </c>
      <c r="R380">
        <f t="shared" si="5"/>
        <v>379</v>
      </c>
    </row>
    <row r="381" spans="5:18">
      <c r="E381" s="147" t="s">
        <v>29</v>
      </c>
      <c r="F381" t="str">
        <f>FI!CA11</f>
        <v>HPS</v>
      </c>
      <c r="G381" t="str">
        <f>FI!CB11</f>
        <v>AC</v>
      </c>
      <c r="H381" t="str">
        <f>FI!CC11</f>
        <v>Head</v>
      </c>
      <c r="I381">
        <f>FI!CD11</f>
        <v>0</v>
      </c>
      <c r="J381" t="str">
        <f>FI!CE11</f>
        <v>Filter Disc</v>
      </c>
      <c r="K381" t="str">
        <f>FI!CF11</f>
        <v>B01407</v>
      </c>
      <c r="L381" t="str">
        <f>FI!CG11</f>
        <v>-</v>
      </c>
      <c r="M381">
        <f>FI!CH11</f>
        <v>0</v>
      </c>
      <c r="N381">
        <f>FI!CI11</f>
        <v>0</v>
      </c>
      <c r="O381">
        <f>FI!CJ11</f>
        <v>0</v>
      </c>
      <c r="P381" s="143" t="str">
        <f>FI!CK11</f>
        <v>New</v>
      </c>
      <c r="R381">
        <f t="shared" si="5"/>
        <v>380</v>
      </c>
    </row>
    <row r="382" spans="5:18">
      <c r="E382" s="147" t="s">
        <v>29</v>
      </c>
      <c r="F382" t="str">
        <f>FI!CA12</f>
        <v>HPS</v>
      </c>
      <c r="G382" t="str">
        <f>FI!CB12</f>
        <v>AC</v>
      </c>
      <c r="H382" t="str">
        <f>FI!CC12</f>
        <v>Head</v>
      </c>
      <c r="I382">
        <f>FI!CD12</f>
        <v>0</v>
      </c>
      <c r="J382" t="str">
        <f>FI!CE12</f>
        <v>Filter Disc</v>
      </c>
      <c r="K382" t="str">
        <f>FI!CF12</f>
        <v>B01449</v>
      </c>
      <c r="L382" t="str">
        <f>FI!CG12</f>
        <v>-</v>
      </c>
      <c r="M382">
        <f>FI!CH12</f>
        <v>0</v>
      </c>
      <c r="N382">
        <f>FI!CI12</f>
        <v>0</v>
      </c>
      <c r="O382">
        <f>FI!CJ12</f>
        <v>0</v>
      </c>
      <c r="P382" s="143" t="str">
        <f>FI!CK12</f>
        <v>New</v>
      </c>
      <c r="R382">
        <f t="shared" si="5"/>
        <v>381</v>
      </c>
    </row>
    <row r="383" spans="5:18">
      <c r="E383" s="147" t="s">
        <v>29</v>
      </c>
      <c r="F383" t="str">
        <f>FI!CA13</f>
        <v>HPS</v>
      </c>
      <c r="G383" t="str">
        <f>FI!CB13</f>
        <v>AC</v>
      </c>
      <c r="H383" t="str">
        <f>FI!CC13</f>
        <v>Head</v>
      </c>
      <c r="I383">
        <f>FI!CD13</f>
        <v>0</v>
      </c>
      <c r="J383" t="str">
        <f>FI!CE13</f>
        <v>Filter Disc</v>
      </c>
      <c r="K383" t="str">
        <f>FI!CF13</f>
        <v>B01408</v>
      </c>
      <c r="L383" t="str">
        <f>FI!CG13</f>
        <v>-</v>
      </c>
      <c r="M383">
        <f>FI!CH13</f>
        <v>0</v>
      </c>
      <c r="N383">
        <f>FI!CI13</f>
        <v>0</v>
      </c>
      <c r="O383">
        <f>FI!CJ13</f>
        <v>0</v>
      </c>
      <c r="P383" s="143" t="str">
        <f>FI!CK13</f>
        <v>New</v>
      </c>
      <c r="R383">
        <f t="shared" si="5"/>
        <v>382</v>
      </c>
    </row>
    <row r="384" spans="5:18">
      <c r="E384" s="147" t="s">
        <v>29</v>
      </c>
      <c r="F384" t="str">
        <f>FI!CA14</f>
        <v>HPS</v>
      </c>
      <c r="G384" t="str">
        <f>FI!CB14</f>
        <v>AC</v>
      </c>
      <c r="H384" t="str">
        <f>FI!CC14</f>
        <v>Head</v>
      </c>
      <c r="I384">
        <f>FI!CD14</f>
        <v>0</v>
      </c>
      <c r="J384" t="str">
        <f>FI!CE14</f>
        <v>Filter Disc</v>
      </c>
      <c r="K384" t="str">
        <f>FI!CF14</f>
        <v>B01409</v>
      </c>
      <c r="L384" t="str">
        <f>FI!CG14</f>
        <v>-</v>
      </c>
      <c r="M384">
        <f>FI!CH14</f>
        <v>0</v>
      </c>
      <c r="N384">
        <f>FI!CI14</f>
        <v>0</v>
      </c>
      <c r="O384">
        <f>FI!CJ14</f>
        <v>0</v>
      </c>
      <c r="P384" s="143" t="str">
        <f>FI!CK14</f>
        <v>New</v>
      </c>
      <c r="R384">
        <f t="shared" si="5"/>
        <v>383</v>
      </c>
    </row>
    <row r="385" spans="5:18">
      <c r="E385" s="147" t="s">
        <v>29</v>
      </c>
      <c r="F385" t="str">
        <f>FI!CA15</f>
        <v>HPS</v>
      </c>
      <c r="G385" t="str">
        <f>FI!CB15</f>
        <v>AC</v>
      </c>
      <c r="H385" t="str">
        <f>FI!CC15</f>
        <v>Head</v>
      </c>
      <c r="I385">
        <f>FI!CD15</f>
        <v>0</v>
      </c>
      <c r="J385">
        <f>FI!CE15</f>
        <v>0</v>
      </c>
      <c r="K385">
        <f>FI!CF15</f>
        <v>0</v>
      </c>
      <c r="L385">
        <f>FI!CG15</f>
        <v>0</v>
      </c>
      <c r="M385">
        <f>FI!CH15</f>
        <v>0</v>
      </c>
      <c r="N385">
        <f>FI!CI15</f>
        <v>0</v>
      </c>
      <c r="O385">
        <f>FI!CJ15</f>
        <v>0</v>
      </c>
      <c r="P385" s="143" t="str">
        <f>FI!CK15</f>
        <v/>
      </c>
      <c r="R385">
        <f t="shared" si="5"/>
        <v>384</v>
      </c>
    </row>
    <row r="386" spans="5:18">
      <c r="E386" s="147" t="s">
        <v>29</v>
      </c>
      <c r="F386" t="str">
        <f>FI!CA16</f>
        <v>HPS</v>
      </c>
      <c r="G386" t="str">
        <f>FI!CB16</f>
        <v>AC</v>
      </c>
      <c r="H386" t="str">
        <f>FI!CC16</f>
        <v>Head</v>
      </c>
      <c r="I386">
        <f>FI!CD16</f>
        <v>0</v>
      </c>
      <c r="J386">
        <f>FI!CE16</f>
        <v>0</v>
      </c>
      <c r="K386">
        <f>FI!CF16</f>
        <v>0</v>
      </c>
      <c r="L386">
        <f>FI!CG16</f>
        <v>0</v>
      </c>
      <c r="M386">
        <f>FI!CH16</f>
        <v>0</v>
      </c>
      <c r="N386">
        <f>FI!CI16</f>
        <v>0</v>
      </c>
      <c r="O386">
        <f>FI!CJ16</f>
        <v>0</v>
      </c>
      <c r="P386" s="143" t="str">
        <f>FI!CK16</f>
        <v/>
      </c>
      <c r="R386">
        <f t="shared" si="5"/>
        <v>385</v>
      </c>
    </row>
    <row r="387" spans="5:18">
      <c r="E387" s="147" t="s">
        <v>29</v>
      </c>
      <c r="F387" t="str">
        <f>FI!CA17</f>
        <v>HPS</v>
      </c>
      <c r="G387" t="str">
        <f>FI!CB17</f>
        <v>AC</v>
      </c>
      <c r="H387" t="str">
        <f>FI!CC17</f>
        <v>Head</v>
      </c>
      <c r="I387">
        <f>FI!CD17</f>
        <v>0</v>
      </c>
      <c r="J387">
        <f>FI!CE17</f>
        <v>0</v>
      </c>
      <c r="K387">
        <f>FI!CF17</f>
        <v>0</v>
      </c>
      <c r="L387">
        <f>FI!CG17</f>
        <v>0</v>
      </c>
      <c r="M387">
        <f>FI!CH17</f>
        <v>0</v>
      </c>
      <c r="N387">
        <f>FI!CI17</f>
        <v>0</v>
      </c>
      <c r="O387">
        <f>FI!CJ17</f>
        <v>0</v>
      </c>
      <c r="P387" s="143" t="str">
        <f>FI!CK17</f>
        <v/>
      </c>
      <c r="R387">
        <f t="shared" si="5"/>
        <v>386</v>
      </c>
    </row>
    <row r="388" spans="5:18">
      <c r="E388" s="147" t="s">
        <v>29</v>
      </c>
      <c r="F388" t="str">
        <f>FI!CA18</f>
        <v>HPS</v>
      </c>
      <c r="G388" t="str">
        <f>FI!CB18</f>
        <v>AC</v>
      </c>
      <c r="H388" t="str">
        <f>FI!CC18</f>
        <v>Head</v>
      </c>
      <c r="I388">
        <f>FI!CD18</f>
        <v>0</v>
      </c>
      <c r="J388">
        <f>FI!CE18</f>
        <v>0</v>
      </c>
      <c r="K388">
        <f>FI!CF18</f>
        <v>0</v>
      </c>
      <c r="L388">
        <f>FI!CG18</f>
        <v>0</v>
      </c>
      <c r="M388">
        <f>FI!CH18</f>
        <v>0</v>
      </c>
      <c r="N388">
        <f>FI!CI18</f>
        <v>0</v>
      </c>
      <c r="O388">
        <f>FI!CJ18</f>
        <v>0</v>
      </c>
      <c r="P388" s="143" t="str">
        <f>FI!CK18</f>
        <v/>
      </c>
      <c r="R388">
        <f t="shared" ref="R388:R451" si="6">R387+1</f>
        <v>387</v>
      </c>
    </row>
    <row r="389" spans="5:18">
      <c r="E389" s="147" t="s">
        <v>29</v>
      </c>
      <c r="F389" t="str">
        <f>FI!CA19</f>
        <v>HPS</v>
      </c>
      <c r="G389" t="str">
        <f>FI!CB19</f>
        <v>AC</v>
      </c>
      <c r="H389" t="str">
        <f>FI!CC19</f>
        <v>Head</v>
      </c>
      <c r="I389">
        <f>FI!CD19</f>
        <v>0</v>
      </c>
      <c r="J389">
        <f>FI!CE19</f>
        <v>0</v>
      </c>
      <c r="K389">
        <f>FI!CF19</f>
        <v>0</v>
      </c>
      <c r="L389">
        <f>FI!CG19</f>
        <v>0</v>
      </c>
      <c r="M389">
        <f>FI!CH19</f>
        <v>0</v>
      </c>
      <c r="N389">
        <f>FI!CI19</f>
        <v>0</v>
      </c>
      <c r="O389">
        <f>FI!CJ19</f>
        <v>0</v>
      </c>
      <c r="P389" s="143" t="str">
        <f>FI!CK19</f>
        <v/>
      </c>
      <c r="R389">
        <f t="shared" si="6"/>
        <v>388</v>
      </c>
    </row>
    <row r="390" spans="5:18">
      <c r="E390" s="147" t="s">
        <v>29</v>
      </c>
      <c r="F390" t="str">
        <f>FI!CA20</f>
        <v>HPS</v>
      </c>
      <c r="G390" t="str">
        <f>FI!CB20</f>
        <v>AC</v>
      </c>
      <c r="H390" t="str">
        <f>FI!CC20</f>
        <v>Head</v>
      </c>
      <c r="I390">
        <f>FI!CD20</f>
        <v>0</v>
      </c>
      <c r="J390">
        <f>FI!CE20</f>
        <v>0</v>
      </c>
      <c r="K390">
        <f>FI!CF20</f>
        <v>0</v>
      </c>
      <c r="L390">
        <f>FI!CG20</f>
        <v>0</v>
      </c>
      <c r="M390">
        <f>FI!CH20</f>
        <v>0</v>
      </c>
      <c r="N390">
        <f>FI!CI20</f>
        <v>0</v>
      </c>
      <c r="O390">
        <f>FI!CJ20</f>
        <v>0</v>
      </c>
      <c r="P390" s="143" t="str">
        <f>FI!CK20</f>
        <v/>
      </c>
      <c r="R390">
        <f t="shared" si="6"/>
        <v>389</v>
      </c>
    </row>
    <row r="391" spans="5:18">
      <c r="E391" s="147" t="s">
        <v>29</v>
      </c>
      <c r="F391" t="str">
        <f>FI!CA21</f>
        <v>HPS</v>
      </c>
      <c r="G391" t="str">
        <f>FI!CB21</f>
        <v>AC</v>
      </c>
      <c r="H391" t="str">
        <f>FI!CC21</f>
        <v>Head</v>
      </c>
      <c r="I391">
        <f>FI!CD21</f>
        <v>0</v>
      </c>
      <c r="J391">
        <f>FI!CE21</f>
        <v>0</v>
      </c>
      <c r="K391">
        <f>FI!CF21</f>
        <v>0</v>
      </c>
      <c r="L391">
        <f>FI!CG21</f>
        <v>0</v>
      </c>
      <c r="M391">
        <f>FI!CH21</f>
        <v>0</v>
      </c>
      <c r="N391">
        <f>FI!CI21</f>
        <v>0</v>
      </c>
      <c r="O391">
        <f>FI!CJ21</f>
        <v>0</v>
      </c>
      <c r="P391" s="143" t="str">
        <f>FI!CK21</f>
        <v/>
      </c>
      <c r="R391">
        <f t="shared" si="6"/>
        <v>390</v>
      </c>
    </row>
    <row r="392" spans="5:18">
      <c r="E392" s="147" t="s">
        <v>29</v>
      </c>
      <c r="F392" t="str">
        <f>FI!CA22</f>
        <v>HPS</v>
      </c>
      <c r="G392" t="str">
        <f>FI!CB22</f>
        <v>AC</v>
      </c>
      <c r="H392" t="str">
        <f>FI!CC22</f>
        <v>Head</v>
      </c>
      <c r="I392">
        <f>FI!CD22</f>
        <v>0</v>
      </c>
      <c r="J392">
        <f>FI!CE22</f>
        <v>0</v>
      </c>
      <c r="K392">
        <f>FI!CF22</f>
        <v>0</v>
      </c>
      <c r="L392">
        <f>FI!CG22</f>
        <v>0</v>
      </c>
      <c r="M392">
        <f>FI!CH22</f>
        <v>0</v>
      </c>
      <c r="N392">
        <f>FI!CI22</f>
        <v>0</v>
      </c>
      <c r="O392">
        <f>FI!CJ22</f>
        <v>0</v>
      </c>
      <c r="P392" s="143" t="str">
        <f>FI!CK22</f>
        <v/>
      </c>
      <c r="R392">
        <f t="shared" si="6"/>
        <v>391</v>
      </c>
    </row>
    <row r="393" spans="5:18">
      <c r="E393" s="147" t="s">
        <v>29</v>
      </c>
      <c r="F393" t="str">
        <f>FI!CA23</f>
        <v>HPS</v>
      </c>
      <c r="G393" t="str">
        <f>FI!CB23</f>
        <v>AC</v>
      </c>
      <c r="H393" t="str">
        <f>FI!CC23</f>
        <v>Head</v>
      </c>
      <c r="I393">
        <f>FI!CD23</f>
        <v>0</v>
      </c>
      <c r="J393">
        <f>FI!CE23</f>
        <v>0</v>
      </c>
      <c r="K393">
        <f>FI!CF23</f>
        <v>0</v>
      </c>
      <c r="L393">
        <f>FI!CG23</f>
        <v>0</v>
      </c>
      <c r="M393">
        <f>FI!CH23</f>
        <v>0</v>
      </c>
      <c r="N393">
        <f>FI!CI23</f>
        <v>0</v>
      </c>
      <c r="O393">
        <f>FI!CJ23</f>
        <v>0</v>
      </c>
      <c r="P393" s="143" t="str">
        <f>FI!CK23</f>
        <v/>
      </c>
      <c r="R393">
        <f t="shared" si="6"/>
        <v>392</v>
      </c>
    </row>
    <row r="394" spans="5:18">
      <c r="E394" s="147" t="s">
        <v>29</v>
      </c>
      <c r="F394" t="str">
        <f>FI!CA24</f>
        <v>HPS</v>
      </c>
      <c r="G394" t="str">
        <f>FI!CB24</f>
        <v>AC</v>
      </c>
      <c r="H394" t="str">
        <f>FI!CC24</f>
        <v>Head</v>
      </c>
      <c r="I394">
        <f>FI!CD24</f>
        <v>0</v>
      </c>
      <c r="J394">
        <f>FI!CE24</f>
        <v>0</v>
      </c>
      <c r="K394">
        <f>FI!CF24</f>
        <v>0</v>
      </c>
      <c r="L394">
        <f>FI!CG24</f>
        <v>0</v>
      </c>
      <c r="M394">
        <f>FI!CH24</f>
        <v>0</v>
      </c>
      <c r="N394">
        <f>FI!CI24</f>
        <v>0</v>
      </c>
      <c r="O394">
        <f>FI!CJ24</f>
        <v>0</v>
      </c>
      <c r="P394" s="143" t="str">
        <f>FI!CK24</f>
        <v/>
      </c>
      <c r="R394">
        <f t="shared" si="6"/>
        <v>393</v>
      </c>
    </row>
    <row r="395" spans="5:18">
      <c r="E395" s="147" t="s">
        <v>29</v>
      </c>
      <c r="F395" t="str">
        <f>FI!CA25</f>
        <v>HPS</v>
      </c>
      <c r="G395" t="str">
        <f>FI!CB25</f>
        <v>AC</v>
      </c>
      <c r="H395" t="str">
        <f>FI!CC25</f>
        <v>Head</v>
      </c>
      <c r="I395">
        <f>FI!CD25</f>
        <v>0</v>
      </c>
      <c r="J395">
        <f>FI!CE25</f>
        <v>0</v>
      </c>
      <c r="K395">
        <f>FI!CF25</f>
        <v>0</v>
      </c>
      <c r="L395">
        <f>FI!CG25</f>
        <v>0</v>
      </c>
      <c r="M395">
        <f>FI!CH25</f>
        <v>0</v>
      </c>
      <c r="N395">
        <f>FI!CI25</f>
        <v>0</v>
      </c>
      <c r="O395">
        <f>FI!CJ25</f>
        <v>0</v>
      </c>
      <c r="P395" s="143" t="str">
        <f>FI!CK25</f>
        <v/>
      </c>
      <c r="R395">
        <f t="shared" si="6"/>
        <v>394</v>
      </c>
    </row>
    <row r="396" spans="5:18">
      <c r="E396" s="147" t="s">
        <v>29</v>
      </c>
      <c r="F396" t="str">
        <f>FI!CA26</f>
        <v>HPS</v>
      </c>
      <c r="G396" t="str">
        <f>FI!CB26</f>
        <v>AC</v>
      </c>
      <c r="H396" t="str">
        <f>FI!CC26</f>
        <v>Head</v>
      </c>
      <c r="I396">
        <f>FI!CD26</f>
        <v>0</v>
      </c>
      <c r="J396">
        <f>FI!CE26</f>
        <v>0</v>
      </c>
      <c r="K396">
        <f>FI!CF26</f>
        <v>0</v>
      </c>
      <c r="L396">
        <f>FI!CG26</f>
        <v>0</v>
      </c>
      <c r="M396">
        <f>FI!CH26</f>
        <v>0</v>
      </c>
      <c r="N396">
        <f>FI!CI26</f>
        <v>0</v>
      </c>
      <c r="O396">
        <f>FI!CJ26</f>
        <v>0</v>
      </c>
      <c r="P396" s="143" t="str">
        <f>FI!CK26</f>
        <v/>
      </c>
      <c r="R396">
        <f t="shared" si="6"/>
        <v>395</v>
      </c>
    </row>
    <row r="397" spans="5:18">
      <c r="E397" s="147" t="s">
        <v>29</v>
      </c>
      <c r="F397" t="str">
        <f>FI!CA27</f>
        <v>HPS</v>
      </c>
      <c r="G397" t="str">
        <f>FI!CB27</f>
        <v>AC</v>
      </c>
      <c r="H397" t="str">
        <f>FI!CC27</f>
        <v>Head</v>
      </c>
      <c r="I397">
        <f>FI!CD27</f>
        <v>0</v>
      </c>
      <c r="J397">
        <f>FI!CE27</f>
        <v>0</v>
      </c>
      <c r="K397">
        <f>FI!CF27</f>
        <v>0</v>
      </c>
      <c r="L397">
        <f>FI!CG27</f>
        <v>0</v>
      </c>
      <c r="M397">
        <f>FI!CH27</f>
        <v>0</v>
      </c>
      <c r="N397">
        <f>FI!CI27</f>
        <v>0</v>
      </c>
      <c r="O397">
        <f>FI!CJ27</f>
        <v>0</v>
      </c>
      <c r="P397" s="143" t="str">
        <f>FI!CK27</f>
        <v/>
      </c>
      <c r="R397">
        <f t="shared" si="6"/>
        <v>396</v>
      </c>
    </row>
    <row r="398" spans="5:18">
      <c r="E398" s="147" t="s">
        <v>29</v>
      </c>
      <c r="F398" t="str">
        <f>FI!CA28</f>
        <v>HPS</v>
      </c>
      <c r="G398" t="str">
        <f>FI!CB28</f>
        <v>AC</v>
      </c>
      <c r="H398" t="str">
        <f>FI!CC28</f>
        <v>Head</v>
      </c>
      <c r="I398">
        <f>FI!CD28</f>
        <v>0</v>
      </c>
      <c r="J398">
        <f>FI!CE28</f>
        <v>0</v>
      </c>
      <c r="K398">
        <f>FI!CF28</f>
        <v>0</v>
      </c>
      <c r="L398">
        <f>FI!CG28</f>
        <v>0</v>
      </c>
      <c r="M398">
        <f>FI!CH28</f>
        <v>0</v>
      </c>
      <c r="N398">
        <f>FI!CI28</f>
        <v>0</v>
      </c>
      <c r="O398">
        <f>FI!CJ28</f>
        <v>0</v>
      </c>
      <c r="P398" s="143" t="str">
        <f>FI!CK28</f>
        <v/>
      </c>
      <c r="R398">
        <f t="shared" si="6"/>
        <v>397</v>
      </c>
    </row>
    <row r="399" spans="5:18">
      <c r="E399" s="147" t="s">
        <v>29</v>
      </c>
      <c r="F399" t="str">
        <f>FI!CA29</f>
        <v>HPS</v>
      </c>
      <c r="G399" t="str">
        <f>FI!CB29</f>
        <v>AC</v>
      </c>
      <c r="H399" t="str">
        <f>FI!CC29</f>
        <v>Head</v>
      </c>
      <c r="I399">
        <f>FI!CD29</f>
        <v>0</v>
      </c>
      <c r="J399">
        <f>FI!CE29</f>
        <v>0</v>
      </c>
      <c r="K399">
        <f>FI!CF29</f>
        <v>0</v>
      </c>
      <c r="L399">
        <f>FI!CG29</f>
        <v>0</v>
      </c>
      <c r="M399">
        <f>FI!CH29</f>
        <v>0</v>
      </c>
      <c r="N399">
        <f>FI!CI29</f>
        <v>0</v>
      </c>
      <c r="O399">
        <f>FI!CJ29</f>
        <v>0</v>
      </c>
      <c r="P399" s="143" t="str">
        <f>FI!CK29</f>
        <v/>
      </c>
      <c r="R399">
        <f t="shared" si="6"/>
        <v>398</v>
      </c>
    </row>
    <row r="400" spans="5:18">
      <c r="E400" s="147" t="s">
        <v>29</v>
      </c>
      <c r="F400" t="str">
        <f>FI!CA30</f>
        <v>HPS</v>
      </c>
      <c r="G400" t="str">
        <f>FI!CB30</f>
        <v>AC</v>
      </c>
      <c r="H400" t="str">
        <f>FI!CC30</f>
        <v>Head</v>
      </c>
      <c r="I400">
        <f>FI!CD30</f>
        <v>0</v>
      </c>
      <c r="J400">
        <f>FI!CE30</f>
        <v>0</v>
      </c>
      <c r="K400">
        <f>FI!CF30</f>
        <v>0</v>
      </c>
      <c r="L400">
        <f>FI!CG30</f>
        <v>0</v>
      </c>
      <c r="M400">
        <f>FI!CH30</f>
        <v>0</v>
      </c>
      <c r="N400">
        <f>FI!CI30</f>
        <v>0</v>
      </c>
      <c r="O400">
        <f>FI!CJ30</f>
        <v>0</v>
      </c>
      <c r="P400" s="143" t="str">
        <f>FI!CK30</f>
        <v/>
      </c>
      <c r="R400">
        <f t="shared" si="6"/>
        <v>399</v>
      </c>
    </row>
    <row r="401" spans="5:18">
      <c r="E401" s="147" t="s">
        <v>29</v>
      </c>
      <c r="F401" t="str">
        <f>FI!CA31</f>
        <v>HPS</v>
      </c>
      <c r="G401" t="str">
        <f>FI!CB31</f>
        <v>AC</v>
      </c>
      <c r="H401" t="str">
        <f>FI!CC31</f>
        <v>Head</v>
      </c>
      <c r="I401">
        <f>FI!CD31</f>
        <v>0</v>
      </c>
      <c r="J401">
        <f>FI!CE31</f>
        <v>0</v>
      </c>
      <c r="K401">
        <f>FI!CF31</f>
        <v>0</v>
      </c>
      <c r="L401">
        <f>FI!CG31</f>
        <v>0</v>
      </c>
      <c r="M401">
        <f>FI!CH31</f>
        <v>0</v>
      </c>
      <c r="N401">
        <f>FI!CI31</f>
        <v>0</v>
      </c>
      <c r="O401">
        <f>FI!CJ31</f>
        <v>0</v>
      </c>
      <c r="P401" s="143" t="str">
        <f>FI!CK31</f>
        <v/>
      </c>
      <c r="R401">
        <f t="shared" si="6"/>
        <v>400</v>
      </c>
    </row>
    <row r="402" spans="5:18">
      <c r="E402" s="147" t="s">
        <v>29</v>
      </c>
      <c r="F402" t="str">
        <f>FI!CA32</f>
        <v>HPS</v>
      </c>
      <c r="G402" t="str">
        <f>FI!CB32</f>
        <v>AC</v>
      </c>
      <c r="H402" t="str">
        <f>FI!CC32</f>
        <v>Head</v>
      </c>
      <c r="I402">
        <f>FI!CD32</f>
        <v>0</v>
      </c>
      <c r="J402">
        <f>FI!CE32</f>
        <v>0</v>
      </c>
      <c r="K402">
        <f>FI!CF32</f>
        <v>0</v>
      </c>
      <c r="L402">
        <f>FI!CG32</f>
        <v>0</v>
      </c>
      <c r="M402">
        <f>FI!CH32</f>
        <v>0</v>
      </c>
      <c r="N402">
        <f>FI!CI32</f>
        <v>0</v>
      </c>
      <c r="O402">
        <f>FI!CJ32</f>
        <v>0</v>
      </c>
      <c r="P402" s="143" t="str">
        <f>FI!CK32</f>
        <v/>
      </c>
      <c r="R402">
        <f t="shared" si="6"/>
        <v>401</v>
      </c>
    </row>
    <row r="403" spans="5:18">
      <c r="E403" s="147" t="s">
        <v>29</v>
      </c>
      <c r="F403" t="str">
        <f>FI!CA33</f>
        <v>HPS</v>
      </c>
      <c r="G403" t="str">
        <f>FI!CB33</f>
        <v>AC</v>
      </c>
      <c r="H403" t="str">
        <f>FI!CC33</f>
        <v>Head</v>
      </c>
      <c r="I403">
        <f>FI!CD33</f>
        <v>0</v>
      </c>
      <c r="J403">
        <f>FI!CE33</f>
        <v>0</v>
      </c>
      <c r="K403">
        <f>FI!CF33</f>
        <v>0</v>
      </c>
      <c r="L403">
        <f>FI!CG33</f>
        <v>0</v>
      </c>
      <c r="M403">
        <f>FI!CH33</f>
        <v>0</v>
      </c>
      <c r="N403">
        <f>FI!CI33</f>
        <v>0</v>
      </c>
      <c r="O403">
        <f>FI!CJ33</f>
        <v>0</v>
      </c>
      <c r="P403" s="143" t="str">
        <f>FI!CK33</f>
        <v/>
      </c>
      <c r="R403">
        <f t="shared" si="6"/>
        <v>402</v>
      </c>
    </row>
    <row r="404" spans="5:18">
      <c r="E404" s="147" t="s">
        <v>29</v>
      </c>
      <c r="F404" t="str">
        <f>FI!CA34</f>
        <v>HPS</v>
      </c>
      <c r="G404" t="str">
        <f>FI!CB34</f>
        <v>AC</v>
      </c>
      <c r="H404" t="str">
        <f>FI!CC34</f>
        <v>Head</v>
      </c>
      <c r="I404">
        <f>FI!CD34</f>
        <v>0</v>
      </c>
      <c r="J404">
        <f>FI!CE34</f>
        <v>0</v>
      </c>
      <c r="K404">
        <f>FI!CF34</f>
        <v>0</v>
      </c>
      <c r="L404">
        <f>FI!CG34</f>
        <v>0</v>
      </c>
      <c r="M404">
        <f>FI!CH34</f>
        <v>0</v>
      </c>
      <c r="N404">
        <f>FI!CI34</f>
        <v>0</v>
      </c>
      <c r="O404">
        <f>FI!CJ34</f>
        <v>0</v>
      </c>
      <c r="P404" s="143" t="str">
        <f>FI!CK34</f>
        <v/>
      </c>
      <c r="R404">
        <f t="shared" si="6"/>
        <v>403</v>
      </c>
    </row>
    <row r="405" spans="5:18">
      <c r="E405" s="147" t="s">
        <v>29</v>
      </c>
      <c r="F405" t="str">
        <f>FI!CA35</f>
        <v>HPS</v>
      </c>
      <c r="G405" t="str">
        <f>FI!CB35</f>
        <v>AC</v>
      </c>
      <c r="H405" t="str">
        <f>FI!CC35</f>
        <v>Head</v>
      </c>
      <c r="I405">
        <f>FI!CD35</f>
        <v>0</v>
      </c>
      <c r="J405">
        <f>FI!CE35</f>
        <v>0</v>
      </c>
      <c r="K405">
        <f>FI!CF35</f>
        <v>0</v>
      </c>
      <c r="L405">
        <f>FI!CG35</f>
        <v>0</v>
      </c>
      <c r="M405">
        <f>FI!CH35</f>
        <v>0</v>
      </c>
      <c r="N405">
        <f>FI!CI35</f>
        <v>0</v>
      </c>
      <c r="O405">
        <f>FI!CJ35</f>
        <v>0</v>
      </c>
      <c r="P405" s="143" t="str">
        <f>FI!CK35</f>
        <v/>
      </c>
      <c r="R405">
        <f t="shared" si="6"/>
        <v>404</v>
      </c>
    </row>
    <row r="406" spans="5:18">
      <c r="E406" s="147" t="s">
        <v>29</v>
      </c>
      <c r="F406" t="str">
        <f>FI!CA36</f>
        <v>HPS</v>
      </c>
      <c r="G406" t="str">
        <f>FI!CB36</f>
        <v>AC</v>
      </c>
      <c r="H406" t="str">
        <f>FI!CC36</f>
        <v>Head</v>
      </c>
      <c r="I406">
        <f>FI!CD36</f>
        <v>0</v>
      </c>
      <c r="J406">
        <f>FI!CE36</f>
        <v>0</v>
      </c>
      <c r="K406">
        <f>FI!CF36</f>
        <v>0</v>
      </c>
      <c r="L406">
        <f>FI!CG36</f>
        <v>0</v>
      </c>
      <c r="M406">
        <f>FI!CH36</f>
        <v>0</v>
      </c>
      <c r="N406">
        <f>FI!CI36</f>
        <v>0</v>
      </c>
      <c r="O406">
        <f>FI!CJ36</f>
        <v>0</v>
      </c>
      <c r="P406" s="143" t="str">
        <f>FI!CK36</f>
        <v/>
      </c>
      <c r="R406">
        <f t="shared" si="6"/>
        <v>405</v>
      </c>
    </row>
    <row r="407" spans="5:18">
      <c r="E407" s="147" t="s">
        <v>29</v>
      </c>
      <c r="F407" t="str">
        <f>FI!CA37</f>
        <v>HPS</v>
      </c>
      <c r="G407" t="str">
        <f>FI!CB37</f>
        <v>AC</v>
      </c>
      <c r="H407" t="str">
        <f>FI!CC37</f>
        <v>Head</v>
      </c>
      <c r="I407">
        <f>FI!CD37</f>
        <v>0</v>
      </c>
      <c r="J407">
        <f>FI!CE37</f>
        <v>0</v>
      </c>
      <c r="K407">
        <f>FI!CF37</f>
        <v>0</v>
      </c>
      <c r="L407">
        <f>FI!CG37</f>
        <v>0</v>
      </c>
      <c r="M407">
        <f>FI!CH37</f>
        <v>0</v>
      </c>
      <c r="N407">
        <f>FI!CI37</f>
        <v>0</v>
      </c>
      <c r="O407">
        <f>FI!CJ37</f>
        <v>0</v>
      </c>
      <c r="P407" s="143" t="str">
        <f>FI!CK37</f>
        <v/>
      </c>
      <c r="R407">
        <f t="shared" si="6"/>
        <v>406</v>
      </c>
    </row>
    <row r="408" spans="5:18">
      <c r="E408" s="147" t="s">
        <v>29</v>
      </c>
      <c r="F408" t="str">
        <f>FI!CA38</f>
        <v>HPS</v>
      </c>
      <c r="G408" t="str">
        <f>FI!CB38</f>
        <v>AC</v>
      </c>
      <c r="H408" t="str">
        <f>FI!CC38</f>
        <v>Head</v>
      </c>
      <c r="I408">
        <f>FI!CD38</f>
        <v>0</v>
      </c>
      <c r="J408">
        <f>FI!CE38</f>
        <v>0</v>
      </c>
      <c r="K408">
        <f>FI!CF38</f>
        <v>0</v>
      </c>
      <c r="L408">
        <f>FI!CG38</f>
        <v>0</v>
      </c>
      <c r="M408">
        <f>FI!CH38</f>
        <v>0</v>
      </c>
      <c r="N408">
        <f>FI!CI38</f>
        <v>0</v>
      </c>
      <c r="O408">
        <f>FI!CJ38</f>
        <v>0</v>
      </c>
      <c r="P408" s="143" t="str">
        <f>FI!CK38</f>
        <v/>
      </c>
      <c r="R408">
        <f t="shared" si="6"/>
        <v>407</v>
      </c>
    </row>
    <row r="409" spans="5:18">
      <c r="E409" s="147" t="s">
        <v>29</v>
      </c>
      <c r="F409" t="str">
        <f>FI!CA39</f>
        <v>HPS</v>
      </c>
      <c r="G409" t="str">
        <f>FI!CB39</f>
        <v>AC</v>
      </c>
      <c r="H409" t="str">
        <f>FI!CC39</f>
        <v>Head</v>
      </c>
      <c r="I409">
        <f>FI!CD39</f>
        <v>0</v>
      </c>
      <c r="J409">
        <f>FI!CE39</f>
        <v>0</v>
      </c>
      <c r="K409">
        <f>FI!CF39</f>
        <v>0</v>
      </c>
      <c r="L409">
        <f>FI!CG39</f>
        <v>0</v>
      </c>
      <c r="M409">
        <f>FI!CH39</f>
        <v>0</v>
      </c>
      <c r="N409">
        <f>FI!CI39</f>
        <v>0</v>
      </c>
      <c r="O409">
        <f>FI!CJ39</f>
        <v>0</v>
      </c>
      <c r="P409" s="143" t="str">
        <f>FI!CK39</f>
        <v/>
      </c>
      <c r="R409">
        <f t="shared" si="6"/>
        <v>408</v>
      </c>
    </row>
    <row r="410" spans="5:18">
      <c r="E410" s="147" t="s">
        <v>29</v>
      </c>
      <c r="F410" t="str">
        <f>FI!CA40</f>
        <v>HPS</v>
      </c>
      <c r="G410" t="str">
        <f>FI!CB40</f>
        <v>AC</v>
      </c>
      <c r="H410" t="str">
        <f>FI!CC40</f>
        <v>Head</v>
      </c>
      <c r="I410">
        <f>FI!CD40</f>
        <v>0</v>
      </c>
      <c r="J410">
        <f>FI!CE40</f>
        <v>0</v>
      </c>
      <c r="K410">
        <f>FI!CF40</f>
        <v>0</v>
      </c>
      <c r="L410">
        <f>FI!CG40</f>
        <v>0</v>
      </c>
      <c r="M410">
        <f>FI!CH40</f>
        <v>0</v>
      </c>
      <c r="N410">
        <f>FI!CI40</f>
        <v>0</v>
      </c>
      <c r="O410">
        <f>FI!CJ40</f>
        <v>0</v>
      </c>
      <c r="P410" s="143" t="str">
        <f>FI!CK40</f>
        <v/>
      </c>
      <c r="R410">
        <f t="shared" si="6"/>
        <v>409</v>
      </c>
    </row>
    <row r="411" spans="5:18">
      <c r="E411" s="147" t="s">
        <v>29</v>
      </c>
      <c r="F411" t="str">
        <f>FI!CA41</f>
        <v>HPS</v>
      </c>
      <c r="G411" t="str">
        <f>FI!CB41</f>
        <v>AC</v>
      </c>
      <c r="H411" t="str">
        <f>FI!CC41</f>
        <v>Head</v>
      </c>
      <c r="I411">
        <f>FI!CD41</f>
        <v>0</v>
      </c>
      <c r="J411">
        <f>FI!CE41</f>
        <v>0</v>
      </c>
      <c r="K411">
        <f>FI!CF41</f>
        <v>0</v>
      </c>
      <c r="L411">
        <f>FI!CG41</f>
        <v>0</v>
      </c>
      <c r="M411">
        <f>FI!CH41</f>
        <v>0</v>
      </c>
      <c r="N411">
        <f>FI!CI41</f>
        <v>0</v>
      </c>
      <c r="O411">
        <f>FI!CJ41</f>
        <v>0</v>
      </c>
      <c r="P411" s="143" t="str">
        <f>FI!CK41</f>
        <v/>
      </c>
      <c r="R411">
        <f t="shared" si="6"/>
        <v>410</v>
      </c>
    </row>
    <row r="412" spans="5:18">
      <c r="E412" s="147" t="s">
        <v>29</v>
      </c>
      <c r="F412" t="str">
        <f>FI!CA42</f>
        <v>HPS</v>
      </c>
      <c r="G412" t="str">
        <f>FI!CB42</f>
        <v>AC</v>
      </c>
      <c r="H412" t="str">
        <f>FI!CC42</f>
        <v>Head</v>
      </c>
      <c r="I412">
        <f>FI!CD42</f>
        <v>0</v>
      </c>
      <c r="J412">
        <f>FI!CE42</f>
        <v>0</v>
      </c>
      <c r="K412">
        <f>FI!CF42</f>
        <v>0</v>
      </c>
      <c r="L412">
        <f>FI!CG42</f>
        <v>0</v>
      </c>
      <c r="M412">
        <f>FI!CH42</f>
        <v>0</v>
      </c>
      <c r="N412">
        <f>FI!CI42</f>
        <v>0</v>
      </c>
      <c r="O412">
        <f>FI!CJ42</f>
        <v>0</v>
      </c>
      <c r="P412" s="143" t="str">
        <f>FI!CK42</f>
        <v/>
      </c>
      <c r="R412">
        <f t="shared" si="6"/>
        <v>411</v>
      </c>
    </row>
    <row r="413" spans="5:18">
      <c r="E413" s="147" t="s">
        <v>29</v>
      </c>
      <c r="F413" t="str">
        <f>FI!CA43</f>
        <v>HPS</v>
      </c>
      <c r="G413" t="str">
        <f>FI!CB43</f>
        <v>AC</v>
      </c>
      <c r="H413" t="str">
        <f>FI!CC43</f>
        <v>Head</v>
      </c>
      <c r="I413">
        <f>FI!CD43</f>
        <v>0</v>
      </c>
      <c r="J413">
        <f>FI!CE43</f>
        <v>0</v>
      </c>
      <c r="K413">
        <f>FI!CF43</f>
        <v>0</v>
      </c>
      <c r="L413">
        <f>FI!CG43</f>
        <v>0</v>
      </c>
      <c r="M413">
        <f>FI!CH43</f>
        <v>0</v>
      </c>
      <c r="N413">
        <f>FI!CI43</f>
        <v>0</v>
      </c>
      <c r="O413">
        <f>FI!CJ43</f>
        <v>0</v>
      </c>
      <c r="P413" s="143" t="str">
        <f>FI!CK43</f>
        <v/>
      </c>
      <c r="R413">
        <f t="shared" si="6"/>
        <v>412</v>
      </c>
    </row>
    <row r="414" spans="5:18">
      <c r="E414" s="147" t="s">
        <v>29</v>
      </c>
      <c r="F414" t="str">
        <f>FI!CA44</f>
        <v>HPS</v>
      </c>
      <c r="G414" t="str">
        <f>FI!CB44</f>
        <v>AC</v>
      </c>
      <c r="H414" t="str">
        <f>FI!CC44</f>
        <v>Head</v>
      </c>
      <c r="I414">
        <f>FI!CD44</f>
        <v>0</v>
      </c>
      <c r="J414">
        <f>FI!CE44</f>
        <v>0</v>
      </c>
      <c r="K414">
        <f>FI!CF44</f>
        <v>0</v>
      </c>
      <c r="L414">
        <f>FI!CG44</f>
        <v>0</v>
      </c>
      <c r="M414">
        <f>FI!CH44</f>
        <v>0</v>
      </c>
      <c r="N414">
        <f>FI!CI44</f>
        <v>0</v>
      </c>
      <c r="O414">
        <f>FI!CJ44</f>
        <v>0</v>
      </c>
      <c r="P414" s="143" t="str">
        <f>FI!CK44</f>
        <v/>
      </c>
      <c r="R414">
        <f t="shared" si="6"/>
        <v>413</v>
      </c>
    </row>
    <row r="415" spans="5:18">
      <c r="E415" s="147" t="s">
        <v>29</v>
      </c>
      <c r="F415" t="str">
        <f>FI!CA45</f>
        <v>HPS</v>
      </c>
      <c r="G415" t="str">
        <f>FI!CB45</f>
        <v>AC</v>
      </c>
      <c r="H415" t="str">
        <f>FI!CC45</f>
        <v>Head</v>
      </c>
      <c r="I415">
        <f>FI!CD45</f>
        <v>0</v>
      </c>
      <c r="J415">
        <f>FI!CE45</f>
        <v>0</v>
      </c>
      <c r="K415">
        <f>FI!CF45</f>
        <v>0</v>
      </c>
      <c r="L415">
        <f>FI!CG45</f>
        <v>0</v>
      </c>
      <c r="M415">
        <f>FI!CH45</f>
        <v>0</v>
      </c>
      <c r="N415">
        <f>FI!CI45</f>
        <v>0</v>
      </c>
      <c r="O415">
        <f>FI!CJ45</f>
        <v>0</v>
      </c>
      <c r="P415" s="143" t="str">
        <f>FI!CK45</f>
        <v/>
      </c>
      <c r="R415">
        <f t="shared" si="6"/>
        <v>414</v>
      </c>
    </row>
    <row r="416" spans="5:18">
      <c r="E416" s="147" t="s">
        <v>29</v>
      </c>
      <c r="F416" t="str">
        <f>FI!CA46</f>
        <v>HPS</v>
      </c>
      <c r="G416" t="str">
        <f>FI!CB46</f>
        <v>AC</v>
      </c>
      <c r="H416" t="str">
        <f>FI!CC46</f>
        <v>Head</v>
      </c>
      <c r="I416">
        <f>FI!CD46</f>
        <v>0</v>
      </c>
      <c r="J416">
        <f>FI!CE46</f>
        <v>0</v>
      </c>
      <c r="K416">
        <f>FI!CF46</f>
        <v>0</v>
      </c>
      <c r="L416">
        <f>FI!CG46</f>
        <v>0</v>
      </c>
      <c r="M416">
        <f>FI!CH46</f>
        <v>0</v>
      </c>
      <c r="N416">
        <f>FI!CI46</f>
        <v>0</v>
      </c>
      <c r="O416">
        <f>FI!CJ46</f>
        <v>0</v>
      </c>
      <c r="P416" s="143" t="str">
        <f>FI!CK46</f>
        <v/>
      </c>
      <c r="R416">
        <f t="shared" si="6"/>
        <v>415</v>
      </c>
    </row>
    <row r="417" spans="5:18">
      <c r="E417" s="147" t="s">
        <v>29</v>
      </c>
      <c r="F417" t="str">
        <f>FI!CA47</f>
        <v>HPS</v>
      </c>
      <c r="G417" t="str">
        <f>FI!CB47</f>
        <v>AC</v>
      </c>
      <c r="H417" t="str">
        <f>FI!CC47</f>
        <v>Head</v>
      </c>
      <c r="I417">
        <f>FI!CD47</f>
        <v>0</v>
      </c>
      <c r="J417">
        <f>FI!CE47</f>
        <v>0</v>
      </c>
      <c r="K417">
        <f>FI!CF47</f>
        <v>0</v>
      </c>
      <c r="L417">
        <f>FI!CG47</f>
        <v>0</v>
      </c>
      <c r="M417">
        <f>FI!CH47</f>
        <v>0</v>
      </c>
      <c r="N417">
        <f>FI!CI47</f>
        <v>0</v>
      </c>
      <c r="O417">
        <f>FI!CJ47</f>
        <v>0</v>
      </c>
      <c r="P417" s="143" t="str">
        <f>FI!CK47</f>
        <v/>
      </c>
      <c r="R417">
        <f t="shared" si="6"/>
        <v>416</v>
      </c>
    </row>
    <row r="418" spans="5:18">
      <c r="E418" s="147" t="s">
        <v>29</v>
      </c>
      <c r="F418" t="str">
        <f>FI!CA48</f>
        <v>HPS</v>
      </c>
      <c r="G418" t="str">
        <f>FI!CB48</f>
        <v>AC</v>
      </c>
      <c r="H418" t="str">
        <f>FI!CC48</f>
        <v>Head</v>
      </c>
      <c r="I418">
        <f>FI!CD48</f>
        <v>0</v>
      </c>
      <c r="J418">
        <f>FI!CE48</f>
        <v>0</v>
      </c>
      <c r="K418">
        <f>FI!CF48</f>
        <v>0</v>
      </c>
      <c r="L418">
        <f>FI!CG48</f>
        <v>0</v>
      </c>
      <c r="M418">
        <f>FI!CH48</f>
        <v>0</v>
      </c>
      <c r="N418">
        <f>FI!CI48</f>
        <v>0</v>
      </c>
      <c r="O418">
        <f>FI!CJ48</f>
        <v>0</v>
      </c>
      <c r="P418" s="143" t="str">
        <f>FI!CK48</f>
        <v/>
      </c>
      <c r="R418">
        <f t="shared" si="6"/>
        <v>417</v>
      </c>
    </row>
    <row r="419" spans="5:18">
      <c r="E419" s="147" t="s">
        <v>29</v>
      </c>
      <c r="F419" t="str">
        <f>FI!CA49</f>
        <v>HPS</v>
      </c>
      <c r="G419" t="str">
        <f>FI!CB49</f>
        <v>AC</v>
      </c>
      <c r="H419" t="str">
        <f>FI!CC49</f>
        <v>Head</v>
      </c>
      <c r="I419">
        <f>FI!CD49</f>
        <v>0</v>
      </c>
      <c r="J419">
        <f>FI!CE49</f>
        <v>0</v>
      </c>
      <c r="K419">
        <f>FI!CF49</f>
        <v>0</v>
      </c>
      <c r="L419">
        <f>FI!CG49</f>
        <v>0</v>
      </c>
      <c r="M419">
        <f>FI!CH49</f>
        <v>0</v>
      </c>
      <c r="N419">
        <f>FI!CI49</f>
        <v>0</v>
      </c>
      <c r="O419">
        <f>FI!CJ49</f>
        <v>0</v>
      </c>
      <c r="P419" s="143" t="str">
        <f>FI!CK49</f>
        <v/>
      </c>
      <c r="R419">
        <f t="shared" si="6"/>
        <v>418</v>
      </c>
    </row>
    <row r="420" spans="5:18">
      <c r="E420" s="147" t="s">
        <v>29</v>
      </c>
      <c r="F420" t="str">
        <f>FI!CA50</f>
        <v>HPS</v>
      </c>
      <c r="G420" t="str">
        <f>FI!CB50</f>
        <v>AC</v>
      </c>
      <c r="H420" t="str">
        <f>FI!CC50</f>
        <v>Head</v>
      </c>
      <c r="I420">
        <f>FI!CD50</f>
        <v>0</v>
      </c>
      <c r="J420">
        <f>FI!CE50</f>
        <v>0</v>
      </c>
      <c r="K420">
        <f>FI!CF50</f>
        <v>0</v>
      </c>
      <c r="L420">
        <f>FI!CG50</f>
        <v>0</v>
      </c>
      <c r="M420">
        <f>FI!CH50</f>
        <v>0</v>
      </c>
      <c r="N420">
        <f>FI!CI50</f>
        <v>0</v>
      </c>
      <c r="O420">
        <f>FI!CJ50</f>
        <v>0</v>
      </c>
      <c r="P420" s="143" t="str">
        <f>FI!CK50</f>
        <v/>
      </c>
      <c r="R420">
        <f t="shared" si="6"/>
        <v>419</v>
      </c>
    </row>
    <row r="421" spans="5:18" ht="17.100000000000001" thickBot="1">
      <c r="E421" s="148" t="s">
        <v>29</v>
      </c>
      <c r="F421" s="144" t="str">
        <f>FI!CA51</f>
        <v>HPS</v>
      </c>
      <c r="G421" s="144" t="str">
        <f>FI!CB51</f>
        <v>AC</v>
      </c>
      <c r="H421" s="144" t="str">
        <f>FI!CC51</f>
        <v>Head</v>
      </c>
      <c r="I421" s="144">
        <f>FI!CD51</f>
        <v>0</v>
      </c>
      <c r="J421" s="144">
        <f>FI!CE51</f>
        <v>0</v>
      </c>
      <c r="K421" s="144">
        <f>FI!CF51</f>
        <v>0</v>
      </c>
      <c r="L421" s="144">
        <f>FI!CG51</f>
        <v>0</v>
      </c>
      <c r="M421" s="144">
        <f>FI!CH51</f>
        <v>0</v>
      </c>
      <c r="N421" s="144">
        <f>FI!CI51</f>
        <v>0</v>
      </c>
      <c r="O421" s="144">
        <f>FI!CJ51</f>
        <v>0</v>
      </c>
      <c r="P421" s="145" t="str">
        <f>FI!CK51</f>
        <v/>
      </c>
      <c r="R421">
        <f t="shared" si="6"/>
        <v>420</v>
      </c>
    </row>
    <row r="422" spans="5:18">
      <c r="E422" s="146" t="s">
        <v>31</v>
      </c>
      <c r="F422" s="141" t="str">
        <f>FUR!CA2</f>
        <v>HPS</v>
      </c>
      <c r="G422" s="141" t="str">
        <f>FUR!CB2</f>
        <v>AC</v>
      </c>
      <c r="H422" s="141" t="str">
        <f>FUR!CC2</f>
        <v>Vessel</v>
      </c>
      <c r="I422" s="141">
        <f>FUR!CD2</f>
        <v>0</v>
      </c>
      <c r="J422" s="141" t="str">
        <f>FUR!CE2</f>
        <v>Furniture</v>
      </c>
      <c r="K422" s="141" t="str">
        <f>FUR!CF2</f>
        <v>Rene41-0, NiCr8020-4</v>
      </c>
      <c r="L422" s="141" t="str">
        <f>FUR!CG2</f>
        <v>0.4B-1</v>
      </c>
      <c r="M422" s="141">
        <f>FUR!CH2</f>
        <v>0</v>
      </c>
      <c r="N422" s="141">
        <f>FUR!CI2</f>
        <v>0</v>
      </c>
      <c r="O422" s="141">
        <f>FUR!CJ2</f>
        <v>0</v>
      </c>
      <c r="P422" s="142" t="str">
        <f>FUR!CK2</f>
        <v>Active</v>
      </c>
      <c r="R422">
        <f t="shared" si="6"/>
        <v>421</v>
      </c>
    </row>
    <row r="423" spans="5:18">
      <c r="E423" s="147" t="s">
        <v>31</v>
      </c>
      <c r="F423" t="str">
        <f>FUR!CA3</f>
        <v>HPS</v>
      </c>
      <c r="G423" t="str">
        <f>FUR!CB3</f>
        <v>AC</v>
      </c>
      <c r="H423" t="str">
        <f>FUR!CC3</f>
        <v>Vessel</v>
      </c>
      <c r="I423">
        <f>FUR!CD3</f>
        <v>0</v>
      </c>
      <c r="J423" t="str">
        <f>FUR!CE3</f>
        <v>Furniture</v>
      </c>
      <c r="K423" t="str">
        <f>FUR!CF3</f>
        <v>Rene41-0, NiCr8020-4</v>
      </c>
      <c r="L423" t="str">
        <f>FUR!CG3</f>
        <v>0.4B-2</v>
      </c>
      <c r="M423">
        <f>FUR!CH3</f>
        <v>0</v>
      </c>
      <c r="N423">
        <f>FUR!CI3</f>
        <v>0</v>
      </c>
      <c r="O423">
        <f>FUR!CJ3</f>
        <v>0</v>
      </c>
      <c r="P423" s="143" t="str">
        <f>FUR!CK3</f>
        <v>Active</v>
      </c>
      <c r="R423">
        <f t="shared" si="6"/>
        <v>422</v>
      </c>
    </row>
    <row r="424" spans="5:18">
      <c r="E424" s="147" t="s">
        <v>31</v>
      </c>
      <c r="F424" t="str">
        <f>FUR!CA4</f>
        <v>HPS</v>
      </c>
      <c r="G424" t="str">
        <f>FUR!CB4</f>
        <v>AC</v>
      </c>
      <c r="H424" t="str">
        <f>FUR!CC4</f>
        <v>Vessel</v>
      </c>
      <c r="I424">
        <f>FUR!CD4</f>
        <v>0</v>
      </c>
      <c r="J424" t="str">
        <f>FUR!CE4</f>
        <v>Furniture</v>
      </c>
      <c r="K424" t="str">
        <f>FUR!CF4</f>
        <v>Rene41-0, NiCr8020-4</v>
      </c>
      <c r="L424" t="str">
        <f>FUR!CG4</f>
        <v>0.4B-3</v>
      </c>
      <c r="M424">
        <f>FUR!CH4</f>
        <v>0</v>
      </c>
      <c r="N424">
        <f>FUR!CI4</f>
        <v>0</v>
      </c>
      <c r="O424">
        <f>FUR!CJ4</f>
        <v>0</v>
      </c>
      <c r="P424" s="143" t="str">
        <f>FUR!CK4</f>
        <v>Active</v>
      </c>
      <c r="R424">
        <f t="shared" si="6"/>
        <v>423</v>
      </c>
    </row>
    <row r="425" spans="5:18">
      <c r="E425" s="147" t="s">
        <v>31</v>
      </c>
      <c r="F425" t="str">
        <f>FUR!CA5</f>
        <v>HPS</v>
      </c>
      <c r="G425" t="str">
        <f>FUR!CB5</f>
        <v>AC</v>
      </c>
      <c r="H425" t="str">
        <f>FUR!CC5</f>
        <v>Vessel</v>
      </c>
      <c r="I425">
        <f>FUR!CD5</f>
        <v>0</v>
      </c>
      <c r="J425" t="str">
        <f>FUR!CE5</f>
        <v>Furniture</v>
      </c>
      <c r="K425" t="str">
        <f>FUR!CF5</f>
        <v>Ni-20, Ni-19</v>
      </c>
      <c r="L425" t="str">
        <f>FUR!CG5</f>
        <v>0.4C-0</v>
      </c>
      <c r="M425">
        <f>FUR!CH5</f>
        <v>0</v>
      </c>
      <c r="N425">
        <f>FUR!CI5</f>
        <v>0</v>
      </c>
      <c r="O425">
        <f>FUR!CJ5</f>
        <v>0</v>
      </c>
      <c r="P425" s="143" t="str">
        <f>FUR!CK5</f>
        <v>Active</v>
      </c>
      <c r="R425">
        <f t="shared" si="6"/>
        <v>424</v>
      </c>
    </row>
    <row r="426" spans="5:18">
      <c r="E426" s="147" t="s">
        <v>31</v>
      </c>
      <c r="F426" t="str">
        <f>FUR!CA6</f>
        <v>HPS</v>
      </c>
      <c r="G426" t="str">
        <f>FUR!CB6</f>
        <v>AC</v>
      </c>
      <c r="H426" t="str">
        <f>FUR!CC6</f>
        <v>Vessel</v>
      </c>
      <c r="I426">
        <f>FUR!CD6</f>
        <v>0</v>
      </c>
      <c r="J426" t="str">
        <f>FUR!CE6</f>
        <v>Furniture</v>
      </c>
      <c r="K426" t="str">
        <f>FUR!CF6</f>
        <v>Ni-20, Ni-19</v>
      </c>
      <c r="L426" t="str">
        <f>FUR!CG6</f>
        <v>0.4C-1</v>
      </c>
      <c r="M426">
        <f>FUR!CH6</f>
        <v>0</v>
      </c>
      <c r="N426">
        <f>FUR!CI6</f>
        <v>0</v>
      </c>
      <c r="O426">
        <f>FUR!CJ6</f>
        <v>0</v>
      </c>
      <c r="P426" s="143" t="str">
        <f>FUR!CK6</f>
        <v>Active</v>
      </c>
      <c r="R426">
        <f t="shared" si="6"/>
        <v>425</v>
      </c>
    </row>
    <row r="427" spans="5:18">
      <c r="E427" s="147" t="s">
        <v>31</v>
      </c>
      <c r="F427" t="str">
        <f>FUR!CA7</f>
        <v>HPS</v>
      </c>
      <c r="G427" t="str">
        <f>FUR!CB7</f>
        <v>AC</v>
      </c>
      <c r="H427" t="str">
        <f>FUR!CC7</f>
        <v>Vessel</v>
      </c>
      <c r="I427">
        <f>FUR!CD7</f>
        <v>0</v>
      </c>
      <c r="J427" t="str">
        <f>FUR!CE7</f>
        <v>Furniture</v>
      </c>
      <c r="K427" t="str">
        <f>FUR!CF7</f>
        <v>Ni-20, Ni-19</v>
      </c>
      <c r="L427" t="str">
        <f>FUR!CG7</f>
        <v>0.4C-2</v>
      </c>
      <c r="M427">
        <f>FUR!CH7</f>
        <v>0</v>
      </c>
      <c r="N427">
        <f>FUR!CI7</f>
        <v>0</v>
      </c>
      <c r="O427">
        <f>FUR!CJ7</f>
        <v>0</v>
      </c>
      <c r="P427" s="143" t="str">
        <f>FUR!CK7</f>
        <v>Active</v>
      </c>
      <c r="R427">
        <f t="shared" si="6"/>
        <v>426</v>
      </c>
    </row>
    <row r="428" spans="5:18">
      <c r="E428" s="147" t="s">
        <v>31</v>
      </c>
      <c r="F428" t="str">
        <f>FUR!CA8</f>
        <v>HPS</v>
      </c>
      <c r="G428" t="str">
        <f>FUR!CB8</f>
        <v>AC</v>
      </c>
      <c r="H428" t="str">
        <f>FUR!CC8</f>
        <v>Vessel</v>
      </c>
      <c r="I428">
        <f>FUR!CD8</f>
        <v>0</v>
      </c>
      <c r="J428" t="str">
        <f>FUR!CE8</f>
        <v>Furniture</v>
      </c>
      <c r="K428" t="str">
        <f>FUR!CF8</f>
        <v>Rene41-0, NiCr8020-4, Ni-19</v>
      </c>
      <c r="L428" t="str">
        <f>FUR!CG8</f>
        <v>0.4S-1</v>
      </c>
      <c r="M428">
        <f>FUR!CH8</f>
        <v>0</v>
      </c>
      <c r="N428">
        <f>FUR!CI8</f>
        <v>0</v>
      </c>
      <c r="O428">
        <f>FUR!CJ8</f>
        <v>0</v>
      </c>
      <c r="P428" s="143" t="str">
        <f>FUR!CK8</f>
        <v>Active</v>
      </c>
      <c r="R428">
        <f t="shared" si="6"/>
        <v>427</v>
      </c>
    </row>
    <row r="429" spans="5:18">
      <c r="E429" s="147" t="s">
        <v>31</v>
      </c>
      <c r="F429" t="str">
        <f>FUR!CA9</f>
        <v>HPS</v>
      </c>
      <c r="G429" t="str">
        <f>FUR!CB9</f>
        <v>AC</v>
      </c>
      <c r="H429" t="str">
        <f>FUR!CC9</f>
        <v>Vessel</v>
      </c>
      <c r="I429">
        <f>FUR!CD9</f>
        <v>0</v>
      </c>
      <c r="J429" t="str">
        <f>FUR!CE9</f>
        <v>Furniture</v>
      </c>
      <c r="K429" t="str">
        <f>FUR!CF9</f>
        <v>Rene41-0, Ni200201-1, Ni-19</v>
      </c>
      <c r="L429" t="str">
        <f>FUR!CG9</f>
        <v>0.4S-2</v>
      </c>
      <c r="M429">
        <f>FUR!CH9</f>
        <v>0</v>
      </c>
      <c r="N429">
        <f>FUR!CI9</f>
        <v>0</v>
      </c>
      <c r="O429">
        <f>FUR!CJ9</f>
        <v>0</v>
      </c>
      <c r="P429" s="143" t="str">
        <f>FUR!CK9</f>
        <v>Active</v>
      </c>
      <c r="R429">
        <f t="shared" si="6"/>
        <v>428</v>
      </c>
    </row>
    <row r="430" spans="5:18">
      <c r="E430" s="147" t="s">
        <v>31</v>
      </c>
      <c r="F430" t="str">
        <f>FUR!CA10</f>
        <v>HPS</v>
      </c>
      <c r="G430" t="str">
        <f>FUR!CB10</f>
        <v>AC</v>
      </c>
      <c r="H430" t="str">
        <f>FUR!CC10</f>
        <v>Vessel</v>
      </c>
      <c r="I430">
        <f>FUR!CD10</f>
        <v>0</v>
      </c>
      <c r="J430" t="str">
        <f>FUR!CE10</f>
        <v>Furniture</v>
      </c>
      <c r="K430" t="str">
        <f>FUR!CF10</f>
        <v>Rene41-0, NiCr8020-4, Ni-19</v>
      </c>
      <c r="L430" t="str">
        <f>FUR!CG10</f>
        <v>0.4S-5</v>
      </c>
      <c r="M430">
        <f>FUR!CH10</f>
        <v>0</v>
      </c>
      <c r="N430">
        <f>FUR!CI10</f>
        <v>0</v>
      </c>
      <c r="O430">
        <f>FUR!CJ10</f>
        <v>0</v>
      </c>
      <c r="P430" s="143" t="str">
        <f>FUR!CK10</f>
        <v>Active</v>
      </c>
      <c r="R430">
        <f t="shared" si="6"/>
        <v>429</v>
      </c>
    </row>
    <row r="431" spans="5:18">
      <c r="E431" s="147" t="s">
        <v>31</v>
      </c>
      <c r="F431" t="str">
        <f>FUR!CA11</f>
        <v>HPS</v>
      </c>
      <c r="G431" t="str">
        <f>FUR!CB11</f>
        <v>AC</v>
      </c>
      <c r="H431" t="str">
        <f>FUR!CC11</f>
        <v>Vessel</v>
      </c>
      <c r="I431">
        <f>FUR!CD11</f>
        <v>0</v>
      </c>
      <c r="J431" t="str">
        <f>FUR!CE11</f>
        <v>Furniture</v>
      </c>
      <c r="K431" t="str">
        <f>FUR!CF11</f>
        <v>Mo 99.95</v>
      </c>
      <c r="L431" t="str">
        <f>FUR!CG11</f>
        <v>13M-1</v>
      </c>
      <c r="M431">
        <f>FUR!CH11</f>
        <v>0</v>
      </c>
      <c r="N431">
        <f>FUR!CI11</f>
        <v>0</v>
      </c>
      <c r="O431">
        <f>FUR!CJ11</f>
        <v>0</v>
      </c>
      <c r="P431" s="143" t="str">
        <f>FUR!CK11</f>
        <v>Active</v>
      </c>
      <c r="R431">
        <f t="shared" si="6"/>
        <v>430</v>
      </c>
    </row>
    <row r="432" spans="5:18">
      <c r="E432" s="147" t="s">
        <v>31</v>
      </c>
      <c r="F432" t="str">
        <f>FUR!CA12</f>
        <v>HPS</v>
      </c>
      <c r="G432" t="str">
        <f>FUR!CB12</f>
        <v>AC</v>
      </c>
      <c r="H432" t="str">
        <f>FUR!CC12</f>
        <v>Vessel</v>
      </c>
      <c r="I432">
        <f>FUR!CD12</f>
        <v>0</v>
      </c>
      <c r="J432" t="str">
        <f>FUR!CE12</f>
        <v>Furniture</v>
      </c>
      <c r="K432" t="str">
        <f>FUR!CF12</f>
        <v>Mo 99.95</v>
      </c>
      <c r="L432" t="str">
        <f>FUR!CG12</f>
        <v>13M-2</v>
      </c>
      <c r="M432">
        <f>FUR!CH12</f>
        <v>0</v>
      </c>
      <c r="N432">
        <f>FUR!CI12</f>
        <v>0</v>
      </c>
      <c r="O432">
        <f>FUR!CJ12</f>
        <v>0</v>
      </c>
      <c r="P432" s="143" t="str">
        <f>FUR!CK12</f>
        <v>Active</v>
      </c>
      <c r="R432">
        <f t="shared" si="6"/>
        <v>431</v>
      </c>
    </row>
    <row r="433" spans="5:18">
      <c r="E433" s="147" t="s">
        <v>31</v>
      </c>
      <c r="F433" t="str">
        <f>FUR!CA13</f>
        <v>HPS</v>
      </c>
      <c r="G433" t="str">
        <f>FUR!CB13</f>
        <v>AC</v>
      </c>
      <c r="H433" t="str">
        <f>FUR!CC13</f>
        <v>Vessel</v>
      </c>
      <c r="I433">
        <f>FUR!CD13</f>
        <v>0</v>
      </c>
      <c r="J433" t="str">
        <f>FUR!CE13</f>
        <v>Furniture</v>
      </c>
      <c r="K433" t="str">
        <f>FUR!CF13</f>
        <v>Inc625, Ni</v>
      </c>
      <c r="L433" t="str">
        <f>FUR!CG13</f>
        <v>1Aa-1</v>
      </c>
      <c r="M433">
        <f>FUR!CH13</f>
        <v>0</v>
      </c>
      <c r="N433">
        <f>FUR!CI13</f>
        <v>0</v>
      </c>
      <c r="O433">
        <f>FUR!CJ13</f>
        <v>0</v>
      </c>
      <c r="P433" s="143" t="str">
        <f>FUR!CK13</f>
        <v>Active</v>
      </c>
      <c r="R433">
        <f t="shared" si="6"/>
        <v>432</v>
      </c>
    </row>
    <row r="434" spans="5:18">
      <c r="E434" s="147" t="s">
        <v>31</v>
      </c>
      <c r="F434" t="str">
        <f>FUR!CA14</f>
        <v>HPS</v>
      </c>
      <c r="G434" t="str">
        <f>FUR!CB14</f>
        <v>AC</v>
      </c>
      <c r="H434" t="str">
        <f>FUR!CC14</f>
        <v>Vessel</v>
      </c>
      <c r="I434">
        <f>FUR!CD14</f>
        <v>0</v>
      </c>
      <c r="J434" t="str">
        <f>FUR!CE14</f>
        <v>Furniture</v>
      </c>
      <c r="K434" t="str">
        <f>FUR!CF14</f>
        <v>Inc625, Ni</v>
      </c>
      <c r="L434" t="str">
        <f>FUR!CG14</f>
        <v>1Aa-2</v>
      </c>
      <c r="M434">
        <f>FUR!CH14</f>
        <v>0</v>
      </c>
      <c r="N434">
        <f>FUR!CI14</f>
        <v>0</v>
      </c>
      <c r="O434">
        <f>FUR!CJ14</f>
        <v>0</v>
      </c>
      <c r="P434" s="143" t="str">
        <f>FUR!CK14</f>
        <v>Active</v>
      </c>
      <c r="R434">
        <f t="shared" si="6"/>
        <v>433</v>
      </c>
    </row>
    <row r="435" spans="5:18">
      <c r="E435" s="147" t="s">
        <v>31</v>
      </c>
      <c r="F435" t="str">
        <f>FUR!CA15</f>
        <v>HPS</v>
      </c>
      <c r="G435" t="str">
        <f>FUR!CB15</f>
        <v>AC</v>
      </c>
      <c r="H435" t="str">
        <f>FUR!CC15</f>
        <v>Vessel</v>
      </c>
      <c r="I435">
        <f>FUR!CD15</f>
        <v>0</v>
      </c>
      <c r="J435" t="str">
        <f>FUR!CE15</f>
        <v>Furniture</v>
      </c>
      <c r="K435" t="str">
        <f>FUR!CF15</f>
        <v>Ni200201-1, NiCr8020-4</v>
      </c>
      <c r="L435" t="str">
        <f>FUR!CG15</f>
        <v>1B-1</v>
      </c>
      <c r="M435">
        <f>FUR!CH15</f>
        <v>0</v>
      </c>
      <c r="N435">
        <f>FUR!CI15</f>
        <v>0</v>
      </c>
      <c r="O435">
        <f>FUR!CJ15</f>
        <v>0</v>
      </c>
      <c r="P435" s="143" t="str">
        <f>FUR!CK15</f>
        <v>Active</v>
      </c>
      <c r="R435">
        <f t="shared" si="6"/>
        <v>434</v>
      </c>
    </row>
    <row r="436" spans="5:18">
      <c r="E436" s="147" t="s">
        <v>31</v>
      </c>
      <c r="F436" t="str">
        <f>FUR!CA16</f>
        <v>HPS</v>
      </c>
      <c r="G436" t="str">
        <f>FUR!CB16</f>
        <v>AC</v>
      </c>
      <c r="H436" t="str">
        <f>FUR!CC16</f>
        <v>Vessel</v>
      </c>
      <c r="I436">
        <f>FUR!CD16</f>
        <v>0</v>
      </c>
      <c r="J436" t="str">
        <f>FUR!CE16</f>
        <v>Furniture</v>
      </c>
      <c r="K436" t="str">
        <f>FUR!CF16</f>
        <v>Ni200201-1, NiCr8020-4</v>
      </c>
      <c r="L436" t="str">
        <f>FUR!CG16</f>
        <v>1B-10</v>
      </c>
      <c r="M436">
        <f>FUR!CH16</f>
        <v>0</v>
      </c>
      <c r="N436">
        <f>FUR!CI16</f>
        <v>0</v>
      </c>
      <c r="O436">
        <f>FUR!CJ16</f>
        <v>0</v>
      </c>
      <c r="P436" s="143" t="str">
        <f>FUR!CK16</f>
        <v>Active</v>
      </c>
      <c r="R436">
        <f t="shared" si="6"/>
        <v>435</v>
      </c>
    </row>
    <row r="437" spans="5:18">
      <c r="E437" s="147" t="s">
        <v>31</v>
      </c>
      <c r="F437" t="str">
        <f>FUR!CA17</f>
        <v>HPS</v>
      </c>
      <c r="G437" t="str">
        <f>FUR!CB17</f>
        <v>AC</v>
      </c>
      <c r="H437" t="str">
        <f>FUR!CC17</f>
        <v>Vessel</v>
      </c>
      <c r="I437">
        <f>FUR!CD17</f>
        <v>0</v>
      </c>
      <c r="J437" t="str">
        <f>FUR!CE17</f>
        <v>Furniture</v>
      </c>
      <c r="K437" t="str">
        <f>FUR!CF17</f>
        <v>Ni200201-1, NiCr8020-4</v>
      </c>
      <c r="L437" t="str">
        <f>FUR!CG17</f>
        <v>1B-11</v>
      </c>
      <c r="M437">
        <f>FUR!CH17</f>
        <v>0</v>
      </c>
      <c r="N437">
        <f>FUR!CI17</f>
        <v>0</v>
      </c>
      <c r="O437">
        <f>FUR!CJ17</f>
        <v>0</v>
      </c>
      <c r="P437" s="143" t="str">
        <f>FUR!CK17</f>
        <v>Active</v>
      </c>
      <c r="R437">
        <f t="shared" si="6"/>
        <v>436</v>
      </c>
    </row>
    <row r="438" spans="5:18">
      <c r="E438" s="147" t="s">
        <v>31</v>
      </c>
      <c r="F438" t="str">
        <f>FUR!CA18</f>
        <v>HPS</v>
      </c>
      <c r="G438" t="str">
        <f>FUR!CB18</f>
        <v>AC</v>
      </c>
      <c r="H438" t="str">
        <f>FUR!CC18</f>
        <v>Vessel</v>
      </c>
      <c r="I438">
        <f>FUR!CD18</f>
        <v>0</v>
      </c>
      <c r="J438" t="str">
        <f>FUR!CE18</f>
        <v>Furniture</v>
      </c>
      <c r="K438" t="str">
        <f>FUR!CF18</f>
        <v>Ni200201-1, NiCr8020-4</v>
      </c>
      <c r="L438" t="str">
        <f>FUR!CG18</f>
        <v>1B-12</v>
      </c>
      <c r="M438">
        <f>FUR!CH18</f>
        <v>0</v>
      </c>
      <c r="N438">
        <f>FUR!CI18</f>
        <v>0</v>
      </c>
      <c r="O438">
        <f>FUR!CJ18</f>
        <v>0</v>
      </c>
      <c r="P438" s="143" t="str">
        <f>FUR!CK18</f>
        <v>Active</v>
      </c>
      <c r="R438">
        <f t="shared" si="6"/>
        <v>437</v>
      </c>
    </row>
    <row r="439" spans="5:18">
      <c r="E439" s="147" t="s">
        <v>31</v>
      </c>
      <c r="F439" t="str">
        <f>FUR!CA19</f>
        <v>HPS</v>
      </c>
      <c r="G439" t="str">
        <f>FUR!CB19</f>
        <v>AC</v>
      </c>
      <c r="H439" t="str">
        <f>FUR!CC19</f>
        <v>Vessel</v>
      </c>
      <c r="I439">
        <f>FUR!CD19</f>
        <v>0</v>
      </c>
      <c r="J439" t="str">
        <f>FUR!CE19</f>
        <v>Furniture</v>
      </c>
      <c r="K439" t="str">
        <f>FUR!CF19</f>
        <v>Ni200201-1, NiCr8020-4</v>
      </c>
      <c r="L439" t="str">
        <f>FUR!CG19</f>
        <v>1B-13</v>
      </c>
      <c r="M439">
        <f>FUR!CH19</f>
        <v>0</v>
      </c>
      <c r="N439">
        <f>FUR!CI19</f>
        <v>0</v>
      </c>
      <c r="O439">
        <f>FUR!CJ19</f>
        <v>0</v>
      </c>
      <c r="P439" s="143" t="str">
        <f>FUR!CK19</f>
        <v>Active</v>
      </c>
      <c r="R439">
        <f t="shared" si="6"/>
        <v>438</v>
      </c>
    </row>
    <row r="440" spans="5:18">
      <c r="E440" s="147" t="s">
        <v>31</v>
      </c>
      <c r="F440" t="str">
        <f>FUR!CA20</f>
        <v>HPS</v>
      </c>
      <c r="G440" t="str">
        <f>FUR!CB20</f>
        <v>AC</v>
      </c>
      <c r="H440" t="str">
        <f>FUR!CC20</f>
        <v>Vessel</v>
      </c>
      <c r="I440">
        <f>FUR!CD20</f>
        <v>0</v>
      </c>
      <c r="J440" t="str">
        <f>FUR!CE20</f>
        <v>Furniture</v>
      </c>
      <c r="K440" t="str">
        <f>FUR!CF20</f>
        <v>Ni200201-1, NiCr8020-4</v>
      </c>
      <c r="L440" t="str">
        <f>FUR!CG20</f>
        <v>1B-14</v>
      </c>
      <c r="M440">
        <f>FUR!CH20</f>
        <v>0</v>
      </c>
      <c r="N440">
        <f>FUR!CI20</f>
        <v>0</v>
      </c>
      <c r="O440">
        <f>FUR!CJ20</f>
        <v>0</v>
      </c>
      <c r="P440" s="143" t="str">
        <f>FUR!CK20</f>
        <v>Active</v>
      </c>
      <c r="R440">
        <f t="shared" si="6"/>
        <v>439</v>
      </c>
    </row>
    <row r="441" spans="5:18">
      <c r="E441" s="147" t="s">
        <v>31</v>
      </c>
      <c r="F441" t="str">
        <f>FUR!CA21</f>
        <v>HPS</v>
      </c>
      <c r="G441" t="str">
        <f>FUR!CB21</f>
        <v>AC</v>
      </c>
      <c r="H441" t="str">
        <f>FUR!CC21</f>
        <v>Vessel</v>
      </c>
      <c r="I441">
        <f>FUR!CD21</f>
        <v>0</v>
      </c>
      <c r="J441" t="str">
        <f>FUR!CE21</f>
        <v>Furniture</v>
      </c>
      <c r="K441" t="str">
        <f>FUR!CF21</f>
        <v>Ag-5, Ag-6</v>
      </c>
      <c r="L441" t="str">
        <f>FUR!CG21</f>
        <v>1B-15</v>
      </c>
      <c r="M441">
        <f>FUR!CH21</f>
        <v>0</v>
      </c>
      <c r="N441">
        <f>FUR!CI21</f>
        <v>0</v>
      </c>
      <c r="O441">
        <f>FUR!CJ21</f>
        <v>0</v>
      </c>
      <c r="P441" s="143" t="str">
        <f>FUR!CK21</f>
        <v>Retired</v>
      </c>
      <c r="R441">
        <f t="shared" si="6"/>
        <v>440</v>
      </c>
    </row>
    <row r="442" spans="5:18">
      <c r="E442" s="147" t="s">
        <v>31</v>
      </c>
      <c r="F442" t="str">
        <f>FUR!CA22</f>
        <v>HPS</v>
      </c>
      <c r="G442" t="str">
        <f>FUR!CB22</f>
        <v>AC</v>
      </c>
      <c r="H442" t="str">
        <f>FUR!CC22</f>
        <v>Vessel</v>
      </c>
      <c r="I442">
        <f>FUR!CD22</f>
        <v>0</v>
      </c>
      <c r="J442" t="str">
        <f>FUR!CE22</f>
        <v>Furniture</v>
      </c>
      <c r="K442" t="str">
        <f>FUR!CF22</f>
        <v>Ag-5, Ag-6</v>
      </c>
      <c r="L442" t="str">
        <f>FUR!CG22</f>
        <v>1B-16</v>
      </c>
      <c r="M442">
        <f>FUR!CH22</f>
        <v>0</v>
      </c>
      <c r="N442">
        <f>FUR!CI22</f>
        <v>0</v>
      </c>
      <c r="O442">
        <f>FUR!CJ22</f>
        <v>0</v>
      </c>
      <c r="P442" s="143" t="str">
        <f>FUR!CK22</f>
        <v>Retired</v>
      </c>
      <c r="R442">
        <f t="shared" si="6"/>
        <v>441</v>
      </c>
    </row>
    <row r="443" spans="5:18">
      <c r="E443" s="147" t="s">
        <v>31</v>
      </c>
      <c r="F443" t="str">
        <f>FUR!CA23</f>
        <v>HPS</v>
      </c>
      <c r="G443" t="str">
        <f>FUR!CB23</f>
        <v>AC</v>
      </c>
      <c r="H443" t="str">
        <f>FUR!CC23</f>
        <v>Vessel</v>
      </c>
      <c r="I443">
        <f>FUR!CD23</f>
        <v>0</v>
      </c>
      <c r="J443" t="str">
        <f>FUR!CE23</f>
        <v>Furniture</v>
      </c>
      <c r="K443" t="str">
        <f>FUR!CF23</f>
        <v>Ag-5, Ag-6</v>
      </c>
      <c r="L443" t="str">
        <f>FUR!CG23</f>
        <v>1B-17</v>
      </c>
      <c r="M443">
        <f>FUR!CH23</f>
        <v>0</v>
      </c>
      <c r="N443">
        <f>FUR!CI23</f>
        <v>0</v>
      </c>
      <c r="O443">
        <f>FUR!CJ23</f>
        <v>0</v>
      </c>
      <c r="P443" s="143" t="str">
        <f>FUR!CK23</f>
        <v>Retired</v>
      </c>
      <c r="R443">
        <f t="shared" si="6"/>
        <v>442</v>
      </c>
    </row>
    <row r="444" spans="5:18">
      <c r="E444" s="147" t="s">
        <v>31</v>
      </c>
      <c r="F444" t="str">
        <f>FUR!CA24</f>
        <v>HPS</v>
      </c>
      <c r="G444" t="str">
        <f>FUR!CB24</f>
        <v>AC</v>
      </c>
      <c r="H444" t="str">
        <f>FUR!CC24</f>
        <v>Vessel</v>
      </c>
      <c r="I444">
        <f>FUR!CD24</f>
        <v>0</v>
      </c>
      <c r="J444" t="str">
        <f>FUR!CE24</f>
        <v>Furniture</v>
      </c>
      <c r="K444" t="str">
        <f>FUR!CF24</f>
        <v>Ag-5, Ag-6</v>
      </c>
      <c r="L444" t="str">
        <f>FUR!CG24</f>
        <v>1B-18</v>
      </c>
      <c r="M444">
        <f>FUR!CH24</f>
        <v>0</v>
      </c>
      <c r="N444">
        <f>FUR!CI24</f>
        <v>0</v>
      </c>
      <c r="O444">
        <f>FUR!CJ24</f>
        <v>0</v>
      </c>
      <c r="P444" s="143" t="str">
        <f>FUR!CK24</f>
        <v>Retired</v>
      </c>
      <c r="R444">
        <f t="shared" si="6"/>
        <v>443</v>
      </c>
    </row>
    <row r="445" spans="5:18">
      <c r="E445" s="147" t="s">
        <v>31</v>
      </c>
      <c r="F445" t="str">
        <f>FUR!CA25</f>
        <v>HPS</v>
      </c>
      <c r="G445" t="str">
        <f>FUR!CB25</f>
        <v>AC</v>
      </c>
      <c r="H445" t="str">
        <f>FUR!CC25</f>
        <v>Vessel</v>
      </c>
      <c r="I445">
        <f>FUR!CD25</f>
        <v>0</v>
      </c>
      <c r="J445" t="str">
        <f>FUR!CE25</f>
        <v>Furniture</v>
      </c>
      <c r="K445" t="str">
        <f>FUR!CF25</f>
        <v>Ag-10, Ag-6</v>
      </c>
      <c r="L445" t="str">
        <f>FUR!CG25</f>
        <v>1B-19</v>
      </c>
      <c r="M445">
        <f>FUR!CH25</f>
        <v>0</v>
      </c>
      <c r="N445">
        <f>FUR!CI25</f>
        <v>0</v>
      </c>
      <c r="O445">
        <f>FUR!CJ25</f>
        <v>0</v>
      </c>
      <c r="P445" s="143" t="str">
        <f>FUR!CK25</f>
        <v>Active</v>
      </c>
      <c r="R445">
        <f t="shared" si="6"/>
        <v>444</v>
      </c>
    </row>
    <row r="446" spans="5:18">
      <c r="E446" s="147" t="s">
        <v>31</v>
      </c>
      <c r="F446" t="str">
        <f>FUR!CA26</f>
        <v>HPS</v>
      </c>
      <c r="G446" t="str">
        <f>FUR!CB26</f>
        <v>AC</v>
      </c>
      <c r="H446" t="str">
        <f>FUR!CC26</f>
        <v>Vessel</v>
      </c>
      <c r="I446">
        <f>FUR!CD26</f>
        <v>0</v>
      </c>
      <c r="J446" t="str">
        <f>FUR!CE26</f>
        <v>Furniture</v>
      </c>
      <c r="K446" t="str">
        <f>FUR!CF26</f>
        <v>Ni200201-1, NiCr8020-4</v>
      </c>
      <c r="L446" t="str">
        <f>FUR!CG26</f>
        <v>1B-2</v>
      </c>
      <c r="M446">
        <f>FUR!CH26</f>
        <v>0</v>
      </c>
      <c r="N446">
        <f>FUR!CI26</f>
        <v>0</v>
      </c>
      <c r="O446">
        <f>FUR!CJ26</f>
        <v>0</v>
      </c>
      <c r="P446" s="143" t="str">
        <f>FUR!CK26</f>
        <v>Active</v>
      </c>
      <c r="R446">
        <f t="shared" si="6"/>
        <v>445</v>
      </c>
    </row>
    <row r="447" spans="5:18">
      <c r="E447" s="147" t="s">
        <v>31</v>
      </c>
      <c r="F447" t="str">
        <f>FUR!CA27</f>
        <v>HPS</v>
      </c>
      <c r="G447" t="str">
        <f>FUR!CB27</f>
        <v>AC</v>
      </c>
      <c r="H447" t="str">
        <f>FUR!CC27</f>
        <v>Vessel</v>
      </c>
      <c r="I447">
        <f>FUR!CD27</f>
        <v>0</v>
      </c>
      <c r="J447" t="str">
        <f>FUR!CE27</f>
        <v>Furniture</v>
      </c>
      <c r="K447" t="str">
        <f>FUR!CF27</f>
        <v>Ag-10, Ag-6</v>
      </c>
      <c r="L447" t="str">
        <f>FUR!CG27</f>
        <v>1B-20</v>
      </c>
      <c r="M447">
        <f>FUR!CH27</f>
        <v>0</v>
      </c>
      <c r="N447">
        <f>FUR!CI27</f>
        <v>0</v>
      </c>
      <c r="O447">
        <f>FUR!CJ27</f>
        <v>0</v>
      </c>
      <c r="P447" s="143" t="str">
        <f>FUR!CK27</f>
        <v>Active</v>
      </c>
      <c r="R447">
        <f t="shared" si="6"/>
        <v>446</v>
      </c>
    </row>
    <row r="448" spans="5:18">
      <c r="E448" s="147" t="s">
        <v>31</v>
      </c>
      <c r="F448" t="str">
        <f>FUR!CA28</f>
        <v>HPS</v>
      </c>
      <c r="G448" t="str">
        <f>FUR!CB28</f>
        <v>AC</v>
      </c>
      <c r="H448" t="str">
        <f>FUR!CC28</f>
        <v>Vessel</v>
      </c>
      <c r="I448">
        <f>FUR!CD28</f>
        <v>0</v>
      </c>
      <c r="J448" t="str">
        <f>FUR!CE28</f>
        <v>Furniture</v>
      </c>
      <c r="K448" t="str">
        <f>FUR!CF28</f>
        <v>Ag-10, Ag-6, Ag-14</v>
      </c>
      <c r="L448" t="str">
        <f>FUR!CG28</f>
        <v>1B-21</v>
      </c>
      <c r="M448">
        <f>FUR!CH28</f>
        <v>0</v>
      </c>
      <c r="N448">
        <f>FUR!CI28</f>
        <v>0</v>
      </c>
      <c r="O448">
        <f>FUR!CJ28</f>
        <v>0</v>
      </c>
      <c r="P448" s="143" t="str">
        <f>FUR!CK28</f>
        <v>Active</v>
      </c>
      <c r="R448">
        <f t="shared" si="6"/>
        <v>447</v>
      </c>
    </row>
    <row r="449" spans="5:18">
      <c r="E449" s="147" t="s">
        <v>31</v>
      </c>
      <c r="F449" t="str">
        <f>FUR!CA29</f>
        <v>HPS</v>
      </c>
      <c r="G449" t="str">
        <f>FUR!CB29</f>
        <v>AC</v>
      </c>
      <c r="H449" t="str">
        <f>FUR!CC29</f>
        <v>Vessel</v>
      </c>
      <c r="I449">
        <f>FUR!CD29</f>
        <v>0</v>
      </c>
      <c r="J449" t="str">
        <f>FUR!CE29</f>
        <v>Furniture</v>
      </c>
      <c r="K449" t="str">
        <f>FUR!CF29</f>
        <v>Ag-10, Ag-6</v>
      </c>
      <c r="L449" t="str">
        <f>FUR!CG29</f>
        <v>1B-22</v>
      </c>
      <c r="M449">
        <f>FUR!CH29</f>
        <v>0</v>
      </c>
      <c r="N449">
        <f>FUR!CI29</f>
        <v>0</v>
      </c>
      <c r="O449">
        <f>FUR!CJ29</f>
        <v>0</v>
      </c>
      <c r="P449" s="143" t="str">
        <f>FUR!CK29</f>
        <v>Active</v>
      </c>
      <c r="R449">
        <f t="shared" si="6"/>
        <v>448</v>
      </c>
    </row>
    <row r="450" spans="5:18">
      <c r="E450" s="147" t="s">
        <v>31</v>
      </c>
      <c r="F450" t="str">
        <f>FUR!CA30</f>
        <v>HPS</v>
      </c>
      <c r="G450" t="str">
        <f>FUR!CB30</f>
        <v>AC</v>
      </c>
      <c r="H450" t="str">
        <f>FUR!CC30</f>
        <v>Vessel</v>
      </c>
      <c r="I450">
        <f>FUR!CD30</f>
        <v>0</v>
      </c>
      <c r="J450" t="str">
        <f>FUR!CE30</f>
        <v>Furniture</v>
      </c>
      <c r="K450" t="str">
        <f>FUR!CF30</f>
        <v>Ag-10, Ag-6</v>
      </c>
      <c r="L450" t="str">
        <f>FUR!CG30</f>
        <v>1B-23</v>
      </c>
      <c r="M450">
        <f>FUR!CH30</f>
        <v>0</v>
      </c>
      <c r="N450">
        <f>FUR!CI30</f>
        <v>0</v>
      </c>
      <c r="O450">
        <f>FUR!CJ30</f>
        <v>0</v>
      </c>
      <c r="P450" s="143" t="str">
        <f>FUR!CK30</f>
        <v>Active</v>
      </c>
      <c r="R450">
        <f t="shared" si="6"/>
        <v>449</v>
      </c>
    </row>
    <row r="451" spans="5:18">
      <c r="E451" s="147" t="s">
        <v>31</v>
      </c>
      <c r="F451" t="str">
        <f>FUR!CA31</f>
        <v>HPS</v>
      </c>
      <c r="G451" t="str">
        <f>FUR!CB31</f>
        <v>AC</v>
      </c>
      <c r="H451" t="str">
        <f>FUR!CC31</f>
        <v>Vessel</v>
      </c>
      <c r="I451">
        <f>FUR!CD31</f>
        <v>0</v>
      </c>
      <c r="J451" t="str">
        <f>FUR!CE31</f>
        <v>Furniture</v>
      </c>
      <c r="K451" t="str">
        <f>FUR!CF31</f>
        <v>Ag-14, Ag-6</v>
      </c>
      <c r="L451" t="str">
        <f>FUR!CG31</f>
        <v>1B-24</v>
      </c>
      <c r="M451">
        <f>FUR!CH31</f>
        <v>0</v>
      </c>
      <c r="N451">
        <f>FUR!CI31</f>
        <v>0</v>
      </c>
      <c r="O451">
        <f>FUR!CJ31</f>
        <v>0</v>
      </c>
      <c r="P451" s="143" t="str">
        <f>FUR!CK31</f>
        <v>Active</v>
      </c>
      <c r="R451">
        <f t="shared" si="6"/>
        <v>450</v>
      </c>
    </row>
    <row r="452" spans="5:18">
      <c r="E452" s="147" t="s">
        <v>31</v>
      </c>
      <c r="F452" t="str">
        <f>FUR!CA32</f>
        <v>HPS</v>
      </c>
      <c r="G452" t="str">
        <f>FUR!CB32</f>
        <v>AC</v>
      </c>
      <c r="H452" t="str">
        <f>FUR!CC32</f>
        <v>Vessel</v>
      </c>
      <c r="I452">
        <f>FUR!CD32</f>
        <v>0</v>
      </c>
      <c r="J452" t="str">
        <f>FUR!CE32</f>
        <v>Furniture</v>
      </c>
      <c r="K452" t="str">
        <f>FUR!CF32</f>
        <v>Ag-14, Ag-6</v>
      </c>
      <c r="L452" t="str">
        <f>FUR!CG32</f>
        <v>1B-25</v>
      </c>
      <c r="M452">
        <f>FUR!CH32</f>
        <v>0</v>
      </c>
      <c r="N452">
        <f>FUR!CI32</f>
        <v>0</v>
      </c>
      <c r="O452">
        <f>FUR!CJ32</f>
        <v>0</v>
      </c>
      <c r="P452" s="143" t="str">
        <f>FUR!CK32</f>
        <v>Active</v>
      </c>
      <c r="R452">
        <f t="shared" ref="R452:R515" si="7">R451+1</f>
        <v>451</v>
      </c>
    </row>
    <row r="453" spans="5:18">
      <c r="E453" s="147" t="s">
        <v>31</v>
      </c>
      <c r="F453" t="str">
        <f>FUR!CA33</f>
        <v>HPS</v>
      </c>
      <c r="G453" t="str">
        <f>FUR!CB33</f>
        <v>AC</v>
      </c>
      <c r="H453" t="str">
        <f>FUR!CC33</f>
        <v>Vessel</v>
      </c>
      <c r="I453">
        <f>FUR!CD33</f>
        <v>0</v>
      </c>
      <c r="J453" t="str">
        <f>FUR!CE33</f>
        <v>Furniture</v>
      </c>
      <c r="K453" t="str">
        <f>FUR!CF33</f>
        <v>Ag-14, Ag-6</v>
      </c>
      <c r="L453" t="str">
        <f>FUR!CG33</f>
        <v>1B-26</v>
      </c>
      <c r="M453">
        <f>FUR!CH33</f>
        <v>0</v>
      </c>
      <c r="N453">
        <f>FUR!CI33</f>
        <v>0</v>
      </c>
      <c r="O453">
        <f>FUR!CJ33</f>
        <v>0</v>
      </c>
      <c r="P453" s="143" t="str">
        <f>FUR!CK33</f>
        <v>Active</v>
      </c>
      <c r="R453">
        <f t="shared" si="7"/>
        <v>452</v>
      </c>
    </row>
    <row r="454" spans="5:18">
      <c r="E454" s="147" t="s">
        <v>31</v>
      </c>
      <c r="F454" t="str">
        <f>FUR!CA34</f>
        <v>HPS</v>
      </c>
      <c r="G454" t="str">
        <f>FUR!CB34</f>
        <v>AC</v>
      </c>
      <c r="H454" t="str">
        <f>FUR!CC34</f>
        <v>Vessel</v>
      </c>
      <c r="I454">
        <f>FUR!CD34</f>
        <v>0</v>
      </c>
      <c r="J454" t="str">
        <f>FUR!CE34</f>
        <v>Furniture</v>
      </c>
      <c r="K454" t="str">
        <f>FUR!CF34</f>
        <v>Ag-6, Ag-14</v>
      </c>
      <c r="L454" t="str">
        <f>FUR!CG34</f>
        <v>1B-27</v>
      </c>
      <c r="M454">
        <f>FUR!CH34</f>
        <v>0</v>
      </c>
      <c r="N454">
        <f>FUR!CI34</f>
        <v>0</v>
      </c>
      <c r="O454">
        <f>FUR!CJ34</f>
        <v>0</v>
      </c>
      <c r="P454" s="143" t="str">
        <f>FUR!CK34</f>
        <v>Active</v>
      </c>
      <c r="R454">
        <f t="shared" si="7"/>
        <v>453</v>
      </c>
    </row>
    <row r="455" spans="5:18">
      <c r="E455" s="147" t="s">
        <v>31</v>
      </c>
      <c r="F455" t="str">
        <f>FUR!CA35</f>
        <v>HPS</v>
      </c>
      <c r="G455" t="str">
        <f>FUR!CB35</f>
        <v>AC</v>
      </c>
      <c r="H455" t="str">
        <f>FUR!CC35</f>
        <v>Vessel</v>
      </c>
      <c r="I455">
        <f>FUR!CD35</f>
        <v>0</v>
      </c>
      <c r="J455" t="str">
        <f>FUR!CE35</f>
        <v>Furniture</v>
      </c>
      <c r="K455" t="str">
        <f>FUR!CF35</f>
        <v>Ag-16, Ag-14</v>
      </c>
      <c r="L455" t="str">
        <f>FUR!CG35</f>
        <v>1B-28</v>
      </c>
      <c r="M455">
        <f>FUR!CH35</f>
        <v>0</v>
      </c>
      <c r="N455">
        <f>FUR!CI35</f>
        <v>0</v>
      </c>
      <c r="O455">
        <f>FUR!CJ35</f>
        <v>0</v>
      </c>
      <c r="P455" s="143" t="str">
        <f>FUR!CK35</f>
        <v>Active</v>
      </c>
      <c r="R455">
        <f t="shared" si="7"/>
        <v>454</v>
      </c>
    </row>
    <row r="456" spans="5:18">
      <c r="E456" s="147" t="s">
        <v>31</v>
      </c>
      <c r="F456" t="str">
        <f>FUR!CA36</f>
        <v>HPS</v>
      </c>
      <c r="G456" t="str">
        <f>FUR!CB36</f>
        <v>AC</v>
      </c>
      <c r="H456" t="str">
        <f>FUR!CC36</f>
        <v>Vessel</v>
      </c>
      <c r="I456">
        <f>FUR!CD36</f>
        <v>0</v>
      </c>
      <c r="J456" t="str">
        <f>FUR!CE36</f>
        <v>Furniture</v>
      </c>
      <c r="K456" t="str">
        <f>FUR!CF36</f>
        <v>Ag-16, Ag-14</v>
      </c>
      <c r="L456" t="str">
        <f>FUR!CG36</f>
        <v>1B-29</v>
      </c>
      <c r="M456">
        <f>FUR!CH36</f>
        <v>0</v>
      </c>
      <c r="N456">
        <f>FUR!CI36</f>
        <v>0</v>
      </c>
      <c r="O456">
        <f>FUR!CJ36</f>
        <v>0</v>
      </c>
      <c r="P456" s="143" t="str">
        <f>FUR!CK36</f>
        <v>Active</v>
      </c>
      <c r="R456">
        <f t="shared" si="7"/>
        <v>455</v>
      </c>
    </row>
    <row r="457" spans="5:18">
      <c r="E457" s="147" t="s">
        <v>31</v>
      </c>
      <c r="F457" t="str">
        <f>FUR!CA37</f>
        <v>HPS</v>
      </c>
      <c r="G457" t="str">
        <f>FUR!CB37</f>
        <v>AC</v>
      </c>
      <c r="H457" t="str">
        <f>FUR!CC37</f>
        <v>Vessel</v>
      </c>
      <c r="I457">
        <f>FUR!CD37</f>
        <v>0</v>
      </c>
      <c r="J457" t="str">
        <f>FUR!CE37</f>
        <v>Furniture</v>
      </c>
      <c r="K457" t="str">
        <f>FUR!CF37</f>
        <v>Ni200201-1, NiCr8020-4</v>
      </c>
      <c r="L457" t="str">
        <f>FUR!CG37</f>
        <v>1B-3</v>
      </c>
      <c r="M457">
        <f>FUR!CH37</f>
        <v>0</v>
      </c>
      <c r="N457">
        <f>FUR!CI37</f>
        <v>0</v>
      </c>
      <c r="O457">
        <f>FUR!CJ37</f>
        <v>0</v>
      </c>
      <c r="P457" s="143" t="str">
        <f>FUR!CK37</f>
        <v>Retired</v>
      </c>
      <c r="R457">
        <f t="shared" si="7"/>
        <v>456</v>
      </c>
    </row>
    <row r="458" spans="5:18">
      <c r="E458" s="147" t="s">
        <v>31</v>
      </c>
      <c r="F458" t="str">
        <f>FUR!CA38</f>
        <v>HPS</v>
      </c>
      <c r="G458" t="str">
        <f>FUR!CB38</f>
        <v>AC</v>
      </c>
      <c r="H458" t="str">
        <f>FUR!CC38</f>
        <v>Vessel</v>
      </c>
      <c r="I458">
        <f>FUR!CD38</f>
        <v>0</v>
      </c>
      <c r="J458" t="str">
        <f>FUR!CE38</f>
        <v>Furniture</v>
      </c>
      <c r="K458" t="str">
        <f>FUR!CF38</f>
        <v>Ag-16, Ag-14</v>
      </c>
      <c r="L458" t="str">
        <f>FUR!CG38</f>
        <v>1B-30</v>
      </c>
      <c r="M458">
        <f>FUR!CH38</f>
        <v>0</v>
      </c>
      <c r="N458">
        <f>FUR!CI38</f>
        <v>0</v>
      </c>
      <c r="O458">
        <f>FUR!CJ38</f>
        <v>0</v>
      </c>
      <c r="P458" s="143" t="str">
        <f>FUR!CK38</f>
        <v>Active</v>
      </c>
      <c r="R458">
        <f t="shared" si="7"/>
        <v>457</v>
      </c>
    </row>
    <row r="459" spans="5:18">
      <c r="E459" s="147" t="s">
        <v>31</v>
      </c>
      <c r="F459" t="str">
        <f>FUR!CA39</f>
        <v>HPS</v>
      </c>
      <c r="G459" t="str">
        <f>FUR!CB39</f>
        <v>AC</v>
      </c>
      <c r="H459" t="str">
        <f>FUR!CC39</f>
        <v>Vessel</v>
      </c>
      <c r="I459">
        <f>FUR!CD39</f>
        <v>0</v>
      </c>
      <c r="J459" t="str">
        <f>FUR!CE39</f>
        <v>Furniture</v>
      </c>
      <c r="K459" t="str">
        <f>FUR!CF39</f>
        <v>Ag-16, Ag-14</v>
      </c>
      <c r="L459" t="str">
        <f>FUR!CG39</f>
        <v>1B-31</v>
      </c>
      <c r="M459">
        <f>FUR!CH39</f>
        <v>0</v>
      </c>
      <c r="N459">
        <f>FUR!CI39</f>
        <v>0</v>
      </c>
      <c r="O459">
        <f>FUR!CJ39</f>
        <v>0</v>
      </c>
      <c r="P459" s="143" t="str">
        <f>FUR!CK39</f>
        <v>Active</v>
      </c>
      <c r="R459">
        <f t="shared" si="7"/>
        <v>458</v>
      </c>
    </row>
    <row r="460" spans="5:18">
      <c r="E460" s="147" t="s">
        <v>31</v>
      </c>
      <c r="F460" t="str">
        <f>FUR!CA40</f>
        <v>HPS</v>
      </c>
      <c r="G460" t="str">
        <f>FUR!CB40</f>
        <v>AC</v>
      </c>
      <c r="H460" t="str">
        <f>FUR!CC40</f>
        <v>Vessel</v>
      </c>
      <c r="I460">
        <f>FUR!CD40</f>
        <v>0</v>
      </c>
      <c r="J460" t="str">
        <f>FUR!CE40</f>
        <v>Furniture</v>
      </c>
      <c r="K460" t="str">
        <f>FUR!CF40</f>
        <v>Ag-16, Ag-14</v>
      </c>
      <c r="L460" t="str">
        <f>FUR!CG40</f>
        <v>1B-32</v>
      </c>
      <c r="M460">
        <f>FUR!CH40</f>
        <v>0</v>
      </c>
      <c r="N460">
        <f>FUR!CI40</f>
        <v>0</v>
      </c>
      <c r="O460">
        <f>FUR!CJ40</f>
        <v>0</v>
      </c>
      <c r="P460" s="143" t="str">
        <f>FUR!CK40</f>
        <v>Active</v>
      </c>
      <c r="R460">
        <f t="shared" si="7"/>
        <v>459</v>
      </c>
    </row>
    <row r="461" spans="5:18">
      <c r="E461" s="147" t="s">
        <v>31</v>
      </c>
      <c r="F461" t="str">
        <f>FUR!CA41</f>
        <v>HPS</v>
      </c>
      <c r="G461" t="str">
        <f>FUR!CB41</f>
        <v>AC</v>
      </c>
      <c r="H461" t="str">
        <f>FUR!CC41</f>
        <v>Vessel</v>
      </c>
      <c r="I461">
        <f>FUR!CD41</f>
        <v>0</v>
      </c>
      <c r="J461" t="str">
        <f>FUR!CE41</f>
        <v>Furniture</v>
      </c>
      <c r="K461" t="str">
        <f>FUR!CF41</f>
        <v>Ag-16, Ag-14</v>
      </c>
      <c r="L461" t="str">
        <f>FUR!CG41</f>
        <v>1B-33</v>
      </c>
      <c r="M461">
        <f>FUR!CH41</f>
        <v>0</v>
      </c>
      <c r="N461">
        <f>FUR!CI41</f>
        <v>0</v>
      </c>
      <c r="O461">
        <f>FUR!CJ41</f>
        <v>0</v>
      </c>
      <c r="P461" s="143" t="str">
        <f>FUR!CK41</f>
        <v>Active</v>
      </c>
      <c r="R461">
        <f t="shared" si="7"/>
        <v>460</v>
      </c>
    </row>
    <row r="462" spans="5:18">
      <c r="E462" s="147" t="s">
        <v>31</v>
      </c>
      <c r="F462" t="str">
        <f>FUR!CA42</f>
        <v>HPS</v>
      </c>
      <c r="G462" t="str">
        <f>FUR!CB42</f>
        <v>AC</v>
      </c>
      <c r="H462" t="str">
        <f>FUR!CC42</f>
        <v>Vessel</v>
      </c>
      <c r="I462">
        <f>FUR!CD42</f>
        <v>0</v>
      </c>
      <c r="J462" t="str">
        <f>FUR!CE42</f>
        <v>Furniture</v>
      </c>
      <c r="K462" t="str">
        <f>FUR!CF42</f>
        <v>Ag-16, Ag-14</v>
      </c>
      <c r="L462" t="str">
        <f>FUR!CG42</f>
        <v>1B-34</v>
      </c>
      <c r="M462">
        <f>FUR!CH42</f>
        <v>0</v>
      </c>
      <c r="N462">
        <f>FUR!CI42</f>
        <v>0</v>
      </c>
      <c r="O462">
        <f>FUR!CJ42</f>
        <v>0</v>
      </c>
      <c r="P462" s="143" t="str">
        <f>FUR!CK42</f>
        <v>Active</v>
      </c>
      <c r="R462">
        <f t="shared" si="7"/>
        <v>461</v>
      </c>
    </row>
    <row r="463" spans="5:18">
      <c r="E463" s="147" t="s">
        <v>31</v>
      </c>
      <c r="F463" t="str">
        <f>FUR!CA43</f>
        <v>HPS</v>
      </c>
      <c r="G463" t="str">
        <f>FUR!CB43</f>
        <v>AC</v>
      </c>
      <c r="H463" t="str">
        <f>FUR!CC43</f>
        <v>Vessel</v>
      </c>
      <c r="I463">
        <f>FUR!CD43</f>
        <v>0</v>
      </c>
      <c r="J463" t="str">
        <f>FUR!CE43</f>
        <v>Furniture</v>
      </c>
      <c r="K463" t="str">
        <f>FUR!CF43</f>
        <v>Ag-16, Ag-14</v>
      </c>
      <c r="L463" t="str">
        <f>FUR!CG43</f>
        <v>1B-35</v>
      </c>
      <c r="M463">
        <f>FUR!CH43</f>
        <v>0</v>
      </c>
      <c r="N463">
        <f>FUR!CI43</f>
        <v>0</v>
      </c>
      <c r="O463">
        <f>FUR!CJ43</f>
        <v>0</v>
      </c>
      <c r="P463" s="143" t="str">
        <f>FUR!CK43</f>
        <v>Active</v>
      </c>
      <c r="R463">
        <f t="shared" si="7"/>
        <v>462</v>
      </c>
    </row>
    <row r="464" spans="5:18">
      <c r="E464" s="147" t="s">
        <v>31</v>
      </c>
      <c r="F464" t="str">
        <f>FUR!CA44</f>
        <v>HPS</v>
      </c>
      <c r="G464" t="str">
        <f>FUR!CB44</f>
        <v>AC</v>
      </c>
      <c r="H464" t="str">
        <f>FUR!CC44</f>
        <v>Vessel</v>
      </c>
      <c r="I464">
        <f>FUR!CD44</f>
        <v>0</v>
      </c>
      <c r="J464" t="str">
        <f>FUR!CE44</f>
        <v>Furniture</v>
      </c>
      <c r="K464" t="str">
        <f>FUR!CF44</f>
        <v>Ag-16, Ag-14</v>
      </c>
      <c r="L464" t="str">
        <f>FUR!CG44</f>
        <v>1B-36</v>
      </c>
      <c r="M464">
        <f>FUR!CH44</f>
        <v>0</v>
      </c>
      <c r="N464">
        <f>FUR!CI44</f>
        <v>0</v>
      </c>
      <c r="O464">
        <f>FUR!CJ44</f>
        <v>0</v>
      </c>
      <c r="P464" s="143" t="str">
        <f>FUR!CK44</f>
        <v>Active</v>
      </c>
      <c r="R464">
        <f t="shared" si="7"/>
        <v>463</v>
      </c>
    </row>
    <row r="465" spans="5:18">
      <c r="E465" s="147" t="s">
        <v>31</v>
      </c>
      <c r="F465" t="str">
        <f>FUR!CA45</f>
        <v>HPS</v>
      </c>
      <c r="G465" t="str">
        <f>FUR!CB45</f>
        <v>AC</v>
      </c>
      <c r="H465" t="str">
        <f>FUR!CC45</f>
        <v>Vessel</v>
      </c>
      <c r="I465">
        <f>FUR!CD45</f>
        <v>0</v>
      </c>
      <c r="J465" t="str">
        <f>FUR!CE45</f>
        <v>Furniture</v>
      </c>
      <c r="K465" t="str">
        <f>FUR!CF45</f>
        <v>Mo</v>
      </c>
      <c r="L465" t="str">
        <f>FUR!CG45</f>
        <v>1B-37</v>
      </c>
      <c r="M465">
        <f>FUR!CH45</f>
        <v>0</v>
      </c>
      <c r="N465">
        <f>FUR!CI45</f>
        <v>0</v>
      </c>
      <c r="O465">
        <f>FUR!CJ45</f>
        <v>0</v>
      </c>
      <c r="P465" s="143" t="str">
        <f>FUR!CK45</f>
        <v>Active</v>
      </c>
      <c r="R465">
        <f t="shared" si="7"/>
        <v>464</v>
      </c>
    </row>
    <row r="466" spans="5:18">
      <c r="E466" s="147" t="s">
        <v>31</v>
      </c>
      <c r="F466" t="str">
        <f>FUR!CA46</f>
        <v>HPS</v>
      </c>
      <c r="G466" t="str">
        <f>FUR!CB46</f>
        <v>AC</v>
      </c>
      <c r="H466" t="str">
        <f>FUR!CC46</f>
        <v>Vessel</v>
      </c>
      <c r="I466">
        <f>FUR!CD46</f>
        <v>0</v>
      </c>
      <c r="J466" t="str">
        <f>FUR!CE46</f>
        <v>Furniture</v>
      </c>
      <c r="K466" t="str">
        <f>FUR!CF46</f>
        <v>Mo</v>
      </c>
      <c r="L466" t="str">
        <f>FUR!CG46</f>
        <v>1B-38</v>
      </c>
      <c r="M466">
        <f>FUR!CH46</f>
        <v>0</v>
      </c>
      <c r="N466">
        <f>FUR!CI46</f>
        <v>0</v>
      </c>
      <c r="O466">
        <f>FUR!CJ46</f>
        <v>0</v>
      </c>
      <c r="P466" s="143" t="str">
        <f>FUR!CK46</f>
        <v>Active</v>
      </c>
      <c r="R466">
        <f t="shared" si="7"/>
        <v>465</v>
      </c>
    </row>
    <row r="467" spans="5:18">
      <c r="E467" s="147" t="s">
        <v>31</v>
      </c>
      <c r="F467" t="str">
        <f>FUR!CA47</f>
        <v>HPS</v>
      </c>
      <c r="G467" t="str">
        <f>FUR!CB47</f>
        <v>AC</v>
      </c>
      <c r="H467" t="str">
        <f>FUR!CC47</f>
        <v>Vessel</v>
      </c>
      <c r="I467">
        <f>FUR!CD47</f>
        <v>0</v>
      </c>
      <c r="J467" t="str">
        <f>FUR!CE47</f>
        <v>Furniture</v>
      </c>
      <c r="K467" t="str">
        <f>FUR!CF47</f>
        <v>Mo</v>
      </c>
      <c r="L467" t="str">
        <f>FUR!CG47</f>
        <v>1B-39</v>
      </c>
      <c r="M467">
        <f>FUR!CH47</f>
        <v>0</v>
      </c>
      <c r="N467">
        <f>FUR!CI47</f>
        <v>0</v>
      </c>
      <c r="O467">
        <f>FUR!CJ47</f>
        <v>0</v>
      </c>
      <c r="P467" s="143" t="str">
        <f>FUR!CK47</f>
        <v>Active</v>
      </c>
      <c r="R467">
        <f t="shared" si="7"/>
        <v>466</v>
      </c>
    </row>
    <row r="468" spans="5:18">
      <c r="E468" s="147" t="s">
        <v>31</v>
      </c>
      <c r="F468" t="str">
        <f>FUR!CA48</f>
        <v>HPS</v>
      </c>
      <c r="G468" t="str">
        <f>FUR!CB48</f>
        <v>AC</v>
      </c>
      <c r="H468" t="str">
        <f>FUR!CC48</f>
        <v>Vessel</v>
      </c>
      <c r="I468">
        <f>FUR!CD48</f>
        <v>0</v>
      </c>
      <c r="J468" t="str">
        <f>FUR!CE48</f>
        <v>Furniture</v>
      </c>
      <c r="K468" t="str">
        <f>FUR!CF48</f>
        <v>Ni200201-1, NiCr8020-4</v>
      </c>
      <c r="L468" t="str">
        <f>FUR!CG48</f>
        <v>1B-4</v>
      </c>
      <c r="M468">
        <f>FUR!CH48</f>
        <v>0</v>
      </c>
      <c r="N468">
        <f>FUR!CI48</f>
        <v>0</v>
      </c>
      <c r="O468">
        <f>FUR!CJ48</f>
        <v>0</v>
      </c>
      <c r="P468" s="143" t="str">
        <f>FUR!CK48</f>
        <v>Retired</v>
      </c>
      <c r="R468">
        <f t="shared" si="7"/>
        <v>467</v>
      </c>
    </row>
    <row r="469" spans="5:18">
      <c r="E469" s="147" t="s">
        <v>31</v>
      </c>
      <c r="F469" t="str">
        <f>FUR!CA49</f>
        <v>HPS</v>
      </c>
      <c r="G469" t="str">
        <f>FUR!CB49</f>
        <v>AC</v>
      </c>
      <c r="H469" t="str">
        <f>FUR!CC49</f>
        <v>Vessel</v>
      </c>
      <c r="I469">
        <f>FUR!CD49</f>
        <v>0</v>
      </c>
      <c r="J469" t="str">
        <f>FUR!CE49</f>
        <v>Furniture</v>
      </c>
      <c r="K469" t="str">
        <f>FUR!CF49</f>
        <v>Mo</v>
      </c>
      <c r="L469" t="str">
        <f>FUR!CG49</f>
        <v>1B-40</v>
      </c>
      <c r="M469">
        <f>FUR!CH49</f>
        <v>0</v>
      </c>
      <c r="N469">
        <f>FUR!CI49</f>
        <v>0</v>
      </c>
      <c r="O469">
        <f>FUR!CJ49</f>
        <v>0</v>
      </c>
      <c r="P469" s="143" t="str">
        <f>FUR!CK49</f>
        <v>Active</v>
      </c>
      <c r="R469">
        <f t="shared" si="7"/>
        <v>468</v>
      </c>
    </row>
    <row r="470" spans="5:18">
      <c r="E470" s="147" t="s">
        <v>31</v>
      </c>
      <c r="F470" t="str">
        <f>FUR!CA50</f>
        <v>HPS</v>
      </c>
      <c r="G470" t="str">
        <f>FUR!CB50</f>
        <v>AC</v>
      </c>
      <c r="H470" t="str">
        <f>FUR!CC50</f>
        <v>Vessel</v>
      </c>
      <c r="I470">
        <f>FUR!CD50</f>
        <v>0</v>
      </c>
      <c r="J470" t="str">
        <f>FUR!CE50</f>
        <v>Furniture</v>
      </c>
      <c r="K470" t="str">
        <f>FUR!CF50</f>
        <v>Ag</v>
      </c>
      <c r="L470" t="str">
        <f>FUR!CG50</f>
        <v>1B-41</v>
      </c>
      <c r="M470">
        <f>FUR!CH50</f>
        <v>0</v>
      </c>
      <c r="N470">
        <f>FUR!CI50</f>
        <v>0</v>
      </c>
      <c r="O470">
        <f>FUR!CJ50</f>
        <v>0</v>
      </c>
      <c r="P470" s="143" t="str">
        <f>FUR!CK50</f>
        <v>Active</v>
      </c>
      <c r="R470">
        <f t="shared" si="7"/>
        <v>469</v>
      </c>
    </row>
    <row r="471" spans="5:18">
      <c r="E471" s="147" t="s">
        <v>31</v>
      </c>
      <c r="F471" t="str">
        <f>FUR!CA51</f>
        <v>HPS</v>
      </c>
      <c r="G471" t="str">
        <f>FUR!CB51</f>
        <v>AC</v>
      </c>
      <c r="H471" t="str">
        <f>FUR!CC51</f>
        <v>Vessel</v>
      </c>
      <c r="I471">
        <f>FUR!CD51</f>
        <v>0</v>
      </c>
      <c r="J471" t="str">
        <f>FUR!CE51</f>
        <v>Furniture</v>
      </c>
      <c r="K471" t="str">
        <f>FUR!CF51</f>
        <v>Ag</v>
      </c>
      <c r="L471" t="str">
        <f>FUR!CG51</f>
        <v>1B-42</v>
      </c>
      <c r="M471">
        <f>FUR!CH51</f>
        <v>0</v>
      </c>
      <c r="N471">
        <f>FUR!CI51</f>
        <v>0</v>
      </c>
      <c r="O471">
        <f>FUR!CJ51</f>
        <v>0</v>
      </c>
      <c r="P471" s="143" t="str">
        <f>FUR!CK51</f>
        <v>Active</v>
      </c>
      <c r="R471">
        <f t="shared" si="7"/>
        <v>470</v>
      </c>
    </row>
    <row r="472" spans="5:18">
      <c r="E472" s="147" t="s">
        <v>31</v>
      </c>
      <c r="F472" t="str">
        <f>FUR!CA52</f>
        <v>HPS</v>
      </c>
      <c r="G472" t="str">
        <f>FUR!CB52</f>
        <v>AC</v>
      </c>
      <c r="H472" t="str">
        <f>FUR!CC52</f>
        <v>Vessel</v>
      </c>
      <c r="I472">
        <f>FUR!CD52</f>
        <v>0</v>
      </c>
      <c r="J472" t="str">
        <f>FUR!CE52</f>
        <v>Furniture</v>
      </c>
      <c r="K472" t="str">
        <f>FUR!CF52</f>
        <v>Ag</v>
      </c>
      <c r="L472" t="str">
        <f>FUR!CG52</f>
        <v>1B-43</v>
      </c>
      <c r="M472">
        <f>FUR!CH52</f>
        <v>0</v>
      </c>
      <c r="N472">
        <f>FUR!CI52</f>
        <v>0</v>
      </c>
      <c r="O472">
        <f>FUR!CJ52</f>
        <v>0</v>
      </c>
      <c r="P472" s="143" t="str">
        <f>FUR!CK52</f>
        <v>Active</v>
      </c>
      <c r="R472">
        <f t="shared" si="7"/>
        <v>471</v>
      </c>
    </row>
    <row r="473" spans="5:18">
      <c r="E473" s="147" t="s">
        <v>31</v>
      </c>
      <c r="F473" t="str">
        <f>FUR!CA53</f>
        <v>HPS</v>
      </c>
      <c r="G473" t="str">
        <f>FUR!CB53</f>
        <v>AC</v>
      </c>
      <c r="H473" t="str">
        <f>FUR!CC53</f>
        <v>Vessel</v>
      </c>
      <c r="I473">
        <f>FUR!CD53</f>
        <v>0</v>
      </c>
      <c r="J473" t="str">
        <f>FUR!CE53</f>
        <v>Furniture</v>
      </c>
      <c r="K473" t="str">
        <f>FUR!CF53</f>
        <v>Ag</v>
      </c>
      <c r="L473" t="str">
        <f>FUR!CG53</f>
        <v>1B-44</v>
      </c>
      <c r="M473">
        <f>FUR!CH53</f>
        <v>0</v>
      </c>
      <c r="N473">
        <f>FUR!CI53</f>
        <v>0</v>
      </c>
      <c r="O473">
        <f>FUR!CJ53</f>
        <v>0</v>
      </c>
      <c r="P473" s="143" t="str">
        <f>FUR!CK53</f>
        <v>Active</v>
      </c>
      <c r="R473">
        <f t="shared" si="7"/>
        <v>472</v>
      </c>
    </row>
    <row r="474" spans="5:18">
      <c r="E474" s="147" t="s">
        <v>31</v>
      </c>
      <c r="F474" t="str">
        <f>FUR!CA54</f>
        <v>HPS</v>
      </c>
      <c r="G474" t="str">
        <f>FUR!CB54</f>
        <v>AC</v>
      </c>
      <c r="H474" t="str">
        <f>FUR!CC54</f>
        <v>Vessel</v>
      </c>
      <c r="I474">
        <f>FUR!CD54</f>
        <v>0</v>
      </c>
      <c r="J474" t="str">
        <f>FUR!CE54</f>
        <v>Furniture</v>
      </c>
      <c r="K474" t="str">
        <f>FUR!CF54</f>
        <v>Ni200201-1</v>
      </c>
      <c r="L474" t="str">
        <f>FUR!CG54</f>
        <v>1B-5</v>
      </c>
      <c r="M474">
        <f>FUR!CH54</f>
        <v>0</v>
      </c>
      <c r="N474">
        <f>FUR!CI54</f>
        <v>0</v>
      </c>
      <c r="O474">
        <f>FUR!CJ54</f>
        <v>0</v>
      </c>
      <c r="P474" s="143" t="str">
        <f>FUR!CK54</f>
        <v>Active</v>
      </c>
      <c r="R474">
        <f t="shared" si="7"/>
        <v>473</v>
      </c>
    </row>
    <row r="475" spans="5:18">
      <c r="E475" s="147" t="s">
        <v>31</v>
      </c>
      <c r="F475" t="str">
        <f>FUR!CA55</f>
        <v>HPS</v>
      </c>
      <c r="G475" t="str">
        <f>FUR!CB55</f>
        <v>AC</v>
      </c>
      <c r="H475" t="str">
        <f>FUR!CC55</f>
        <v>Vessel</v>
      </c>
      <c r="I475">
        <f>FUR!CD55</f>
        <v>0</v>
      </c>
      <c r="J475" t="str">
        <f>FUR!CE55</f>
        <v>Furniture</v>
      </c>
      <c r="K475" t="str">
        <f>FUR!CF55</f>
        <v>Ni200201-1, NiCr8020-4</v>
      </c>
      <c r="L475" t="str">
        <f>FUR!CG55</f>
        <v>1B-6</v>
      </c>
      <c r="M475">
        <f>FUR!CH55</f>
        <v>0</v>
      </c>
      <c r="N475">
        <f>FUR!CI55</f>
        <v>0</v>
      </c>
      <c r="O475">
        <f>FUR!CJ55</f>
        <v>0</v>
      </c>
      <c r="P475" s="143" t="str">
        <f>FUR!CK55</f>
        <v>Active</v>
      </c>
      <c r="R475">
        <f t="shared" si="7"/>
        <v>474</v>
      </c>
    </row>
    <row r="476" spans="5:18">
      <c r="E476" s="147" t="s">
        <v>31</v>
      </c>
      <c r="F476" t="str">
        <f>FUR!CA56</f>
        <v>HPS</v>
      </c>
      <c r="G476" t="str">
        <f>FUR!CB56</f>
        <v>AC</v>
      </c>
      <c r="H476" t="str">
        <f>FUR!CC56</f>
        <v>Vessel</v>
      </c>
      <c r="I476">
        <f>FUR!CD56</f>
        <v>0</v>
      </c>
      <c r="J476" t="str">
        <f>FUR!CE56</f>
        <v>Furniture</v>
      </c>
      <c r="K476" t="str">
        <f>FUR!CF56</f>
        <v>Ni200201-1, NiCr8020-4</v>
      </c>
      <c r="L476" t="str">
        <f>FUR!CG56</f>
        <v>1B-7</v>
      </c>
      <c r="M476">
        <f>FUR!CH56</f>
        <v>0</v>
      </c>
      <c r="N476">
        <f>FUR!CI56</f>
        <v>0</v>
      </c>
      <c r="O476">
        <f>FUR!CJ56</f>
        <v>0</v>
      </c>
      <c r="P476" s="143" t="str">
        <f>FUR!CK56</f>
        <v>Active</v>
      </c>
      <c r="R476">
        <f t="shared" si="7"/>
        <v>475</v>
      </c>
    </row>
    <row r="477" spans="5:18">
      <c r="E477" s="147" t="s">
        <v>31</v>
      </c>
      <c r="F477" t="str">
        <f>FUR!CA57</f>
        <v>HPS</v>
      </c>
      <c r="G477" t="str">
        <f>FUR!CB57</f>
        <v>AC</v>
      </c>
      <c r="H477" t="str">
        <f>FUR!CC57</f>
        <v>Vessel</v>
      </c>
      <c r="I477">
        <f>FUR!CD57</f>
        <v>0</v>
      </c>
      <c r="J477" t="str">
        <f>FUR!CE57</f>
        <v>Furniture</v>
      </c>
      <c r="K477" t="str">
        <f>FUR!CF57</f>
        <v>Ni200201-1, NiCr8020-4</v>
      </c>
      <c r="L477" t="str">
        <f>FUR!CG57</f>
        <v>1B-8</v>
      </c>
      <c r="M477">
        <f>FUR!CH57</f>
        <v>0</v>
      </c>
      <c r="N477">
        <f>FUR!CI57</f>
        <v>0</v>
      </c>
      <c r="O477">
        <f>FUR!CJ57</f>
        <v>0</v>
      </c>
      <c r="P477" s="143" t="str">
        <f>FUR!CK57</f>
        <v>Active</v>
      </c>
      <c r="R477">
        <f t="shared" si="7"/>
        <v>476</v>
      </c>
    </row>
    <row r="478" spans="5:18">
      <c r="E478" s="147" t="s">
        <v>31</v>
      </c>
      <c r="F478" t="str">
        <f>FUR!CA58</f>
        <v>HPS</v>
      </c>
      <c r="G478" t="str">
        <f>FUR!CB58</f>
        <v>AC</v>
      </c>
      <c r="H478" t="str">
        <f>FUR!CC58</f>
        <v>Vessel</v>
      </c>
      <c r="I478">
        <f>FUR!CD58</f>
        <v>0</v>
      </c>
      <c r="J478" t="str">
        <f>FUR!CE58</f>
        <v>Furniture</v>
      </c>
      <c r="K478" t="str">
        <f>FUR!CF58</f>
        <v>Ni200201-1, NiCr8020-4</v>
      </c>
      <c r="L478" t="str">
        <f>FUR!CG58</f>
        <v>1B-9</v>
      </c>
      <c r="M478">
        <f>FUR!CH58</f>
        <v>0</v>
      </c>
      <c r="N478">
        <f>FUR!CI58</f>
        <v>0</v>
      </c>
      <c r="O478">
        <f>FUR!CJ58</f>
        <v>0</v>
      </c>
      <c r="P478" s="143" t="str">
        <f>FUR!CK58</f>
        <v>Active</v>
      </c>
      <c r="R478">
        <f t="shared" si="7"/>
        <v>477</v>
      </c>
    </row>
    <row r="479" spans="5:18">
      <c r="E479" s="147" t="s">
        <v>31</v>
      </c>
      <c r="F479" t="str">
        <f>FUR!CA59</f>
        <v>HPS</v>
      </c>
      <c r="G479" t="str">
        <f>FUR!CB59</f>
        <v>AC</v>
      </c>
      <c r="H479" t="str">
        <f>FUR!CC59</f>
        <v>Vessel</v>
      </c>
      <c r="I479">
        <f>FUR!CD59</f>
        <v>0</v>
      </c>
      <c r="J479" t="str">
        <f>FUR!CE59</f>
        <v>Furniture</v>
      </c>
      <c r="K479" t="str">
        <f>FUR!CF59</f>
        <v>Inc625</v>
      </c>
      <c r="L479" t="str">
        <f>FUR!CG59</f>
        <v>1Bc-1</v>
      </c>
      <c r="M479">
        <f>FUR!CH59</f>
        <v>0</v>
      </c>
      <c r="N479">
        <f>FUR!CI59</f>
        <v>0</v>
      </c>
      <c r="O479">
        <f>FUR!CJ59</f>
        <v>0</v>
      </c>
      <c r="P479" s="143" t="str">
        <f>FUR!CK59</f>
        <v>Active</v>
      </c>
      <c r="R479">
        <f t="shared" si="7"/>
        <v>478</v>
      </c>
    </row>
    <row r="480" spans="5:18">
      <c r="E480" s="147" t="s">
        <v>31</v>
      </c>
      <c r="F480" t="str">
        <f>FUR!CA60</f>
        <v>HPS</v>
      </c>
      <c r="G480" t="str">
        <f>FUR!CB60</f>
        <v>AC</v>
      </c>
      <c r="H480" t="str">
        <f>FUR!CC60</f>
        <v>Vessel</v>
      </c>
      <c r="I480">
        <f>FUR!CD60</f>
        <v>0</v>
      </c>
      <c r="J480" t="str">
        <f>FUR!CE60</f>
        <v>Furniture</v>
      </c>
      <c r="K480" t="str">
        <f>FUR!CF60</f>
        <v>Inc625</v>
      </c>
      <c r="L480" t="str">
        <f>FUR!CG60</f>
        <v>1Bc-2</v>
      </c>
      <c r="M480">
        <f>FUR!CH60</f>
        <v>0</v>
      </c>
      <c r="N480">
        <f>FUR!CI60</f>
        <v>0</v>
      </c>
      <c r="O480">
        <f>FUR!CJ60</f>
        <v>0</v>
      </c>
      <c r="P480" s="143" t="str">
        <f>FUR!CK60</f>
        <v>Active</v>
      </c>
      <c r="R480">
        <f t="shared" si="7"/>
        <v>479</v>
      </c>
    </row>
    <row r="481" spans="5:18">
      <c r="E481" s="147" t="s">
        <v>31</v>
      </c>
      <c r="F481" t="str">
        <f>FUR!CA61</f>
        <v>HPS</v>
      </c>
      <c r="G481" t="str">
        <f>FUR!CB61</f>
        <v>AC</v>
      </c>
      <c r="H481" t="str">
        <f>FUR!CC61</f>
        <v>Vessel</v>
      </c>
      <c r="I481">
        <f>FUR!CD61</f>
        <v>0</v>
      </c>
      <c r="J481" t="str">
        <f>FUR!CE61</f>
        <v>Furniture</v>
      </c>
      <c r="K481" t="str">
        <f>FUR!CF61</f>
        <v>Inc625</v>
      </c>
      <c r="L481" t="str">
        <f>FUR!CG61</f>
        <v>1Bc-3</v>
      </c>
      <c r="M481">
        <f>FUR!CH61</f>
        <v>0</v>
      </c>
      <c r="N481">
        <f>FUR!CI61</f>
        <v>0</v>
      </c>
      <c r="O481">
        <f>FUR!CJ61</f>
        <v>0</v>
      </c>
      <c r="P481" s="143" t="str">
        <f>FUR!CK61</f>
        <v>Active</v>
      </c>
      <c r="R481">
        <f t="shared" si="7"/>
        <v>480</v>
      </c>
    </row>
    <row r="482" spans="5:18">
      <c r="E482" s="147" t="s">
        <v>31</v>
      </c>
      <c r="F482" t="str">
        <f>FUR!CA62</f>
        <v>HPS</v>
      </c>
      <c r="G482" t="str">
        <f>FUR!CB62</f>
        <v>AC</v>
      </c>
      <c r="H482" t="str">
        <f>FUR!CC62</f>
        <v>Vessel</v>
      </c>
      <c r="I482">
        <f>FUR!CD62</f>
        <v>0</v>
      </c>
      <c r="J482" t="str">
        <f>FUR!CE62</f>
        <v>Furniture</v>
      </c>
      <c r="K482" t="str">
        <f>FUR!CF62</f>
        <v>Ni-20, Ni-19</v>
      </c>
      <c r="L482" t="str">
        <f>FUR!CG62</f>
        <v>1C-0</v>
      </c>
      <c r="M482">
        <f>FUR!CH62</f>
        <v>0</v>
      </c>
      <c r="N482">
        <f>FUR!CI62</f>
        <v>0</v>
      </c>
      <c r="O482">
        <f>FUR!CJ62</f>
        <v>0</v>
      </c>
      <c r="P482" s="143" t="str">
        <f>FUR!CK62</f>
        <v>Retired</v>
      </c>
      <c r="R482">
        <f t="shared" si="7"/>
        <v>481</v>
      </c>
    </row>
    <row r="483" spans="5:18">
      <c r="E483" s="147" t="s">
        <v>31</v>
      </c>
      <c r="F483" t="str">
        <f>FUR!CA63</f>
        <v>HPS</v>
      </c>
      <c r="G483" t="str">
        <f>FUR!CB63</f>
        <v>AC</v>
      </c>
      <c r="H483" t="str">
        <f>FUR!CC63</f>
        <v>Vessel</v>
      </c>
      <c r="I483">
        <f>FUR!CD63</f>
        <v>0</v>
      </c>
      <c r="J483" t="str">
        <f>FUR!CE63</f>
        <v>Furniture</v>
      </c>
      <c r="K483" t="str">
        <f>FUR!CF63</f>
        <v>Ni-20, Ni-19</v>
      </c>
      <c r="L483" t="str">
        <f>FUR!CG63</f>
        <v>1C-1</v>
      </c>
      <c r="M483">
        <f>FUR!CH63</f>
        <v>0</v>
      </c>
      <c r="N483">
        <f>FUR!CI63</f>
        <v>0</v>
      </c>
      <c r="O483">
        <f>FUR!CJ63</f>
        <v>0</v>
      </c>
      <c r="P483" s="143" t="str">
        <f>FUR!CK63</f>
        <v>Active</v>
      </c>
      <c r="R483">
        <f t="shared" si="7"/>
        <v>482</v>
      </c>
    </row>
    <row r="484" spans="5:18">
      <c r="E484" s="147" t="s">
        <v>31</v>
      </c>
      <c r="F484" t="str">
        <f>FUR!CA64</f>
        <v>HPS</v>
      </c>
      <c r="G484" t="str">
        <f>FUR!CB64</f>
        <v>AC</v>
      </c>
      <c r="H484" t="str">
        <f>FUR!CC64</f>
        <v>Vessel</v>
      </c>
      <c r="I484">
        <f>FUR!CD64</f>
        <v>0</v>
      </c>
      <c r="J484" t="str">
        <f>FUR!CE64</f>
        <v>Furniture</v>
      </c>
      <c r="K484" t="str">
        <f>FUR!CF64</f>
        <v>W-6, W-3</v>
      </c>
      <c r="L484" t="str">
        <f>FUR!CG64</f>
        <v>1C-10</v>
      </c>
      <c r="M484">
        <f>FUR!CH64</f>
        <v>0</v>
      </c>
      <c r="N484">
        <f>FUR!CI64</f>
        <v>0</v>
      </c>
      <c r="O484">
        <f>FUR!CJ64</f>
        <v>0</v>
      </c>
      <c r="P484" s="143" t="str">
        <f>FUR!CK64</f>
        <v>Active</v>
      </c>
      <c r="R484">
        <f t="shared" si="7"/>
        <v>483</v>
      </c>
    </row>
    <row r="485" spans="5:18">
      <c r="E485" s="147" t="s">
        <v>31</v>
      </c>
      <c r="F485" t="str">
        <f>FUR!CA65</f>
        <v>HPS</v>
      </c>
      <c r="G485" t="str">
        <f>FUR!CB65</f>
        <v>AC</v>
      </c>
      <c r="H485" t="str">
        <f>FUR!CC65</f>
        <v>Vessel</v>
      </c>
      <c r="I485">
        <f>FUR!CD65</f>
        <v>0</v>
      </c>
      <c r="J485" t="str">
        <f>FUR!CE65</f>
        <v>Furniture</v>
      </c>
      <c r="K485" t="str">
        <f>FUR!CF65</f>
        <v>BN-1</v>
      </c>
      <c r="L485" t="str">
        <f>FUR!CG65</f>
        <v>1C-11</v>
      </c>
      <c r="M485">
        <f>FUR!CH65</f>
        <v>0</v>
      </c>
      <c r="N485">
        <f>FUR!CI65</f>
        <v>0</v>
      </c>
      <c r="O485">
        <f>FUR!CJ65</f>
        <v>0</v>
      </c>
      <c r="P485" s="143" t="str">
        <f>FUR!CK65</f>
        <v>Active</v>
      </c>
      <c r="R485">
        <f t="shared" si="7"/>
        <v>484</v>
      </c>
    </row>
    <row r="486" spans="5:18">
      <c r="E486" s="147" t="s">
        <v>31</v>
      </c>
      <c r="F486" t="str">
        <f>FUR!CA66</f>
        <v>HPS</v>
      </c>
      <c r="G486" t="str">
        <f>FUR!CB66</f>
        <v>AC</v>
      </c>
      <c r="H486" t="str">
        <f>FUR!CC66</f>
        <v>Vessel</v>
      </c>
      <c r="I486">
        <f>FUR!CD66</f>
        <v>0</v>
      </c>
      <c r="J486" t="str">
        <f>FUR!CE66</f>
        <v>Furniture</v>
      </c>
      <c r="K486" t="str">
        <f>FUR!CF66</f>
        <v>Ag-8, Ag-10, Ag-6, Ag-4</v>
      </c>
      <c r="L486" t="str">
        <f>FUR!CG66</f>
        <v>1C-12</v>
      </c>
      <c r="M486">
        <f>FUR!CH66</f>
        <v>0</v>
      </c>
      <c r="N486">
        <f>FUR!CI66</f>
        <v>0</v>
      </c>
      <c r="O486">
        <f>FUR!CJ66</f>
        <v>0</v>
      </c>
      <c r="P486" s="143" t="str">
        <f>FUR!CK66</f>
        <v>Active</v>
      </c>
      <c r="R486">
        <f t="shared" si="7"/>
        <v>485</v>
      </c>
    </row>
    <row r="487" spans="5:18">
      <c r="E487" s="147" t="s">
        <v>31</v>
      </c>
      <c r="F487" t="str">
        <f>FUR!CA67</f>
        <v>HPS</v>
      </c>
      <c r="G487" t="str">
        <f>FUR!CB67</f>
        <v>AC</v>
      </c>
      <c r="H487" t="str">
        <f>FUR!CC67</f>
        <v>Vessel</v>
      </c>
      <c r="I487">
        <f>FUR!CD67</f>
        <v>0</v>
      </c>
      <c r="J487" t="str">
        <f>FUR!CE67</f>
        <v>Furniture</v>
      </c>
      <c r="K487" t="str">
        <f>FUR!CF67</f>
        <v>Ag-15, Ag-10, Ag-6, Ag-4</v>
      </c>
      <c r="L487" t="str">
        <f>FUR!CG67</f>
        <v>1C-13</v>
      </c>
      <c r="M487">
        <f>FUR!CH67</f>
        <v>0</v>
      </c>
      <c r="N487">
        <f>FUR!CI67</f>
        <v>0</v>
      </c>
      <c r="O487">
        <f>FUR!CJ67</f>
        <v>0</v>
      </c>
      <c r="P487" s="143" t="str">
        <f>FUR!CK67</f>
        <v>Active</v>
      </c>
      <c r="R487">
        <f t="shared" si="7"/>
        <v>486</v>
      </c>
    </row>
    <row r="488" spans="5:18">
      <c r="E488" s="147" t="s">
        <v>31</v>
      </c>
      <c r="F488" t="str">
        <f>FUR!CA68</f>
        <v>HPS</v>
      </c>
      <c r="G488" t="str">
        <f>FUR!CB68</f>
        <v>AC</v>
      </c>
      <c r="H488" t="str">
        <f>FUR!CC68</f>
        <v>Vessel</v>
      </c>
      <c r="I488">
        <f>FUR!CD68</f>
        <v>0</v>
      </c>
      <c r="J488" t="str">
        <f>FUR!CE68</f>
        <v>Furniture</v>
      </c>
      <c r="K488" t="str">
        <f>FUR!CF68</f>
        <v>Ag-15, Ag-10, Ag-6, Ag-4</v>
      </c>
      <c r="L488" t="str">
        <f>FUR!CG68</f>
        <v>1C-14</v>
      </c>
      <c r="M488">
        <f>FUR!CH68</f>
        <v>0</v>
      </c>
      <c r="N488">
        <f>FUR!CI68</f>
        <v>0</v>
      </c>
      <c r="O488">
        <f>FUR!CJ68</f>
        <v>0</v>
      </c>
      <c r="P488" s="143" t="str">
        <f>FUR!CK68</f>
        <v>Active</v>
      </c>
      <c r="R488">
        <f t="shared" si="7"/>
        <v>487</v>
      </c>
    </row>
    <row r="489" spans="5:18">
      <c r="E489" s="147" t="s">
        <v>31</v>
      </c>
      <c r="F489" t="str">
        <f>FUR!CA69</f>
        <v>HPS</v>
      </c>
      <c r="G489" t="str">
        <f>FUR!CB69</f>
        <v>AC</v>
      </c>
      <c r="H489" t="str">
        <f>FUR!CC69</f>
        <v>Vessel</v>
      </c>
      <c r="I489">
        <f>FUR!CD69</f>
        <v>0</v>
      </c>
      <c r="J489" t="str">
        <f>FUR!CE69</f>
        <v>Furniture</v>
      </c>
      <c r="K489" t="str">
        <f>FUR!CF69</f>
        <v>Ag-15, Ag-10, Ag-6, Ag-4</v>
      </c>
      <c r="L489" t="str">
        <f>FUR!CG69</f>
        <v>1C-15</v>
      </c>
      <c r="M489">
        <f>FUR!CH69</f>
        <v>0</v>
      </c>
      <c r="N489">
        <f>FUR!CI69</f>
        <v>0</v>
      </c>
      <c r="O489">
        <f>FUR!CJ69</f>
        <v>0</v>
      </c>
      <c r="P489" s="143" t="str">
        <f>FUR!CK69</f>
        <v>Active</v>
      </c>
      <c r="R489">
        <f t="shared" si="7"/>
        <v>488</v>
      </c>
    </row>
    <row r="490" spans="5:18">
      <c r="E490" s="147" t="s">
        <v>31</v>
      </c>
      <c r="F490" t="str">
        <f>FUR!CA70</f>
        <v>HPS</v>
      </c>
      <c r="G490" t="str">
        <f>FUR!CB70</f>
        <v>AC</v>
      </c>
      <c r="H490" t="str">
        <f>FUR!CC70</f>
        <v>Vessel</v>
      </c>
      <c r="I490">
        <f>FUR!CD70</f>
        <v>0</v>
      </c>
      <c r="J490" t="str">
        <f>FUR!CE70</f>
        <v>Furniture</v>
      </c>
      <c r="K490" t="str">
        <f>FUR!CF70</f>
        <v>Ag-11, Ag-10</v>
      </c>
      <c r="L490" t="str">
        <f>FUR!CG70</f>
        <v>1C-16</v>
      </c>
      <c r="M490">
        <f>FUR!CH70</f>
        <v>0</v>
      </c>
      <c r="N490">
        <f>FUR!CI70</f>
        <v>0</v>
      </c>
      <c r="O490">
        <f>FUR!CJ70</f>
        <v>0</v>
      </c>
      <c r="P490" s="143" t="str">
        <f>FUR!CK70</f>
        <v>Active</v>
      </c>
      <c r="R490">
        <f t="shared" si="7"/>
        <v>489</v>
      </c>
    </row>
    <row r="491" spans="5:18">
      <c r="E491" s="147" t="s">
        <v>31</v>
      </c>
      <c r="F491" t="str">
        <f>FUR!CA71</f>
        <v>HPS</v>
      </c>
      <c r="G491" t="str">
        <f>FUR!CB71</f>
        <v>AC</v>
      </c>
      <c r="H491" t="str">
        <f>FUR!CC71</f>
        <v>Vessel</v>
      </c>
      <c r="I491">
        <f>FUR!CD71</f>
        <v>0</v>
      </c>
      <c r="J491" t="str">
        <f>FUR!CE71</f>
        <v>Furniture</v>
      </c>
      <c r="K491" t="str">
        <f>FUR!CF71</f>
        <v>Ag-6, Ag-10</v>
      </c>
      <c r="L491" t="str">
        <f>FUR!CG71</f>
        <v>1C-17</v>
      </c>
      <c r="M491">
        <f>FUR!CH71</f>
        <v>0</v>
      </c>
      <c r="N491">
        <f>FUR!CI71</f>
        <v>0</v>
      </c>
      <c r="O491">
        <f>FUR!CJ71</f>
        <v>0</v>
      </c>
      <c r="P491" s="143" t="str">
        <f>FUR!CK71</f>
        <v>Active</v>
      </c>
      <c r="R491">
        <f t="shared" si="7"/>
        <v>490</v>
      </c>
    </row>
    <row r="492" spans="5:18">
      <c r="E492" s="147" t="s">
        <v>31</v>
      </c>
      <c r="F492" t="str">
        <f>FUR!CA72</f>
        <v>HPS</v>
      </c>
      <c r="G492" t="str">
        <f>FUR!CB72</f>
        <v>AC</v>
      </c>
      <c r="H492" t="str">
        <f>FUR!CC72</f>
        <v>Vessel</v>
      </c>
      <c r="I492">
        <f>FUR!CD72</f>
        <v>0</v>
      </c>
      <c r="J492" t="str">
        <f>FUR!CE72</f>
        <v>Furniture</v>
      </c>
      <c r="K492">
        <f>FUR!CF72</f>
        <v>0</v>
      </c>
      <c r="L492" t="str">
        <f>FUR!CG72</f>
        <v>1C-18</v>
      </c>
      <c r="M492">
        <f>FUR!CH72</f>
        <v>0</v>
      </c>
      <c r="N492">
        <f>FUR!CI72</f>
        <v>0</v>
      </c>
      <c r="O492">
        <f>FUR!CJ72</f>
        <v>0</v>
      </c>
      <c r="P492" s="143" t="str">
        <f>FUR!CK72</f>
        <v>Active</v>
      </c>
      <c r="R492">
        <f t="shared" si="7"/>
        <v>491</v>
      </c>
    </row>
    <row r="493" spans="5:18">
      <c r="E493" s="147" t="s">
        <v>31</v>
      </c>
      <c r="F493" t="str">
        <f>FUR!CA73</f>
        <v>HPS</v>
      </c>
      <c r="G493" t="str">
        <f>FUR!CB73</f>
        <v>AC</v>
      </c>
      <c r="H493" t="str">
        <f>FUR!CC73</f>
        <v>Vessel</v>
      </c>
      <c r="I493">
        <f>FUR!CD73</f>
        <v>0</v>
      </c>
      <c r="J493" t="str">
        <f>FUR!CE73</f>
        <v>Furniture</v>
      </c>
      <c r="K493" t="str">
        <f>FUR!CF73</f>
        <v>Ag-16</v>
      </c>
      <c r="L493" t="str">
        <f>FUR!CG73</f>
        <v>1C-19</v>
      </c>
      <c r="M493">
        <f>FUR!CH73</f>
        <v>0</v>
      </c>
      <c r="N493">
        <f>FUR!CI73</f>
        <v>0</v>
      </c>
      <c r="O493">
        <f>FUR!CJ73</f>
        <v>0</v>
      </c>
      <c r="P493" s="143" t="str">
        <f>FUR!CK73</f>
        <v>Active</v>
      </c>
      <c r="R493">
        <f t="shared" si="7"/>
        <v>492</v>
      </c>
    </row>
    <row r="494" spans="5:18">
      <c r="E494" s="147" t="s">
        <v>31</v>
      </c>
      <c r="F494" t="str">
        <f>FUR!CA74</f>
        <v>HPS</v>
      </c>
      <c r="G494" t="str">
        <f>FUR!CB74</f>
        <v>AC</v>
      </c>
      <c r="H494" t="str">
        <f>FUR!CC74</f>
        <v>Vessel</v>
      </c>
      <c r="I494">
        <f>FUR!CD74</f>
        <v>0</v>
      </c>
      <c r="J494" t="str">
        <f>FUR!CE74</f>
        <v>Furniture</v>
      </c>
      <c r="K494" t="str">
        <f>FUR!CF74</f>
        <v>Ni-20, Ni-19</v>
      </c>
      <c r="L494" t="str">
        <f>FUR!CG74</f>
        <v>1C-2</v>
      </c>
      <c r="M494">
        <f>FUR!CH74</f>
        <v>0</v>
      </c>
      <c r="N494">
        <f>FUR!CI74</f>
        <v>0</v>
      </c>
      <c r="O494">
        <f>FUR!CJ74</f>
        <v>0</v>
      </c>
      <c r="P494" s="143" t="str">
        <f>FUR!CK74</f>
        <v>Active</v>
      </c>
      <c r="R494">
        <f t="shared" si="7"/>
        <v>493</v>
      </c>
    </row>
    <row r="495" spans="5:18">
      <c r="E495" s="147" t="s">
        <v>31</v>
      </c>
      <c r="F495" t="str">
        <f>FUR!CA75</f>
        <v>HPS</v>
      </c>
      <c r="G495" t="str">
        <f>FUR!CB75</f>
        <v>AC</v>
      </c>
      <c r="H495" t="str">
        <f>FUR!CC75</f>
        <v>Vessel</v>
      </c>
      <c r="I495">
        <f>FUR!CD75</f>
        <v>0</v>
      </c>
      <c r="J495" t="str">
        <f>FUR!CE75</f>
        <v>Furniture</v>
      </c>
      <c r="K495" t="str">
        <f>FUR!CF75</f>
        <v>Ag-6</v>
      </c>
      <c r="L495" t="str">
        <f>FUR!CG75</f>
        <v>1C-20</v>
      </c>
      <c r="M495">
        <f>FUR!CH75</f>
        <v>0</v>
      </c>
      <c r="N495">
        <f>FUR!CI75</f>
        <v>0</v>
      </c>
      <c r="O495">
        <f>FUR!CJ75</f>
        <v>0</v>
      </c>
      <c r="P495" s="143" t="str">
        <f>FUR!CK75</f>
        <v>Active</v>
      </c>
      <c r="R495">
        <f t="shared" si="7"/>
        <v>494</v>
      </c>
    </row>
    <row r="496" spans="5:18">
      <c r="E496" s="147" t="s">
        <v>31</v>
      </c>
      <c r="F496" t="str">
        <f>FUR!CA76</f>
        <v>HPS</v>
      </c>
      <c r="G496" t="str">
        <f>FUR!CB76</f>
        <v>AC</v>
      </c>
      <c r="H496" t="str">
        <f>FUR!CC76</f>
        <v>Vessel</v>
      </c>
      <c r="I496">
        <f>FUR!CD76</f>
        <v>0</v>
      </c>
      <c r="J496" t="str">
        <f>FUR!CE76</f>
        <v>Furniture</v>
      </c>
      <c r="K496" t="str">
        <f>FUR!CF76</f>
        <v>Ag-6</v>
      </c>
      <c r="L496" t="str">
        <f>FUR!CG76</f>
        <v>1C-21</v>
      </c>
      <c r="M496">
        <f>FUR!CH76</f>
        <v>0</v>
      </c>
      <c r="N496">
        <f>FUR!CI76</f>
        <v>0</v>
      </c>
      <c r="O496">
        <f>FUR!CJ76</f>
        <v>0</v>
      </c>
      <c r="P496" s="143" t="str">
        <f>FUR!CK76</f>
        <v>Active</v>
      </c>
      <c r="R496">
        <f t="shared" si="7"/>
        <v>495</v>
      </c>
    </row>
    <row r="497" spans="5:18">
      <c r="E497" s="147" t="s">
        <v>31</v>
      </c>
      <c r="F497" t="str">
        <f>FUR!CA77</f>
        <v>HPS</v>
      </c>
      <c r="G497" t="str">
        <f>FUR!CB77</f>
        <v>AC</v>
      </c>
      <c r="H497" t="str">
        <f>FUR!CC77</f>
        <v>Vessel</v>
      </c>
      <c r="I497">
        <f>FUR!CD77</f>
        <v>0</v>
      </c>
      <c r="J497" t="str">
        <f>FUR!CE77</f>
        <v>Furniture</v>
      </c>
      <c r="K497" t="str">
        <f>FUR!CF77</f>
        <v>Ag-6</v>
      </c>
      <c r="L497" t="str">
        <f>FUR!CG77</f>
        <v>1C-22</v>
      </c>
      <c r="M497">
        <f>FUR!CH77</f>
        <v>0</v>
      </c>
      <c r="N497">
        <f>FUR!CI77</f>
        <v>0</v>
      </c>
      <c r="O497">
        <f>FUR!CJ77</f>
        <v>0</v>
      </c>
      <c r="P497" s="143" t="str">
        <f>FUR!CK77</f>
        <v>Active</v>
      </c>
      <c r="R497">
        <f t="shared" si="7"/>
        <v>496</v>
      </c>
    </row>
    <row r="498" spans="5:18">
      <c r="E498" s="147" t="s">
        <v>31</v>
      </c>
      <c r="F498" t="str">
        <f>FUR!CA78</f>
        <v>HPS</v>
      </c>
      <c r="G498" t="str">
        <f>FUR!CB78</f>
        <v>AC</v>
      </c>
      <c r="H498" t="str">
        <f>FUR!CC78</f>
        <v>Vessel</v>
      </c>
      <c r="I498">
        <f>FUR!CD78</f>
        <v>0</v>
      </c>
      <c r="J498" t="str">
        <f>FUR!CE78</f>
        <v>Furniture</v>
      </c>
      <c r="K498" t="str">
        <f>FUR!CF78</f>
        <v>Ag-6, Ag-14, Ag-15, Ag-4</v>
      </c>
      <c r="L498" t="str">
        <f>FUR!CG78</f>
        <v>1C-23</v>
      </c>
      <c r="M498">
        <f>FUR!CH78</f>
        <v>0</v>
      </c>
      <c r="N498">
        <f>FUR!CI78</f>
        <v>0</v>
      </c>
      <c r="O498">
        <f>FUR!CJ78</f>
        <v>0</v>
      </c>
      <c r="P498" s="143" t="str">
        <f>FUR!CK78</f>
        <v>Active</v>
      </c>
      <c r="R498">
        <f t="shared" si="7"/>
        <v>497</v>
      </c>
    </row>
    <row r="499" spans="5:18">
      <c r="E499" s="147" t="s">
        <v>31</v>
      </c>
      <c r="F499" t="str">
        <f>FUR!CA79</f>
        <v>HPS</v>
      </c>
      <c r="G499" t="str">
        <f>FUR!CB79</f>
        <v>AC</v>
      </c>
      <c r="H499" t="str">
        <f>FUR!CC79</f>
        <v>Vessel</v>
      </c>
      <c r="I499">
        <f>FUR!CD79</f>
        <v>0</v>
      </c>
      <c r="J499" t="str">
        <f>FUR!CE79</f>
        <v>Furniture</v>
      </c>
      <c r="K499" t="str">
        <f>FUR!CF79</f>
        <v>Ag-4, Ag-14, Ag-15, Ag-16</v>
      </c>
      <c r="L499" t="str">
        <f>FUR!CG79</f>
        <v>1C-24</v>
      </c>
      <c r="M499">
        <f>FUR!CH79</f>
        <v>0</v>
      </c>
      <c r="N499">
        <f>FUR!CI79</f>
        <v>0</v>
      </c>
      <c r="O499">
        <f>FUR!CJ79</f>
        <v>0</v>
      </c>
      <c r="P499" s="143" t="str">
        <f>FUR!CK79</f>
        <v>Active</v>
      </c>
      <c r="R499">
        <f t="shared" si="7"/>
        <v>498</v>
      </c>
    </row>
    <row r="500" spans="5:18">
      <c r="E500" s="147" t="s">
        <v>31</v>
      </c>
      <c r="F500" t="str">
        <f>FUR!CA80</f>
        <v>HPS</v>
      </c>
      <c r="G500" t="str">
        <f>FUR!CB80</f>
        <v>AC</v>
      </c>
      <c r="H500" t="str">
        <f>FUR!CC80</f>
        <v>Vessel</v>
      </c>
      <c r="I500">
        <f>FUR!CD80</f>
        <v>0</v>
      </c>
      <c r="J500" t="str">
        <f>FUR!CE80</f>
        <v>Furniture</v>
      </c>
      <c r="K500" t="str">
        <f>FUR!CF80</f>
        <v>Ag-4, Ag-14, Ag-15, Ag-16</v>
      </c>
      <c r="L500" t="str">
        <f>FUR!CG80</f>
        <v>1C-25</v>
      </c>
      <c r="M500">
        <f>FUR!CH80</f>
        <v>0</v>
      </c>
      <c r="N500">
        <f>FUR!CI80</f>
        <v>0</v>
      </c>
      <c r="O500">
        <f>FUR!CJ80</f>
        <v>0</v>
      </c>
      <c r="P500" s="143" t="str">
        <f>FUR!CK80</f>
        <v>Active</v>
      </c>
      <c r="R500">
        <f t="shared" si="7"/>
        <v>499</v>
      </c>
    </row>
    <row r="501" spans="5:18">
      <c r="E501" s="147" t="s">
        <v>31</v>
      </c>
      <c r="F501" t="str">
        <f>FUR!CA81</f>
        <v>HPS</v>
      </c>
      <c r="G501" t="str">
        <f>FUR!CB81</f>
        <v>AC</v>
      </c>
      <c r="H501" t="str">
        <f>FUR!CC81</f>
        <v>Vessel</v>
      </c>
      <c r="I501">
        <f>FUR!CD81</f>
        <v>0</v>
      </c>
      <c r="J501" t="str">
        <f>FUR!CE81</f>
        <v>Furniture</v>
      </c>
      <c r="K501" t="str">
        <f>FUR!CF81</f>
        <v>Ag-4, Ag-16, Ag-14, Ag-15</v>
      </c>
      <c r="L501" t="str">
        <f>FUR!CG81</f>
        <v>1C-26</v>
      </c>
      <c r="M501">
        <f>FUR!CH81</f>
        <v>0</v>
      </c>
      <c r="N501">
        <f>FUR!CI81</f>
        <v>0</v>
      </c>
      <c r="O501">
        <f>FUR!CJ81</f>
        <v>0</v>
      </c>
      <c r="P501" s="143" t="str">
        <f>FUR!CK81</f>
        <v>Active</v>
      </c>
      <c r="R501">
        <f t="shared" si="7"/>
        <v>500</v>
      </c>
    </row>
    <row r="502" spans="5:18">
      <c r="E502" s="147" t="s">
        <v>31</v>
      </c>
      <c r="F502" t="str">
        <f>FUR!CA82</f>
        <v>HPS</v>
      </c>
      <c r="G502" t="str">
        <f>FUR!CB82</f>
        <v>AC</v>
      </c>
      <c r="H502" t="str">
        <f>FUR!CC82</f>
        <v>Vessel</v>
      </c>
      <c r="I502">
        <f>FUR!CD82</f>
        <v>0</v>
      </c>
      <c r="J502" t="str">
        <f>FUR!CE82</f>
        <v>Furniture</v>
      </c>
      <c r="K502" t="str">
        <f>FUR!CF82</f>
        <v>Ag-10, Ag-15, Ag-6, Ag-4</v>
      </c>
      <c r="L502" t="str">
        <f>FUR!CG82</f>
        <v>1C-27</v>
      </c>
      <c r="M502">
        <f>FUR!CH82</f>
        <v>0</v>
      </c>
      <c r="N502">
        <f>FUR!CI82</f>
        <v>0</v>
      </c>
      <c r="O502">
        <f>FUR!CJ82</f>
        <v>0</v>
      </c>
      <c r="P502" s="143" t="str">
        <f>FUR!CK82</f>
        <v>Active</v>
      </c>
      <c r="R502">
        <f t="shared" si="7"/>
        <v>501</v>
      </c>
    </row>
    <row r="503" spans="5:18">
      <c r="E503" s="147" t="s">
        <v>31</v>
      </c>
      <c r="F503" t="str">
        <f>FUR!CA83</f>
        <v>HPS</v>
      </c>
      <c r="G503" t="str">
        <f>FUR!CB83</f>
        <v>AC</v>
      </c>
      <c r="H503" t="str">
        <f>FUR!CC83</f>
        <v>Vessel</v>
      </c>
      <c r="I503">
        <f>FUR!CD83</f>
        <v>0</v>
      </c>
      <c r="J503" t="str">
        <f>FUR!CE83</f>
        <v>Furniture</v>
      </c>
      <c r="K503" t="str">
        <f>FUR!CF83</f>
        <v>Ag-10, Ag-15, Ag-6, Ag-4</v>
      </c>
      <c r="L503" t="str">
        <f>FUR!CG83</f>
        <v>1C-28</v>
      </c>
      <c r="M503">
        <f>FUR!CH83</f>
        <v>0</v>
      </c>
      <c r="N503">
        <f>FUR!CI83</f>
        <v>0</v>
      </c>
      <c r="O503">
        <f>FUR!CJ83</f>
        <v>0</v>
      </c>
      <c r="P503" s="143" t="str">
        <f>FUR!CK83</f>
        <v>Active</v>
      </c>
      <c r="R503">
        <f t="shared" si="7"/>
        <v>502</v>
      </c>
    </row>
    <row r="504" spans="5:18">
      <c r="E504" s="147" t="s">
        <v>31</v>
      </c>
      <c r="F504" t="str">
        <f>FUR!CA84</f>
        <v>HPS</v>
      </c>
      <c r="G504" t="str">
        <f>FUR!CB84</f>
        <v>AC</v>
      </c>
      <c r="H504" t="str">
        <f>FUR!CC84</f>
        <v>Vessel</v>
      </c>
      <c r="I504">
        <f>FUR!CD84</f>
        <v>0</v>
      </c>
      <c r="J504" t="str">
        <f>FUR!CE84</f>
        <v>Furniture</v>
      </c>
      <c r="K504">
        <f>FUR!CF84</f>
        <v>0</v>
      </c>
      <c r="L504" t="str">
        <f>FUR!CG84</f>
        <v>1C-29</v>
      </c>
      <c r="M504">
        <f>FUR!CH84</f>
        <v>0</v>
      </c>
      <c r="N504">
        <f>FUR!CI84</f>
        <v>0</v>
      </c>
      <c r="O504">
        <f>FUR!CJ84</f>
        <v>0</v>
      </c>
      <c r="P504" s="143" t="str">
        <f>FUR!CK84</f>
        <v>Active</v>
      </c>
      <c r="R504">
        <f t="shared" si="7"/>
        <v>503</v>
      </c>
    </row>
    <row r="505" spans="5:18">
      <c r="E505" s="147" t="s">
        <v>31</v>
      </c>
      <c r="F505" t="str">
        <f>FUR!CA85</f>
        <v>HPS</v>
      </c>
      <c r="G505" t="str">
        <f>FUR!CB85</f>
        <v>AC</v>
      </c>
      <c r="H505" t="str">
        <f>FUR!CC85</f>
        <v>Vessel</v>
      </c>
      <c r="I505">
        <f>FUR!CD85</f>
        <v>0</v>
      </c>
      <c r="J505" t="str">
        <f>FUR!CE85</f>
        <v>Furniture</v>
      </c>
      <c r="K505" t="str">
        <f>FUR!CF85</f>
        <v>Ni-20, Ni-19</v>
      </c>
      <c r="L505" t="str">
        <f>FUR!CG85</f>
        <v>1C-3</v>
      </c>
      <c r="M505">
        <f>FUR!CH85</f>
        <v>0</v>
      </c>
      <c r="N505">
        <f>FUR!CI85</f>
        <v>0</v>
      </c>
      <c r="O505">
        <f>FUR!CJ85</f>
        <v>0</v>
      </c>
      <c r="P505" s="143" t="str">
        <f>FUR!CK85</f>
        <v>Active</v>
      </c>
      <c r="R505">
        <f t="shared" si="7"/>
        <v>504</v>
      </c>
    </row>
    <row r="506" spans="5:18">
      <c r="E506" s="147" t="s">
        <v>31</v>
      </c>
      <c r="F506" t="str">
        <f>FUR!CA86</f>
        <v>HPS</v>
      </c>
      <c r="G506" t="str">
        <f>FUR!CB86</f>
        <v>AC</v>
      </c>
      <c r="H506" t="str">
        <f>FUR!CC86</f>
        <v>Vessel</v>
      </c>
      <c r="I506">
        <f>FUR!CD86</f>
        <v>0</v>
      </c>
      <c r="J506" t="str">
        <f>FUR!CE86</f>
        <v>Furniture</v>
      </c>
      <c r="K506" t="str">
        <f>FUR!CF86</f>
        <v>Mo</v>
      </c>
      <c r="L506" t="str">
        <f>FUR!CG86</f>
        <v>1C-30</v>
      </c>
      <c r="M506">
        <f>FUR!CH86</f>
        <v>0</v>
      </c>
      <c r="N506">
        <f>FUR!CI86</f>
        <v>0</v>
      </c>
      <c r="O506">
        <f>FUR!CJ86</f>
        <v>0</v>
      </c>
      <c r="P506" s="143" t="str">
        <f>FUR!CK86</f>
        <v>Active</v>
      </c>
      <c r="R506">
        <f t="shared" si="7"/>
        <v>505</v>
      </c>
    </row>
    <row r="507" spans="5:18">
      <c r="E507" s="147" t="s">
        <v>31</v>
      </c>
      <c r="F507" t="str">
        <f>FUR!CA87</f>
        <v>HPS</v>
      </c>
      <c r="G507" t="str">
        <f>FUR!CB87</f>
        <v>AC</v>
      </c>
      <c r="H507" t="str">
        <f>FUR!CC87</f>
        <v>Vessel</v>
      </c>
      <c r="I507">
        <f>FUR!CD87</f>
        <v>0</v>
      </c>
      <c r="J507" t="str">
        <f>FUR!CE87</f>
        <v>Furniture</v>
      </c>
      <c r="K507" t="str">
        <f>FUR!CF87</f>
        <v>Inc625,NiCr</v>
      </c>
      <c r="L507" t="str">
        <f>FUR!CG87</f>
        <v>1C-31</v>
      </c>
      <c r="M507">
        <f>FUR!CH87</f>
        <v>0</v>
      </c>
      <c r="N507">
        <f>FUR!CI87</f>
        <v>0</v>
      </c>
      <c r="O507">
        <f>FUR!CJ87</f>
        <v>0</v>
      </c>
      <c r="P507" s="143" t="str">
        <f>FUR!CK87</f>
        <v>Active</v>
      </c>
      <c r="R507">
        <f t="shared" si="7"/>
        <v>506</v>
      </c>
    </row>
    <row r="508" spans="5:18">
      <c r="E508" s="147" t="s">
        <v>31</v>
      </c>
      <c r="F508" t="str">
        <f>FUR!CA88</f>
        <v>HPS</v>
      </c>
      <c r="G508" t="str">
        <f>FUR!CB88</f>
        <v>AC</v>
      </c>
      <c r="H508" t="str">
        <f>FUR!CC88</f>
        <v>Vessel</v>
      </c>
      <c r="I508">
        <f>FUR!CD88</f>
        <v>0</v>
      </c>
      <c r="J508" t="str">
        <f>FUR!CE88</f>
        <v>Furniture</v>
      </c>
      <c r="K508" t="str">
        <f>FUR!CF88</f>
        <v>TZM-2</v>
      </c>
      <c r="L508" t="str">
        <f>FUR!CG88</f>
        <v>1C-32</v>
      </c>
      <c r="M508">
        <f>FUR!CH88</f>
        <v>0</v>
      </c>
      <c r="N508">
        <f>FUR!CI88</f>
        <v>0</v>
      </c>
      <c r="O508">
        <f>FUR!CJ88</f>
        <v>0</v>
      </c>
      <c r="P508" s="143" t="str">
        <f>FUR!CK88</f>
        <v>Active</v>
      </c>
      <c r="R508">
        <f t="shared" si="7"/>
        <v>507</v>
      </c>
    </row>
    <row r="509" spans="5:18">
      <c r="E509" s="147" t="s">
        <v>31</v>
      </c>
      <c r="F509" t="str">
        <f>FUR!CA89</f>
        <v>HPS</v>
      </c>
      <c r="G509" t="str">
        <f>FUR!CB89</f>
        <v>AC</v>
      </c>
      <c r="H509" t="str">
        <f>FUR!CC89</f>
        <v>Vessel</v>
      </c>
      <c r="I509">
        <f>FUR!CD89</f>
        <v>0</v>
      </c>
      <c r="J509" t="str">
        <f>FUR!CE89</f>
        <v>Furniture</v>
      </c>
      <c r="K509" t="str">
        <f>FUR!CF89</f>
        <v>TZM-3</v>
      </c>
      <c r="L509" t="str">
        <f>FUR!CG89</f>
        <v>1C-33</v>
      </c>
      <c r="M509">
        <f>FUR!CH89</f>
        <v>0</v>
      </c>
      <c r="N509">
        <f>FUR!CI89</f>
        <v>0</v>
      </c>
      <c r="O509">
        <f>FUR!CJ89</f>
        <v>0</v>
      </c>
      <c r="P509" s="143" t="str">
        <f>FUR!CK89</f>
        <v>Active</v>
      </c>
      <c r="R509">
        <f t="shared" si="7"/>
        <v>508</v>
      </c>
    </row>
    <row r="510" spans="5:18">
      <c r="E510" s="147" t="s">
        <v>31</v>
      </c>
      <c r="F510" t="str">
        <f>FUR!CA90</f>
        <v>HPS</v>
      </c>
      <c r="G510" t="str">
        <f>FUR!CB90</f>
        <v>AC</v>
      </c>
      <c r="H510" t="str">
        <f>FUR!CC90</f>
        <v>Vessel</v>
      </c>
      <c r="I510">
        <f>FUR!CD90</f>
        <v>0</v>
      </c>
      <c r="J510" t="str">
        <f>FUR!CE90</f>
        <v>Furniture</v>
      </c>
      <c r="K510" t="str">
        <f>FUR!CF90</f>
        <v>Ni-20, Ni-19</v>
      </c>
      <c r="L510" t="str">
        <f>FUR!CG90</f>
        <v>1C-4</v>
      </c>
      <c r="M510">
        <f>FUR!CH90</f>
        <v>0</v>
      </c>
      <c r="N510">
        <f>FUR!CI90</f>
        <v>0</v>
      </c>
      <c r="O510">
        <f>FUR!CJ90</f>
        <v>0</v>
      </c>
      <c r="P510" s="143" t="str">
        <f>FUR!CK90</f>
        <v>Active</v>
      </c>
      <c r="R510">
        <f t="shared" si="7"/>
        <v>509</v>
      </c>
    </row>
    <row r="511" spans="5:18">
      <c r="E511" s="147" t="s">
        <v>31</v>
      </c>
      <c r="F511" t="str">
        <f>FUR!CA91</f>
        <v>HPS</v>
      </c>
      <c r="G511" t="str">
        <f>FUR!CB91</f>
        <v>AC</v>
      </c>
      <c r="H511" t="str">
        <f>FUR!CC91</f>
        <v>Vessel</v>
      </c>
      <c r="I511">
        <f>FUR!CD91</f>
        <v>0</v>
      </c>
      <c r="J511" t="str">
        <f>FUR!CE91</f>
        <v>Furniture</v>
      </c>
      <c r="K511" t="str">
        <f>FUR!CF91</f>
        <v>Ni-19, NiCr8020-3</v>
      </c>
      <c r="L511" t="str">
        <f>FUR!CG91</f>
        <v>1C-5</v>
      </c>
      <c r="M511">
        <f>FUR!CH91</f>
        <v>0</v>
      </c>
      <c r="N511">
        <f>FUR!CI91</f>
        <v>0</v>
      </c>
      <c r="O511">
        <f>FUR!CJ91</f>
        <v>0</v>
      </c>
      <c r="P511" s="143" t="str">
        <f>FUR!CK91</f>
        <v>Active</v>
      </c>
      <c r="R511">
        <f t="shared" si="7"/>
        <v>510</v>
      </c>
    </row>
    <row r="512" spans="5:18">
      <c r="E512" s="147" t="s">
        <v>31</v>
      </c>
      <c r="F512" t="str">
        <f>FUR!CA92</f>
        <v>HPS</v>
      </c>
      <c r="G512" t="str">
        <f>FUR!CB92</f>
        <v>AC</v>
      </c>
      <c r="H512" t="str">
        <f>FUR!CC92</f>
        <v>Vessel</v>
      </c>
      <c r="I512">
        <f>FUR!CD92</f>
        <v>0</v>
      </c>
      <c r="J512" t="str">
        <f>FUR!CE92</f>
        <v>Furniture</v>
      </c>
      <c r="K512" t="str">
        <f>FUR!CF92</f>
        <v>Ni-19, NiCr8020-3</v>
      </c>
      <c r="L512" t="str">
        <f>FUR!CG92</f>
        <v>1C-6</v>
      </c>
      <c r="M512">
        <f>FUR!CH92</f>
        <v>0</v>
      </c>
      <c r="N512">
        <f>FUR!CI92</f>
        <v>0</v>
      </c>
      <c r="O512">
        <f>FUR!CJ92</f>
        <v>0</v>
      </c>
      <c r="P512" s="143" t="str">
        <f>FUR!CK92</f>
        <v>Active</v>
      </c>
      <c r="R512">
        <f t="shared" si="7"/>
        <v>511</v>
      </c>
    </row>
    <row r="513" spans="5:18">
      <c r="E513" s="147" t="s">
        <v>31</v>
      </c>
      <c r="F513" t="str">
        <f>FUR!CA93</f>
        <v>HPS</v>
      </c>
      <c r="G513" t="str">
        <f>FUR!CB93</f>
        <v>AC</v>
      </c>
      <c r="H513" t="str">
        <f>FUR!CC93</f>
        <v>Vessel</v>
      </c>
      <c r="I513">
        <f>FUR!CD93</f>
        <v>0</v>
      </c>
      <c r="J513" t="str">
        <f>FUR!CE93</f>
        <v>Furniture</v>
      </c>
      <c r="K513" t="str">
        <f>FUR!CF93</f>
        <v>Ni-19, NiCr8020-3</v>
      </c>
      <c r="L513" t="str">
        <f>FUR!CG93</f>
        <v>1C-7</v>
      </c>
      <c r="M513">
        <f>FUR!CH93</f>
        <v>0</v>
      </c>
      <c r="N513">
        <f>FUR!CI93</f>
        <v>0</v>
      </c>
      <c r="O513">
        <f>FUR!CJ93</f>
        <v>0</v>
      </c>
      <c r="P513" s="143" t="str">
        <f>FUR!CK93</f>
        <v>Active</v>
      </c>
      <c r="R513">
        <f t="shared" si="7"/>
        <v>512</v>
      </c>
    </row>
    <row r="514" spans="5:18">
      <c r="E514" s="147" t="s">
        <v>31</v>
      </c>
      <c r="F514" t="str">
        <f>FUR!CA94</f>
        <v>HPS</v>
      </c>
      <c r="G514" t="str">
        <f>FUR!CB94</f>
        <v>AC</v>
      </c>
      <c r="H514" t="str">
        <f>FUR!CC94</f>
        <v>Vessel</v>
      </c>
      <c r="I514">
        <f>FUR!CD94</f>
        <v>0</v>
      </c>
      <c r="J514" t="str">
        <f>FUR!CE94</f>
        <v>Furniture</v>
      </c>
      <c r="K514" t="str">
        <f>FUR!CF94</f>
        <v>Ag-8, Ag-4, Ag-2</v>
      </c>
      <c r="L514" t="str">
        <f>FUR!CG94</f>
        <v>1C-8</v>
      </c>
      <c r="M514">
        <f>FUR!CH94</f>
        <v>0</v>
      </c>
      <c r="N514">
        <f>FUR!CI94</f>
        <v>0</v>
      </c>
      <c r="O514">
        <f>FUR!CJ94</f>
        <v>0</v>
      </c>
      <c r="P514" s="143" t="str">
        <f>FUR!CK94</f>
        <v>Active</v>
      </c>
      <c r="R514">
        <f t="shared" si="7"/>
        <v>513</v>
      </c>
    </row>
    <row r="515" spans="5:18">
      <c r="E515" s="147" t="s">
        <v>31</v>
      </c>
      <c r="F515" t="str">
        <f>FUR!CA95</f>
        <v>HPS</v>
      </c>
      <c r="G515" t="str">
        <f>FUR!CB95</f>
        <v>AC</v>
      </c>
      <c r="H515" t="str">
        <f>FUR!CC95</f>
        <v>Vessel</v>
      </c>
      <c r="I515">
        <f>FUR!CD95</f>
        <v>0</v>
      </c>
      <c r="J515" t="str">
        <f>FUR!CE95</f>
        <v>Furniture</v>
      </c>
      <c r="K515" t="str">
        <f>FUR!CF95</f>
        <v>Nb-1, Nb-2</v>
      </c>
      <c r="L515" t="str">
        <f>FUR!CG95</f>
        <v>1C-9</v>
      </c>
      <c r="M515">
        <f>FUR!CH95</f>
        <v>0</v>
      </c>
      <c r="N515">
        <f>FUR!CI95</f>
        <v>0</v>
      </c>
      <c r="O515">
        <f>FUR!CJ95</f>
        <v>0</v>
      </c>
      <c r="P515" s="143" t="str">
        <f>FUR!CK95</f>
        <v>Active</v>
      </c>
      <c r="R515">
        <f t="shared" si="7"/>
        <v>514</v>
      </c>
    </row>
    <row r="516" spans="5:18">
      <c r="E516" s="147" t="s">
        <v>31</v>
      </c>
      <c r="F516" t="str">
        <f>FUR!CA96</f>
        <v>HPS</v>
      </c>
      <c r="G516" t="str">
        <f>FUR!CB96</f>
        <v>AC</v>
      </c>
      <c r="H516" t="str">
        <f>FUR!CC96</f>
        <v>Vessel</v>
      </c>
      <c r="I516">
        <f>FUR!CD96</f>
        <v>0</v>
      </c>
      <c r="J516" t="str">
        <f>FUR!CE96</f>
        <v>Furniture</v>
      </c>
      <c r="K516" t="str">
        <f>FUR!CF96</f>
        <v>Inc600, Inc625, NiCr</v>
      </c>
      <c r="L516" t="str">
        <f>FUR!CG96</f>
        <v>1Cc-1</v>
      </c>
      <c r="M516">
        <f>FUR!CH96</f>
        <v>0</v>
      </c>
      <c r="N516">
        <f>FUR!CI96</f>
        <v>0</v>
      </c>
      <c r="O516">
        <f>FUR!CJ96</f>
        <v>0</v>
      </c>
      <c r="P516" s="143" t="str">
        <f>FUR!CK96</f>
        <v>Active</v>
      </c>
      <c r="R516">
        <f t="shared" ref="R516:R579" si="8">R515+1</f>
        <v>515</v>
      </c>
    </row>
    <row r="517" spans="5:18">
      <c r="E517" s="147" t="s">
        <v>31</v>
      </c>
      <c r="F517" t="str">
        <f>FUR!CA97</f>
        <v>HPS</v>
      </c>
      <c r="G517" t="str">
        <f>FUR!CB97</f>
        <v>AC</v>
      </c>
      <c r="H517" t="str">
        <f>FUR!CC97</f>
        <v>Vessel</v>
      </c>
      <c r="I517">
        <f>FUR!CD97</f>
        <v>0</v>
      </c>
      <c r="J517" t="str">
        <f>FUR!CE97</f>
        <v>Furniture</v>
      </c>
      <c r="K517" t="str">
        <f>FUR!CF97</f>
        <v>Ag</v>
      </c>
      <c r="L517" t="str">
        <f>FUR!CG97</f>
        <v>1H-20</v>
      </c>
      <c r="M517">
        <f>FUR!CH97</f>
        <v>0</v>
      </c>
      <c r="N517">
        <f>FUR!CI97</f>
        <v>0</v>
      </c>
      <c r="O517">
        <f>FUR!CJ97</f>
        <v>0</v>
      </c>
      <c r="P517" s="143" t="str">
        <f>FUR!CK97</f>
        <v>Active</v>
      </c>
      <c r="R517">
        <f t="shared" si="8"/>
        <v>516</v>
      </c>
    </row>
    <row r="518" spans="5:18">
      <c r="E518" s="147" t="s">
        <v>31</v>
      </c>
      <c r="F518" t="str">
        <f>FUR!CA98</f>
        <v>HPS</v>
      </c>
      <c r="G518" t="str">
        <f>FUR!CB98</f>
        <v>AC</v>
      </c>
      <c r="H518" t="str">
        <f>FUR!CC98</f>
        <v>Vessel</v>
      </c>
      <c r="I518">
        <f>FUR!CD98</f>
        <v>0</v>
      </c>
      <c r="J518" t="str">
        <f>FUR!CE98</f>
        <v>Furniture</v>
      </c>
      <c r="K518" t="str">
        <f>FUR!CF98</f>
        <v>Ag</v>
      </c>
      <c r="L518" t="str">
        <f>FUR!CG98</f>
        <v>1H-21</v>
      </c>
      <c r="M518">
        <f>FUR!CH98</f>
        <v>0</v>
      </c>
      <c r="N518">
        <f>FUR!CI98</f>
        <v>0</v>
      </c>
      <c r="O518">
        <f>FUR!CJ98</f>
        <v>0</v>
      </c>
      <c r="P518" s="143" t="str">
        <f>FUR!CK98</f>
        <v>Active</v>
      </c>
      <c r="R518">
        <f t="shared" si="8"/>
        <v>517</v>
      </c>
    </row>
    <row r="519" spans="5:18">
      <c r="E519" s="147" t="s">
        <v>31</v>
      </c>
      <c r="F519" t="str">
        <f>FUR!CA99</f>
        <v>HPS</v>
      </c>
      <c r="G519" t="str">
        <f>FUR!CB99</f>
        <v>AC</v>
      </c>
      <c r="H519" t="str">
        <f>FUR!CC99</f>
        <v>Vessel</v>
      </c>
      <c r="I519">
        <f>FUR!CD99</f>
        <v>0</v>
      </c>
      <c r="J519" t="str">
        <f>FUR!CE99</f>
        <v>Furniture</v>
      </c>
      <c r="K519" t="str">
        <f>FUR!CF99</f>
        <v>Ag</v>
      </c>
      <c r="L519" t="str">
        <f>FUR!CG99</f>
        <v>1H-22</v>
      </c>
      <c r="M519">
        <f>FUR!CH99</f>
        <v>0</v>
      </c>
      <c r="N519">
        <f>FUR!CI99</f>
        <v>0</v>
      </c>
      <c r="O519">
        <f>FUR!CJ99</f>
        <v>0</v>
      </c>
      <c r="P519" s="143" t="str">
        <f>FUR!CK99</f>
        <v>Active</v>
      </c>
      <c r="R519">
        <f t="shared" si="8"/>
        <v>518</v>
      </c>
    </row>
    <row r="520" spans="5:18">
      <c r="E520" s="147" t="s">
        <v>31</v>
      </c>
      <c r="F520" t="str">
        <f>FUR!CA100</f>
        <v>HPS</v>
      </c>
      <c r="G520" t="str">
        <f>FUR!CB100</f>
        <v>AC</v>
      </c>
      <c r="H520" t="str">
        <f>FUR!CC100</f>
        <v>Vessel</v>
      </c>
      <c r="I520">
        <f>FUR!CD100</f>
        <v>0</v>
      </c>
      <c r="J520" t="str">
        <f>FUR!CE100</f>
        <v>Furniture</v>
      </c>
      <c r="K520" t="str">
        <f>FUR!CF100</f>
        <v>Ag</v>
      </c>
      <c r="L520" t="str">
        <f>FUR!CG100</f>
        <v>1H-23</v>
      </c>
      <c r="M520">
        <f>FUR!CH100</f>
        <v>0</v>
      </c>
      <c r="N520">
        <f>FUR!CI100</f>
        <v>0</v>
      </c>
      <c r="O520">
        <f>FUR!CJ100</f>
        <v>0</v>
      </c>
      <c r="P520" s="143" t="str">
        <f>FUR!CK100</f>
        <v>Active</v>
      </c>
      <c r="R520">
        <f t="shared" si="8"/>
        <v>519</v>
      </c>
    </row>
    <row r="521" spans="5:18">
      <c r="E521" s="147" t="s">
        <v>31</v>
      </c>
      <c r="F521" t="str">
        <f>FUR!CA101</f>
        <v>HPS</v>
      </c>
      <c r="G521" t="str">
        <f>FUR!CB101</f>
        <v>AC</v>
      </c>
      <c r="H521" t="str">
        <f>FUR!CC101</f>
        <v>Vessel</v>
      </c>
      <c r="I521">
        <f>FUR!CD101</f>
        <v>0</v>
      </c>
      <c r="J521" t="str">
        <f>FUR!CE101</f>
        <v>Furniture</v>
      </c>
      <c r="K521" t="str">
        <f>FUR!CF101</f>
        <v>Ag</v>
      </c>
      <c r="L521" t="str">
        <f>FUR!CG101</f>
        <v>1H-24</v>
      </c>
      <c r="M521">
        <f>FUR!CH101</f>
        <v>0</v>
      </c>
      <c r="N521">
        <f>FUR!CI101</f>
        <v>0</v>
      </c>
      <c r="O521">
        <f>FUR!CJ101</f>
        <v>0</v>
      </c>
      <c r="P521" s="143" t="str">
        <f>FUR!CK101</f>
        <v>Active</v>
      </c>
      <c r="R521">
        <f t="shared" si="8"/>
        <v>520</v>
      </c>
    </row>
    <row r="522" spans="5:18">
      <c r="E522" s="147" t="s">
        <v>31</v>
      </c>
      <c r="F522" t="str">
        <f>FUR!CA102</f>
        <v>HPS</v>
      </c>
      <c r="G522" t="str">
        <f>FUR!CB102</f>
        <v>AC</v>
      </c>
      <c r="H522" t="str">
        <f>FUR!CC102</f>
        <v>Vessel</v>
      </c>
      <c r="I522">
        <f>FUR!CD102</f>
        <v>0</v>
      </c>
      <c r="J522" t="str">
        <f>FUR!CE102</f>
        <v>Furniture</v>
      </c>
      <c r="K522" t="str">
        <f>FUR!CF102</f>
        <v>Mo</v>
      </c>
      <c r="L522" t="str">
        <f>FUR!CG102</f>
        <v>1H-25</v>
      </c>
      <c r="M522">
        <f>FUR!CH102</f>
        <v>0</v>
      </c>
      <c r="N522">
        <f>FUR!CI102</f>
        <v>0</v>
      </c>
      <c r="O522">
        <f>FUR!CJ102</f>
        <v>0</v>
      </c>
      <c r="P522" s="143" t="str">
        <f>FUR!CK102</f>
        <v>Active</v>
      </c>
      <c r="R522">
        <f t="shared" si="8"/>
        <v>521</v>
      </c>
    </row>
    <row r="523" spans="5:18">
      <c r="E523" s="147" t="s">
        <v>31</v>
      </c>
      <c r="F523" t="str">
        <f>FUR!CA103</f>
        <v>HPS</v>
      </c>
      <c r="G523" t="str">
        <f>FUR!CB103</f>
        <v>AC</v>
      </c>
      <c r="H523" t="str">
        <f>FUR!CC103</f>
        <v>Vessel</v>
      </c>
      <c r="I523">
        <f>FUR!CD103</f>
        <v>0</v>
      </c>
      <c r="J523" t="str">
        <f>FUR!CE103</f>
        <v>Furniture</v>
      </c>
      <c r="K523" t="str">
        <f>FUR!CF103</f>
        <v>Ag-11, Ag-10</v>
      </c>
      <c r="L523" t="str">
        <f>FUR!CG103</f>
        <v>1L-1</v>
      </c>
      <c r="M523">
        <f>FUR!CH103</f>
        <v>0</v>
      </c>
      <c r="N523">
        <f>FUR!CI103</f>
        <v>0</v>
      </c>
      <c r="O523">
        <f>FUR!CJ103</f>
        <v>0</v>
      </c>
      <c r="P523" s="143" t="str">
        <f>FUR!CK103</f>
        <v>Active</v>
      </c>
      <c r="R523">
        <f t="shared" si="8"/>
        <v>522</v>
      </c>
    </row>
    <row r="524" spans="5:18">
      <c r="E524" s="147" t="s">
        <v>31</v>
      </c>
      <c r="F524" t="str">
        <f>FUR!CA104</f>
        <v>HPS</v>
      </c>
      <c r="G524" t="str">
        <f>FUR!CB104</f>
        <v>AC</v>
      </c>
      <c r="H524" t="str">
        <f>FUR!CC104</f>
        <v>Vessel</v>
      </c>
      <c r="I524">
        <f>FUR!CD104</f>
        <v>0</v>
      </c>
      <c r="J524" t="str">
        <f>FUR!CE104</f>
        <v>Furniture</v>
      </c>
      <c r="K524" t="str">
        <f>FUR!CF104</f>
        <v>Ag-11, Ag-10</v>
      </c>
      <c r="L524" t="str">
        <f>FUR!CG104</f>
        <v>1L-2</v>
      </c>
      <c r="M524">
        <f>FUR!CH104</f>
        <v>0</v>
      </c>
      <c r="N524">
        <f>FUR!CI104</f>
        <v>0</v>
      </c>
      <c r="O524">
        <f>FUR!CJ104</f>
        <v>0</v>
      </c>
      <c r="P524" s="143" t="str">
        <f>FUR!CK104</f>
        <v>Active</v>
      </c>
      <c r="R524">
        <f t="shared" si="8"/>
        <v>523</v>
      </c>
    </row>
    <row r="525" spans="5:18">
      <c r="E525" s="147" t="s">
        <v>31</v>
      </c>
      <c r="F525" t="str">
        <f>FUR!CA105</f>
        <v>HPS</v>
      </c>
      <c r="G525" t="str">
        <f>FUR!CB105</f>
        <v>AC</v>
      </c>
      <c r="H525" t="str">
        <f>FUR!CC105</f>
        <v>Vessel</v>
      </c>
      <c r="I525">
        <f>FUR!CD105</f>
        <v>0</v>
      </c>
      <c r="J525" t="str">
        <f>FUR!CE105</f>
        <v>Furniture</v>
      </c>
      <c r="K525" t="str">
        <f>FUR!CF105</f>
        <v>Ag-11, Ag-10</v>
      </c>
      <c r="L525" t="str">
        <f>FUR!CG105</f>
        <v>1L-3</v>
      </c>
      <c r="M525">
        <f>FUR!CH105</f>
        <v>0</v>
      </c>
      <c r="N525">
        <f>FUR!CI105</f>
        <v>0</v>
      </c>
      <c r="O525">
        <f>FUR!CJ105</f>
        <v>0</v>
      </c>
      <c r="P525" s="143" t="str">
        <f>FUR!CK105</f>
        <v>Active</v>
      </c>
      <c r="R525">
        <f t="shared" si="8"/>
        <v>524</v>
      </c>
    </row>
    <row r="526" spans="5:18">
      <c r="E526" s="147" t="s">
        <v>31</v>
      </c>
      <c r="F526" t="str">
        <f>FUR!CA106</f>
        <v>HPS</v>
      </c>
      <c r="G526" t="str">
        <f>FUR!CB106</f>
        <v>AC</v>
      </c>
      <c r="H526" t="str">
        <f>FUR!CC106</f>
        <v>Vessel</v>
      </c>
      <c r="I526">
        <f>FUR!CD106</f>
        <v>0</v>
      </c>
      <c r="J526" t="str">
        <f>FUR!CE106</f>
        <v>Furniture</v>
      </c>
      <c r="K526" t="str">
        <f>FUR!CF106</f>
        <v>Ag-11, Ag-10</v>
      </c>
      <c r="L526" t="str">
        <f>FUR!CG106</f>
        <v>1L-4</v>
      </c>
      <c r="M526">
        <f>FUR!CH106</f>
        <v>0</v>
      </c>
      <c r="N526">
        <f>FUR!CI106</f>
        <v>0</v>
      </c>
      <c r="O526">
        <f>FUR!CJ106</f>
        <v>0</v>
      </c>
      <c r="P526" s="143" t="str">
        <f>FUR!CK106</f>
        <v>Active</v>
      </c>
      <c r="R526">
        <f t="shared" si="8"/>
        <v>525</v>
      </c>
    </row>
    <row r="527" spans="5:18">
      <c r="E527" s="147" t="s">
        <v>31</v>
      </c>
      <c r="F527" t="str">
        <f>FUR!CA107</f>
        <v>HPS</v>
      </c>
      <c r="G527" t="str">
        <f>FUR!CB107</f>
        <v>AC</v>
      </c>
      <c r="H527" t="str">
        <f>FUR!CC107</f>
        <v>Vessel</v>
      </c>
      <c r="I527">
        <f>FUR!CD107</f>
        <v>0</v>
      </c>
      <c r="J527" t="str">
        <f>FUR!CE107</f>
        <v>Furniture</v>
      </c>
      <c r="K527" t="str">
        <f>FUR!CF107</f>
        <v>Ag-11, Ag-10</v>
      </c>
      <c r="L527" t="str">
        <f>FUR!CG107</f>
        <v>1L-5</v>
      </c>
      <c r="M527">
        <f>FUR!CH107</f>
        <v>0</v>
      </c>
      <c r="N527">
        <f>FUR!CI107</f>
        <v>0</v>
      </c>
      <c r="O527">
        <f>FUR!CJ107</f>
        <v>0</v>
      </c>
      <c r="P527" s="143" t="str">
        <f>FUR!CK107</f>
        <v>Active</v>
      </c>
      <c r="R527">
        <f t="shared" si="8"/>
        <v>526</v>
      </c>
    </row>
    <row r="528" spans="5:18">
      <c r="E528" s="147" t="s">
        <v>31</v>
      </c>
      <c r="F528" t="str">
        <f>FUR!CA108</f>
        <v>HPS</v>
      </c>
      <c r="G528" t="str">
        <f>FUR!CB108</f>
        <v>AC</v>
      </c>
      <c r="H528" t="str">
        <f>FUR!CC108</f>
        <v>Vessel</v>
      </c>
      <c r="I528">
        <f>FUR!CD108</f>
        <v>0</v>
      </c>
      <c r="J528" t="str">
        <f>FUR!CE108</f>
        <v>Furniture</v>
      </c>
      <c r="K528" t="str">
        <f>FUR!CF108</f>
        <v>Ag-11, Ag-10</v>
      </c>
      <c r="L528" t="str">
        <f>FUR!CG108</f>
        <v>1L-6</v>
      </c>
      <c r="M528">
        <f>FUR!CH108</f>
        <v>0</v>
      </c>
      <c r="N528">
        <f>FUR!CI108</f>
        <v>0</v>
      </c>
      <c r="O528">
        <f>FUR!CJ108</f>
        <v>0</v>
      </c>
      <c r="P528" s="143" t="str">
        <f>FUR!CK108</f>
        <v>Active</v>
      </c>
      <c r="R528">
        <f t="shared" si="8"/>
        <v>527</v>
      </c>
    </row>
    <row r="529" spans="5:18">
      <c r="E529" s="147" t="s">
        <v>31</v>
      </c>
      <c r="F529" t="str">
        <f>FUR!CA109</f>
        <v>HPS</v>
      </c>
      <c r="G529" t="str">
        <f>FUR!CB109</f>
        <v>AC</v>
      </c>
      <c r="H529" t="str">
        <f>FUR!CC109</f>
        <v>Vessel</v>
      </c>
      <c r="I529">
        <f>FUR!CD109</f>
        <v>0</v>
      </c>
      <c r="J529" t="str">
        <f>FUR!CE109</f>
        <v>Furniture</v>
      </c>
      <c r="K529" t="str">
        <f>FUR!CF109</f>
        <v>Ag-11, Ag-10</v>
      </c>
      <c r="L529" t="str">
        <f>FUR!CG109</f>
        <v>1L-7</v>
      </c>
      <c r="M529">
        <f>FUR!CH109</f>
        <v>0</v>
      </c>
      <c r="N529">
        <f>FUR!CI109</f>
        <v>0</v>
      </c>
      <c r="O529">
        <f>FUR!CJ109</f>
        <v>0</v>
      </c>
      <c r="P529" s="143" t="str">
        <f>FUR!CK109</f>
        <v>Active</v>
      </c>
      <c r="R529">
        <f t="shared" si="8"/>
        <v>528</v>
      </c>
    </row>
    <row r="530" spans="5:18">
      <c r="E530" s="147" t="s">
        <v>31</v>
      </c>
      <c r="F530" t="str">
        <f>FUR!CA110</f>
        <v>HPS</v>
      </c>
      <c r="G530" t="str">
        <f>FUR!CB110</f>
        <v>AC</v>
      </c>
      <c r="H530" t="str">
        <f>FUR!CC110</f>
        <v>Vessel</v>
      </c>
      <c r="I530">
        <f>FUR!CD110</f>
        <v>0</v>
      </c>
      <c r="J530" t="str">
        <f>FUR!CE110</f>
        <v>Furniture</v>
      </c>
      <c r="K530" t="str">
        <f>FUR!CF110</f>
        <v>Ag-7</v>
      </c>
      <c r="L530" t="str">
        <f>FUR!CG110</f>
        <v>1P-1</v>
      </c>
      <c r="M530">
        <f>FUR!CH110</f>
        <v>0</v>
      </c>
      <c r="N530">
        <f>FUR!CI110</f>
        <v>0</v>
      </c>
      <c r="O530">
        <f>FUR!CJ110</f>
        <v>0</v>
      </c>
      <c r="P530" s="143" t="str">
        <f>FUR!CK110</f>
        <v>Active</v>
      </c>
      <c r="R530">
        <f t="shared" si="8"/>
        <v>529</v>
      </c>
    </row>
    <row r="531" spans="5:18">
      <c r="E531" s="147" t="s">
        <v>31</v>
      </c>
      <c r="F531" t="str">
        <f>FUR!CA111</f>
        <v>HPS</v>
      </c>
      <c r="G531" t="str">
        <f>FUR!CB111</f>
        <v>AC</v>
      </c>
      <c r="H531" t="str">
        <f>FUR!CC111</f>
        <v>Vessel</v>
      </c>
      <c r="I531">
        <f>FUR!CD111</f>
        <v>0</v>
      </c>
      <c r="J531" t="str">
        <f>FUR!CE111</f>
        <v>Furniture</v>
      </c>
      <c r="K531">
        <f>FUR!CF111</f>
        <v>0</v>
      </c>
      <c r="L531" t="str">
        <f>FUR!CG111</f>
        <v>1P-10</v>
      </c>
      <c r="M531">
        <f>FUR!CH111</f>
        <v>0</v>
      </c>
      <c r="N531">
        <f>FUR!CI111</f>
        <v>0</v>
      </c>
      <c r="O531">
        <f>FUR!CJ111</f>
        <v>0</v>
      </c>
      <c r="P531" s="143" t="str">
        <f>FUR!CK111</f>
        <v>Active</v>
      </c>
      <c r="R531">
        <f t="shared" si="8"/>
        <v>530</v>
      </c>
    </row>
    <row r="532" spans="5:18">
      <c r="E532" s="147" t="s">
        <v>31</v>
      </c>
      <c r="F532" t="str">
        <f>FUR!CA112</f>
        <v>HPS</v>
      </c>
      <c r="G532" t="str">
        <f>FUR!CB112</f>
        <v>AC</v>
      </c>
      <c r="H532" t="str">
        <f>FUR!CC112</f>
        <v>Vessel</v>
      </c>
      <c r="I532">
        <f>FUR!CD112</f>
        <v>0</v>
      </c>
      <c r="J532" t="str">
        <f>FUR!CE112</f>
        <v>Furniture</v>
      </c>
      <c r="K532">
        <f>FUR!CF112</f>
        <v>0</v>
      </c>
      <c r="L532" t="str">
        <f>FUR!CG112</f>
        <v>1P-11</v>
      </c>
      <c r="M532">
        <f>FUR!CH112</f>
        <v>0</v>
      </c>
      <c r="N532">
        <f>FUR!CI112</f>
        <v>0</v>
      </c>
      <c r="O532">
        <f>FUR!CJ112</f>
        <v>0</v>
      </c>
      <c r="P532" s="143" t="str">
        <f>FUR!CK112</f>
        <v>Active</v>
      </c>
      <c r="R532">
        <f t="shared" si="8"/>
        <v>531</v>
      </c>
    </row>
    <row r="533" spans="5:18">
      <c r="E533" s="147" t="s">
        <v>31</v>
      </c>
      <c r="F533" t="str">
        <f>FUR!CA113</f>
        <v>HPS</v>
      </c>
      <c r="G533" t="str">
        <f>FUR!CB113</f>
        <v>AC</v>
      </c>
      <c r="H533" t="str">
        <f>FUR!CC113</f>
        <v>Vessel</v>
      </c>
      <c r="I533">
        <f>FUR!CD113</f>
        <v>0</v>
      </c>
      <c r="J533" t="str">
        <f>FUR!CE113</f>
        <v>Furniture</v>
      </c>
      <c r="K533">
        <f>FUR!CF113</f>
        <v>0</v>
      </c>
      <c r="L533" t="str">
        <f>FUR!CG113</f>
        <v>1P-12</v>
      </c>
      <c r="M533">
        <f>FUR!CH113</f>
        <v>0</v>
      </c>
      <c r="N533">
        <f>FUR!CI113</f>
        <v>0</v>
      </c>
      <c r="O533">
        <f>FUR!CJ113</f>
        <v>0</v>
      </c>
      <c r="P533" s="143" t="str">
        <f>FUR!CK113</f>
        <v>Active</v>
      </c>
      <c r="R533">
        <f t="shared" si="8"/>
        <v>532</v>
      </c>
    </row>
    <row r="534" spans="5:18">
      <c r="E534" s="147" t="s">
        <v>31</v>
      </c>
      <c r="F534" t="str">
        <f>FUR!CA114</f>
        <v>HPS</v>
      </c>
      <c r="G534" t="str">
        <f>FUR!CB114</f>
        <v>AC</v>
      </c>
      <c r="H534" t="str">
        <f>FUR!CC114</f>
        <v>Vessel</v>
      </c>
      <c r="I534">
        <f>FUR!CD114</f>
        <v>0</v>
      </c>
      <c r="J534" t="str">
        <f>FUR!CE114</f>
        <v>Furniture</v>
      </c>
      <c r="K534" t="str">
        <f>FUR!CF114</f>
        <v>Ag-13</v>
      </c>
      <c r="L534" t="str">
        <f>FUR!CG114</f>
        <v>1P-13</v>
      </c>
      <c r="M534">
        <f>FUR!CH114</f>
        <v>0</v>
      </c>
      <c r="N534">
        <f>FUR!CI114</f>
        <v>0</v>
      </c>
      <c r="O534">
        <f>FUR!CJ114</f>
        <v>0</v>
      </c>
      <c r="P534" s="143" t="str">
        <f>FUR!CK114</f>
        <v>Active</v>
      </c>
      <c r="R534">
        <f t="shared" si="8"/>
        <v>533</v>
      </c>
    </row>
    <row r="535" spans="5:18">
      <c r="E535" s="147" t="s">
        <v>31</v>
      </c>
      <c r="F535" t="str">
        <f>FUR!CA115</f>
        <v>HPS</v>
      </c>
      <c r="G535" t="str">
        <f>FUR!CB115</f>
        <v>AC</v>
      </c>
      <c r="H535" t="str">
        <f>FUR!CC115</f>
        <v>Vessel</v>
      </c>
      <c r="I535">
        <f>FUR!CD115</f>
        <v>0</v>
      </c>
      <c r="J535" t="str">
        <f>FUR!CE115</f>
        <v>Furniture</v>
      </c>
      <c r="K535" t="str">
        <f>FUR!CF115</f>
        <v>Ag</v>
      </c>
      <c r="L535" t="str">
        <f>FUR!CG115</f>
        <v>1P-14</v>
      </c>
      <c r="M535">
        <f>FUR!CH115</f>
        <v>0</v>
      </c>
      <c r="N535">
        <f>FUR!CI115</f>
        <v>0</v>
      </c>
      <c r="O535">
        <f>FUR!CJ115</f>
        <v>0</v>
      </c>
      <c r="P535" s="143" t="str">
        <f>FUR!CK115</f>
        <v>Active</v>
      </c>
      <c r="R535">
        <f t="shared" si="8"/>
        <v>534</v>
      </c>
    </row>
    <row r="536" spans="5:18">
      <c r="E536" s="147" t="s">
        <v>31</v>
      </c>
      <c r="F536" t="str">
        <f>FUR!CA116</f>
        <v>HPS</v>
      </c>
      <c r="G536" t="str">
        <f>FUR!CB116</f>
        <v>AC</v>
      </c>
      <c r="H536" t="str">
        <f>FUR!CC116</f>
        <v>Vessel</v>
      </c>
      <c r="I536">
        <f>FUR!CD116</f>
        <v>0</v>
      </c>
      <c r="J536" t="str">
        <f>FUR!CE116</f>
        <v>Furniture</v>
      </c>
      <c r="K536" t="str">
        <f>FUR!CF116</f>
        <v>Ag-7</v>
      </c>
      <c r="L536" t="str">
        <f>FUR!CG116</f>
        <v>1P-2</v>
      </c>
      <c r="M536">
        <f>FUR!CH116</f>
        <v>0</v>
      </c>
      <c r="N536">
        <f>FUR!CI116</f>
        <v>0</v>
      </c>
      <c r="O536">
        <f>FUR!CJ116</f>
        <v>0</v>
      </c>
      <c r="P536" s="143" t="str">
        <f>FUR!CK116</f>
        <v>Active</v>
      </c>
      <c r="R536">
        <f t="shared" si="8"/>
        <v>535</v>
      </c>
    </row>
    <row r="537" spans="5:18">
      <c r="E537" s="147" t="s">
        <v>31</v>
      </c>
      <c r="F537" t="str">
        <f>FUR!CA117</f>
        <v>HPS</v>
      </c>
      <c r="G537" t="str">
        <f>FUR!CB117</f>
        <v>AC</v>
      </c>
      <c r="H537" t="str">
        <f>FUR!CC117</f>
        <v>Vessel</v>
      </c>
      <c r="I537">
        <f>FUR!CD117</f>
        <v>0</v>
      </c>
      <c r="J537" t="str">
        <f>FUR!CE117</f>
        <v>Furniture</v>
      </c>
      <c r="K537" t="str">
        <f>FUR!CF117</f>
        <v>Ag</v>
      </c>
      <c r="L537" t="str">
        <f>FUR!CG117</f>
        <v>1P-20</v>
      </c>
      <c r="M537">
        <f>FUR!CH117</f>
        <v>0</v>
      </c>
      <c r="N537">
        <f>FUR!CI117</f>
        <v>0</v>
      </c>
      <c r="O537">
        <f>FUR!CJ117</f>
        <v>0</v>
      </c>
      <c r="P537" s="143" t="str">
        <f>FUR!CK117</f>
        <v>Active</v>
      </c>
      <c r="R537">
        <f t="shared" si="8"/>
        <v>536</v>
      </c>
    </row>
    <row r="538" spans="5:18">
      <c r="E538" s="147" t="s">
        <v>31</v>
      </c>
      <c r="F538" t="str">
        <f>FUR!CA118</f>
        <v>HPS</v>
      </c>
      <c r="G538" t="str">
        <f>FUR!CB118</f>
        <v>AC</v>
      </c>
      <c r="H538" t="str">
        <f>FUR!CC118</f>
        <v>Vessel</v>
      </c>
      <c r="I538">
        <f>FUR!CD118</f>
        <v>0</v>
      </c>
      <c r="J538" t="str">
        <f>FUR!CE118</f>
        <v>Furniture</v>
      </c>
      <c r="K538" t="str">
        <f>FUR!CF118</f>
        <v>Ag</v>
      </c>
      <c r="L538" t="str">
        <f>FUR!CG118</f>
        <v>1P-21</v>
      </c>
      <c r="M538">
        <f>FUR!CH118</f>
        <v>0</v>
      </c>
      <c r="N538">
        <f>FUR!CI118</f>
        <v>0</v>
      </c>
      <c r="O538">
        <f>FUR!CJ118</f>
        <v>0</v>
      </c>
      <c r="P538" s="143" t="str">
        <f>FUR!CK118</f>
        <v>Active</v>
      </c>
      <c r="R538">
        <f t="shared" si="8"/>
        <v>537</v>
      </c>
    </row>
    <row r="539" spans="5:18">
      <c r="E539" s="147" t="s">
        <v>31</v>
      </c>
      <c r="F539" t="str">
        <f>FUR!CA119</f>
        <v>HPS</v>
      </c>
      <c r="G539" t="str">
        <f>FUR!CB119</f>
        <v>AC</v>
      </c>
      <c r="H539" t="str">
        <f>FUR!CC119</f>
        <v>Vessel</v>
      </c>
      <c r="I539">
        <f>FUR!CD119</f>
        <v>0</v>
      </c>
      <c r="J539" t="str">
        <f>FUR!CE119</f>
        <v>Furniture</v>
      </c>
      <c r="K539" t="str">
        <f>FUR!CF119</f>
        <v>Ag</v>
      </c>
      <c r="L539" t="str">
        <f>FUR!CG119</f>
        <v>1P-22</v>
      </c>
      <c r="M539">
        <f>FUR!CH119</f>
        <v>0</v>
      </c>
      <c r="N539">
        <f>FUR!CI119</f>
        <v>0</v>
      </c>
      <c r="O539">
        <f>FUR!CJ119</f>
        <v>0</v>
      </c>
      <c r="P539" s="143" t="str">
        <f>FUR!CK119</f>
        <v>Active</v>
      </c>
      <c r="R539">
        <f t="shared" si="8"/>
        <v>538</v>
      </c>
    </row>
    <row r="540" spans="5:18">
      <c r="E540" s="147" t="s">
        <v>31</v>
      </c>
      <c r="F540" t="str">
        <f>FUR!CA120</f>
        <v>HPS</v>
      </c>
      <c r="G540" t="str">
        <f>FUR!CB120</f>
        <v>AC</v>
      </c>
      <c r="H540" t="str">
        <f>FUR!CC120</f>
        <v>Vessel</v>
      </c>
      <c r="I540">
        <f>FUR!CD120</f>
        <v>0</v>
      </c>
      <c r="J540" t="str">
        <f>FUR!CE120</f>
        <v>Furniture</v>
      </c>
      <c r="K540" t="str">
        <f>FUR!CF120</f>
        <v>Ag</v>
      </c>
      <c r="L540" t="str">
        <f>FUR!CG120</f>
        <v>1P-23</v>
      </c>
      <c r="M540">
        <f>FUR!CH120</f>
        <v>0</v>
      </c>
      <c r="N540">
        <f>FUR!CI120</f>
        <v>0</v>
      </c>
      <c r="O540">
        <f>FUR!CJ120</f>
        <v>0</v>
      </c>
      <c r="P540" s="143" t="str">
        <f>FUR!CK120</f>
        <v>Active</v>
      </c>
      <c r="R540">
        <f t="shared" si="8"/>
        <v>539</v>
      </c>
    </row>
    <row r="541" spans="5:18">
      <c r="E541" s="147" t="s">
        <v>31</v>
      </c>
      <c r="F541" t="str">
        <f>FUR!CA121</f>
        <v>HPS</v>
      </c>
      <c r="G541" t="str">
        <f>FUR!CB121</f>
        <v>AC</v>
      </c>
      <c r="H541" t="str">
        <f>FUR!CC121</f>
        <v>Vessel</v>
      </c>
      <c r="I541">
        <f>FUR!CD121</f>
        <v>0</v>
      </c>
      <c r="J541" t="str">
        <f>FUR!CE121</f>
        <v>Furniture</v>
      </c>
      <c r="K541" t="str">
        <f>FUR!CF121</f>
        <v>Ag</v>
      </c>
      <c r="L541" t="str">
        <f>FUR!CG121</f>
        <v>1P-24</v>
      </c>
      <c r="M541">
        <f>FUR!CH121</f>
        <v>0</v>
      </c>
      <c r="N541">
        <f>FUR!CI121</f>
        <v>0</v>
      </c>
      <c r="O541">
        <f>FUR!CJ121</f>
        <v>0</v>
      </c>
      <c r="P541" s="143" t="str">
        <f>FUR!CK121</f>
        <v>Active</v>
      </c>
      <c r="R541">
        <f t="shared" si="8"/>
        <v>540</v>
      </c>
    </row>
    <row r="542" spans="5:18">
      <c r="E542" s="147" t="s">
        <v>31</v>
      </c>
      <c r="F542" t="str">
        <f>FUR!CA122</f>
        <v>HPS</v>
      </c>
      <c r="G542" t="str">
        <f>FUR!CB122</f>
        <v>AC</v>
      </c>
      <c r="H542" t="str">
        <f>FUR!CC122</f>
        <v>Vessel</v>
      </c>
      <c r="I542">
        <f>FUR!CD122</f>
        <v>0</v>
      </c>
      <c r="J542" t="str">
        <f>FUR!CE122</f>
        <v>Furniture</v>
      </c>
      <c r="K542" t="str">
        <f>FUR!CF122</f>
        <v>Mo</v>
      </c>
      <c r="L542" t="str">
        <f>FUR!CG122</f>
        <v>1P-25</v>
      </c>
      <c r="M542">
        <f>FUR!CH122</f>
        <v>0</v>
      </c>
      <c r="N542">
        <f>FUR!CI122</f>
        <v>0</v>
      </c>
      <c r="O542">
        <f>FUR!CJ122</f>
        <v>0</v>
      </c>
      <c r="P542" s="143" t="str">
        <f>FUR!CK122</f>
        <v>Active</v>
      </c>
      <c r="R542">
        <f t="shared" si="8"/>
        <v>541</v>
      </c>
    </row>
    <row r="543" spans="5:18">
      <c r="E543" s="147" t="s">
        <v>31</v>
      </c>
      <c r="F543" t="str">
        <f>FUR!CA123</f>
        <v>HPS</v>
      </c>
      <c r="G543" t="str">
        <f>FUR!CB123</f>
        <v>AC</v>
      </c>
      <c r="H543" t="str">
        <f>FUR!CC123</f>
        <v>Vessel</v>
      </c>
      <c r="I543">
        <f>FUR!CD123</f>
        <v>0</v>
      </c>
      <c r="J543" t="str">
        <f>FUR!CE123</f>
        <v>Furniture</v>
      </c>
      <c r="K543" t="str">
        <f>FUR!CF123</f>
        <v>Ag-11</v>
      </c>
      <c r="L543" t="str">
        <f>FUR!CG123</f>
        <v>1P-3</v>
      </c>
      <c r="M543">
        <f>FUR!CH123</f>
        <v>0</v>
      </c>
      <c r="N543">
        <f>FUR!CI123</f>
        <v>0</v>
      </c>
      <c r="O543">
        <f>FUR!CJ123</f>
        <v>0</v>
      </c>
      <c r="P543" s="143" t="str">
        <f>FUR!CK123</f>
        <v>Active</v>
      </c>
      <c r="R543">
        <f t="shared" si="8"/>
        <v>542</v>
      </c>
    </row>
    <row r="544" spans="5:18">
      <c r="E544" s="147" t="s">
        <v>31</v>
      </c>
      <c r="F544" t="str">
        <f>FUR!CA124</f>
        <v>HPS</v>
      </c>
      <c r="G544" t="str">
        <f>FUR!CB124</f>
        <v>AC</v>
      </c>
      <c r="H544" t="str">
        <f>FUR!CC124</f>
        <v>Vessel</v>
      </c>
      <c r="I544">
        <f>FUR!CD124</f>
        <v>0</v>
      </c>
      <c r="J544" t="str">
        <f>FUR!CE124</f>
        <v>Furniture</v>
      </c>
      <c r="K544" t="str">
        <f>FUR!CF124</f>
        <v>Ag-11</v>
      </c>
      <c r="L544" t="str">
        <f>FUR!CG124</f>
        <v>1P-4</v>
      </c>
      <c r="M544">
        <f>FUR!CH124</f>
        <v>0</v>
      </c>
      <c r="N544">
        <f>FUR!CI124</f>
        <v>0</v>
      </c>
      <c r="O544">
        <f>FUR!CJ124</f>
        <v>0</v>
      </c>
      <c r="P544" s="143" t="str">
        <f>FUR!CK124</f>
        <v>Active</v>
      </c>
      <c r="R544">
        <f t="shared" si="8"/>
        <v>543</v>
      </c>
    </row>
    <row r="545" spans="5:18">
      <c r="E545" s="147" t="s">
        <v>31</v>
      </c>
      <c r="F545" t="str">
        <f>FUR!CA125</f>
        <v>HPS</v>
      </c>
      <c r="G545" t="str">
        <f>FUR!CB125</f>
        <v>AC</v>
      </c>
      <c r="H545" t="str">
        <f>FUR!CC125</f>
        <v>Vessel</v>
      </c>
      <c r="I545">
        <f>FUR!CD125</f>
        <v>0</v>
      </c>
      <c r="J545" t="str">
        <f>FUR!CE125</f>
        <v>Furniture</v>
      </c>
      <c r="K545" t="str">
        <f>FUR!CF125</f>
        <v>Ag-11</v>
      </c>
      <c r="L545" t="str">
        <f>FUR!CG125</f>
        <v>1P-5</v>
      </c>
      <c r="M545">
        <f>FUR!CH125</f>
        <v>0</v>
      </c>
      <c r="N545">
        <f>FUR!CI125</f>
        <v>0</v>
      </c>
      <c r="O545">
        <f>FUR!CJ125</f>
        <v>0</v>
      </c>
      <c r="P545" s="143" t="str">
        <f>FUR!CK125</f>
        <v>Active</v>
      </c>
      <c r="R545">
        <f t="shared" si="8"/>
        <v>544</v>
      </c>
    </row>
    <row r="546" spans="5:18">
      <c r="E546" s="147" t="s">
        <v>31</v>
      </c>
      <c r="F546" t="str">
        <f>FUR!CA126</f>
        <v>HPS</v>
      </c>
      <c r="G546" t="str">
        <f>FUR!CB126</f>
        <v>AC</v>
      </c>
      <c r="H546" t="str">
        <f>FUR!CC126</f>
        <v>Vessel</v>
      </c>
      <c r="I546">
        <f>FUR!CD126</f>
        <v>0</v>
      </c>
      <c r="J546" t="str">
        <f>FUR!CE126</f>
        <v>Furniture</v>
      </c>
      <c r="K546" t="str">
        <f>FUR!CF126</f>
        <v>Ag-6, Ag-3</v>
      </c>
      <c r="L546" t="str">
        <f>FUR!CG126</f>
        <v>1P-6</v>
      </c>
      <c r="M546">
        <f>FUR!CH126</f>
        <v>0</v>
      </c>
      <c r="N546">
        <f>FUR!CI126</f>
        <v>0</v>
      </c>
      <c r="O546">
        <f>FUR!CJ126</f>
        <v>0</v>
      </c>
      <c r="P546" s="143" t="str">
        <f>FUR!CK126</f>
        <v>Active</v>
      </c>
      <c r="R546">
        <f t="shared" si="8"/>
        <v>545</v>
      </c>
    </row>
    <row r="547" spans="5:18">
      <c r="E547" s="147" t="s">
        <v>31</v>
      </c>
      <c r="F547" t="str">
        <f>FUR!CA127</f>
        <v>HPS</v>
      </c>
      <c r="G547" t="str">
        <f>FUR!CB127</f>
        <v>AC</v>
      </c>
      <c r="H547" t="str">
        <f>FUR!CC127</f>
        <v>Vessel</v>
      </c>
      <c r="I547">
        <f>FUR!CD127</f>
        <v>0</v>
      </c>
      <c r="J547" t="str">
        <f>FUR!CE127</f>
        <v>Furniture</v>
      </c>
      <c r="K547" t="str">
        <f>FUR!CF127</f>
        <v>Ag-6, Ag-3</v>
      </c>
      <c r="L547" t="str">
        <f>FUR!CG127</f>
        <v>1P-7</v>
      </c>
      <c r="M547">
        <f>FUR!CH127</f>
        <v>0</v>
      </c>
      <c r="N547">
        <f>FUR!CI127</f>
        <v>0</v>
      </c>
      <c r="O547">
        <f>FUR!CJ127</f>
        <v>0</v>
      </c>
      <c r="P547" s="143" t="str">
        <f>FUR!CK127</f>
        <v>Active</v>
      </c>
      <c r="R547">
        <f t="shared" si="8"/>
        <v>546</v>
      </c>
    </row>
    <row r="548" spans="5:18">
      <c r="E548" s="147" t="s">
        <v>31</v>
      </c>
      <c r="F548" t="str">
        <f>FUR!CA128</f>
        <v>HPS</v>
      </c>
      <c r="G548" t="str">
        <f>FUR!CB128</f>
        <v>AC</v>
      </c>
      <c r="H548" t="str">
        <f>FUR!CC128</f>
        <v>Vessel</v>
      </c>
      <c r="I548">
        <f>FUR!CD128</f>
        <v>0</v>
      </c>
      <c r="J548" t="str">
        <f>FUR!CE128</f>
        <v>Furniture</v>
      </c>
      <c r="K548" t="str">
        <f>FUR!CF128</f>
        <v>Ag-7</v>
      </c>
      <c r="L548" t="str">
        <f>FUR!CG128</f>
        <v>1P-8</v>
      </c>
      <c r="M548">
        <f>FUR!CH128</f>
        <v>0</v>
      </c>
      <c r="N548">
        <f>FUR!CI128</f>
        <v>0</v>
      </c>
      <c r="O548">
        <f>FUR!CJ128</f>
        <v>0</v>
      </c>
      <c r="P548" s="143" t="str">
        <f>FUR!CK128</f>
        <v>Active</v>
      </c>
      <c r="R548">
        <f t="shared" si="8"/>
        <v>547</v>
      </c>
    </row>
    <row r="549" spans="5:18">
      <c r="E549" s="147" t="s">
        <v>31</v>
      </c>
      <c r="F549" t="str">
        <f>FUR!CA129</f>
        <v>HPS</v>
      </c>
      <c r="G549" t="str">
        <f>FUR!CB129</f>
        <v>AC</v>
      </c>
      <c r="H549" t="str">
        <f>FUR!CC129</f>
        <v>Vessel</v>
      </c>
      <c r="I549">
        <f>FUR!CD129</f>
        <v>0</v>
      </c>
      <c r="J549" t="str">
        <f>FUR!CE129</f>
        <v>Furniture</v>
      </c>
      <c r="K549" t="str">
        <f>FUR!CF129</f>
        <v>Ag-7</v>
      </c>
      <c r="L549" t="str">
        <f>FUR!CG129</f>
        <v>1P-9</v>
      </c>
      <c r="M549">
        <f>FUR!CH129</f>
        <v>0</v>
      </c>
      <c r="N549">
        <f>FUR!CI129</f>
        <v>0</v>
      </c>
      <c r="O549">
        <f>FUR!CJ129</f>
        <v>0</v>
      </c>
      <c r="P549" s="143" t="str">
        <f>FUR!CK129</f>
        <v>Active</v>
      </c>
      <c r="R549">
        <f t="shared" si="8"/>
        <v>548</v>
      </c>
    </row>
    <row r="550" spans="5:18">
      <c r="E550" s="147" t="s">
        <v>31</v>
      </c>
      <c r="F550" t="str">
        <f>FUR!CA130</f>
        <v>HPS</v>
      </c>
      <c r="G550" t="str">
        <f>FUR!CB130</f>
        <v>AC</v>
      </c>
      <c r="H550" t="str">
        <f>FUR!CC130</f>
        <v>Vessel</v>
      </c>
      <c r="I550">
        <f>FUR!CD130</f>
        <v>0</v>
      </c>
      <c r="J550" t="str">
        <f>FUR!CE130</f>
        <v>Furniture</v>
      </c>
      <c r="K550" t="str">
        <f>FUR!CF130</f>
        <v>Ni200201-1, NiCr8020-4, Ni-19</v>
      </c>
      <c r="L550" t="str">
        <f>FUR!CG130</f>
        <v>1S-0</v>
      </c>
      <c r="M550">
        <f>FUR!CH130</f>
        <v>0</v>
      </c>
      <c r="N550">
        <f>FUR!CI130</f>
        <v>0</v>
      </c>
      <c r="O550">
        <f>FUR!CJ130</f>
        <v>0</v>
      </c>
      <c r="P550" s="143" t="str">
        <f>FUR!CK130</f>
        <v>Active</v>
      </c>
      <c r="R550">
        <f t="shared" si="8"/>
        <v>549</v>
      </c>
    </row>
    <row r="551" spans="5:18">
      <c r="E551" s="147" t="s">
        <v>31</v>
      </c>
      <c r="F551" t="str">
        <f>FUR!CA131</f>
        <v>HPS</v>
      </c>
      <c r="G551" t="str">
        <f>FUR!CB131</f>
        <v>AC</v>
      </c>
      <c r="H551" t="str">
        <f>FUR!CC131</f>
        <v>Vessel</v>
      </c>
      <c r="I551">
        <f>FUR!CD131</f>
        <v>0</v>
      </c>
      <c r="J551" t="str">
        <f>FUR!CE131</f>
        <v>Furniture</v>
      </c>
      <c r="K551" t="str">
        <f>FUR!CF131</f>
        <v>Ni200201-1, NiCr8020-4, Ni-19</v>
      </c>
      <c r="L551" t="str">
        <f>FUR!CG131</f>
        <v>1S-1</v>
      </c>
      <c r="M551">
        <f>FUR!CH131</f>
        <v>0</v>
      </c>
      <c r="N551">
        <f>FUR!CI131</f>
        <v>0</v>
      </c>
      <c r="O551">
        <f>FUR!CJ131</f>
        <v>0</v>
      </c>
      <c r="P551" s="143" t="str">
        <f>FUR!CK131</f>
        <v>Active</v>
      </c>
      <c r="R551">
        <f t="shared" si="8"/>
        <v>550</v>
      </c>
    </row>
    <row r="552" spans="5:18">
      <c r="E552" s="147" t="s">
        <v>31</v>
      </c>
      <c r="F552" t="str">
        <f>FUR!CA132</f>
        <v>HPS</v>
      </c>
      <c r="G552" t="str">
        <f>FUR!CB132</f>
        <v>AC</v>
      </c>
      <c r="H552" t="str">
        <f>FUR!CC132</f>
        <v>Vessel</v>
      </c>
      <c r="I552">
        <f>FUR!CD132</f>
        <v>0</v>
      </c>
      <c r="J552" t="str">
        <f>FUR!CE132</f>
        <v>Furniture</v>
      </c>
      <c r="K552" t="str">
        <f>FUR!CF132</f>
        <v>Ag-5, Ag-6, Ag-4</v>
      </c>
      <c r="L552" t="str">
        <f>FUR!CG132</f>
        <v>1S-10</v>
      </c>
      <c r="M552">
        <f>FUR!CH132</f>
        <v>0</v>
      </c>
      <c r="N552">
        <f>FUR!CI132</f>
        <v>0</v>
      </c>
      <c r="O552">
        <f>FUR!CJ132</f>
        <v>0</v>
      </c>
      <c r="P552" s="143" t="str">
        <f>FUR!CK132</f>
        <v>Retired</v>
      </c>
      <c r="R552">
        <f t="shared" si="8"/>
        <v>551</v>
      </c>
    </row>
    <row r="553" spans="5:18">
      <c r="E553" s="147" t="s">
        <v>31</v>
      </c>
      <c r="F553" t="str">
        <f>FUR!CA133</f>
        <v>HPS</v>
      </c>
      <c r="G553" t="str">
        <f>FUR!CB133</f>
        <v>AC</v>
      </c>
      <c r="H553" t="str">
        <f>FUR!CC133</f>
        <v>Vessel</v>
      </c>
      <c r="I553">
        <f>FUR!CD133</f>
        <v>0</v>
      </c>
      <c r="J553" t="str">
        <f>FUR!CE133</f>
        <v>Furniture</v>
      </c>
      <c r="K553" t="str">
        <f>FUR!CF133</f>
        <v>Ag-6, Ag-10</v>
      </c>
      <c r="L553" t="str">
        <f>FUR!CG133</f>
        <v>1S-11</v>
      </c>
      <c r="M553">
        <f>FUR!CH133</f>
        <v>0</v>
      </c>
      <c r="N553">
        <f>FUR!CI133</f>
        <v>0</v>
      </c>
      <c r="O553">
        <f>FUR!CJ133</f>
        <v>0</v>
      </c>
      <c r="P553" s="143" t="str">
        <f>FUR!CK133</f>
        <v>Active</v>
      </c>
      <c r="R553">
        <f t="shared" si="8"/>
        <v>552</v>
      </c>
    </row>
    <row r="554" spans="5:18">
      <c r="E554" s="147" t="s">
        <v>31</v>
      </c>
      <c r="F554" t="str">
        <f>FUR!CA134</f>
        <v>HPS</v>
      </c>
      <c r="G554" t="str">
        <f>FUR!CB134</f>
        <v>AC</v>
      </c>
      <c r="H554" t="str">
        <f>FUR!CC134</f>
        <v>Vessel</v>
      </c>
      <c r="I554">
        <f>FUR!CD134</f>
        <v>0</v>
      </c>
      <c r="J554" t="str">
        <f>FUR!CE134</f>
        <v>Furniture</v>
      </c>
      <c r="K554" t="str">
        <f>FUR!CF134</f>
        <v>Ag-6, Ag-10</v>
      </c>
      <c r="L554" t="str">
        <f>FUR!CG134</f>
        <v>1S-12</v>
      </c>
      <c r="M554">
        <f>FUR!CH134</f>
        <v>0</v>
      </c>
      <c r="N554">
        <f>FUR!CI134</f>
        <v>0</v>
      </c>
      <c r="O554">
        <f>FUR!CJ134</f>
        <v>0</v>
      </c>
      <c r="P554" s="143" t="str">
        <f>FUR!CK134</f>
        <v>Active</v>
      </c>
      <c r="R554">
        <f t="shared" si="8"/>
        <v>553</v>
      </c>
    </row>
    <row r="555" spans="5:18">
      <c r="E555" s="147" t="s">
        <v>31</v>
      </c>
      <c r="F555" t="str">
        <f>FUR!CA135</f>
        <v>HPS</v>
      </c>
      <c r="G555" t="str">
        <f>FUR!CB135</f>
        <v>AC</v>
      </c>
      <c r="H555" t="str">
        <f>FUR!CC135</f>
        <v>Vessel</v>
      </c>
      <c r="I555">
        <f>FUR!CD135</f>
        <v>0</v>
      </c>
      <c r="J555" t="str">
        <f>FUR!CE135</f>
        <v>Furniture</v>
      </c>
      <c r="K555" t="str">
        <f>FUR!CF135</f>
        <v>Ag-6, Ag-10</v>
      </c>
      <c r="L555" t="str">
        <f>FUR!CG135</f>
        <v>1S-13</v>
      </c>
      <c r="M555">
        <f>FUR!CH135</f>
        <v>0</v>
      </c>
      <c r="N555">
        <f>FUR!CI135</f>
        <v>0</v>
      </c>
      <c r="O555">
        <f>FUR!CJ135</f>
        <v>0</v>
      </c>
      <c r="P555" s="143" t="str">
        <f>FUR!CK135</f>
        <v>Active</v>
      </c>
      <c r="R555">
        <f t="shared" si="8"/>
        <v>554</v>
      </c>
    </row>
    <row r="556" spans="5:18">
      <c r="E556" s="147" t="s">
        <v>31</v>
      </c>
      <c r="F556" t="str">
        <f>FUR!CA136</f>
        <v>HPS</v>
      </c>
      <c r="G556" t="str">
        <f>FUR!CB136</f>
        <v>AC</v>
      </c>
      <c r="H556" t="str">
        <f>FUR!CC136</f>
        <v>Vessel</v>
      </c>
      <c r="I556">
        <f>FUR!CD136</f>
        <v>0</v>
      </c>
      <c r="J556" t="str">
        <f>FUR!CE136</f>
        <v>Furniture</v>
      </c>
      <c r="K556" t="str">
        <f>FUR!CF136</f>
        <v>Ag-6, Ag-10</v>
      </c>
      <c r="L556" t="str">
        <f>FUR!CG136</f>
        <v>1S-14</v>
      </c>
      <c r="M556">
        <f>FUR!CH136</f>
        <v>0</v>
      </c>
      <c r="N556">
        <f>FUR!CI136</f>
        <v>0</v>
      </c>
      <c r="O556">
        <f>FUR!CJ136</f>
        <v>0</v>
      </c>
      <c r="P556" s="143" t="str">
        <f>FUR!CK136</f>
        <v>Active</v>
      </c>
      <c r="R556">
        <f t="shared" si="8"/>
        <v>555</v>
      </c>
    </row>
    <row r="557" spans="5:18">
      <c r="E557" s="147" t="s">
        <v>31</v>
      </c>
      <c r="F557" t="str">
        <f>FUR!CA137</f>
        <v>HPS</v>
      </c>
      <c r="G557" t="str">
        <f>FUR!CB137</f>
        <v>AC</v>
      </c>
      <c r="H557" t="str">
        <f>FUR!CC137</f>
        <v>Vessel</v>
      </c>
      <c r="I557">
        <f>FUR!CD137</f>
        <v>0</v>
      </c>
      <c r="J557" t="str">
        <f>FUR!CE137</f>
        <v>Furniture</v>
      </c>
      <c r="K557" t="str">
        <f>FUR!CF137</f>
        <v>Ag-6, Ag-14</v>
      </c>
      <c r="L557" t="str">
        <f>FUR!CG137</f>
        <v>1S-15</v>
      </c>
      <c r="M557">
        <f>FUR!CH137</f>
        <v>0</v>
      </c>
      <c r="N557">
        <f>FUR!CI137</f>
        <v>0</v>
      </c>
      <c r="O557">
        <f>FUR!CJ137</f>
        <v>0</v>
      </c>
      <c r="P557" s="143" t="str">
        <f>FUR!CK137</f>
        <v>Active</v>
      </c>
      <c r="R557">
        <f t="shared" si="8"/>
        <v>556</v>
      </c>
    </row>
    <row r="558" spans="5:18">
      <c r="E558" s="147" t="s">
        <v>31</v>
      </c>
      <c r="F558" t="str">
        <f>FUR!CA138</f>
        <v>HPS</v>
      </c>
      <c r="G558" t="str">
        <f>FUR!CB138</f>
        <v>AC</v>
      </c>
      <c r="H558" t="str">
        <f>FUR!CC138</f>
        <v>Vessel</v>
      </c>
      <c r="I558">
        <f>FUR!CD138</f>
        <v>0</v>
      </c>
      <c r="J558" t="str">
        <f>FUR!CE138</f>
        <v>Furniture</v>
      </c>
      <c r="K558" t="str">
        <f>FUR!CF138</f>
        <v>Ag-14, Ag-16</v>
      </c>
      <c r="L558" t="str">
        <f>FUR!CG138</f>
        <v>1S-16</v>
      </c>
      <c r="M558">
        <f>FUR!CH138</f>
        <v>0</v>
      </c>
      <c r="N558">
        <f>FUR!CI138</f>
        <v>0</v>
      </c>
      <c r="O558">
        <f>FUR!CJ138</f>
        <v>0</v>
      </c>
      <c r="P558" s="143" t="str">
        <f>FUR!CK138</f>
        <v>Active</v>
      </c>
      <c r="R558">
        <f t="shared" si="8"/>
        <v>557</v>
      </c>
    </row>
    <row r="559" spans="5:18">
      <c r="E559" s="147" t="s">
        <v>31</v>
      </c>
      <c r="F559" t="str">
        <f>FUR!CA139</f>
        <v>HPS</v>
      </c>
      <c r="G559" t="str">
        <f>FUR!CB139</f>
        <v>AC</v>
      </c>
      <c r="H559" t="str">
        <f>FUR!CC139</f>
        <v>Vessel</v>
      </c>
      <c r="I559">
        <f>FUR!CD139</f>
        <v>0</v>
      </c>
      <c r="J559" t="str">
        <f>FUR!CE139</f>
        <v>Furniture</v>
      </c>
      <c r="K559">
        <f>FUR!CF139</f>
        <v>0</v>
      </c>
      <c r="L559" t="str">
        <f>FUR!CG139</f>
        <v>1S-17</v>
      </c>
      <c r="M559">
        <f>FUR!CH139</f>
        <v>0</v>
      </c>
      <c r="N559">
        <f>FUR!CI139</f>
        <v>0</v>
      </c>
      <c r="O559">
        <f>FUR!CJ139</f>
        <v>0</v>
      </c>
      <c r="P559" s="143" t="str">
        <f>FUR!CK139</f>
        <v>Active</v>
      </c>
      <c r="R559">
        <f t="shared" si="8"/>
        <v>558</v>
      </c>
    </row>
    <row r="560" spans="5:18">
      <c r="E560" s="147" t="s">
        <v>31</v>
      </c>
      <c r="F560" t="str">
        <f>FUR!CA140</f>
        <v>HPS</v>
      </c>
      <c r="G560" t="str">
        <f>FUR!CB140</f>
        <v>AC</v>
      </c>
      <c r="H560" t="str">
        <f>FUR!CC140</f>
        <v>Vessel</v>
      </c>
      <c r="I560">
        <f>FUR!CD140</f>
        <v>0</v>
      </c>
      <c r="J560" t="str">
        <f>FUR!CE140</f>
        <v>Furniture</v>
      </c>
      <c r="K560">
        <f>FUR!CF140</f>
        <v>0</v>
      </c>
      <c r="L560" t="str">
        <f>FUR!CG140</f>
        <v>1S-18</v>
      </c>
      <c r="M560">
        <f>FUR!CH140</f>
        <v>0</v>
      </c>
      <c r="N560">
        <f>FUR!CI140</f>
        <v>0</v>
      </c>
      <c r="O560">
        <f>FUR!CJ140</f>
        <v>0</v>
      </c>
      <c r="P560" s="143" t="str">
        <f>FUR!CK140</f>
        <v>Active</v>
      </c>
      <c r="R560">
        <f t="shared" si="8"/>
        <v>559</v>
      </c>
    </row>
    <row r="561" spans="5:18">
      <c r="E561" s="147" t="s">
        <v>31</v>
      </c>
      <c r="F561" t="str">
        <f>FUR!CA141</f>
        <v>HPS</v>
      </c>
      <c r="G561" t="str">
        <f>FUR!CB141</f>
        <v>AC</v>
      </c>
      <c r="H561" t="str">
        <f>FUR!CC141</f>
        <v>Vessel</v>
      </c>
      <c r="I561">
        <f>FUR!CD141</f>
        <v>0</v>
      </c>
      <c r="J561" t="str">
        <f>FUR!CE141</f>
        <v>Furniture</v>
      </c>
      <c r="K561">
        <f>FUR!CF141</f>
        <v>0</v>
      </c>
      <c r="L561" t="str">
        <f>FUR!CG141</f>
        <v>1S-19</v>
      </c>
      <c r="M561">
        <f>FUR!CH141</f>
        <v>0</v>
      </c>
      <c r="N561">
        <f>FUR!CI141</f>
        <v>0</v>
      </c>
      <c r="O561">
        <f>FUR!CJ141</f>
        <v>0</v>
      </c>
      <c r="P561" s="143" t="str">
        <f>FUR!CK141</f>
        <v>Active</v>
      </c>
      <c r="R561">
        <f t="shared" si="8"/>
        <v>560</v>
      </c>
    </row>
    <row r="562" spans="5:18">
      <c r="E562" s="147" t="s">
        <v>31</v>
      </c>
      <c r="F562" t="str">
        <f>FUR!CA142</f>
        <v>HPS</v>
      </c>
      <c r="G562" t="str">
        <f>FUR!CB142</f>
        <v>AC</v>
      </c>
      <c r="H562" t="str">
        <f>FUR!CC142</f>
        <v>Vessel</v>
      </c>
      <c r="I562">
        <f>FUR!CD142</f>
        <v>0</v>
      </c>
      <c r="J562" t="str">
        <f>FUR!CE142</f>
        <v>Furniture</v>
      </c>
      <c r="K562" t="str">
        <f>FUR!CF142</f>
        <v>Ni200201-1, NiCr8020-4, Ni-19</v>
      </c>
      <c r="L562" t="str">
        <f>FUR!CG142</f>
        <v>1S-2</v>
      </c>
      <c r="M562">
        <f>FUR!CH142</f>
        <v>0</v>
      </c>
      <c r="N562">
        <f>FUR!CI142</f>
        <v>0</v>
      </c>
      <c r="O562">
        <f>FUR!CJ142</f>
        <v>0</v>
      </c>
      <c r="P562" s="143" t="str">
        <f>FUR!CK142</f>
        <v>Active</v>
      </c>
      <c r="R562">
        <f t="shared" si="8"/>
        <v>561</v>
      </c>
    </row>
    <row r="563" spans="5:18">
      <c r="E563" s="147" t="s">
        <v>31</v>
      </c>
      <c r="F563" t="str">
        <f>FUR!CA143</f>
        <v>HPS</v>
      </c>
      <c r="G563" t="str">
        <f>FUR!CB143</f>
        <v>AC</v>
      </c>
      <c r="H563" t="str">
        <f>FUR!CC143</f>
        <v>Vessel</v>
      </c>
      <c r="I563">
        <f>FUR!CD143</f>
        <v>0</v>
      </c>
      <c r="J563" t="str">
        <f>FUR!CE143</f>
        <v>Furniture</v>
      </c>
      <c r="K563">
        <f>FUR!CF143</f>
        <v>0</v>
      </c>
      <c r="L563" t="str">
        <f>FUR!CG143</f>
        <v>1S-20</v>
      </c>
      <c r="M563">
        <f>FUR!CH143</f>
        <v>0</v>
      </c>
      <c r="N563">
        <f>FUR!CI143</f>
        <v>0</v>
      </c>
      <c r="O563">
        <f>FUR!CJ143</f>
        <v>0</v>
      </c>
      <c r="P563" s="143" t="str">
        <f>FUR!CK143</f>
        <v>Active</v>
      </c>
      <c r="R563">
        <f t="shared" si="8"/>
        <v>562</v>
      </c>
    </row>
    <row r="564" spans="5:18">
      <c r="E564" s="147" t="s">
        <v>31</v>
      </c>
      <c r="F564" t="str">
        <f>FUR!CA144</f>
        <v>HPS</v>
      </c>
      <c r="G564" t="str">
        <f>FUR!CB144</f>
        <v>AC</v>
      </c>
      <c r="H564" t="str">
        <f>FUR!CC144</f>
        <v>Vessel</v>
      </c>
      <c r="I564">
        <f>FUR!CD144</f>
        <v>0</v>
      </c>
      <c r="J564" t="str">
        <f>FUR!CE144</f>
        <v>Furniture</v>
      </c>
      <c r="K564" t="str">
        <f>FUR!CF144</f>
        <v>Inc625</v>
      </c>
      <c r="L564" t="str">
        <f>FUR!CG144</f>
        <v>1S-21</v>
      </c>
      <c r="M564">
        <f>FUR!CH144</f>
        <v>0</v>
      </c>
      <c r="N564">
        <f>FUR!CI144</f>
        <v>0</v>
      </c>
      <c r="O564">
        <f>FUR!CJ144</f>
        <v>0</v>
      </c>
      <c r="P564" s="143" t="str">
        <f>FUR!CK144</f>
        <v>Active</v>
      </c>
      <c r="R564">
        <f t="shared" si="8"/>
        <v>563</v>
      </c>
    </row>
    <row r="565" spans="5:18">
      <c r="E565" s="147" t="s">
        <v>31</v>
      </c>
      <c r="F565" t="str">
        <f>FUR!CA145</f>
        <v>HPS</v>
      </c>
      <c r="G565" t="str">
        <f>FUR!CB145</f>
        <v>AC</v>
      </c>
      <c r="H565" t="str">
        <f>FUR!CC145</f>
        <v>Vessel</v>
      </c>
      <c r="I565">
        <f>FUR!CD145</f>
        <v>0</v>
      </c>
      <c r="J565" t="str">
        <f>FUR!CE145</f>
        <v>Furniture</v>
      </c>
      <c r="K565" t="str">
        <f>FUR!CF145</f>
        <v>Inc625</v>
      </c>
      <c r="L565" t="str">
        <f>FUR!CG145</f>
        <v>1S-22</v>
      </c>
      <c r="M565">
        <f>FUR!CH145</f>
        <v>0</v>
      </c>
      <c r="N565">
        <f>FUR!CI145</f>
        <v>0</v>
      </c>
      <c r="O565">
        <f>FUR!CJ145</f>
        <v>0</v>
      </c>
      <c r="P565" s="143" t="str">
        <f>FUR!CK145</f>
        <v>Active</v>
      </c>
      <c r="R565">
        <f t="shared" si="8"/>
        <v>564</v>
      </c>
    </row>
    <row r="566" spans="5:18">
      <c r="E566" s="147" t="s">
        <v>31</v>
      </c>
      <c r="F566" t="str">
        <f>FUR!CA146</f>
        <v>HPS</v>
      </c>
      <c r="G566" t="str">
        <f>FUR!CB146</f>
        <v>AC</v>
      </c>
      <c r="H566" t="str">
        <f>FUR!CC146</f>
        <v>Vessel</v>
      </c>
      <c r="I566">
        <f>FUR!CD146</f>
        <v>0</v>
      </c>
      <c r="J566" t="str">
        <f>FUR!CE146</f>
        <v>Furniture</v>
      </c>
      <c r="K566" t="str">
        <f>FUR!CF146</f>
        <v>Inc625</v>
      </c>
      <c r="L566" t="str">
        <f>FUR!CG146</f>
        <v>1S-23</v>
      </c>
      <c r="M566">
        <f>FUR!CH146</f>
        <v>0</v>
      </c>
      <c r="N566">
        <f>FUR!CI146</f>
        <v>0</v>
      </c>
      <c r="O566">
        <f>FUR!CJ146</f>
        <v>0</v>
      </c>
      <c r="P566" s="143" t="str">
        <f>FUR!CK146</f>
        <v>Active</v>
      </c>
      <c r="R566">
        <f t="shared" si="8"/>
        <v>565</v>
      </c>
    </row>
    <row r="567" spans="5:18">
      <c r="E567" s="147" t="s">
        <v>31</v>
      </c>
      <c r="F567" t="str">
        <f>FUR!CA147</f>
        <v>HPS</v>
      </c>
      <c r="G567" t="str">
        <f>FUR!CB147</f>
        <v>AC</v>
      </c>
      <c r="H567" t="str">
        <f>FUR!CC147</f>
        <v>Vessel</v>
      </c>
      <c r="I567">
        <f>FUR!CD147</f>
        <v>0</v>
      </c>
      <c r="J567" t="str">
        <f>FUR!CE147</f>
        <v>Furniture</v>
      </c>
      <c r="K567" t="str">
        <f>FUR!CF147</f>
        <v>Inc625</v>
      </c>
      <c r="L567" t="str">
        <f>FUR!CG147</f>
        <v>1S-24</v>
      </c>
      <c r="M567">
        <f>FUR!CH147</f>
        <v>0</v>
      </c>
      <c r="N567">
        <f>FUR!CI147</f>
        <v>0</v>
      </c>
      <c r="O567">
        <f>FUR!CJ147</f>
        <v>0</v>
      </c>
      <c r="P567" s="143" t="str">
        <f>FUR!CK147</f>
        <v>Active</v>
      </c>
      <c r="R567">
        <f t="shared" si="8"/>
        <v>566</v>
      </c>
    </row>
    <row r="568" spans="5:18">
      <c r="E568" s="147" t="s">
        <v>31</v>
      </c>
      <c r="F568" t="str">
        <f>FUR!CA148</f>
        <v>HPS</v>
      </c>
      <c r="G568" t="str">
        <f>FUR!CB148</f>
        <v>AC</v>
      </c>
      <c r="H568" t="str">
        <f>FUR!CC148</f>
        <v>Vessel</v>
      </c>
      <c r="I568">
        <f>FUR!CD148</f>
        <v>0</v>
      </c>
      <c r="J568" t="str">
        <f>FUR!CE148</f>
        <v>Furniture</v>
      </c>
      <c r="K568" t="str">
        <f>FUR!CF148</f>
        <v>Inc626</v>
      </c>
      <c r="L568" t="str">
        <f>FUR!CG148</f>
        <v>1S-25</v>
      </c>
      <c r="M568">
        <f>FUR!CH148</f>
        <v>0</v>
      </c>
      <c r="N568">
        <f>FUR!CI148</f>
        <v>0</v>
      </c>
      <c r="O568">
        <f>FUR!CJ148</f>
        <v>0</v>
      </c>
      <c r="P568" s="143" t="str">
        <f>FUR!CK148</f>
        <v>Active</v>
      </c>
      <c r="R568">
        <f t="shared" si="8"/>
        <v>567</v>
      </c>
    </row>
    <row r="569" spans="5:18">
      <c r="E569" s="147" t="s">
        <v>31</v>
      </c>
      <c r="F569" t="str">
        <f>FUR!CA149</f>
        <v>HPS</v>
      </c>
      <c r="G569" t="str">
        <f>FUR!CB149</f>
        <v>AC</v>
      </c>
      <c r="H569" t="str">
        <f>FUR!CC149</f>
        <v>Vessel</v>
      </c>
      <c r="I569">
        <f>FUR!CD149</f>
        <v>0</v>
      </c>
      <c r="J569" t="str">
        <f>FUR!CE149</f>
        <v>Furniture</v>
      </c>
      <c r="K569" t="str">
        <f>FUR!CF149</f>
        <v>Ni200201-1, NiCr8020-4, Ni-19</v>
      </c>
      <c r="L569" t="str">
        <f>FUR!CG149</f>
        <v>1S-3</v>
      </c>
      <c r="M569">
        <f>FUR!CH149</f>
        <v>0</v>
      </c>
      <c r="N569">
        <f>FUR!CI149</f>
        <v>0</v>
      </c>
      <c r="O569">
        <f>FUR!CJ149</f>
        <v>0</v>
      </c>
      <c r="P569" s="143" t="str">
        <f>FUR!CK149</f>
        <v>Active</v>
      </c>
      <c r="R569">
        <f t="shared" si="8"/>
        <v>568</v>
      </c>
    </row>
    <row r="570" spans="5:18">
      <c r="E570" s="147" t="s">
        <v>31</v>
      </c>
      <c r="F570" t="str">
        <f>FUR!CA150</f>
        <v>HPS</v>
      </c>
      <c r="G570" t="str">
        <f>FUR!CB150</f>
        <v>AC</v>
      </c>
      <c r="H570" t="str">
        <f>FUR!CC150</f>
        <v>Vessel</v>
      </c>
      <c r="I570">
        <f>FUR!CD150</f>
        <v>0</v>
      </c>
      <c r="J570" t="str">
        <f>FUR!CE150</f>
        <v>Furniture</v>
      </c>
      <c r="K570" t="str">
        <f>FUR!CF150</f>
        <v>Ni200201-1, NiCr8020-4, Ni-19</v>
      </c>
      <c r="L570" t="str">
        <f>FUR!CG150</f>
        <v>1S-4</v>
      </c>
      <c r="M570">
        <f>FUR!CH150</f>
        <v>0</v>
      </c>
      <c r="N570">
        <f>FUR!CI150</f>
        <v>0</v>
      </c>
      <c r="O570">
        <f>FUR!CJ150</f>
        <v>0</v>
      </c>
      <c r="P570" s="143" t="str">
        <f>FUR!CK150</f>
        <v>Active</v>
      </c>
      <c r="R570">
        <f t="shared" si="8"/>
        <v>569</v>
      </c>
    </row>
    <row r="571" spans="5:18">
      <c r="E571" s="147" t="s">
        <v>31</v>
      </c>
      <c r="F571" t="str">
        <f>FUR!CA151</f>
        <v>HPS</v>
      </c>
      <c r="G571" t="str">
        <f>FUR!CB151</f>
        <v>AC</v>
      </c>
      <c r="H571" t="str">
        <f>FUR!CC151</f>
        <v>Vessel</v>
      </c>
      <c r="I571">
        <f>FUR!CD151</f>
        <v>0</v>
      </c>
      <c r="J571" t="str">
        <f>FUR!CE151</f>
        <v>Furniture</v>
      </c>
      <c r="K571" t="str">
        <f>FUR!CF151</f>
        <v>Ni200201-1, NiCr8020-4, Ni-19</v>
      </c>
      <c r="L571" t="str">
        <f>FUR!CG151</f>
        <v>1S-5</v>
      </c>
      <c r="M571">
        <f>FUR!CH151</f>
        <v>0</v>
      </c>
      <c r="N571">
        <f>FUR!CI151</f>
        <v>0</v>
      </c>
      <c r="O571">
        <f>FUR!CJ151</f>
        <v>0</v>
      </c>
      <c r="P571" s="143" t="str">
        <f>FUR!CK151</f>
        <v>Active</v>
      </c>
      <c r="R571">
        <f t="shared" si="8"/>
        <v>570</v>
      </c>
    </row>
    <row r="572" spans="5:18">
      <c r="E572" s="147" t="s">
        <v>31</v>
      </c>
      <c r="F572" t="str">
        <f>FUR!CA152</f>
        <v>HPS</v>
      </c>
      <c r="G572" t="str">
        <f>FUR!CB152</f>
        <v>AC</v>
      </c>
      <c r="H572" t="str">
        <f>FUR!CC152</f>
        <v>Vessel</v>
      </c>
      <c r="I572">
        <f>FUR!CD152</f>
        <v>0</v>
      </c>
      <c r="J572" t="str">
        <f>FUR!CE152</f>
        <v>Furniture</v>
      </c>
      <c r="K572" t="str">
        <f>FUR!CF152</f>
        <v>Ni200201-1, Ni-19, NiCr8020-4</v>
      </c>
      <c r="L572" t="str">
        <f>FUR!CG152</f>
        <v>1S-6</v>
      </c>
      <c r="M572">
        <f>FUR!CH152</f>
        <v>0</v>
      </c>
      <c r="N572">
        <f>FUR!CI152</f>
        <v>0</v>
      </c>
      <c r="O572">
        <f>FUR!CJ152</f>
        <v>0</v>
      </c>
      <c r="P572" s="143" t="str">
        <f>FUR!CK152</f>
        <v>Active</v>
      </c>
      <c r="R572">
        <f t="shared" si="8"/>
        <v>571</v>
      </c>
    </row>
    <row r="573" spans="5:18">
      <c r="E573" s="147" t="s">
        <v>31</v>
      </c>
      <c r="F573" t="str">
        <f>FUR!CA153</f>
        <v>HPS</v>
      </c>
      <c r="G573" t="str">
        <f>FUR!CB153</f>
        <v>AC</v>
      </c>
      <c r="H573" t="str">
        <f>FUR!CC153</f>
        <v>Vessel</v>
      </c>
      <c r="I573">
        <f>FUR!CD153</f>
        <v>0</v>
      </c>
      <c r="J573" t="str">
        <f>FUR!CE153</f>
        <v>Furniture</v>
      </c>
      <c r="K573" t="str">
        <f>FUR!CF153</f>
        <v>Ni200201-1, Ni-19, NiCr8020-4</v>
      </c>
      <c r="L573" t="str">
        <f>FUR!CG153</f>
        <v>1S-7</v>
      </c>
      <c r="M573">
        <f>FUR!CH153</f>
        <v>0</v>
      </c>
      <c r="N573">
        <f>FUR!CI153</f>
        <v>0</v>
      </c>
      <c r="O573">
        <f>FUR!CJ153</f>
        <v>0</v>
      </c>
      <c r="P573" s="143" t="str">
        <f>FUR!CK153</f>
        <v>Active</v>
      </c>
      <c r="R573">
        <f t="shared" si="8"/>
        <v>572</v>
      </c>
    </row>
    <row r="574" spans="5:18">
      <c r="E574" s="147" t="s">
        <v>31</v>
      </c>
      <c r="F574" t="str">
        <f>FUR!CA154</f>
        <v>HPS</v>
      </c>
      <c r="G574" t="str">
        <f>FUR!CB154</f>
        <v>AC</v>
      </c>
      <c r="H574" t="str">
        <f>FUR!CC154</f>
        <v>Vessel</v>
      </c>
      <c r="I574">
        <f>FUR!CD154</f>
        <v>0</v>
      </c>
      <c r="J574" t="str">
        <f>FUR!CE154</f>
        <v>Furniture</v>
      </c>
      <c r="K574" t="str">
        <f>FUR!CF154</f>
        <v>Ni200201-1, Ni-19, NiCr8020-4</v>
      </c>
      <c r="L574" t="str">
        <f>FUR!CG154</f>
        <v>1S-8</v>
      </c>
      <c r="M574">
        <f>FUR!CH154</f>
        <v>0</v>
      </c>
      <c r="N574">
        <f>FUR!CI154</f>
        <v>0</v>
      </c>
      <c r="O574">
        <f>FUR!CJ154</f>
        <v>0</v>
      </c>
      <c r="P574" s="143" t="str">
        <f>FUR!CK154</f>
        <v>Active</v>
      </c>
      <c r="R574">
        <f t="shared" si="8"/>
        <v>573</v>
      </c>
    </row>
    <row r="575" spans="5:18">
      <c r="E575" s="147" t="s">
        <v>31</v>
      </c>
      <c r="F575" t="str">
        <f>FUR!CA155</f>
        <v>HPS</v>
      </c>
      <c r="G575" t="str">
        <f>FUR!CB155</f>
        <v>AC</v>
      </c>
      <c r="H575" t="str">
        <f>FUR!CC155</f>
        <v>Vessel</v>
      </c>
      <c r="I575">
        <f>FUR!CD155</f>
        <v>0</v>
      </c>
      <c r="J575" t="str">
        <f>FUR!CE155</f>
        <v>Furniture</v>
      </c>
      <c r="K575" t="str">
        <f>FUR!CF155</f>
        <v>Ag-5, Ag-4, Ag-6</v>
      </c>
      <c r="L575" t="str">
        <f>FUR!CG155</f>
        <v>1S-9</v>
      </c>
      <c r="M575">
        <f>FUR!CH155</f>
        <v>0</v>
      </c>
      <c r="N575">
        <f>FUR!CI155</f>
        <v>0</v>
      </c>
      <c r="O575">
        <f>FUR!CJ155</f>
        <v>0</v>
      </c>
      <c r="P575" s="143" t="str">
        <f>FUR!CK155</f>
        <v>Retired</v>
      </c>
      <c r="R575">
        <f t="shared" si="8"/>
        <v>574</v>
      </c>
    </row>
    <row r="576" spans="5:18">
      <c r="E576" s="147" t="s">
        <v>31</v>
      </c>
      <c r="F576" t="str">
        <f>FUR!CA156</f>
        <v>HPS</v>
      </c>
      <c r="G576" t="str">
        <f>FUR!CB156</f>
        <v>AC</v>
      </c>
      <c r="H576" t="str">
        <f>FUR!CC156</f>
        <v>Vessel</v>
      </c>
      <c r="I576">
        <f>FUR!CD156</f>
        <v>0</v>
      </c>
      <c r="J576" t="str">
        <f>FUR!CE156</f>
        <v>Furniture</v>
      </c>
      <c r="K576" t="str">
        <f>FUR!CF156</f>
        <v>Ag-9</v>
      </c>
      <c r="L576" t="str">
        <f>FUR!CG156</f>
        <v>1T-1</v>
      </c>
      <c r="M576">
        <f>FUR!CH156</f>
        <v>0</v>
      </c>
      <c r="N576">
        <f>FUR!CI156</f>
        <v>0</v>
      </c>
      <c r="O576">
        <f>FUR!CJ156</f>
        <v>0</v>
      </c>
      <c r="P576" s="143" t="str">
        <f>FUR!CK156</f>
        <v>Active</v>
      </c>
      <c r="R576">
        <f t="shared" si="8"/>
        <v>575</v>
      </c>
    </row>
    <row r="577" spans="5:18">
      <c r="E577" s="147" t="s">
        <v>31</v>
      </c>
      <c r="F577" t="str">
        <f>FUR!CA157</f>
        <v>HPS</v>
      </c>
      <c r="G577" t="str">
        <f>FUR!CB157</f>
        <v>AC</v>
      </c>
      <c r="H577" t="str">
        <f>FUR!CC157</f>
        <v>Vessel</v>
      </c>
      <c r="I577">
        <f>FUR!CD157</f>
        <v>0</v>
      </c>
      <c r="J577" t="str">
        <f>FUR!CE157</f>
        <v>Furniture</v>
      </c>
      <c r="K577" t="str">
        <f>FUR!CF157</f>
        <v>Ag-9</v>
      </c>
      <c r="L577" t="str">
        <f>FUR!CG157</f>
        <v>1T-10</v>
      </c>
      <c r="M577">
        <f>FUR!CH157</f>
        <v>0</v>
      </c>
      <c r="N577">
        <f>FUR!CI157</f>
        <v>0</v>
      </c>
      <c r="O577">
        <f>FUR!CJ157</f>
        <v>0</v>
      </c>
      <c r="P577" s="143" t="str">
        <f>FUR!CK157</f>
        <v>Active</v>
      </c>
      <c r="R577">
        <f t="shared" si="8"/>
        <v>576</v>
      </c>
    </row>
    <row r="578" spans="5:18">
      <c r="E578" s="147" t="s">
        <v>31</v>
      </c>
      <c r="F578" t="str">
        <f>FUR!CA158</f>
        <v>HPS</v>
      </c>
      <c r="G578" t="str">
        <f>FUR!CB158</f>
        <v>AC</v>
      </c>
      <c r="H578" t="str">
        <f>FUR!CC158</f>
        <v>Vessel</v>
      </c>
      <c r="I578">
        <f>FUR!CD158</f>
        <v>0</v>
      </c>
      <c r="J578" t="str">
        <f>FUR!CE158</f>
        <v>Furniture</v>
      </c>
      <c r="K578" t="str">
        <f>FUR!CF158</f>
        <v>Ag-17</v>
      </c>
      <c r="L578" t="str">
        <f>FUR!CG158</f>
        <v>1T-11</v>
      </c>
      <c r="M578">
        <f>FUR!CH158</f>
        <v>0</v>
      </c>
      <c r="N578">
        <f>FUR!CI158</f>
        <v>0</v>
      </c>
      <c r="O578">
        <f>FUR!CJ158</f>
        <v>0</v>
      </c>
      <c r="P578" s="143" t="str">
        <f>FUR!CK158</f>
        <v>Retired</v>
      </c>
      <c r="R578">
        <f t="shared" si="8"/>
        <v>577</v>
      </c>
    </row>
    <row r="579" spans="5:18">
      <c r="E579" s="147" t="s">
        <v>31</v>
      </c>
      <c r="F579" t="str">
        <f>FUR!CA159</f>
        <v>HPS</v>
      </c>
      <c r="G579" t="str">
        <f>FUR!CB159</f>
        <v>AC</v>
      </c>
      <c r="H579" t="str">
        <f>FUR!CC159</f>
        <v>Vessel</v>
      </c>
      <c r="I579">
        <f>FUR!CD159</f>
        <v>0</v>
      </c>
      <c r="J579" t="str">
        <f>FUR!CE159</f>
        <v>Furniture</v>
      </c>
      <c r="K579" t="str">
        <f>FUR!CF159</f>
        <v>Ag-9</v>
      </c>
      <c r="L579" t="str">
        <f>FUR!CG159</f>
        <v>1T-2</v>
      </c>
      <c r="M579">
        <f>FUR!CH159</f>
        <v>0</v>
      </c>
      <c r="N579">
        <f>FUR!CI159</f>
        <v>0</v>
      </c>
      <c r="O579">
        <f>FUR!CJ159</f>
        <v>0</v>
      </c>
      <c r="P579" s="143" t="str">
        <f>FUR!CK159</f>
        <v>Active</v>
      </c>
      <c r="R579">
        <f t="shared" si="8"/>
        <v>578</v>
      </c>
    </row>
    <row r="580" spans="5:18">
      <c r="E580" s="147" t="s">
        <v>31</v>
      </c>
      <c r="F580" t="str">
        <f>FUR!CA160</f>
        <v>HPS</v>
      </c>
      <c r="G580" t="str">
        <f>FUR!CB160</f>
        <v>AC</v>
      </c>
      <c r="H580" t="str">
        <f>FUR!CC160</f>
        <v>Vessel</v>
      </c>
      <c r="I580">
        <f>FUR!CD160</f>
        <v>0</v>
      </c>
      <c r="J580" t="str">
        <f>FUR!CE160</f>
        <v>Furniture</v>
      </c>
      <c r="K580" t="str">
        <f>FUR!CF160</f>
        <v>Ag</v>
      </c>
      <c r="L580" t="str">
        <f>FUR!CG160</f>
        <v>1T-20</v>
      </c>
      <c r="M580">
        <f>FUR!CH160</f>
        <v>0</v>
      </c>
      <c r="N580">
        <f>FUR!CI160</f>
        <v>0</v>
      </c>
      <c r="O580">
        <f>FUR!CJ160</f>
        <v>0</v>
      </c>
      <c r="P580" s="143" t="str">
        <f>FUR!CK160</f>
        <v>Active</v>
      </c>
      <c r="R580">
        <f t="shared" ref="R580:R643" si="9">R579+1</f>
        <v>579</v>
      </c>
    </row>
    <row r="581" spans="5:18">
      <c r="E581" s="147" t="s">
        <v>31</v>
      </c>
      <c r="F581" t="str">
        <f>FUR!CA161</f>
        <v>HPS</v>
      </c>
      <c r="G581" t="str">
        <f>FUR!CB161</f>
        <v>AC</v>
      </c>
      <c r="H581" t="str">
        <f>FUR!CC161</f>
        <v>Vessel</v>
      </c>
      <c r="I581">
        <f>FUR!CD161</f>
        <v>0</v>
      </c>
      <c r="J581" t="str">
        <f>FUR!CE161</f>
        <v>Furniture</v>
      </c>
      <c r="K581" t="str">
        <f>FUR!CF161</f>
        <v>Ag</v>
      </c>
      <c r="L581" t="str">
        <f>FUR!CG161</f>
        <v>1T-21</v>
      </c>
      <c r="M581">
        <f>FUR!CH161</f>
        <v>0</v>
      </c>
      <c r="N581">
        <f>FUR!CI161</f>
        <v>0</v>
      </c>
      <c r="O581">
        <f>FUR!CJ161</f>
        <v>0</v>
      </c>
      <c r="P581" s="143" t="str">
        <f>FUR!CK161</f>
        <v>Active</v>
      </c>
      <c r="R581">
        <f t="shared" si="9"/>
        <v>580</v>
      </c>
    </row>
    <row r="582" spans="5:18">
      <c r="E582" s="147" t="s">
        <v>31</v>
      </c>
      <c r="F582" t="str">
        <f>FUR!CA162</f>
        <v>HPS</v>
      </c>
      <c r="G582" t="str">
        <f>FUR!CB162</f>
        <v>AC</v>
      </c>
      <c r="H582" t="str">
        <f>FUR!CC162</f>
        <v>Vessel</v>
      </c>
      <c r="I582">
        <f>FUR!CD162</f>
        <v>0</v>
      </c>
      <c r="J582" t="str">
        <f>FUR!CE162</f>
        <v>Furniture</v>
      </c>
      <c r="K582" t="str">
        <f>FUR!CF162</f>
        <v>Ag</v>
      </c>
      <c r="L582" t="str">
        <f>FUR!CG162</f>
        <v>1T-22</v>
      </c>
      <c r="M582">
        <f>FUR!CH162</f>
        <v>0</v>
      </c>
      <c r="N582">
        <f>FUR!CI162</f>
        <v>0</v>
      </c>
      <c r="O582">
        <f>FUR!CJ162</f>
        <v>0</v>
      </c>
      <c r="P582" s="143" t="str">
        <f>FUR!CK162</f>
        <v>Active</v>
      </c>
      <c r="R582">
        <f t="shared" si="9"/>
        <v>581</v>
      </c>
    </row>
    <row r="583" spans="5:18">
      <c r="E583" s="147" t="s">
        <v>31</v>
      </c>
      <c r="F583" t="str">
        <f>FUR!CA163</f>
        <v>HPS</v>
      </c>
      <c r="G583" t="str">
        <f>FUR!CB163</f>
        <v>AC</v>
      </c>
      <c r="H583" t="str">
        <f>FUR!CC163</f>
        <v>Vessel</v>
      </c>
      <c r="I583">
        <f>FUR!CD163</f>
        <v>0</v>
      </c>
      <c r="J583" t="str">
        <f>FUR!CE163</f>
        <v>Furniture</v>
      </c>
      <c r="K583" t="str">
        <f>FUR!CF163</f>
        <v>Ag</v>
      </c>
      <c r="L583" t="str">
        <f>FUR!CG163</f>
        <v>1T-23</v>
      </c>
      <c r="M583">
        <f>FUR!CH163</f>
        <v>0</v>
      </c>
      <c r="N583">
        <f>FUR!CI163</f>
        <v>0</v>
      </c>
      <c r="O583">
        <f>FUR!CJ163</f>
        <v>0</v>
      </c>
      <c r="P583" s="143" t="str">
        <f>FUR!CK163</f>
        <v>Active</v>
      </c>
      <c r="R583">
        <f t="shared" si="9"/>
        <v>582</v>
      </c>
    </row>
    <row r="584" spans="5:18">
      <c r="E584" s="147" t="s">
        <v>31</v>
      </c>
      <c r="F584" t="str">
        <f>FUR!CA164</f>
        <v>HPS</v>
      </c>
      <c r="G584" t="str">
        <f>FUR!CB164</f>
        <v>AC</v>
      </c>
      <c r="H584" t="str">
        <f>FUR!CC164</f>
        <v>Vessel</v>
      </c>
      <c r="I584">
        <f>FUR!CD164</f>
        <v>0</v>
      </c>
      <c r="J584" t="str">
        <f>FUR!CE164</f>
        <v>Furniture</v>
      </c>
      <c r="K584" t="str">
        <f>FUR!CF164</f>
        <v>Ag</v>
      </c>
      <c r="L584" t="str">
        <f>FUR!CG164</f>
        <v>1T-24</v>
      </c>
      <c r="M584">
        <f>FUR!CH164</f>
        <v>0</v>
      </c>
      <c r="N584">
        <f>FUR!CI164</f>
        <v>0</v>
      </c>
      <c r="O584">
        <f>FUR!CJ164</f>
        <v>0</v>
      </c>
      <c r="P584" s="143" t="str">
        <f>FUR!CK164</f>
        <v>Active</v>
      </c>
      <c r="R584">
        <f t="shared" si="9"/>
        <v>583</v>
      </c>
    </row>
    <row r="585" spans="5:18">
      <c r="E585" s="147" t="s">
        <v>31</v>
      </c>
      <c r="F585" t="str">
        <f>FUR!CA165</f>
        <v>HPS</v>
      </c>
      <c r="G585" t="str">
        <f>FUR!CB165</f>
        <v>AC</v>
      </c>
      <c r="H585" t="str">
        <f>FUR!CC165</f>
        <v>Vessel</v>
      </c>
      <c r="I585">
        <f>FUR!CD165</f>
        <v>0</v>
      </c>
      <c r="J585" t="str">
        <f>FUR!CE165</f>
        <v>Furniture</v>
      </c>
      <c r="K585" t="str">
        <f>FUR!CF165</f>
        <v>Mo</v>
      </c>
      <c r="L585" t="str">
        <f>FUR!CG165</f>
        <v>1T-25</v>
      </c>
      <c r="M585">
        <f>FUR!CH165</f>
        <v>0</v>
      </c>
      <c r="N585">
        <f>FUR!CI165</f>
        <v>0</v>
      </c>
      <c r="O585">
        <f>FUR!CJ165</f>
        <v>0</v>
      </c>
      <c r="P585" s="143" t="str">
        <f>FUR!CK165</f>
        <v>Active</v>
      </c>
      <c r="R585">
        <f t="shared" si="9"/>
        <v>584</v>
      </c>
    </row>
    <row r="586" spans="5:18">
      <c r="E586" s="147" t="s">
        <v>31</v>
      </c>
      <c r="F586" t="str">
        <f>FUR!CA166</f>
        <v>HPS</v>
      </c>
      <c r="G586" t="str">
        <f>FUR!CB166</f>
        <v>AC</v>
      </c>
      <c r="H586" t="str">
        <f>FUR!CC166</f>
        <v>Vessel</v>
      </c>
      <c r="I586">
        <f>FUR!CD166</f>
        <v>0</v>
      </c>
      <c r="J586" t="str">
        <f>FUR!CE166</f>
        <v>Furniture</v>
      </c>
      <c r="K586" t="str">
        <f>FUR!CF166</f>
        <v>Ag-9</v>
      </c>
      <c r="L586" t="str">
        <f>FUR!CG166</f>
        <v>1T-3</v>
      </c>
      <c r="M586">
        <f>FUR!CH166</f>
        <v>0</v>
      </c>
      <c r="N586">
        <f>FUR!CI166</f>
        <v>0</v>
      </c>
      <c r="O586">
        <f>FUR!CJ166</f>
        <v>0</v>
      </c>
      <c r="P586" s="143" t="str">
        <f>FUR!CK166</f>
        <v>Active</v>
      </c>
      <c r="R586">
        <f t="shared" si="9"/>
        <v>585</v>
      </c>
    </row>
    <row r="587" spans="5:18">
      <c r="E587" s="147" t="s">
        <v>31</v>
      </c>
      <c r="F587" t="str">
        <f>FUR!CA167</f>
        <v>HPS</v>
      </c>
      <c r="G587" t="str">
        <f>FUR!CB167</f>
        <v>AC</v>
      </c>
      <c r="H587" t="str">
        <f>FUR!CC167</f>
        <v>Vessel</v>
      </c>
      <c r="I587">
        <f>FUR!CD167</f>
        <v>0</v>
      </c>
      <c r="J587" t="str">
        <f>FUR!CE167</f>
        <v>Furniture</v>
      </c>
      <c r="K587" t="str">
        <f>FUR!CF167</f>
        <v>Ag-9</v>
      </c>
      <c r="L587" t="str">
        <f>FUR!CG167</f>
        <v>1T-4</v>
      </c>
      <c r="M587">
        <f>FUR!CH167</f>
        <v>0</v>
      </c>
      <c r="N587">
        <f>FUR!CI167</f>
        <v>0</v>
      </c>
      <c r="O587">
        <f>FUR!CJ167</f>
        <v>0</v>
      </c>
      <c r="P587" s="143" t="str">
        <f>FUR!CK167</f>
        <v>Active</v>
      </c>
      <c r="R587">
        <f t="shared" si="9"/>
        <v>586</v>
      </c>
    </row>
    <row r="588" spans="5:18">
      <c r="E588" s="147" t="s">
        <v>31</v>
      </c>
      <c r="F588" t="str">
        <f>FUR!CA168</f>
        <v>HPS</v>
      </c>
      <c r="G588" t="str">
        <f>FUR!CB168</f>
        <v>AC</v>
      </c>
      <c r="H588" t="str">
        <f>FUR!CC168</f>
        <v>Vessel</v>
      </c>
      <c r="I588">
        <f>FUR!CD168</f>
        <v>0</v>
      </c>
      <c r="J588" t="str">
        <f>FUR!CE168</f>
        <v>Furniture</v>
      </c>
      <c r="K588" t="str">
        <f>FUR!CF168</f>
        <v>Ag-9</v>
      </c>
      <c r="L588" t="str">
        <f>FUR!CG168</f>
        <v>1T-5</v>
      </c>
      <c r="M588">
        <f>FUR!CH168</f>
        <v>0</v>
      </c>
      <c r="N588">
        <f>FUR!CI168</f>
        <v>0</v>
      </c>
      <c r="O588">
        <f>FUR!CJ168</f>
        <v>0</v>
      </c>
      <c r="P588" s="143" t="str">
        <f>FUR!CK168</f>
        <v>Active</v>
      </c>
      <c r="R588">
        <f t="shared" si="9"/>
        <v>587</v>
      </c>
    </row>
    <row r="589" spans="5:18">
      <c r="E589" s="147" t="s">
        <v>31</v>
      </c>
      <c r="F589" t="str">
        <f>FUR!CA169</f>
        <v>HPS</v>
      </c>
      <c r="G589" t="str">
        <f>FUR!CB169</f>
        <v>AC</v>
      </c>
      <c r="H589" t="str">
        <f>FUR!CC169</f>
        <v>Vessel</v>
      </c>
      <c r="I589">
        <f>FUR!CD169</f>
        <v>0</v>
      </c>
      <c r="J589" t="str">
        <f>FUR!CE169</f>
        <v>Furniture</v>
      </c>
      <c r="K589" t="str">
        <f>FUR!CF169</f>
        <v>Ag-9</v>
      </c>
      <c r="L589" t="str">
        <f>FUR!CG169</f>
        <v>1T-6</v>
      </c>
      <c r="M589">
        <f>FUR!CH169</f>
        <v>0</v>
      </c>
      <c r="N589">
        <f>FUR!CI169</f>
        <v>0</v>
      </c>
      <c r="O589">
        <f>FUR!CJ169</f>
        <v>0</v>
      </c>
      <c r="P589" s="143" t="str">
        <f>FUR!CK169</f>
        <v>Active</v>
      </c>
      <c r="R589">
        <f t="shared" si="9"/>
        <v>588</v>
      </c>
    </row>
    <row r="590" spans="5:18">
      <c r="E590" s="147" t="s">
        <v>31</v>
      </c>
      <c r="F590" t="str">
        <f>FUR!CA170</f>
        <v>HPS</v>
      </c>
      <c r="G590" t="str">
        <f>FUR!CB170</f>
        <v>AC</v>
      </c>
      <c r="H590" t="str">
        <f>FUR!CC170</f>
        <v>Vessel</v>
      </c>
      <c r="I590">
        <f>FUR!CD170</f>
        <v>0</v>
      </c>
      <c r="J590" t="str">
        <f>FUR!CE170</f>
        <v>Furniture</v>
      </c>
      <c r="K590" t="str">
        <f>FUR!CF170</f>
        <v>Ag-9</v>
      </c>
      <c r="L590" t="str">
        <f>FUR!CG170</f>
        <v>1T-7</v>
      </c>
      <c r="M590">
        <f>FUR!CH170</f>
        <v>0</v>
      </c>
      <c r="N590">
        <f>FUR!CI170</f>
        <v>0</v>
      </c>
      <c r="O590">
        <f>FUR!CJ170</f>
        <v>0</v>
      </c>
      <c r="P590" s="143" t="str">
        <f>FUR!CK170</f>
        <v>Active</v>
      </c>
      <c r="R590">
        <f t="shared" si="9"/>
        <v>589</v>
      </c>
    </row>
    <row r="591" spans="5:18">
      <c r="E591" s="147" t="s">
        <v>31</v>
      </c>
      <c r="F591" t="str">
        <f>FUR!CA171</f>
        <v>HPS</v>
      </c>
      <c r="G591" t="str">
        <f>FUR!CB171</f>
        <v>AC</v>
      </c>
      <c r="H591" t="str">
        <f>FUR!CC171</f>
        <v>Vessel</v>
      </c>
      <c r="I591">
        <f>FUR!CD171</f>
        <v>0</v>
      </c>
      <c r="J591" t="str">
        <f>FUR!CE171</f>
        <v>Furniture</v>
      </c>
      <c r="K591" t="str">
        <f>FUR!CF171</f>
        <v>Ag-9</v>
      </c>
      <c r="L591" t="str">
        <f>FUR!CG171</f>
        <v>1T-8</v>
      </c>
      <c r="M591">
        <f>FUR!CH171</f>
        <v>0</v>
      </c>
      <c r="N591">
        <f>FUR!CI171</f>
        <v>0</v>
      </c>
      <c r="O591">
        <f>FUR!CJ171</f>
        <v>0</v>
      </c>
      <c r="P591" s="143" t="str">
        <f>FUR!CK171</f>
        <v>Active</v>
      </c>
      <c r="R591">
        <f t="shared" si="9"/>
        <v>590</v>
      </c>
    </row>
    <row r="592" spans="5:18">
      <c r="E592" s="147" t="s">
        <v>31</v>
      </c>
      <c r="F592" t="str">
        <f>FUR!CA172</f>
        <v>HPS</v>
      </c>
      <c r="G592" t="str">
        <f>FUR!CB172</f>
        <v>AC</v>
      </c>
      <c r="H592" t="str">
        <f>FUR!CC172</f>
        <v>Vessel</v>
      </c>
      <c r="I592">
        <f>FUR!CD172</f>
        <v>0</v>
      </c>
      <c r="J592" t="str">
        <f>FUR!CE172</f>
        <v>Furniture</v>
      </c>
      <c r="K592" t="str">
        <f>FUR!CF172</f>
        <v>Ag-9</v>
      </c>
      <c r="L592" t="str">
        <f>FUR!CG172</f>
        <v>1T-9</v>
      </c>
      <c r="M592">
        <f>FUR!CH172</f>
        <v>0</v>
      </c>
      <c r="N592">
        <f>FUR!CI172</f>
        <v>0</v>
      </c>
      <c r="O592">
        <f>FUR!CJ172</f>
        <v>0</v>
      </c>
      <c r="P592" s="143" t="str">
        <f>FUR!CK172</f>
        <v>Active</v>
      </c>
      <c r="R592">
        <f t="shared" si="9"/>
        <v>591</v>
      </c>
    </row>
    <row r="593" spans="5:18">
      <c r="E593" s="147" t="s">
        <v>31</v>
      </c>
      <c r="F593" t="str">
        <f>FUR!CA173</f>
        <v>HPS</v>
      </c>
      <c r="G593" t="str">
        <f>FUR!CB173</f>
        <v>AC</v>
      </c>
      <c r="H593" t="str">
        <f>FUR!CC173</f>
        <v>Vessel</v>
      </c>
      <c r="I593">
        <f>FUR!CD173</f>
        <v>0</v>
      </c>
      <c r="J593" t="str">
        <f>FUR!CE173</f>
        <v>Furniture</v>
      </c>
      <c r="K593" t="str">
        <f>FUR!CF173</f>
        <v>Inc600</v>
      </c>
      <c r="L593" t="str">
        <f>FUR!CG173</f>
        <v>1Tc-1</v>
      </c>
      <c r="M593">
        <f>FUR!CH173</f>
        <v>0</v>
      </c>
      <c r="N593">
        <f>FUR!CI173</f>
        <v>0</v>
      </c>
      <c r="O593">
        <f>FUR!CJ173</f>
        <v>0</v>
      </c>
      <c r="P593" s="143" t="str">
        <f>FUR!CK173</f>
        <v>Active</v>
      </c>
      <c r="R593">
        <f t="shared" si="9"/>
        <v>592</v>
      </c>
    </row>
    <row r="594" spans="5:18">
      <c r="E594" s="147" t="s">
        <v>31</v>
      </c>
      <c r="F594" t="str">
        <f>FUR!CA174</f>
        <v>HPS</v>
      </c>
      <c r="G594" t="str">
        <f>FUR!CB174</f>
        <v>AC</v>
      </c>
      <c r="H594" t="str">
        <f>FUR!CC174</f>
        <v>Vessel</v>
      </c>
      <c r="I594">
        <f>FUR!CD174</f>
        <v>0</v>
      </c>
      <c r="J594" t="str">
        <f>FUR!CE174</f>
        <v>Furniture</v>
      </c>
      <c r="K594" t="str">
        <f>FUR!CF174</f>
        <v>Mo</v>
      </c>
      <c r="L594" t="str">
        <f>FUR!CG174</f>
        <v>1W-1</v>
      </c>
      <c r="M594">
        <f>FUR!CH174</f>
        <v>0</v>
      </c>
      <c r="N594">
        <f>FUR!CI174</f>
        <v>0</v>
      </c>
      <c r="O594">
        <f>FUR!CJ174</f>
        <v>0</v>
      </c>
      <c r="P594" s="143" t="str">
        <f>FUR!CK174</f>
        <v>Active</v>
      </c>
      <c r="R594">
        <f t="shared" si="9"/>
        <v>593</v>
      </c>
    </row>
    <row r="595" spans="5:18">
      <c r="E595" s="147" t="s">
        <v>31</v>
      </c>
      <c r="F595" t="str">
        <f>FUR!CA175</f>
        <v>HPS</v>
      </c>
      <c r="G595" t="str">
        <f>FUR!CB175</f>
        <v>AC</v>
      </c>
      <c r="H595" t="str">
        <f>FUR!CC175</f>
        <v>Vessel</v>
      </c>
      <c r="I595">
        <f>FUR!CD175</f>
        <v>0</v>
      </c>
      <c r="J595" t="str">
        <f>FUR!CE175</f>
        <v>Furniture</v>
      </c>
      <c r="K595" t="str">
        <f>FUR!CF175</f>
        <v>Ag</v>
      </c>
      <c r="L595" t="str">
        <f>FUR!CG175</f>
        <v>1W-2</v>
      </c>
      <c r="M595">
        <f>FUR!CH175</f>
        <v>0</v>
      </c>
      <c r="N595">
        <f>FUR!CI175</f>
        <v>0</v>
      </c>
      <c r="O595">
        <f>FUR!CJ175</f>
        <v>0</v>
      </c>
      <c r="P595" s="143" t="str">
        <f>FUR!CK175</f>
        <v>Active</v>
      </c>
      <c r="R595">
        <f t="shared" si="9"/>
        <v>594</v>
      </c>
    </row>
    <row r="596" spans="5:18">
      <c r="E596" s="147" t="s">
        <v>31</v>
      </c>
      <c r="F596" t="str">
        <f>FUR!CA176</f>
        <v>HPS</v>
      </c>
      <c r="G596" t="str">
        <f>FUR!CB176</f>
        <v>AC</v>
      </c>
      <c r="H596" t="str">
        <f>FUR!CC176</f>
        <v>Vessel</v>
      </c>
      <c r="I596">
        <f>FUR!CD176</f>
        <v>0</v>
      </c>
      <c r="J596" t="str">
        <f>FUR!CE176</f>
        <v>Furniture</v>
      </c>
      <c r="K596" t="str">
        <f>FUR!CF176</f>
        <v>Ni200, SS304, Ag-solder, Inc625</v>
      </c>
      <c r="L596" t="str">
        <f>FUR!CG176</f>
        <v>2C-2</v>
      </c>
      <c r="M596">
        <f>FUR!CH176</f>
        <v>0</v>
      </c>
      <c r="N596">
        <f>FUR!CI176</f>
        <v>0</v>
      </c>
      <c r="O596">
        <f>FUR!CJ176</f>
        <v>0</v>
      </c>
      <c r="P596" s="143" t="str">
        <f>FUR!CK176</f>
        <v>Active</v>
      </c>
      <c r="R596">
        <f t="shared" si="9"/>
        <v>595</v>
      </c>
    </row>
    <row r="597" spans="5:18">
      <c r="E597" s="147" t="s">
        <v>31</v>
      </c>
      <c r="F597" t="str">
        <f>FUR!CA177</f>
        <v>HPS</v>
      </c>
      <c r="G597" t="str">
        <f>FUR!CB177</f>
        <v>AC</v>
      </c>
      <c r="H597" t="str">
        <f>FUR!CC177</f>
        <v>Vessel</v>
      </c>
      <c r="I597">
        <f>FUR!CD177</f>
        <v>0</v>
      </c>
      <c r="J597" t="str">
        <f>FUR!CE177</f>
        <v>Furniture</v>
      </c>
      <c r="K597">
        <f>FUR!CF177</f>
        <v>0</v>
      </c>
      <c r="L597" t="str">
        <f>FUR!CG177</f>
        <v>2S-1</v>
      </c>
      <c r="M597">
        <f>FUR!CH177</f>
        <v>0</v>
      </c>
      <c r="N597">
        <f>FUR!CI177</f>
        <v>0</v>
      </c>
      <c r="O597">
        <f>FUR!CJ177</f>
        <v>0</v>
      </c>
      <c r="P597" s="143" t="str">
        <f>FUR!CK177</f>
        <v>Active</v>
      </c>
      <c r="R597">
        <f t="shared" si="9"/>
        <v>596</v>
      </c>
    </row>
    <row r="598" spans="5:18">
      <c r="E598" s="147" t="s">
        <v>31</v>
      </c>
      <c r="F598" t="str">
        <f>FUR!CA178</f>
        <v>HPS</v>
      </c>
      <c r="G598" t="str">
        <f>FUR!CB178</f>
        <v>AC</v>
      </c>
      <c r="H598" t="str">
        <f>FUR!CC178</f>
        <v>Vessel</v>
      </c>
      <c r="I598">
        <f>FUR!CD178</f>
        <v>0</v>
      </c>
      <c r="J598" t="str">
        <f>FUR!CE178</f>
        <v>Furniture</v>
      </c>
      <c r="K598" t="str">
        <f>FUR!CF178</f>
        <v>Ni200, Inc625, Ni-19</v>
      </c>
      <c r="L598" t="str">
        <f>FUR!CG178</f>
        <v>2S-2</v>
      </c>
      <c r="M598">
        <f>FUR!CH178</f>
        <v>0</v>
      </c>
      <c r="N598">
        <f>FUR!CI178</f>
        <v>0</v>
      </c>
      <c r="O598">
        <f>FUR!CJ178</f>
        <v>0</v>
      </c>
      <c r="P598" s="143" t="str">
        <f>FUR!CK178</f>
        <v>Active</v>
      </c>
      <c r="R598">
        <f t="shared" si="9"/>
        <v>597</v>
      </c>
    </row>
    <row r="599" spans="5:18">
      <c r="E599" s="147" t="s">
        <v>31</v>
      </c>
      <c r="F599" t="str">
        <f>FUR!CA179</f>
        <v>HPS</v>
      </c>
      <c r="G599" t="str">
        <f>FUR!CB179</f>
        <v>AC</v>
      </c>
      <c r="H599" t="str">
        <f>FUR!CC179</f>
        <v>Vessel</v>
      </c>
      <c r="I599">
        <f>FUR!CD179</f>
        <v>0</v>
      </c>
      <c r="J599" t="str">
        <f>FUR!CE179</f>
        <v>Furniture</v>
      </c>
      <c r="K599" t="str">
        <f>FUR!CF179</f>
        <v>SS304</v>
      </c>
      <c r="L599" t="str">
        <f>FUR!CG179</f>
        <v>2T-1</v>
      </c>
      <c r="M599">
        <f>FUR!CH179</f>
        <v>0</v>
      </c>
      <c r="N599">
        <f>FUR!CI179</f>
        <v>0</v>
      </c>
      <c r="O599">
        <f>FUR!CJ179</f>
        <v>0</v>
      </c>
      <c r="P599" s="143" t="str">
        <f>FUR!CK179</f>
        <v>Active</v>
      </c>
      <c r="R599">
        <f t="shared" si="9"/>
        <v>598</v>
      </c>
    </row>
    <row r="600" spans="5:18">
      <c r="E600" s="147" t="s">
        <v>31</v>
      </c>
      <c r="F600" t="str">
        <f>FUR!CA180</f>
        <v>HPS</v>
      </c>
      <c r="G600" t="str">
        <f>FUR!CB180</f>
        <v>AC</v>
      </c>
      <c r="H600" t="str">
        <f>FUR!CC180</f>
        <v>Vessel</v>
      </c>
      <c r="I600">
        <f>FUR!CD180</f>
        <v>0</v>
      </c>
      <c r="J600" t="str">
        <f>FUR!CE180</f>
        <v>Furniture</v>
      </c>
      <c r="K600" t="str">
        <f>FUR!CF180</f>
        <v>SS304</v>
      </c>
      <c r="L600" t="str">
        <f>FUR!CG180</f>
        <v>2T-2</v>
      </c>
      <c r="M600">
        <f>FUR!CH180</f>
        <v>0</v>
      </c>
      <c r="N600">
        <f>FUR!CI180</f>
        <v>0</v>
      </c>
      <c r="O600">
        <f>FUR!CJ180</f>
        <v>0</v>
      </c>
      <c r="P600" s="143" t="str">
        <f>FUR!CK180</f>
        <v>Active</v>
      </c>
      <c r="R600">
        <f t="shared" si="9"/>
        <v>599</v>
      </c>
    </row>
    <row r="601" spans="5:18">
      <c r="E601" s="147" t="s">
        <v>31</v>
      </c>
      <c r="F601" t="str">
        <f>FUR!CA181</f>
        <v>HPS</v>
      </c>
      <c r="G601" t="str">
        <f>FUR!CB181</f>
        <v>AC</v>
      </c>
      <c r="H601" t="str">
        <f>FUR!CC181</f>
        <v>Vessel</v>
      </c>
      <c r="I601">
        <f>FUR!CD181</f>
        <v>0</v>
      </c>
      <c r="J601" t="str">
        <f>FUR!CE181</f>
        <v>Furniture</v>
      </c>
      <c r="K601" t="str">
        <f>FUR!CF181</f>
        <v>Zr</v>
      </c>
      <c r="L601" t="str">
        <f>FUR!CG181</f>
        <v>Zr-9A</v>
      </c>
      <c r="M601">
        <f>FUR!CH181</f>
        <v>0</v>
      </c>
      <c r="N601">
        <f>FUR!CI181</f>
        <v>0</v>
      </c>
      <c r="O601">
        <f>FUR!CJ181</f>
        <v>0</v>
      </c>
      <c r="P601" s="143" t="str">
        <f>FUR!CK181</f>
        <v>Active</v>
      </c>
      <c r="R601">
        <f t="shared" si="9"/>
        <v>600</v>
      </c>
    </row>
    <row r="602" spans="5:18">
      <c r="E602" s="147" t="s">
        <v>31</v>
      </c>
      <c r="F602" t="str">
        <f>FUR!CA182</f>
        <v>HPS</v>
      </c>
      <c r="G602" t="str">
        <f>FUR!CB182</f>
        <v>AC</v>
      </c>
      <c r="H602" t="str">
        <f>FUR!CC182</f>
        <v>Vessel</v>
      </c>
      <c r="I602">
        <f>FUR!CD182</f>
        <v>0</v>
      </c>
      <c r="J602" t="str">
        <f>FUR!CE182</f>
        <v>Furniture</v>
      </c>
      <c r="K602" t="str">
        <f>FUR!CF182</f>
        <v>Zr</v>
      </c>
      <c r="L602" t="str">
        <f>FUR!CG182</f>
        <v>Zr-9B</v>
      </c>
      <c r="M602">
        <f>FUR!CH182</f>
        <v>0</v>
      </c>
      <c r="N602">
        <f>FUR!CI182</f>
        <v>0</v>
      </c>
      <c r="O602">
        <f>FUR!CJ182</f>
        <v>0</v>
      </c>
      <c r="P602" s="143" t="str">
        <f>FUR!CK182</f>
        <v>Active</v>
      </c>
      <c r="R602">
        <f t="shared" si="9"/>
        <v>601</v>
      </c>
    </row>
    <row r="603" spans="5:18">
      <c r="E603" s="147" t="s">
        <v>31</v>
      </c>
      <c r="F603" t="str">
        <f>FUR!CA183</f>
        <v>HPS</v>
      </c>
      <c r="G603" t="str">
        <f>FUR!CB183</f>
        <v>AC</v>
      </c>
      <c r="H603" t="str">
        <f>FUR!CC183</f>
        <v>Vessel</v>
      </c>
      <c r="I603">
        <f>FUR!CD183</f>
        <v>0</v>
      </c>
      <c r="J603" t="str">
        <f>FUR!CE183</f>
        <v>Furniture</v>
      </c>
      <c r="K603" t="str">
        <f>FUR!CF183</f>
        <v>Zr</v>
      </c>
      <c r="L603" t="str">
        <f>FUR!CG183</f>
        <v>Zr-9C</v>
      </c>
      <c r="M603">
        <f>FUR!CH183</f>
        <v>0</v>
      </c>
      <c r="N603">
        <f>FUR!CI183</f>
        <v>0</v>
      </c>
      <c r="O603">
        <f>FUR!CJ183</f>
        <v>0</v>
      </c>
      <c r="P603" s="143" t="str">
        <f>FUR!CK183</f>
        <v>Active</v>
      </c>
      <c r="R603">
        <f t="shared" si="9"/>
        <v>602</v>
      </c>
    </row>
    <row r="604" spans="5:18">
      <c r="E604" s="147" t="s">
        <v>31</v>
      </c>
      <c r="F604" t="str">
        <f>FUR!CA184</f>
        <v>HPS</v>
      </c>
      <c r="G604" t="str">
        <f>FUR!CB184</f>
        <v>AC</v>
      </c>
      <c r="H604" t="str">
        <f>FUR!CC184</f>
        <v>Vessel</v>
      </c>
      <c r="I604">
        <f>FUR!CD184</f>
        <v>0</v>
      </c>
      <c r="J604" t="str">
        <f>FUR!CE184</f>
        <v>Furniture</v>
      </c>
      <c r="K604" t="str">
        <f>FUR!CF184</f>
        <v>Zr</v>
      </c>
      <c r="L604" t="str">
        <f>FUR!CG184</f>
        <v>Zr-9D</v>
      </c>
      <c r="M604">
        <f>FUR!CH184</f>
        <v>0</v>
      </c>
      <c r="N604">
        <f>FUR!CI184</f>
        <v>0</v>
      </c>
      <c r="O604">
        <f>FUR!CJ184</f>
        <v>0</v>
      </c>
      <c r="P604" s="143" t="str">
        <f>FUR!CK184</f>
        <v>Active</v>
      </c>
      <c r="R604">
        <f t="shared" si="9"/>
        <v>603</v>
      </c>
    </row>
    <row r="605" spans="5:18">
      <c r="E605" s="147" t="s">
        <v>31</v>
      </c>
      <c r="F605" t="str">
        <f>FUR!CA185</f>
        <v>HPS</v>
      </c>
      <c r="G605" t="str">
        <f>FUR!CB185</f>
        <v>AC</v>
      </c>
      <c r="H605" t="str">
        <f>FUR!CC185</f>
        <v>Vessel</v>
      </c>
      <c r="I605">
        <f>FUR!CD185</f>
        <v>0</v>
      </c>
      <c r="J605" t="str">
        <f>FUR!CE185</f>
        <v>Furniture</v>
      </c>
      <c r="K605" t="str">
        <f>FUR!CF185</f>
        <v>Zr</v>
      </c>
      <c r="L605" t="str">
        <f>FUR!CG185</f>
        <v>Zr-9E</v>
      </c>
      <c r="M605">
        <f>FUR!CH185</f>
        <v>0</v>
      </c>
      <c r="N605">
        <f>FUR!CI185</f>
        <v>0</v>
      </c>
      <c r="O605">
        <f>FUR!CJ185</f>
        <v>0</v>
      </c>
      <c r="P605" s="143" t="str">
        <f>FUR!CK185</f>
        <v>Active</v>
      </c>
      <c r="R605">
        <f t="shared" si="9"/>
        <v>604</v>
      </c>
    </row>
    <row r="606" spans="5:18">
      <c r="E606" s="147" t="s">
        <v>31</v>
      </c>
      <c r="F606" t="str">
        <f>FUR!CA186</f>
        <v>HPS</v>
      </c>
      <c r="G606" t="str">
        <f>FUR!CB186</f>
        <v>AC</v>
      </c>
      <c r="H606" t="str">
        <f>FUR!CC186</f>
        <v>Vessel</v>
      </c>
      <c r="I606">
        <f>FUR!CD186</f>
        <v>0</v>
      </c>
      <c r="J606" t="str">
        <f>FUR!CE186</f>
        <v>Furniture</v>
      </c>
      <c r="K606" t="str">
        <f>FUR!CF186</f>
        <v>Zr</v>
      </c>
      <c r="L606" t="str">
        <f>FUR!CG186</f>
        <v>Zr-9F</v>
      </c>
      <c r="M606">
        <f>FUR!CH186</f>
        <v>0</v>
      </c>
      <c r="N606">
        <f>FUR!CI186</f>
        <v>0</v>
      </c>
      <c r="O606">
        <f>FUR!CJ186</f>
        <v>0</v>
      </c>
      <c r="P606" s="143" t="str">
        <f>FUR!CK186</f>
        <v>Active</v>
      </c>
      <c r="R606">
        <f t="shared" si="9"/>
        <v>605</v>
      </c>
    </row>
    <row r="607" spans="5:18">
      <c r="E607" s="147" t="s">
        <v>31</v>
      </c>
      <c r="F607" t="str">
        <f>FUR!CA187</f>
        <v>HPS</v>
      </c>
      <c r="G607" t="str">
        <f>FUR!CB187</f>
        <v>AC</v>
      </c>
      <c r="H607" t="str">
        <f>FUR!CC187</f>
        <v>Vessel</v>
      </c>
      <c r="I607">
        <f>FUR!CD187</f>
        <v>0</v>
      </c>
      <c r="J607" t="str">
        <f>FUR!CE187</f>
        <v>Furniture</v>
      </c>
      <c r="K607" t="str">
        <f>FUR!CF187</f>
        <v>Zr</v>
      </c>
      <c r="L607" t="str">
        <f>FUR!CG187</f>
        <v>Zr-9G</v>
      </c>
      <c r="M607">
        <f>FUR!CH187</f>
        <v>0</v>
      </c>
      <c r="N607">
        <f>FUR!CI187</f>
        <v>0</v>
      </c>
      <c r="O607">
        <f>FUR!CJ187</f>
        <v>0</v>
      </c>
      <c r="P607" s="143" t="str">
        <f>FUR!CK187</f>
        <v>Active</v>
      </c>
      <c r="R607">
        <f t="shared" si="9"/>
        <v>606</v>
      </c>
    </row>
    <row r="608" spans="5:18">
      <c r="E608" s="147" t="s">
        <v>31</v>
      </c>
      <c r="F608" t="str">
        <f>FUR!CA188</f>
        <v>HPS</v>
      </c>
      <c r="G608" t="str">
        <f>FUR!CB188</f>
        <v>AC</v>
      </c>
      <c r="H608" t="str">
        <f>FUR!CC188</f>
        <v>Vessel</v>
      </c>
      <c r="I608">
        <f>FUR!CD188</f>
        <v>0</v>
      </c>
      <c r="J608" t="str">
        <f>FUR!CE188</f>
        <v>Furniture</v>
      </c>
      <c r="K608" t="str">
        <f>FUR!CF188</f>
        <v>Zr</v>
      </c>
      <c r="L608" t="str">
        <f>FUR!CG188</f>
        <v>Zr-9H</v>
      </c>
      <c r="M608">
        <f>FUR!CH188</f>
        <v>0</v>
      </c>
      <c r="N608">
        <f>FUR!CI188</f>
        <v>0</v>
      </c>
      <c r="O608">
        <f>FUR!CJ188</f>
        <v>0</v>
      </c>
      <c r="P608" s="143" t="str">
        <f>FUR!CK188</f>
        <v>Active</v>
      </c>
      <c r="R608">
        <f t="shared" si="9"/>
        <v>607</v>
      </c>
    </row>
    <row r="609" spans="5:18">
      <c r="E609" s="147" t="s">
        <v>31</v>
      </c>
      <c r="F609" t="str">
        <f>FUR!CA189</f>
        <v>HPS</v>
      </c>
      <c r="G609" t="str">
        <f>FUR!CB189</f>
        <v>AC</v>
      </c>
      <c r="H609" t="str">
        <f>FUR!CC189</f>
        <v>Vessel</v>
      </c>
      <c r="I609">
        <f>FUR!CD189</f>
        <v>0</v>
      </c>
      <c r="J609" t="str">
        <f>FUR!CE189</f>
        <v>Furniture</v>
      </c>
      <c r="K609" t="str">
        <f>FUR!CF189</f>
        <v>Zr</v>
      </c>
      <c r="L609" t="str">
        <f>FUR!CG189</f>
        <v>Zr-9I</v>
      </c>
      <c r="M609">
        <f>FUR!CH189</f>
        <v>0</v>
      </c>
      <c r="N609">
        <f>FUR!CI189</f>
        <v>0</v>
      </c>
      <c r="O609">
        <f>FUR!CJ189</f>
        <v>0</v>
      </c>
      <c r="P609" s="143" t="str">
        <f>FUR!CK189</f>
        <v>Active</v>
      </c>
      <c r="R609">
        <f t="shared" si="9"/>
        <v>608</v>
      </c>
    </row>
    <row r="610" spans="5:18">
      <c r="E610" s="147" t="s">
        <v>31</v>
      </c>
      <c r="F610" t="str">
        <f>FUR!CA190</f>
        <v>HPS</v>
      </c>
      <c r="G610" t="str">
        <f>FUR!CB190</f>
        <v>AC</v>
      </c>
      <c r="H610" t="str">
        <f>FUR!CC190</f>
        <v>Vessel</v>
      </c>
      <c r="I610">
        <f>FUR!CD190</f>
        <v>0</v>
      </c>
      <c r="J610" t="str">
        <f>FUR!CE190</f>
        <v>Furniture</v>
      </c>
      <c r="K610" t="str">
        <f>FUR!CF190</f>
        <v>Zr</v>
      </c>
      <c r="L610" t="str">
        <f>FUR!CG190</f>
        <v>Zr-9J</v>
      </c>
      <c r="M610">
        <f>FUR!CH190</f>
        <v>0</v>
      </c>
      <c r="N610">
        <f>FUR!CI190</f>
        <v>0</v>
      </c>
      <c r="O610">
        <f>FUR!CJ190</f>
        <v>0</v>
      </c>
      <c r="P610" s="143" t="str">
        <f>FUR!CK190</f>
        <v>Active</v>
      </c>
      <c r="R610">
        <f t="shared" si="9"/>
        <v>609</v>
      </c>
    </row>
    <row r="611" spans="5:18">
      <c r="E611" s="147" t="s">
        <v>31</v>
      </c>
      <c r="F611" t="str">
        <f>FUR!CA191</f>
        <v>HPS</v>
      </c>
      <c r="G611" t="str">
        <f>FUR!CB191</f>
        <v>AC</v>
      </c>
      <c r="H611" t="str">
        <f>FUR!CC191</f>
        <v>Vessel</v>
      </c>
      <c r="I611">
        <f>FUR!CD191</f>
        <v>0</v>
      </c>
      <c r="J611">
        <f>FUR!CE191</f>
        <v>0</v>
      </c>
      <c r="K611">
        <f>FUR!CF191</f>
        <v>0</v>
      </c>
      <c r="L611">
        <f>FUR!CG191</f>
        <v>0</v>
      </c>
      <c r="M611">
        <f>FUR!CH191</f>
        <v>0</v>
      </c>
      <c r="N611">
        <f>FUR!CI191</f>
        <v>0</v>
      </c>
      <c r="O611">
        <f>FUR!CJ191</f>
        <v>0</v>
      </c>
      <c r="P611" s="143" t="str">
        <f>FUR!CK191</f>
        <v/>
      </c>
      <c r="R611">
        <f t="shared" si="9"/>
        <v>610</v>
      </c>
    </row>
    <row r="612" spans="5:18">
      <c r="E612" s="147" t="s">
        <v>31</v>
      </c>
      <c r="F612" t="str">
        <f>FUR!CA192</f>
        <v>HPS</v>
      </c>
      <c r="G612" t="str">
        <f>FUR!CB192</f>
        <v>AC</v>
      </c>
      <c r="H612" t="str">
        <f>FUR!CC192</f>
        <v>Vessel</v>
      </c>
      <c r="I612">
        <f>FUR!CD192</f>
        <v>0</v>
      </c>
      <c r="J612">
        <f>FUR!CE192</f>
        <v>0</v>
      </c>
      <c r="K612">
        <f>FUR!CF192</f>
        <v>0</v>
      </c>
      <c r="L612">
        <f>FUR!CG192</f>
        <v>0</v>
      </c>
      <c r="M612">
        <f>FUR!CH192</f>
        <v>0</v>
      </c>
      <c r="N612">
        <f>FUR!CI192</f>
        <v>0</v>
      </c>
      <c r="O612">
        <f>FUR!CJ192</f>
        <v>0</v>
      </c>
      <c r="P612" s="143" t="str">
        <f>FUR!CK192</f>
        <v/>
      </c>
      <c r="R612">
        <f t="shared" si="9"/>
        <v>611</v>
      </c>
    </row>
    <row r="613" spans="5:18">
      <c r="E613" s="147" t="s">
        <v>31</v>
      </c>
      <c r="F613" t="str">
        <f>FUR!CA193</f>
        <v>HPS</v>
      </c>
      <c r="G613" t="str">
        <f>FUR!CB193</f>
        <v>AC</v>
      </c>
      <c r="H613" t="str">
        <f>FUR!CC193</f>
        <v>Vessel</v>
      </c>
      <c r="I613">
        <f>FUR!CD193</f>
        <v>0</v>
      </c>
      <c r="J613">
        <f>FUR!CE193</f>
        <v>0</v>
      </c>
      <c r="K613">
        <f>FUR!CF193</f>
        <v>0</v>
      </c>
      <c r="L613">
        <f>FUR!CG193</f>
        <v>0</v>
      </c>
      <c r="M613">
        <f>FUR!CH193</f>
        <v>0</v>
      </c>
      <c r="N613">
        <f>FUR!CI193</f>
        <v>0</v>
      </c>
      <c r="O613">
        <f>FUR!CJ193</f>
        <v>0</v>
      </c>
      <c r="P613" s="143" t="str">
        <f>FUR!CK193</f>
        <v/>
      </c>
      <c r="R613">
        <f t="shared" si="9"/>
        <v>612</v>
      </c>
    </row>
    <row r="614" spans="5:18">
      <c r="E614" s="147" t="s">
        <v>31</v>
      </c>
      <c r="F614" t="str">
        <f>FUR!CA194</f>
        <v>HPS</v>
      </c>
      <c r="G614" t="str">
        <f>FUR!CB194</f>
        <v>AC</v>
      </c>
      <c r="H614" t="str">
        <f>FUR!CC194</f>
        <v>Vessel</v>
      </c>
      <c r="I614">
        <f>FUR!CD194</f>
        <v>0</v>
      </c>
      <c r="J614">
        <f>FUR!CE194</f>
        <v>0</v>
      </c>
      <c r="K614">
        <f>FUR!CF194</f>
        <v>0</v>
      </c>
      <c r="L614">
        <f>FUR!CG194</f>
        <v>0</v>
      </c>
      <c r="M614">
        <f>FUR!CH194</f>
        <v>0</v>
      </c>
      <c r="N614">
        <f>FUR!CI194</f>
        <v>0</v>
      </c>
      <c r="O614">
        <f>FUR!CJ194</f>
        <v>0</v>
      </c>
      <c r="P614" s="143" t="str">
        <f>FUR!CK194</f>
        <v/>
      </c>
      <c r="R614">
        <f t="shared" si="9"/>
        <v>613</v>
      </c>
    </row>
    <row r="615" spans="5:18">
      <c r="E615" s="147" t="s">
        <v>31</v>
      </c>
      <c r="F615" t="str">
        <f>FUR!CA195</f>
        <v>HPS</v>
      </c>
      <c r="G615" t="str">
        <f>FUR!CB195</f>
        <v>AC</v>
      </c>
      <c r="H615" t="str">
        <f>FUR!CC195</f>
        <v>Vessel</v>
      </c>
      <c r="I615">
        <f>FUR!CD195</f>
        <v>0</v>
      </c>
      <c r="J615">
        <f>FUR!CE195</f>
        <v>0</v>
      </c>
      <c r="K615">
        <f>FUR!CF195</f>
        <v>0</v>
      </c>
      <c r="L615">
        <f>FUR!CG195</f>
        <v>0</v>
      </c>
      <c r="M615">
        <f>FUR!CH195</f>
        <v>0</v>
      </c>
      <c r="N615">
        <f>FUR!CI195</f>
        <v>0</v>
      </c>
      <c r="O615">
        <f>FUR!CJ195</f>
        <v>0</v>
      </c>
      <c r="P615" s="143" t="str">
        <f>FUR!CK195</f>
        <v/>
      </c>
      <c r="R615">
        <f t="shared" si="9"/>
        <v>614</v>
      </c>
    </row>
    <row r="616" spans="5:18">
      <c r="E616" s="147" t="s">
        <v>31</v>
      </c>
      <c r="F616" t="str">
        <f>FUR!CA196</f>
        <v>HPS</v>
      </c>
      <c r="G616" t="str">
        <f>FUR!CB196</f>
        <v>AC</v>
      </c>
      <c r="H616" t="str">
        <f>FUR!CC196</f>
        <v>Vessel</v>
      </c>
      <c r="I616">
        <f>FUR!CD196</f>
        <v>0</v>
      </c>
      <c r="J616">
        <f>FUR!CE196</f>
        <v>0</v>
      </c>
      <c r="K616">
        <f>FUR!CF196</f>
        <v>0</v>
      </c>
      <c r="L616">
        <f>FUR!CG196</f>
        <v>0</v>
      </c>
      <c r="M616">
        <f>FUR!CH196</f>
        <v>0</v>
      </c>
      <c r="N616">
        <f>FUR!CI196</f>
        <v>0</v>
      </c>
      <c r="O616">
        <f>FUR!CJ196</f>
        <v>0</v>
      </c>
      <c r="P616" s="143" t="str">
        <f>FUR!CK196</f>
        <v/>
      </c>
      <c r="R616">
        <f t="shared" si="9"/>
        <v>615</v>
      </c>
    </row>
    <row r="617" spans="5:18">
      <c r="E617" s="147" t="s">
        <v>31</v>
      </c>
      <c r="F617" t="str">
        <f>FUR!CA197</f>
        <v>HPS</v>
      </c>
      <c r="G617" t="str">
        <f>FUR!CB197</f>
        <v>AC</v>
      </c>
      <c r="H617" t="str">
        <f>FUR!CC197</f>
        <v>Vessel</v>
      </c>
      <c r="I617">
        <f>FUR!CD197</f>
        <v>0</v>
      </c>
      <c r="J617">
        <f>FUR!CE197</f>
        <v>0</v>
      </c>
      <c r="K617">
        <f>FUR!CF197</f>
        <v>0</v>
      </c>
      <c r="L617">
        <f>FUR!CG197</f>
        <v>0</v>
      </c>
      <c r="M617">
        <f>FUR!CH197</f>
        <v>0</v>
      </c>
      <c r="N617">
        <f>FUR!CI197</f>
        <v>0</v>
      </c>
      <c r="O617">
        <f>FUR!CJ197</f>
        <v>0</v>
      </c>
      <c r="P617" s="143" t="str">
        <f>FUR!CK197</f>
        <v/>
      </c>
      <c r="R617">
        <f t="shared" si="9"/>
        <v>616</v>
      </c>
    </row>
    <row r="618" spans="5:18">
      <c r="E618" s="147" t="s">
        <v>31</v>
      </c>
      <c r="F618" t="str">
        <f>FUR!CA198</f>
        <v>HPS</v>
      </c>
      <c r="G618" t="str">
        <f>FUR!CB198</f>
        <v>AC</v>
      </c>
      <c r="H618" t="str">
        <f>FUR!CC198</f>
        <v>Vessel</v>
      </c>
      <c r="I618">
        <f>FUR!CD198</f>
        <v>0</v>
      </c>
      <c r="J618">
        <f>FUR!CE198</f>
        <v>0</v>
      </c>
      <c r="K618">
        <f>FUR!CF198</f>
        <v>0</v>
      </c>
      <c r="L618">
        <f>FUR!CG198</f>
        <v>0</v>
      </c>
      <c r="M618">
        <f>FUR!CH198</f>
        <v>0</v>
      </c>
      <c r="N618">
        <f>FUR!CI198</f>
        <v>0</v>
      </c>
      <c r="O618">
        <f>FUR!CJ198</f>
        <v>0</v>
      </c>
      <c r="P618" s="143" t="str">
        <f>FUR!CK198</f>
        <v/>
      </c>
      <c r="R618">
        <f t="shared" si="9"/>
        <v>617</v>
      </c>
    </row>
    <row r="619" spans="5:18">
      <c r="E619" s="147" t="s">
        <v>31</v>
      </c>
      <c r="F619" t="str">
        <f>FUR!CA199</f>
        <v>HPS</v>
      </c>
      <c r="G619" t="str">
        <f>FUR!CB199</f>
        <v>AC</v>
      </c>
      <c r="H619" t="str">
        <f>FUR!CC199</f>
        <v>Vessel</v>
      </c>
      <c r="I619">
        <f>FUR!CD199</f>
        <v>0</v>
      </c>
      <c r="J619">
        <f>FUR!CE199</f>
        <v>0</v>
      </c>
      <c r="K619">
        <f>FUR!CF199</f>
        <v>0</v>
      </c>
      <c r="L619">
        <f>FUR!CG199</f>
        <v>0</v>
      </c>
      <c r="M619">
        <f>FUR!CH199</f>
        <v>0</v>
      </c>
      <c r="N619">
        <f>FUR!CI199</f>
        <v>0</v>
      </c>
      <c r="O619">
        <f>FUR!CJ199</f>
        <v>0</v>
      </c>
      <c r="P619" s="143" t="str">
        <f>FUR!CK199</f>
        <v/>
      </c>
      <c r="R619">
        <f t="shared" si="9"/>
        <v>618</v>
      </c>
    </row>
    <row r="620" spans="5:18">
      <c r="E620" s="147" t="s">
        <v>31</v>
      </c>
      <c r="F620" t="str">
        <f>FUR!CA200</f>
        <v>HPS</v>
      </c>
      <c r="G620" t="str">
        <f>FUR!CB200</f>
        <v>AC</v>
      </c>
      <c r="H620" t="str">
        <f>FUR!CC200</f>
        <v>Vessel</v>
      </c>
      <c r="I620">
        <f>FUR!CD200</f>
        <v>0</v>
      </c>
      <c r="J620">
        <f>FUR!CE200</f>
        <v>0</v>
      </c>
      <c r="K620">
        <f>FUR!CF200</f>
        <v>0</v>
      </c>
      <c r="L620">
        <f>FUR!CG200</f>
        <v>0</v>
      </c>
      <c r="M620">
        <f>FUR!CH200</f>
        <v>0</v>
      </c>
      <c r="N620">
        <f>FUR!CI200</f>
        <v>0</v>
      </c>
      <c r="O620">
        <f>FUR!CJ200</f>
        <v>0</v>
      </c>
      <c r="P620" s="143" t="str">
        <f>FUR!CK200</f>
        <v/>
      </c>
      <c r="R620">
        <f t="shared" si="9"/>
        <v>619</v>
      </c>
    </row>
    <row r="621" spans="5:18">
      <c r="E621" s="147" t="s">
        <v>31</v>
      </c>
      <c r="F621" t="str">
        <f>FUR!CA201</f>
        <v>HPS</v>
      </c>
      <c r="G621" t="str">
        <f>FUR!CB201</f>
        <v>AC</v>
      </c>
      <c r="H621" t="str">
        <f>FUR!CC201</f>
        <v>Vessel</v>
      </c>
      <c r="I621">
        <f>FUR!CD201</f>
        <v>0</v>
      </c>
      <c r="J621">
        <f>FUR!CE201</f>
        <v>0</v>
      </c>
      <c r="K621">
        <f>FUR!CF201</f>
        <v>0</v>
      </c>
      <c r="L621">
        <f>FUR!CG201</f>
        <v>0</v>
      </c>
      <c r="M621">
        <f>FUR!CH201</f>
        <v>0</v>
      </c>
      <c r="N621">
        <f>FUR!CI201</f>
        <v>0</v>
      </c>
      <c r="O621">
        <f>FUR!CJ201</f>
        <v>0</v>
      </c>
      <c r="P621" s="143" t="str">
        <f>FUR!CK201</f>
        <v/>
      </c>
      <c r="R621">
        <f t="shared" si="9"/>
        <v>620</v>
      </c>
    </row>
    <row r="622" spans="5:18">
      <c r="E622" s="147" t="s">
        <v>31</v>
      </c>
      <c r="F622" t="str">
        <f>FUR!CA202</f>
        <v>HPS</v>
      </c>
      <c r="G622" t="str">
        <f>FUR!CB202</f>
        <v>AC</v>
      </c>
      <c r="H622" t="str">
        <f>FUR!CC202</f>
        <v>Vessel</v>
      </c>
      <c r="I622">
        <f>FUR!CD202</f>
        <v>0</v>
      </c>
      <c r="J622">
        <f>FUR!CE202</f>
        <v>0</v>
      </c>
      <c r="K622">
        <f>FUR!CF202</f>
        <v>0</v>
      </c>
      <c r="L622">
        <f>FUR!CG202</f>
        <v>0</v>
      </c>
      <c r="M622">
        <f>FUR!CH202</f>
        <v>0</v>
      </c>
      <c r="N622">
        <f>FUR!CI202</f>
        <v>0</v>
      </c>
      <c r="O622">
        <f>FUR!CJ202</f>
        <v>0</v>
      </c>
      <c r="P622" s="143" t="str">
        <f>FUR!CK202</f>
        <v/>
      </c>
      <c r="R622">
        <f t="shared" si="9"/>
        <v>621</v>
      </c>
    </row>
    <row r="623" spans="5:18">
      <c r="E623" s="147" t="s">
        <v>31</v>
      </c>
      <c r="F623" t="str">
        <f>FUR!CA203</f>
        <v>HPS</v>
      </c>
      <c r="G623" t="str">
        <f>FUR!CB203</f>
        <v>AC</v>
      </c>
      <c r="H623" t="str">
        <f>FUR!CC203</f>
        <v>Vessel</v>
      </c>
      <c r="I623">
        <f>FUR!CD203</f>
        <v>0</v>
      </c>
      <c r="J623">
        <f>FUR!CE203</f>
        <v>0</v>
      </c>
      <c r="K623">
        <f>FUR!CF203</f>
        <v>0</v>
      </c>
      <c r="L623">
        <f>FUR!CG203</f>
        <v>0</v>
      </c>
      <c r="M623">
        <f>FUR!CH203</f>
        <v>0</v>
      </c>
      <c r="N623">
        <f>FUR!CI203</f>
        <v>0</v>
      </c>
      <c r="O623">
        <f>FUR!CJ203</f>
        <v>0</v>
      </c>
      <c r="P623" s="143" t="str">
        <f>FUR!CK203</f>
        <v/>
      </c>
      <c r="R623">
        <f t="shared" si="9"/>
        <v>622</v>
      </c>
    </row>
    <row r="624" spans="5:18">
      <c r="E624" s="147" t="s">
        <v>31</v>
      </c>
      <c r="F624" t="str">
        <f>FUR!CA204</f>
        <v>HPS</v>
      </c>
      <c r="G624" t="str">
        <f>FUR!CB204</f>
        <v>AC</v>
      </c>
      <c r="H624" t="str">
        <f>FUR!CC204</f>
        <v>Vessel</v>
      </c>
      <c r="I624">
        <f>FUR!CD204</f>
        <v>0</v>
      </c>
      <c r="J624">
        <f>FUR!CE204</f>
        <v>0</v>
      </c>
      <c r="K624">
        <f>FUR!CF204</f>
        <v>0</v>
      </c>
      <c r="L624">
        <f>FUR!CG204</f>
        <v>0</v>
      </c>
      <c r="M624">
        <f>FUR!CH204</f>
        <v>0</v>
      </c>
      <c r="N624">
        <f>FUR!CI204</f>
        <v>0</v>
      </c>
      <c r="O624">
        <f>FUR!CJ204</f>
        <v>0</v>
      </c>
      <c r="P624" s="143" t="str">
        <f>FUR!CK204</f>
        <v/>
      </c>
      <c r="R624">
        <f t="shared" si="9"/>
        <v>623</v>
      </c>
    </row>
    <row r="625" spans="5:18">
      <c r="E625" s="147" t="s">
        <v>31</v>
      </c>
      <c r="F625" t="str">
        <f>FUR!CA205</f>
        <v>HPS</v>
      </c>
      <c r="G625" t="str">
        <f>FUR!CB205</f>
        <v>AC</v>
      </c>
      <c r="H625" t="str">
        <f>FUR!CC205</f>
        <v>Vessel</v>
      </c>
      <c r="I625">
        <f>FUR!CD205</f>
        <v>0</v>
      </c>
      <c r="J625">
        <f>FUR!CE205</f>
        <v>0</v>
      </c>
      <c r="K625">
        <f>FUR!CF205</f>
        <v>0</v>
      </c>
      <c r="L625">
        <f>FUR!CG205</f>
        <v>0</v>
      </c>
      <c r="M625">
        <f>FUR!CH205</f>
        <v>0</v>
      </c>
      <c r="N625">
        <f>FUR!CI205</f>
        <v>0</v>
      </c>
      <c r="O625">
        <f>FUR!CJ205</f>
        <v>0</v>
      </c>
      <c r="P625" s="143" t="str">
        <f>FUR!CK205</f>
        <v/>
      </c>
      <c r="R625">
        <f t="shared" si="9"/>
        <v>624</v>
      </c>
    </row>
    <row r="626" spans="5:18">
      <c r="E626" s="147" t="s">
        <v>31</v>
      </c>
      <c r="F626" t="str">
        <f>FUR!CA206</f>
        <v>HPS</v>
      </c>
      <c r="G626" t="str">
        <f>FUR!CB206</f>
        <v>AC</v>
      </c>
      <c r="H626" t="str">
        <f>FUR!CC206</f>
        <v>Vessel</v>
      </c>
      <c r="I626">
        <f>FUR!CD206</f>
        <v>0</v>
      </c>
      <c r="J626">
        <f>FUR!CE206</f>
        <v>0</v>
      </c>
      <c r="K626">
        <f>FUR!CF206</f>
        <v>0</v>
      </c>
      <c r="L626">
        <f>FUR!CG206</f>
        <v>0</v>
      </c>
      <c r="M626">
        <f>FUR!CH206</f>
        <v>0</v>
      </c>
      <c r="N626">
        <f>FUR!CI206</f>
        <v>0</v>
      </c>
      <c r="O626">
        <f>FUR!CJ206</f>
        <v>0</v>
      </c>
      <c r="P626" s="143" t="str">
        <f>FUR!CK206</f>
        <v/>
      </c>
      <c r="R626">
        <f t="shared" si="9"/>
        <v>625</v>
      </c>
    </row>
    <row r="627" spans="5:18">
      <c r="E627" s="147" t="s">
        <v>31</v>
      </c>
      <c r="F627" t="str">
        <f>FUR!CA207</f>
        <v>HPS</v>
      </c>
      <c r="G627" t="str">
        <f>FUR!CB207</f>
        <v>AC</v>
      </c>
      <c r="H627" t="str">
        <f>FUR!CC207</f>
        <v>Vessel</v>
      </c>
      <c r="I627">
        <f>FUR!CD207</f>
        <v>0</v>
      </c>
      <c r="J627">
        <f>FUR!CE207</f>
        <v>0</v>
      </c>
      <c r="K627">
        <f>FUR!CF207</f>
        <v>0</v>
      </c>
      <c r="L627">
        <f>FUR!CG207</f>
        <v>0</v>
      </c>
      <c r="M627">
        <f>FUR!CH207</f>
        <v>0</v>
      </c>
      <c r="N627">
        <f>FUR!CI207</f>
        <v>0</v>
      </c>
      <c r="O627">
        <f>FUR!CJ207</f>
        <v>0</v>
      </c>
      <c r="P627" s="143" t="str">
        <f>FUR!CK207</f>
        <v/>
      </c>
      <c r="R627">
        <f t="shared" si="9"/>
        <v>626</v>
      </c>
    </row>
    <row r="628" spans="5:18">
      <c r="E628" s="147" t="s">
        <v>31</v>
      </c>
      <c r="F628" t="str">
        <f>FUR!CA208</f>
        <v>HPS</v>
      </c>
      <c r="G628" t="str">
        <f>FUR!CB208</f>
        <v>AC</v>
      </c>
      <c r="H628" t="str">
        <f>FUR!CC208</f>
        <v>Vessel</v>
      </c>
      <c r="I628">
        <f>FUR!CD208</f>
        <v>0</v>
      </c>
      <c r="J628">
        <f>FUR!CE208</f>
        <v>0</v>
      </c>
      <c r="K628">
        <f>FUR!CF208</f>
        <v>0</v>
      </c>
      <c r="L628">
        <f>FUR!CG208</f>
        <v>0</v>
      </c>
      <c r="M628">
        <f>FUR!CH208</f>
        <v>0</v>
      </c>
      <c r="N628">
        <f>FUR!CI208</f>
        <v>0</v>
      </c>
      <c r="O628">
        <f>FUR!CJ208</f>
        <v>0</v>
      </c>
      <c r="P628" s="143" t="str">
        <f>FUR!CK208</f>
        <v/>
      </c>
      <c r="R628">
        <f t="shared" si="9"/>
        <v>627</v>
      </c>
    </row>
    <row r="629" spans="5:18">
      <c r="E629" s="147" t="s">
        <v>31</v>
      </c>
      <c r="F629" t="str">
        <f>FUR!CA209</f>
        <v>HPS</v>
      </c>
      <c r="G629" t="str">
        <f>FUR!CB209</f>
        <v>AC</v>
      </c>
      <c r="H629" t="str">
        <f>FUR!CC209</f>
        <v>Vessel</v>
      </c>
      <c r="I629">
        <f>FUR!CD209</f>
        <v>0</v>
      </c>
      <c r="J629">
        <f>FUR!CE209</f>
        <v>0</v>
      </c>
      <c r="K629">
        <f>FUR!CF209</f>
        <v>0</v>
      </c>
      <c r="L629">
        <f>FUR!CG209</f>
        <v>0</v>
      </c>
      <c r="M629">
        <f>FUR!CH209</f>
        <v>0</v>
      </c>
      <c r="N629">
        <f>FUR!CI209</f>
        <v>0</v>
      </c>
      <c r="O629">
        <f>FUR!CJ209</f>
        <v>0</v>
      </c>
      <c r="P629" s="143" t="str">
        <f>FUR!CK209</f>
        <v/>
      </c>
      <c r="R629">
        <f t="shared" si="9"/>
        <v>628</v>
      </c>
    </row>
    <row r="630" spans="5:18">
      <c r="E630" s="147" t="s">
        <v>31</v>
      </c>
      <c r="F630" t="str">
        <f>FUR!CA210</f>
        <v>HPS</v>
      </c>
      <c r="G630" t="str">
        <f>FUR!CB210</f>
        <v>AC</v>
      </c>
      <c r="H630" t="str">
        <f>FUR!CC210</f>
        <v>Vessel</v>
      </c>
      <c r="I630">
        <f>FUR!CD210</f>
        <v>0</v>
      </c>
      <c r="J630">
        <f>FUR!CE210</f>
        <v>0</v>
      </c>
      <c r="K630">
        <f>FUR!CF210</f>
        <v>0</v>
      </c>
      <c r="L630">
        <f>FUR!CG210</f>
        <v>0</v>
      </c>
      <c r="M630">
        <f>FUR!CH210</f>
        <v>0</v>
      </c>
      <c r="N630">
        <f>FUR!CI210</f>
        <v>0</v>
      </c>
      <c r="O630">
        <f>FUR!CJ210</f>
        <v>0</v>
      </c>
      <c r="P630" s="143" t="str">
        <f>FUR!CK210</f>
        <v/>
      </c>
      <c r="R630">
        <f t="shared" si="9"/>
        <v>629</v>
      </c>
    </row>
    <row r="631" spans="5:18">
      <c r="E631" s="147" t="s">
        <v>31</v>
      </c>
      <c r="F631" t="str">
        <f>FUR!CA211</f>
        <v>HPS</v>
      </c>
      <c r="G631" t="str">
        <f>FUR!CB211</f>
        <v>AC</v>
      </c>
      <c r="H631" t="str">
        <f>FUR!CC211</f>
        <v>Vessel</v>
      </c>
      <c r="I631">
        <f>FUR!CD211</f>
        <v>0</v>
      </c>
      <c r="J631">
        <f>FUR!CE211</f>
        <v>0</v>
      </c>
      <c r="K631">
        <f>FUR!CF211</f>
        <v>0</v>
      </c>
      <c r="L631">
        <f>FUR!CG211</f>
        <v>0</v>
      </c>
      <c r="M631">
        <f>FUR!CH211</f>
        <v>0</v>
      </c>
      <c r="N631">
        <f>FUR!CI211</f>
        <v>0</v>
      </c>
      <c r="O631">
        <f>FUR!CJ211</f>
        <v>0</v>
      </c>
      <c r="P631" s="143" t="str">
        <f>FUR!CK211</f>
        <v/>
      </c>
      <c r="R631">
        <f t="shared" si="9"/>
        <v>630</v>
      </c>
    </row>
    <row r="632" spans="5:18">
      <c r="E632" s="147" t="s">
        <v>31</v>
      </c>
      <c r="F632" t="str">
        <f>FUR!CA212</f>
        <v>HPS</v>
      </c>
      <c r="G632" t="str">
        <f>FUR!CB212</f>
        <v>AC</v>
      </c>
      <c r="H632" t="str">
        <f>FUR!CC212</f>
        <v>Vessel</v>
      </c>
      <c r="I632">
        <f>FUR!CD212</f>
        <v>0</v>
      </c>
      <c r="J632">
        <f>FUR!CE212</f>
        <v>0</v>
      </c>
      <c r="K632">
        <f>FUR!CF212</f>
        <v>0</v>
      </c>
      <c r="L632">
        <f>FUR!CG212</f>
        <v>0</v>
      </c>
      <c r="M632">
        <f>FUR!CH212</f>
        <v>0</v>
      </c>
      <c r="N632">
        <f>FUR!CI212</f>
        <v>0</v>
      </c>
      <c r="O632">
        <f>FUR!CJ212</f>
        <v>0</v>
      </c>
      <c r="P632" s="143" t="str">
        <f>FUR!CK212</f>
        <v/>
      </c>
      <c r="R632">
        <f t="shared" si="9"/>
        <v>631</v>
      </c>
    </row>
    <row r="633" spans="5:18">
      <c r="E633" s="147" t="s">
        <v>31</v>
      </c>
      <c r="F633" t="str">
        <f>FUR!CA213</f>
        <v>HPS</v>
      </c>
      <c r="G633" t="str">
        <f>FUR!CB213</f>
        <v>AC</v>
      </c>
      <c r="H633" t="str">
        <f>FUR!CC213</f>
        <v>Vessel</v>
      </c>
      <c r="I633">
        <f>FUR!CD213</f>
        <v>0</v>
      </c>
      <c r="J633">
        <f>FUR!CE213</f>
        <v>0</v>
      </c>
      <c r="K633">
        <f>FUR!CF213</f>
        <v>0</v>
      </c>
      <c r="L633">
        <f>FUR!CG213</f>
        <v>0</v>
      </c>
      <c r="M633">
        <f>FUR!CH213</f>
        <v>0</v>
      </c>
      <c r="N633">
        <f>FUR!CI213</f>
        <v>0</v>
      </c>
      <c r="O633">
        <f>FUR!CJ213</f>
        <v>0</v>
      </c>
      <c r="P633" s="143" t="str">
        <f>FUR!CK213</f>
        <v/>
      </c>
      <c r="R633">
        <f t="shared" si="9"/>
        <v>632</v>
      </c>
    </row>
    <row r="634" spans="5:18">
      <c r="E634" s="147" t="s">
        <v>31</v>
      </c>
      <c r="F634" t="str">
        <f>FUR!CA214</f>
        <v>HPS</v>
      </c>
      <c r="G634" t="str">
        <f>FUR!CB214</f>
        <v>AC</v>
      </c>
      <c r="H634" t="str">
        <f>FUR!CC214</f>
        <v>Vessel</v>
      </c>
      <c r="I634">
        <f>FUR!CD214</f>
        <v>0</v>
      </c>
      <c r="J634">
        <f>FUR!CE214</f>
        <v>0</v>
      </c>
      <c r="K634">
        <f>FUR!CF214</f>
        <v>0</v>
      </c>
      <c r="L634">
        <f>FUR!CG214</f>
        <v>0</v>
      </c>
      <c r="M634">
        <f>FUR!CH214</f>
        <v>0</v>
      </c>
      <c r="N634">
        <f>FUR!CI214</f>
        <v>0</v>
      </c>
      <c r="O634">
        <f>FUR!CJ214</f>
        <v>0</v>
      </c>
      <c r="P634" s="143" t="str">
        <f>FUR!CK214</f>
        <v/>
      </c>
      <c r="R634">
        <f t="shared" si="9"/>
        <v>633</v>
      </c>
    </row>
    <row r="635" spans="5:18">
      <c r="E635" s="147" t="s">
        <v>31</v>
      </c>
      <c r="F635" t="str">
        <f>FUR!CA215</f>
        <v>HPS</v>
      </c>
      <c r="G635" t="str">
        <f>FUR!CB215</f>
        <v>AC</v>
      </c>
      <c r="H635" t="str">
        <f>FUR!CC215</f>
        <v>Vessel</v>
      </c>
      <c r="I635">
        <f>FUR!CD215</f>
        <v>0</v>
      </c>
      <c r="J635">
        <f>FUR!CE215</f>
        <v>0</v>
      </c>
      <c r="K635">
        <f>FUR!CF215</f>
        <v>0</v>
      </c>
      <c r="L635">
        <f>FUR!CG215</f>
        <v>0</v>
      </c>
      <c r="M635">
        <f>FUR!CH215</f>
        <v>0</v>
      </c>
      <c r="N635">
        <f>FUR!CI215</f>
        <v>0</v>
      </c>
      <c r="O635">
        <f>FUR!CJ215</f>
        <v>0</v>
      </c>
      <c r="P635" s="143" t="str">
        <f>FUR!CK215</f>
        <v/>
      </c>
      <c r="R635">
        <f t="shared" si="9"/>
        <v>634</v>
      </c>
    </row>
    <row r="636" spans="5:18">
      <c r="E636" s="147" t="s">
        <v>31</v>
      </c>
      <c r="F636" t="str">
        <f>FUR!CA216</f>
        <v>HPS</v>
      </c>
      <c r="G636" t="str">
        <f>FUR!CB216</f>
        <v>AC</v>
      </c>
      <c r="H636" t="str">
        <f>FUR!CC216</f>
        <v>Vessel</v>
      </c>
      <c r="I636">
        <f>FUR!CD216</f>
        <v>0</v>
      </c>
      <c r="J636">
        <f>FUR!CE216</f>
        <v>0</v>
      </c>
      <c r="K636">
        <f>FUR!CF216</f>
        <v>0</v>
      </c>
      <c r="L636">
        <f>FUR!CG216</f>
        <v>0</v>
      </c>
      <c r="M636">
        <f>FUR!CH216</f>
        <v>0</v>
      </c>
      <c r="N636">
        <f>FUR!CI216</f>
        <v>0</v>
      </c>
      <c r="O636">
        <f>FUR!CJ216</f>
        <v>0</v>
      </c>
      <c r="P636" s="143" t="str">
        <f>FUR!CK216</f>
        <v/>
      </c>
      <c r="R636">
        <f t="shared" si="9"/>
        <v>635</v>
      </c>
    </row>
    <row r="637" spans="5:18">
      <c r="E637" s="147" t="s">
        <v>31</v>
      </c>
      <c r="F637" t="str">
        <f>FUR!CA217</f>
        <v>HPS</v>
      </c>
      <c r="G637" t="str">
        <f>FUR!CB217</f>
        <v>AC</v>
      </c>
      <c r="H637" t="str">
        <f>FUR!CC217</f>
        <v>Vessel</v>
      </c>
      <c r="I637">
        <f>FUR!CD217</f>
        <v>0</v>
      </c>
      <c r="J637">
        <f>FUR!CE217</f>
        <v>0</v>
      </c>
      <c r="K637">
        <f>FUR!CF217</f>
        <v>0</v>
      </c>
      <c r="L637">
        <f>FUR!CG217</f>
        <v>0</v>
      </c>
      <c r="M637">
        <f>FUR!CH217</f>
        <v>0</v>
      </c>
      <c r="N637">
        <f>FUR!CI217</f>
        <v>0</v>
      </c>
      <c r="O637">
        <f>FUR!CJ217</f>
        <v>0</v>
      </c>
      <c r="P637" s="143" t="str">
        <f>FUR!CK217</f>
        <v/>
      </c>
      <c r="R637">
        <f t="shared" si="9"/>
        <v>636</v>
      </c>
    </row>
    <row r="638" spans="5:18">
      <c r="E638" s="147" t="s">
        <v>31</v>
      </c>
      <c r="F638" t="str">
        <f>FUR!CA218</f>
        <v>HPS</v>
      </c>
      <c r="G638" t="str">
        <f>FUR!CB218</f>
        <v>AC</v>
      </c>
      <c r="H638" t="str">
        <f>FUR!CC218</f>
        <v>Vessel</v>
      </c>
      <c r="I638">
        <f>FUR!CD218</f>
        <v>0</v>
      </c>
      <c r="J638">
        <f>FUR!CE218</f>
        <v>0</v>
      </c>
      <c r="K638">
        <f>FUR!CF218</f>
        <v>0</v>
      </c>
      <c r="L638">
        <f>FUR!CG218</f>
        <v>0</v>
      </c>
      <c r="M638">
        <f>FUR!CH218</f>
        <v>0</v>
      </c>
      <c r="N638">
        <f>FUR!CI218</f>
        <v>0</v>
      </c>
      <c r="O638">
        <f>FUR!CJ218</f>
        <v>0</v>
      </c>
      <c r="P638" s="143" t="str">
        <f>FUR!CK218</f>
        <v/>
      </c>
      <c r="R638">
        <f t="shared" si="9"/>
        <v>637</v>
      </c>
    </row>
    <row r="639" spans="5:18">
      <c r="E639" s="147" t="s">
        <v>31</v>
      </c>
      <c r="F639" t="str">
        <f>FUR!CA219</f>
        <v>HPS</v>
      </c>
      <c r="G639" t="str">
        <f>FUR!CB219</f>
        <v>AC</v>
      </c>
      <c r="H639" t="str">
        <f>FUR!CC219</f>
        <v>Vessel</v>
      </c>
      <c r="I639">
        <f>FUR!CD219</f>
        <v>0</v>
      </c>
      <c r="J639">
        <f>FUR!CE219</f>
        <v>0</v>
      </c>
      <c r="K639">
        <f>FUR!CF219</f>
        <v>0</v>
      </c>
      <c r="L639">
        <f>FUR!CG219</f>
        <v>0</v>
      </c>
      <c r="M639">
        <f>FUR!CH219</f>
        <v>0</v>
      </c>
      <c r="N639">
        <f>FUR!CI219</f>
        <v>0</v>
      </c>
      <c r="O639">
        <f>FUR!CJ219</f>
        <v>0</v>
      </c>
      <c r="P639" s="143" t="str">
        <f>FUR!CK219</f>
        <v/>
      </c>
      <c r="R639">
        <f t="shared" si="9"/>
        <v>638</v>
      </c>
    </row>
    <row r="640" spans="5:18">
      <c r="E640" s="147" t="s">
        <v>31</v>
      </c>
      <c r="F640" t="str">
        <f>FUR!CA220</f>
        <v>HPS</v>
      </c>
      <c r="G640" t="str">
        <f>FUR!CB220</f>
        <v>AC</v>
      </c>
      <c r="H640" t="str">
        <f>FUR!CC220</f>
        <v>Vessel</v>
      </c>
      <c r="I640">
        <f>FUR!CD220</f>
        <v>0</v>
      </c>
      <c r="J640">
        <f>FUR!CE220</f>
        <v>0</v>
      </c>
      <c r="K640">
        <f>FUR!CF220</f>
        <v>0</v>
      </c>
      <c r="L640">
        <f>FUR!CG220</f>
        <v>0</v>
      </c>
      <c r="M640">
        <f>FUR!CH220</f>
        <v>0</v>
      </c>
      <c r="N640">
        <f>FUR!CI220</f>
        <v>0</v>
      </c>
      <c r="O640">
        <f>FUR!CJ220</f>
        <v>0</v>
      </c>
      <c r="P640" s="143" t="str">
        <f>FUR!CK220</f>
        <v/>
      </c>
      <c r="R640">
        <f t="shared" si="9"/>
        <v>639</v>
      </c>
    </row>
    <row r="641" spans="5:18">
      <c r="E641" s="147" t="s">
        <v>31</v>
      </c>
      <c r="F641" t="str">
        <f>FUR!CA221</f>
        <v>HPS</v>
      </c>
      <c r="G641" t="str">
        <f>FUR!CB221</f>
        <v>AC</v>
      </c>
      <c r="H641" t="str">
        <f>FUR!CC221</f>
        <v>Vessel</v>
      </c>
      <c r="I641">
        <f>FUR!CD221</f>
        <v>0</v>
      </c>
      <c r="J641">
        <f>FUR!CE221</f>
        <v>0</v>
      </c>
      <c r="K641">
        <f>FUR!CF221</f>
        <v>0</v>
      </c>
      <c r="L641">
        <f>FUR!CG221</f>
        <v>0</v>
      </c>
      <c r="M641">
        <f>FUR!CH221</f>
        <v>0</v>
      </c>
      <c r="N641">
        <f>FUR!CI221</f>
        <v>0</v>
      </c>
      <c r="O641">
        <f>FUR!CJ221</f>
        <v>0</v>
      </c>
      <c r="P641" s="143" t="str">
        <f>FUR!CK221</f>
        <v/>
      </c>
      <c r="R641">
        <f t="shared" si="9"/>
        <v>640</v>
      </c>
    </row>
    <row r="642" spans="5:18">
      <c r="E642" s="147" t="s">
        <v>31</v>
      </c>
      <c r="F642" t="str">
        <f>FUR!CA222</f>
        <v>HPS</v>
      </c>
      <c r="G642" t="str">
        <f>FUR!CB222</f>
        <v>AC</v>
      </c>
      <c r="H642" t="str">
        <f>FUR!CC222</f>
        <v>Vessel</v>
      </c>
      <c r="I642">
        <f>FUR!CD222</f>
        <v>0</v>
      </c>
      <c r="J642">
        <f>FUR!CE222</f>
        <v>0</v>
      </c>
      <c r="K642">
        <f>FUR!CF222</f>
        <v>0</v>
      </c>
      <c r="L642">
        <f>FUR!CG222</f>
        <v>0</v>
      </c>
      <c r="M642">
        <f>FUR!CH222</f>
        <v>0</v>
      </c>
      <c r="N642">
        <f>FUR!CI222</f>
        <v>0</v>
      </c>
      <c r="O642">
        <f>FUR!CJ222</f>
        <v>0</v>
      </c>
      <c r="P642" s="143" t="str">
        <f>FUR!CK222</f>
        <v/>
      </c>
      <c r="R642">
        <f t="shared" si="9"/>
        <v>641</v>
      </c>
    </row>
    <row r="643" spans="5:18">
      <c r="E643" s="147" t="s">
        <v>31</v>
      </c>
      <c r="F643" t="str">
        <f>FUR!CA223</f>
        <v>HPS</v>
      </c>
      <c r="G643" t="str">
        <f>FUR!CB223</f>
        <v>AC</v>
      </c>
      <c r="H643" t="str">
        <f>FUR!CC223</f>
        <v>Vessel</v>
      </c>
      <c r="I643">
        <f>FUR!CD223</f>
        <v>0</v>
      </c>
      <c r="J643">
        <f>FUR!CE223</f>
        <v>0</v>
      </c>
      <c r="K643">
        <f>FUR!CF223</f>
        <v>0</v>
      </c>
      <c r="L643">
        <f>FUR!CG223</f>
        <v>0</v>
      </c>
      <c r="M643">
        <f>FUR!CH223</f>
        <v>0</v>
      </c>
      <c r="N643">
        <f>FUR!CI223</f>
        <v>0</v>
      </c>
      <c r="O643">
        <f>FUR!CJ223</f>
        <v>0</v>
      </c>
      <c r="P643" s="143" t="str">
        <f>FUR!CK223</f>
        <v/>
      </c>
      <c r="R643">
        <f t="shared" si="9"/>
        <v>642</v>
      </c>
    </row>
    <row r="644" spans="5:18">
      <c r="E644" s="147" t="s">
        <v>31</v>
      </c>
      <c r="F644" t="str">
        <f>FUR!CA224</f>
        <v>HPS</v>
      </c>
      <c r="G644" t="str">
        <f>FUR!CB224</f>
        <v>AC</v>
      </c>
      <c r="H644" t="str">
        <f>FUR!CC224</f>
        <v>Vessel</v>
      </c>
      <c r="I644">
        <f>FUR!CD224</f>
        <v>0</v>
      </c>
      <c r="J644">
        <f>FUR!CE224</f>
        <v>0</v>
      </c>
      <c r="K644">
        <f>FUR!CF224</f>
        <v>0</v>
      </c>
      <c r="L644">
        <f>FUR!CG224</f>
        <v>0</v>
      </c>
      <c r="M644">
        <f>FUR!CH224</f>
        <v>0</v>
      </c>
      <c r="N644">
        <f>FUR!CI224</f>
        <v>0</v>
      </c>
      <c r="O644">
        <f>FUR!CJ224</f>
        <v>0</v>
      </c>
      <c r="P644" s="143" t="str">
        <f>FUR!CK224</f>
        <v/>
      </c>
      <c r="R644">
        <f t="shared" ref="R644:R707" si="10">R643+1</f>
        <v>643</v>
      </c>
    </row>
    <row r="645" spans="5:18">
      <c r="E645" s="147" t="s">
        <v>31</v>
      </c>
      <c r="F645" t="str">
        <f>FUR!CA225</f>
        <v>HPS</v>
      </c>
      <c r="G645" t="str">
        <f>FUR!CB225</f>
        <v>AC</v>
      </c>
      <c r="H645" t="str">
        <f>FUR!CC225</f>
        <v>Vessel</v>
      </c>
      <c r="I645">
        <f>FUR!CD225</f>
        <v>0</v>
      </c>
      <c r="J645">
        <f>FUR!CE225</f>
        <v>0</v>
      </c>
      <c r="K645">
        <f>FUR!CF225</f>
        <v>0</v>
      </c>
      <c r="L645">
        <f>FUR!CG225</f>
        <v>0</v>
      </c>
      <c r="M645">
        <f>FUR!CH225</f>
        <v>0</v>
      </c>
      <c r="N645">
        <f>FUR!CI225</f>
        <v>0</v>
      </c>
      <c r="O645">
        <f>FUR!CJ225</f>
        <v>0</v>
      </c>
      <c r="P645" s="143" t="str">
        <f>FUR!CK225</f>
        <v/>
      </c>
      <c r="R645">
        <f t="shared" si="10"/>
        <v>644</v>
      </c>
    </row>
    <row r="646" spans="5:18">
      <c r="E646" s="147" t="s">
        <v>31</v>
      </c>
      <c r="F646" t="str">
        <f>FUR!CA226</f>
        <v>HPS</v>
      </c>
      <c r="G646" t="str">
        <f>FUR!CB226</f>
        <v>AC</v>
      </c>
      <c r="H646" t="str">
        <f>FUR!CC226</f>
        <v>Vessel</v>
      </c>
      <c r="I646">
        <f>FUR!CD226</f>
        <v>0</v>
      </c>
      <c r="J646">
        <f>FUR!CE226</f>
        <v>0</v>
      </c>
      <c r="K646">
        <f>FUR!CF226</f>
        <v>0</v>
      </c>
      <c r="L646">
        <f>FUR!CG226</f>
        <v>0</v>
      </c>
      <c r="M646">
        <f>FUR!CH226</f>
        <v>0</v>
      </c>
      <c r="N646">
        <f>FUR!CI226</f>
        <v>0</v>
      </c>
      <c r="O646">
        <f>FUR!CJ226</f>
        <v>0</v>
      </c>
      <c r="P646" s="143" t="str">
        <f>FUR!CK226</f>
        <v/>
      </c>
      <c r="R646">
        <f t="shared" si="10"/>
        <v>645</v>
      </c>
    </row>
    <row r="647" spans="5:18">
      <c r="E647" s="147" t="s">
        <v>31</v>
      </c>
      <c r="F647" t="str">
        <f>FUR!CA227</f>
        <v>HPS</v>
      </c>
      <c r="G647" t="str">
        <f>FUR!CB227</f>
        <v>AC</v>
      </c>
      <c r="H647" t="str">
        <f>FUR!CC227</f>
        <v>Vessel</v>
      </c>
      <c r="I647">
        <f>FUR!CD227</f>
        <v>0</v>
      </c>
      <c r="J647">
        <f>FUR!CE227</f>
        <v>0</v>
      </c>
      <c r="K647">
        <f>FUR!CF227</f>
        <v>0</v>
      </c>
      <c r="L647">
        <f>FUR!CG227</f>
        <v>0</v>
      </c>
      <c r="M647">
        <f>FUR!CH227</f>
        <v>0</v>
      </c>
      <c r="N647">
        <f>FUR!CI227</f>
        <v>0</v>
      </c>
      <c r="O647">
        <f>FUR!CJ227</f>
        <v>0</v>
      </c>
      <c r="P647" s="143" t="str">
        <f>FUR!CK227</f>
        <v/>
      </c>
      <c r="R647">
        <f t="shared" si="10"/>
        <v>646</v>
      </c>
    </row>
    <row r="648" spans="5:18">
      <c r="E648" s="147" t="s">
        <v>31</v>
      </c>
      <c r="F648" t="str">
        <f>FUR!CA228</f>
        <v>HPS</v>
      </c>
      <c r="G648" t="str">
        <f>FUR!CB228</f>
        <v>AC</v>
      </c>
      <c r="H648" t="str">
        <f>FUR!CC228</f>
        <v>Vessel</v>
      </c>
      <c r="I648">
        <f>FUR!CD228</f>
        <v>0</v>
      </c>
      <c r="J648">
        <f>FUR!CE228</f>
        <v>0</v>
      </c>
      <c r="K648">
        <f>FUR!CF228</f>
        <v>0</v>
      </c>
      <c r="L648">
        <f>FUR!CG228</f>
        <v>0</v>
      </c>
      <c r="M648">
        <f>FUR!CH228</f>
        <v>0</v>
      </c>
      <c r="N648">
        <f>FUR!CI228</f>
        <v>0</v>
      </c>
      <c r="O648">
        <f>FUR!CJ228</f>
        <v>0</v>
      </c>
      <c r="P648" s="143" t="str">
        <f>FUR!CK228</f>
        <v/>
      </c>
      <c r="R648">
        <f t="shared" si="10"/>
        <v>647</v>
      </c>
    </row>
    <row r="649" spans="5:18">
      <c r="E649" s="147" t="s">
        <v>31</v>
      </c>
      <c r="F649" t="str">
        <f>FUR!CA229</f>
        <v>HPS</v>
      </c>
      <c r="G649" t="str">
        <f>FUR!CB229</f>
        <v>AC</v>
      </c>
      <c r="H649" t="str">
        <f>FUR!CC229</f>
        <v>Vessel</v>
      </c>
      <c r="I649">
        <f>FUR!CD229</f>
        <v>0</v>
      </c>
      <c r="J649">
        <f>FUR!CE229</f>
        <v>0</v>
      </c>
      <c r="K649">
        <f>FUR!CF229</f>
        <v>0</v>
      </c>
      <c r="L649">
        <f>FUR!CG229</f>
        <v>0</v>
      </c>
      <c r="M649">
        <f>FUR!CH229</f>
        <v>0</v>
      </c>
      <c r="N649">
        <f>FUR!CI229</f>
        <v>0</v>
      </c>
      <c r="O649">
        <f>FUR!CJ229</f>
        <v>0</v>
      </c>
      <c r="P649" s="143" t="str">
        <f>FUR!CK229</f>
        <v/>
      </c>
      <c r="R649">
        <f t="shared" si="10"/>
        <v>648</v>
      </c>
    </row>
    <row r="650" spans="5:18">
      <c r="E650" s="147" t="s">
        <v>31</v>
      </c>
      <c r="F650" t="str">
        <f>FUR!CA230</f>
        <v>HPS</v>
      </c>
      <c r="G650" t="str">
        <f>FUR!CB230</f>
        <v>AC</v>
      </c>
      <c r="H650" t="str">
        <f>FUR!CC230</f>
        <v>Vessel</v>
      </c>
      <c r="I650">
        <f>FUR!CD230</f>
        <v>0</v>
      </c>
      <c r="J650">
        <f>FUR!CE230</f>
        <v>0</v>
      </c>
      <c r="K650">
        <f>FUR!CF230</f>
        <v>0</v>
      </c>
      <c r="L650">
        <f>FUR!CG230</f>
        <v>0</v>
      </c>
      <c r="M650">
        <f>FUR!CH230</f>
        <v>0</v>
      </c>
      <c r="N650">
        <f>FUR!CI230</f>
        <v>0</v>
      </c>
      <c r="O650">
        <f>FUR!CJ230</f>
        <v>0</v>
      </c>
      <c r="P650" s="143" t="str">
        <f>FUR!CK230</f>
        <v/>
      </c>
      <c r="R650">
        <f t="shared" si="10"/>
        <v>649</v>
      </c>
    </row>
    <row r="651" spans="5:18">
      <c r="E651" s="147" t="s">
        <v>31</v>
      </c>
      <c r="F651" t="str">
        <f>FUR!CA231</f>
        <v>HPS</v>
      </c>
      <c r="G651" t="str">
        <f>FUR!CB231</f>
        <v>AC</v>
      </c>
      <c r="H651" t="str">
        <f>FUR!CC231</f>
        <v>Vessel</v>
      </c>
      <c r="I651">
        <f>FUR!CD231</f>
        <v>0</v>
      </c>
      <c r="J651">
        <f>FUR!CE231</f>
        <v>0</v>
      </c>
      <c r="K651">
        <f>FUR!CF231</f>
        <v>0</v>
      </c>
      <c r="L651">
        <f>FUR!CG231</f>
        <v>0</v>
      </c>
      <c r="M651">
        <f>FUR!CH231</f>
        <v>0</v>
      </c>
      <c r="N651">
        <f>FUR!CI231</f>
        <v>0</v>
      </c>
      <c r="O651">
        <f>FUR!CJ231</f>
        <v>0</v>
      </c>
      <c r="P651" s="143" t="str">
        <f>FUR!CK231</f>
        <v/>
      </c>
      <c r="R651">
        <f t="shared" si="10"/>
        <v>650</v>
      </c>
    </row>
    <row r="652" spans="5:18">
      <c r="E652" s="147" t="s">
        <v>31</v>
      </c>
      <c r="F652" t="str">
        <f>FUR!CA232</f>
        <v>HPS</v>
      </c>
      <c r="G652" t="str">
        <f>FUR!CB232</f>
        <v>AC</v>
      </c>
      <c r="H652" t="str">
        <f>FUR!CC232</f>
        <v>Vessel</v>
      </c>
      <c r="I652">
        <f>FUR!CD232</f>
        <v>0</v>
      </c>
      <c r="J652">
        <f>FUR!CE232</f>
        <v>0</v>
      </c>
      <c r="K652">
        <f>FUR!CF232</f>
        <v>0</v>
      </c>
      <c r="L652">
        <f>FUR!CG232</f>
        <v>0</v>
      </c>
      <c r="M652">
        <f>FUR!CH232</f>
        <v>0</v>
      </c>
      <c r="N652">
        <f>FUR!CI232</f>
        <v>0</v>
      </c>
      <c r="O652">
        <f>FUR!CJ232</f>
        <v>0</v>
      </c>
      <c r="P652" s="143" t="str">
        <f>FUR!CK232</f>
        <v/>
      </c>
      <c r="R652">
        <f t="shared" si="10"/>
        <v>651</v>
      </c>
    </row>
    <row r="653" spans="5:18">
      <c r="E653" s="147" t="s">
        <v>31</v>
      </c>
      <c r="F653" t="str">
        <f>FUR!CA233</f>
        <v>HPS</v>
      </c>
      <c r="G653" t="str">
        <f>FUR!CB233</f>
        <v>AC</v>
      </c>
      <c r="H653" t="str">
        <f>FUR!CC233</f>
        <v>Vessel</v>
      </c>
      <c r="I653">
        <f>FUR!CD233</f>
        <v>0</v>
      </c>
      <c r="J653">
        <f>FUR!CE233</f>
        <v>0</v>
      </c>
      <c r="K653">
        <f>FUR!CF233</f>
        <v>0</v>
      </c>
      <c r="L653">
        <f>FUR!CG233</f>
        <v>0</v>
      </c>
      <c r="M653">
        <f>FUR!CH233</f>
        <v>0</v>
      </c>
      <c r="N653">
        <f>FUR!CI233</f>
        <v>0</v>
      </c>
      <c r="O653">
        <f>FUR!CJ233</f>
        <v>0</v>
      </c>
      <c r="P653" s="143" t="str">
        <f>FUR!CK233</f>
        <v/>
      </c>
      <c r="R653">
        <f t="shared" si="10"/>
        <v>652</v>
      </c>
    </row>
    <row r="654" spans="5:18">
      <c r="E654" s="147" t="s">
        <v>31</v>
      </c>
      <c r="F654" t="str">
        <f>FUR!CA234</f>
        <v>HPS</v>
      </c>
      <c r="G654" t="str">
        <f>FUR!CB234</f>
        <v>AC</v>
      </c>
      <c r="H654" t="str">
        <f>FUR!CC234</f>
        <v>Vessel</v>
      </c>
      <c r="I654">
        <f>FUR!CD234</f>
        <v>0</v>
      </c>
      <c r="J654">
        <f>FUR!CE234</f>
        <v>0</v>
      </c>
      <c r="K654">
        <f>FUR!CF234</f>
        <v>0</v>
      </c>
      <c r="L654">
        <f>FUR!CG234</f>
        <v>0</v>
      </c>
      <c r="M654">
        <f>FUR!CH234</f>
        <v>0</v>
      </c>
      <c r="N654">
        <f>FUR!CI234</f>
        <v>0</v>
      </c>
      <c r="O654">
        <f>FUR!CJ234</f>
        <v>0</v>
      </c>
      <c r="P654" s="143" t="str">
        <f>FUR!CK234</f>
        <v/>
      </c>
      <c r="R654">
        <f t="shared" si="10"/>
        <v>653</v>
      </c>
    </row>
    <row r="655" spans="5:18">
      <c r="E655" s="147" t="s">
        <v>31</v>
      </c>
      <c r="F655" t="str">
        <f>FUR!CA235</f>
        <v>HPS</v>
      </c>
      <c r="G655" t="str">
        <f>FUR!CB235</f>
        <v>AC</v>
      </c>
      <c r="H655" t="str">
        <f>FUR!CC235</f>
        <v>Vessel</v>
      </c>
      <c r="I655">
        <f>FUR!CD235</f>
        <v>0</v>
      </c>
      <c r="J655">
        <f>FUR!CE235</f>
        <v>0</v>
      </c>
      <c r="K655">
        <f>FUR!CF235</f>
        <v>0</v>
      </c>
      <c r="L655">
        <f>FUR!CG235</f>
        <v>0</v>
      </c>
      <c r="M655">
        <f>FUR!CH235</f>
        <v>0</v>
      </c>
      <c r="N655">
        <f>FUR!CI235</f>
        <v>0</v>
      </c>
      <c r="O655">
        <f>FUR!CJ235</f>
        <v>0</v>
      </c>
      <c r="P655" s="143" t="str">
        <f>FUR!CK235</f>
        <v/>
      </c>
      <c r="R655">
        <f t="shared" si="10"/>
        <v>654</v>
      </c>
    </row>
    <row r="656" spans="5:18">
      <c r="E656" s="147" t="s">
        <v>31</v>
      </c>
      <c r="F656" t="str">
        <f>FUR!CA236</f>
        <v>HPS</v>
      </c>
      <c r="G656" t="str">
        <f>FUR!CB236</f>
        <v>AC</v>
      </c>
      <c r="H656" t="str">
        <f>FUR!CC236</f>
        <v>Vessel</v>
      </c>
      <c r="I656">
        <f>FUR!CD236</f>
        <v>0</v>
      </c>
      <c r="J656">
        <f>FUR!CE236</f>
        <v>0</v>
      </c>
      <c r="K656">
        <f>FUR!CF236</f>
        <v>0</v>
      </c>
      <c r="L656">
        <f>FUR!CG236</f>
        <v>0</v>
      </c>
      <c r="M656">
        <f>FUR!CH236</f>
        <v>0</v>
      </c>
      <c r="N656">
        <f>FUR!CI236</f>
        <v>0</v>
      </c>
      <c r="O656">
        <f>FUR!CJ236</f>
        <v>0</v>
      </c>
      <c r="P656" s="143" t="str">
        <f>FUR!CK236</f>
        <v/>
      </c>
      <c r="R656">
        <f t="shared" si="10"/>
        <v>655</v>
      </c>
    </row>
    <row r="657" spans="5:18">
      <c r="E657" s="147" t="s">
        <v>31</v>
      </c>
      <c r="F657" t="str">
        <f>FUR!CA237</f>
        <v>HPS</v>
      </c>
      <c r="G657" t="str">
        <f>FUR!CB237</f>
        <v>AC</v>
      </c>
      <c r="H657" t="str">
        <f>FUR!CC237</f>
        <v>Vessel</v>
      </c>
      <c r="I657">
        <f>FUR!CD237</f>
        <v>0</v>
      </c>
      <c r="J657">
        <f>FUR!CE237</f>
        <v>0</v>
      </c>
      <c r="K657">
        <f>FUR!CF237</f>
        <v>0</v>
      </c>
      <c r="L657">
        <f>FUR!CG237</f>
        <v>0</v>
      </c>
      <c r="M657">
        <f>FUR!CH237</f>
        <v>0</v>
      </c>
      <c r="N657">
        <f>FUR!CI237</f>
        <v>0</v>
      </c>
      <c r="O657">
        <f>FUR!CJ237</f>
        <v>0</v>
      </c>
      <c r="P657" s="143" t="str">
        <f>FUR!CK237</f>
        <v/>
      </c>
      <c r="R657">
        <f t="shared" si="10"/>
        <v>656</v>
      </c>
    </row>
    <row r="658" spans="5:18">
      <c r="E658" s="147" t="s">
        <v>31</v>
      </c>
      <c r="F658" t="str">
        <f>FUR!CA238</f>
        <v>HPS</v>
      </c>
      <c r="G658" t="str">
        <f>FUR!CB238</f>
        <v>AC</v>
      </c>
      <c r="H658" t="str">
        <f>FUR!CC238</f>
        <v>Vessel</v>
      </c>
      <c r="I658">
        <f>FUR!CD238</f>
        <v>0</v>
      </c>
      <c r="J658">
        <f>FUR!CE238</f>
        <v>0</v>
      </c>
      <c r="K658">
        <f>FUR!CF238</f>
        <v>0</v>
      </c>
      <c r="L658">
        <f>FUR!CG238</f>
        <v>0</v>
      </c>
      <c r="M658">
        <f>FUR!CH238</f>
        <v>0</v>
      </c>
      <c r="N658">
        <f>FUR!CI238</f>
        <v>0</v>
      </c>
      <c r="O658">
        <f>FUR!CJ238</f>
        <v>0</v>
      </c>
      <c r="P658" s="143" t="str">
        <f>FUR!CK238</f>
        <v/>
      </c>
      <c r="R658">
        <f t="shared" si="10"/>
        <v>657</v>
      </c>
    </row>
    <row r="659" spans="5:18">
      <c r="E659" s="147" t="s">
        <v>31</v>
      </c>
      <c r="F659" t="str">
        <f>FUR!CA239</f>
        <v>HPS</v>
      </c>
      <c r="G659" t="str">
        <f>FUR!CB239</f>
        <v>AC</v>
      </c>
      <c r="H659" t="str">
        <f>FUR!CC239</f>
        <v>Vessel</v>
      </c>
      <c r="I659">
        <f>FUR!CD239</f>
        <v>0</v>
      </c>
      <c r="J659">
        <f>FUR!CE239</f>
        <v>0</v>
      </c>
      <c r="K659">
        <f>FUR!CF239</f>
        <v>0</v>
      </c>
      <c r="L659">
        <f>FUR!CG239</f>
        <v>0</v>
      </c>
      <c r="M659">
        <f>FUR!CH239</f>
        <v>0</v>
      </c>
      <c r="N659">
        <f>FUR!CI239</f>
        <v>0</v>
      </c>
      <c r="O659">
        <f>FUR!CJ239</f>
        <v>0</v>
      </c>
      <c r="P659" s="143" t="str">
        <f>FUR!CK239</f>
        <v/>
      </c>
      <c r="R659">
        <f t="shared" si="10"/>
        <v>658</v>
      </c>
    </row>
    <row r="660" spans="5:18">
      <c r="E660" s="147" t="s">
        <v>31</v>
      </c>
      <c r="F660" t="str">
        <f>FUR!CA240</f>
        <v>HPS</v>
      </c>
      <c r="G660" t="str">
        <f>FUR!CB240</f>
        <v>AC</v>
      </c>
      <c r="H660" t="str">
        <f>FUR!CC240</f>
        <v>Vessel</v>
      </c>
      <c r="I660">
        <f>FUR!CD240</f>
        <v>0</v>
      </c>
      <c r="J660">
        <f>FUR!CE240</f>
        <v>0</v>
      </c>
      <c r="K660">
        <f>FUR!CF240</f>
        <v>0</v>
      </c>
      <c r="L660">
        <f>FUR!CG240</f>
        <v>0</v>
      </c>
      <c r="M660">
        <f>FUR!CH240</f>
        <v>0</v>
      </c>
      <c r="N660">
        <f>FUR!CI240</f>
        <v>0</v>
      </c>
      <c r="O660">
        <f>FUR!CJ240</f>
        <v>0</v>
      </c>
      <c r="P660" s="143" t="str">
        <f>FUR!CK240</f>
        <v/>
      </c>
      <c r="R660">
        <f t="shared" si="10"/>
        <v>659</v>
      </c>
    </row>
    <row r="661" spans="5:18">
      <c r="E661" s="147" t="s">
        <v>31</v>
      </c>
      <c r="F661" t="str">
        <f>FUR!CA241</f>
        <v>HPS</v>
      </c>
      <c r="G661" t="str">
        <f>FUR!CB241</f>
        <v>AC</v>
      </c>
      <c r="H661" t="str">
        <f>FUR!CC241</f>
        <v>Vessel</v>
      </c>
      <c r="I661">
        <f>FUR!CD241</f>
        <v>0</v>
      </c>
      <c r="J661">
        <f>FUR!CE241</f>
        <v>0</v>
      </c>
      <c r="K661">
        <f>FUR!CF241</f>
        <v>0</v>
      </c>
      <c r="L661">
        <f>FUR!CG241</f>
        <v>0</v>
      </c>
      <c r="M661">
        <f>FUR!CH241</f>
        <v>0</v>
      </c>
      <c r="N661">
        <f>FUR!CI241</f>
        <v>0</v>
      </c>
      <c r="O661">
        <f>FUR!CJ241</f>
        <v>0</v>
      </c>
      <c r="P661" s="143" t="str">
        <f>FUR!CK241</f>
        <v/>
      </c>
      <c r="R661">
        <f t="shared" si="10"/>
        <v>660</v>
      </c>
    </row>
    <row r="662" spans="5:18">
      <c r="E662" s="147" t="s">
        <v>31</v>
      </c>
      <c r="F662" t="str">
        <f>FUR!CA242</f>
        <v>HPS</v>
      </c>
      <c r="G662" t="str">
        <f>FUR!CB242</f>
        <v>AC</v>
      </c>
      <c r="H662" t="str">
        <f>FUR!CC242</f>
        <v>Vessel</v>
      </c>
      <c r="I662">
        <f>FUR!CD242</f>
        <v>0</v>
      </c>
      <c r="J662">
        <f>FUR!CE242</f>
        <v>0</v>
      </c>
      <c r="K662">
        <f>FUR!CF242</f>
        <v>0</v>
      </c>
      <c r="L662">
        <f>FUR!CG242</f>
        <v>0</v>
      </c>
      <c r="M662">
        <f>FUR!CH242</f>
        <v>0</v>
      </c>
      <c r="N662">
        <f>FUR!CI242</f>
        <v>0</v>
      </c>
      <c r="O662">
        <f>FUR!CJ242</f>
        <v>0</v>
      </c>
      <c r="P662" s="143" t="str">
        <f>FUR!CK242</f>
        <v/>
      </c>
      <c r="R662">
        <f t="shared" si="10"/>
        <v>661</v>
      </c>
    </row>
    <row r="663" spans="5:18">
      <c r="E663" s="147" t="s">
        <v>31</v>
      </c>
      <c r="F663" t="str">
        <f>FUR!CA243</f>
        <v>HPS</v>
      </c>
      <c r="G663" t="str">
        <f>FUR!CB243</f>
        <v>AC</v>
      </c>
      <c r="H663" t="str">
        <f>FUR!CC243</f>
        <v>Vessel</v>
      </c>
      <c r="I663">
        <f>FUR!CD243</f>
        <v>0</v>
      </c>
      <c r="J663">
        <f>FUR!CE243</f>
        <v>0</v>
      </c>
      <c r="K663">
        <f>FUR!CF243</f>
        <v>0</v>
      </c>
      <c r="L663">
        <f>FUR!CG243</f>
        <v>0</v>
      </c>
      <c r="M663">
        <f>FUR!CH243</f>
        <v>0</v>
      </c>
      <c r="N663">
        <f>FUR!CI243</f>
        <v>0</v>
      </c>
      <c r="O663">
        <f>FUR!CJ243</f>
        <v>0</v>
      </c>
      <c r="P663" s="143" t="str">
        <f>FUR!CK243</f>
        <v/>
      </c>
      <c r="R663">
        <f t="shared" si="10"/>
        <v>662</v>
      </c>
    </row>
    <row r="664" spans="5:18">
      <c r="E664" s="147" t="s">
        <v>31</v>
      </c>
      <c r="F664" t="str">
        <f>FUR!CA244</f>
        <v>HPS</v>
      </c>
      <c r="G664" t="str">
        <f>FUR!CB244</f>
        <v>AC</v>
      </c>
      <c r="H664" t="str">
        <f>FUR!CC244</f>
        <v>Vessel</v>
      </c>
      <c r="I664">
        <f>FUR!CD244</f>
        <v>0</v>
      </c>
      <c r="J664">
        <f>FUR!CE244</f>
        <v>0</v>
      </c>
      <c r="K664">
        <f>FUR!CF244</f>
        <v>0</v>
      </c>
      <c r="L664">
        <f>FUR!CG244</f>
        <v>0</v>
      </c>
      <c r="M664">
        <f>FUR!CH244</f>
        <v>0</v>
      </c>
      <c r="N664">
        <f>FUR!CI244</f>
        <v>0</v>
      </c>
      <c r="O664">
        <f>FUR!CJ244</f>
        <v>0</v>
      </c>
      <c r="P664" s="143" t="str">
        <f>FUR!CK244</f>
        <v/>
      </c>
      <c r="R664">
        <f t="shared" si="10"/>
        <v>663</v>
      </c>
    </row>
    <row r="665" spans="5:18">
      <c r="E665" s="147" t="s">
        <v>31</v>
      </c>
      <c r="F665" t="str">
        <f>FUR!CA245</f>
        <v>HPS</v>
      </c>
      <c r="G665" t="str">
        <f>FUR!CB245</f>
        <v>AC</v>
      </c>
      <c r="H665" t="str">
        <f>FUR!CC245</f>
        <v>Vessel</v>
      </c>
      <c r="I665">
        <f>FUR!CD245</f>
        <v>0</v>
      </c>
      <c r="J665">
        <f>FUR!CE245</f>
        <v>0</v>
      </c>
      <c r="K665">
        <f>FUR!CF245</f>
        <v>0</v>
      </c>
      <c r="L665">
        <f>FUR!CG245</f>
        <v>0</v>
      </c>
      <c r="M665">
        <f>FUR!CH245</f>
        <v>0</v>
      </c>
      <c r="N665">
        <f>FUR!CI245</f>
        <v>0</v>
      </c>
      <c r="O665">
        <f>FUR!CJ245</f>
        <v>0</v>
      </c>
      <c r="P665" s="143" t="str">
        <f>FUR!CK245</f>
        <v/>
      </c>
      <c r="R665">
        <f t="shared" si="10"/>
        <v>664</v>
      </c>
    </row>
    <row r="666" spans="5:18">
      <c r="E666" s="147" t="s">
        <v>31</v>
      </c>
      <c r="F666" t="str">
        <f>FUR!CA246</f>
        <v>HPS</v>
      </c>
      <c r="G666" t="str">
        <f>FUR!CB246</f>
        <v>AC</v>
      </c>
      <c r="H666" t="str">
        <f>FUR!CC246</f>
        <v>Vessel</v>
      </c>
      <c r="I666">
        <f>FUR!CD246</f>
        <v>0</v>
      </c>
      <c r="J666">
        <f>FUR!CE246</f>
        <v>0</v>
      </c>
      <c r="K666">
        <f>FUR!CF246</f>
        <v>0</v>
      </c>
      <c r="L666">
        <f>FUR!CG246</f>
        <v>0</v>
      </c>
      <c r="M666">
        <f>FUR!CH246</f>
        <v>0</v>
      </c>
      <c r="N666">
        <f>FUR!CI246</f>
        <v>0</v>
      </c>
      <c r="O666">
        <f>FUR!CJ246</f>
        <v>0</v>
      </c>
      <c r="P666" s="143" t="str">
        <f>FUR!CK246</f>
        <v/>
      </c>
      <c r="R666">
        <f t="shared" si="10"/>
        <v>665</v>
      </c>
    </row>
    <row r="667" spans="5:18">
      <c r="E667" s="147" t="s">
        <v>31</v>
      </c>
      <c r="F667" t="str">
        <f>FUR!CA247</f>
        <v>HPS</v>
      </c>
      <c r="G667" t="str">
        <f>FUR!CB247</f>
        <v>AC</v>
      </c>
      <c r="H667" t="str">
        <f>FUR!CC247</f>
        <v>Vessel</v>
      </c>
      <c r="I667">
        <f>FUR!CD247</f>
        <v>0</v>
      </c>
      <c r="J667">
        <f>FUR!CE247</f>
        <v>0</v>
      </c>
      <c r="K667">
        <f>FUR!CF247</f>
        <v>0</v>
      </c>
      <c r="L667">
        <f>FUR!CG247</f>
        <v>0</v>
      </c>
      <c r="M667">
        <f>FUR!CH247</f>
        <v>0</v>
      </c>
      <c r="N667">
        <f>FUR!CI247</f>
        <v>0</v>
      </c>
      <c r="O667">
        <f>FUR!CJ247</f>
        <v>0</v>
      </c>
      <c r="P667" s="143" t="str">
        <f>FUR!CK247</f>
        <v/>
      </c>
      <c r="R667">
        <f t="shared" si="10"/>
        <v>666</v>
      </c>
    </row>
    <row r="668" spans="5:18">
      <c r="E668" s="147" t="s">
        <v>31</v>
      </c>
      <c r="F668" t="str">
        <f>FUR!CA248</f>
        <v>HPS</v>
      </c>
      <c r="G668" t="str">
        <f>FUR!CB248</f>
        <v>AC</v>
      </c>
      <c r="H668" t="str">
        <f>FUR!CC248</f>
        <v>Vessel</v>
      </c>
      <c r="I668">
        <f>FUR!CD248</f>
        <v>0</v>
      </c>
      <c r="J668">
        <f>FUR!CE248</f>
        <v>0</v>
      </c>
      <c r="K668">
        <f>FUR!CF248</f>
        <v>0</v>
      </c>
      <c r="L668">
        <f>FUR!CG248</f>
        <v>0</v>
      </c>
      <c r="M668">
        <f>FUR!CH248</f>
        <v>0</v>
      </c>
      <c r="N668">
        <f>FUR!CI248</f>
        <v>0</v>
      </c>
      <c r="O668">
        <f>FUR!CJ248</f>
        <v>0</v>
      </c>
      <c r="P668" s="143" t="str">
        <f>FUR!CK248</f>
        <v/>
      </c>
      <c r="R668">
        <f t="shared" si="10"/>
        <v>667</v>
      </c>
    </row>
    <row r="669" spans="5:18">
      <c r="E669" s="147" t="s">
        <v>31</v>
      </c>
      <c r="F669" t="str">
        <f>FUR!CA249</f>
        <v>HPS</v>
      </c>
      <c r="G669" t="str">
        <f>FUR!CB249</f>
        <v>AC</v>
      </c>
      <c r="H669" t="str">
        <f>FUR!CC249</f>
        <v>Vessel</v>
      </c>
      <c r="I669">
        <f>FUR!CD249</f>
        <v>0</v>
      </c>
      <c r="J669">
        <f>FUR!CE249</f>
        <v>0</v>
      </c>
      <c r="K669">
        <f>FUR!CF249</f>
        <v>0</v>
      </c>
      <c r="L669">
        <f>FUR!CG249</f>
        <v>0</v>
      </c>
      <c r="M669">
        <f>FUR!CH249</f>
        <v>0</v>
      </c>
      <c r="N669">
        <f>FUR!CI249</f>
        <v>0</v>
      </c>
      <c r="O669">
        <f>FUR!CJ249</f>
        <v>0</v>
      </c>
      <c r="P669" s="143" t="str">
        <f>FUR!CK249</f>
        <v/>
      </c>
      <c r="R669">
        <f t="shared" si="10"/>
        <v>668</v>
      </c>
    </row>
    <row r="670" spans="5:18">
      <c r="E670" s="147" t="s">
        <v>31</v>
      </c>
      <c r="F670" t="str">
        <f>FUR!CA250</f>
        <v>HPS</v>
      </c>
      <c r="G670" t="str">
        <f>FUR!CB250</f>
        <v>AC</v>
      </c>
      <c r="H670" t="str">
        <f>FUR!CC250</f>
        <v>Vessel</v>
      </c>
      <c r="I670">
        <f>FUR!CD250</f>
        <v>0</v>
      </c>
      <c r="J670">
        <f>FUR!CE250</f>
        <v>0</v>
      </c>
      <c r="K670">
        <f>FUR!CF250</f>
        <v>0</v>
      </c>
      <c r="L670">
        <f>FUR!CG250</f>
        <v>0</v>
      </c>
      <c r="M670">
        <f>FUR!CH250</f>
        <v>0</v>
      </c>
      <c r="N670">
        <f>FUR!CI250</f>
        <v>0</v>
      </c>
      <c r="O670">
        <f>FUR!CJ250</f>
        <v>0</v>
      </c>
      <c r="P670" s="143" t="str">
        <f>FUR!CK250</f>
        <v/>
      </c>
      <c r="R670">
        <f t="shared" si="10"/>
        <v>669</v>
      </c>
    </row>
    <row r="671" spans="5:18">
      <c r="E671" s="147" t="s">
        <v>31</v>
      </c>
      <c r="F671" t="str">
        <f>FUR!CA251</f>
        <v>HPS</v>
      </c>
      <c r="G671" t="str">
        <f>FUR!CB251</f>
        <v>AC</v>
      </c>
      <c r="H671" t="str">
        <f>FUR!CC251</f>
        <v>Vessel</v>
      </c>
      <c r="I671">
        <f>FUR!CD251</f>
        <v>0</v>
      </c>
      <c r="J671">
        <f>FUR!CE251</f>
        <v>0</v>
      </c>
      <c r="K671">
        <f>FUR!CF251</f>
        <v>0</v>
      </c>
      <c r="L671">
        <f>FUR!CG251</f>
        <v>0</v>
      </c>
      <c r="M671">
        <f>FUR!CH251</f>
        <v>0</v>
      </c>
      <c r="N671">
        <f>FUR!CI251</f>
        <v>0</v>
      </c>
      <c r="O671">
        <f>FUR!CJ251</f>
        <v>0</v>
      </c>
      <c r="P671" s="143" t="str">
        <f>FUR!CK251</f>
        <v/>
      </c>
      <c r="R671">
        <f t="shared" si="10"/>
        <v>670</v>
      </c>
    </row>
    <row r="672" spans="5:18">
      <c r="E672" s="147" t="s">
        <v>31</v>
      </c>
      <c r="F672" t="str">
        <f>FUR!CA252</f>
        <v>HPS</v>
      </c>
      <c r="G672" t="str">
        <f>FUR!CB252</f>
        <v>AC</v>
      </c>
      <c r="H672" t="str">
        <f>FUR!CC252</f>
        <v>Vessel</v>
      </c>
      <c r="I672">
        <f>FUR!CD252</f>
        <v>0</v>
      </c>
      <c r="J672">
        <f>FUR!CE252</f>
        <v>0</v>
      </c>
      <c r="K672">
        <f>FUR!CF252</f>
        <v>0</v>
      </c>
      <c r="L672">
        <f>FUR!CG252</f>
        <v>0</v>
      </c>
      <c r="M672">
        <f>FUR!CH252</f>
        <v>0</v>
      </c>
      <c r="N672">
        <f>FUR!CI252</f>
        <v>0</v>
      </c>
      <c r="O672">
        <f>FUR!CJ252</f>
        <v>0</v>
      </c>
      <c r="P672" s="143" t="str">
        <f>FUR!CK252</f>
        <v/>
      </c>
      <c r="R672">
        <f t="shared" si="10"/>
        <v>671</v>
      </c>
    </row>
    <row r="673" spans="5:18">
      <c r="E673" s="147" t="s">
        <v>31</v>
      </c>
      <c r="F673" t="str">
        <f>FUR!CA253</f>
        <v>HPS</v>
      </c>
      <c r="G673" t="str">
        <f>FUR!CB253</f>
        <v>AC</v>
      </c>
      <c r="H673" t="str">
        <f>FUR!CC253</f>
        <v>Vessel</v>
      </c>
      <c r="I673">
        <f>FUR!CD253</f>
        <v>0</v>
      </c>
      <c r="J673">
        <f>FUR!CE253</f>
        <v>0</v>
      </c>
      <c r="K673">
        <f>FUR!CF253</f>
        <v>0</v>
      </c>
      <c r="L673">
        <f>FUR!CG253</f>
        <v>0</v>
      </c>
      <c r="M673">
        <f>FUR!CH253</f>
        <v>0</v>
      </c>
      <c r="N673">
        <f>FUR!CI253</f>
        <v>0</v>
      </c>
      <c r="O673">
        <f>FUR!CJ253</f>
        <v>0</v>
      </c>
      <c r="P673" s="143" t="str">
        <f>FUR!CK253</f>
        <v/>
      </c>
      <c r="R673">
        <f t="shared" si="10"/>
        <v>672</v>
      </c>
    </row>
    <row r="674" spans="5:18">
      <c r="E674" s="147" t="s">
        <v>31</v>
      </c>
      <c r="F674" t="str">
        <f>FUR!CA254</f>
        <v>HPS</v>
      </c>
      <c r="G674" t="str">
        <f>FUR!CB254</f>
        <v>AC</v>
      </c>
      <c r="H674" t="str">
        <f>FUR!CC254</f>
        <v>Vessel</v>
      </c>
      <c r="I674">
        <f>FUR!CD254</f>
        <v>0</v>
      </c>
      <c r="J674">
        <f>FUR!CE254</f>
        <v>0</v>
      </c>
      <c r="K674">
        <f>FUR!CF254</f>
        <v>0</v>
      </c>
      <c r="L674">
        <f>FUR!CG254</f>
        <v>0</v>
      </c>
      <c r="M674">
        <f>FUR!CH254</f>
        <v>0</v>
      </c>
      <c r="N674">
        <f>FUR!CI254</f>
        <v>0</v>
      </c>
      <c r="O674">
        <f>FUR!CJ254</f>
        <v>0</v>
      </c>
      <c r="P674" s="143" t="str">
        <f>FUR!CK254</f>
        <v/>
      </c>
      <c r="R674">
        <f t="shared" si="10"/>
        <v>673</v>
      </c>
    </row>
    <row r="675" spans="5:18">
      <c r="E675" s="147" t="s">
        <v>31</v>
      </c>
      <c r="F675" t="str">
        <f>FUR!CA255</f>
        <v>HPS</v>
      </c>
      <c r="G675" t="str">
        <f>FUR!CB255</f>
        <v>AC</v>
      </c>
      <c r="H675" t="str">
        <f>FUR!CC255</f>
        <v>Vessel</v>
      </c>
      <c r="I675">
        <f>FUR!CD255</f>
        <v>0</v>
      </c>
      <c r="J675">
        <f>FUR!CE255</f>
        <v>0</v>
      </c>
      <c r="K675">
        <f>FUR!CF255</f>
        <v>0</v>
      </c>
      <c r="L675">
        <f>FUR!CG255</f>
        <v>0</v>
      </c>
      <c r="M675">
        <f>FUR!CH255</f>
        <v>0</v>
      </c>
      <c r="N675">
        <f>FUR!CI255</f>
        <v>0</v>
      </c>
      <c r="O675">
        <f>FUR!CJ255</f>
        <v>0</v>
      </c>
      <c r="P675" s="143" t="str">
        <f>FUR!CK255</f>
        <v/>
      </c>
      <c r="R675">
        <f t="shared" si="10"/>
        <v>674</v>
      </c>
    </row>
    <row r="676" spans="5:18">
      <c r="E676" s="147" t="s">
        <v>31</v>
      </c>
      <c r="F676" t="str">
        <f>FUR!CA256</f>
        <v>HPS</v>
      </c>
      <c r="G676" t="str">
        <f>FUR!CB256</f>
        <v>AC</v>
      </c>
      <c r="H676" t="str">
        <f>FUR!CC256</f>
        <v>Vessel</v>
      </c>
      <c r="I676">
        <f>FUR!CD256</f>
        <v>0</v>
      </c>
      <c r="J676">
        <f>FUR!CE256</f>
        <v>0</v>
      </c>
      <c r="K676">
        <f>FUR!CF256</f>
        <v>0</v>
      </c>
      <c r="L676">
        <f>FUR!CG256</f>
        <v>0</v>
      </c>
      <c r="M676">
        <f>FUR!CH256</f>
        <v>0</v>
      </c>
      <c r="N676">
        <f>FUR!CI256</f>
        <v>0</v>
      </c>
      <c r="O676">
        <f>FUR!CJ256</f>
        <v>0</v>
      </c>
      <c r="P676" s="143" t="str">
        <f>FUR!CK256</f>
        <v/>
      </c>
      <c r="R676">
        <f t="shared" si="10"/>
        <v>675</v>
      </c>
    </row>
    <row r="677" spans="5:18">
      <c r="E677" s="147" t="s">
        <v>31</v>
      </c>
      <c r="F677" t="str">
        <f>FUR!CA257</f>
        <v>HPS</v>
      </c>
      <c r="G677" t="str">
        <f>FUR!CB257</f>
        <v>AC</v>
      </c>
      <c r="H677" t="str">
        <f>FUR!CC257</f>
        <v>Vessel</v>
      </c>
      <c r="I677">
        <f>FUR!CD257</f>
        <v>0</v>
      </c>
      <c r="J677">
        <f>FUR!CE257</f>
        <v>0</v>
      </c>
      <c r="K677">
        <f>FUR!CF257</f>
        <v>0</v>
      </c>
      <c r="L677">
        <f>FUR!CG257</f>
        <v>0</v>
      </c>
      <c r="M677">
        <f>FUR!CH257</f>
        <v>0</v>
      </c>
      <c r="N677">
        <f>FUR!CI257</f>
        <v>0</v>
      </c>
      <c r="O677">
        <f>FUR!CJ257</f>
        <v>0</v>
      </c>
      <c r="P677" s="143" t="str">
        <f>FUR!CK257</f>
        <v/>
      </c>
      <c r="R677">
        <f t="shared" si="10"/>
        <v>676</v>
      </c>
    </row>
    <row r="678" spans="5:18">
      <c r="E678" s="147" t="s">
        <v>31</v>
      </c>
      <c r="F678" t="str">
        <f>FUR!CA258</f>
        <v>HPS</v>
      </c>
      <c r="G678" t="str">
        <f>FUR!CB258</f>
        <v>AC</v>
      </c>
      <c r="H678" t="str">
        <f>FUR!CC258</f>
        <v>Vessel</v>
      </c>
      <c r="I678">
        <f>FUR!CD258</f>
        <v>0</v>
      </c>
      <c r="J678">
        <f>FUR!CE258</f>
        <v>0</v>
      </c>
      <c r="K678">
        <f>FUR!CF258</f>
        <v>0</v>
      </c>
      <c r="L678">
        <f>FUR!CG258</f>
        <v>0</v>
      </c>
      <c r="M678">
        <f>FUR!CH258</f>
        <v>0</v>
      </c>
      <c r="N678">
        <f>FUR!CI258</f>
        <v>0</v>
      </c>
      <c r="O678">
        <f>FUR!CJ258</f>
        <v>0</v>
      </c>
      <c r="P678" s="143" t="str">
        <f>FUR!CK258</f>
        <v/>
      </c>
      <c r="R678">
        <f t="shared" si="10"/>
        <v>677</v>
      </c>
    </row>
    <row r="679" spans="5:18">
      <c r="E679" s="147" t="s">
        <v>31</v>
      </c>
      <c r="F679" t="str">
        <f>FUR!CA259</f>
        <v>HPS</v>
      </c>
      <c r="G679" t="str">
        <f>FUR!CB259</f>
        <v>AC</v>
      </c>
      <c r="H679" t="str">
        <f>FUR!CC259</f>
        <v>Vessel</v>
      </c>
      <c r="I679">
        <f>FUR!CD259</f>
        <v>0</v>
      </c>
      <c r="J679">
        <f>FUR!CE259</f>
        <v>0</v>
      </c>
      <c r="K679">
        <f>FUR!CF259</f>
        <v>0</v>
      </c>
      <c r="L679">
        <f>FUR!CG259</f>
        <v>0</v>
      </c>
      <c r="M679">
        <f>FUR!CH259</f>
        <v>0</v>
      </c>
      <c r="N679">
        <f>FUR!CI259</f>
        <v>0</v>
      </c>
      <c r="O679">
        <f>FUR!CJ259</f>
        <v>0</v>
      </c>
      <c r="P679" s="143" t="str">
        <f>FUR!CK259</f>
        <v/>
      </c>
      <c r="R679">
        <f t="shared" si="10"/>
        <v>678</v>
      </c>
    </row>
    <row r="680" spans="5:18">
      <c r="E680" s="147" t="s">
        <v>31</v>
      </c>
      <c r="F680" t="str">
        <f>FUR!CA260</f>
        <v>HPS</v>
      </c>
      <c r="G680" t="str">
        <f>FUR!CB260</f>
        <v>AC</v>
      </c>
      <c r="H680" t="str">
        <f>FUR!CC260</f>
        <v>Vessel</v>
      </c>
      <c r="I680">
        <f>FUR!CD260</f>
        <v>0</v>
      </c>
      <c r="J680">
        <f>FUR!CE260</f>
        <v>0</v>
      </c>
      <c r="K680">
        <f>FUR!CF260</f>
        <v>0</v>
      </c>
      <c r="L680">
        <f>FUR!CG260</f>
        <v>0</v>
      </c>
      <c r="M680">
        <f>FUR!CH260</f>
        <v>0</v>
      </c>
      <c r="N680">
        <f>FUR!CI260</f>
        <v>0</v>
      </c>
      <c r="O680">
        <f>FUR!CJ260</f>
        <v>0</v>
      </c>
      <c r="P680" s="143" t="str">
        <f>FUR!CK260</f>
        <v/>
      </c>
      <c r="R680">
        <f t="shared" si="10"/>
        <v>679</v>
      </c>
    </row>
    <row r="681" spans="5:18">
      <c r="E681" s="147" t="s">
        <v>31</v>
      </c>
      <c r="F681" t="str">
        <f>FUR!CA261</f>
        <v>HPS</v>
      </c>
      <c r="G681" t="str">
        <f>FUR!CB261</f>
        <v>AC</v>
      </c>
      <c r="H681" t="str">
        <f>FUR!CC261</f>
        <v>Vessel</v>
      </c>
      <c r="I681">
        <f>FUR!CD261</f>
        <v>0</v>
      </c>
      <c r="J681">
        <f>FUR!CE261</f>
        <v>0</v>
      </c>
      <c r="K681">
        <f>FUR!CF261</f>
        <v>0</v>
      </c>
      <c r="L681">
        <f>FUR!CG261</f>
        <v>0</v>
      </c>
      <c r="M681">
        <f>FUR!CH261</f>
        <v>0</v>
      </c>
      <c r="N681">
        <f>FUR!CI261</f>
        <v>0</v>
      </c>
      <c r="O681">
        <f>FUR!CJ261</f>
        <v>0</v>
      </c>
      <c r="P681" s="143" t="str">
        <f>FUR!CK261</f>
        <v/>
      </c>
      <c r="R681">
        <f t="shared" si="10"/>
        <v>680</v>
      </c>
    </row>
    <row r="682" spans="5:18">
      <c r="E682" s="147" t="s">
        <v>31</v>
      </c>
      <c r="F682" t="str">
        <f>FUR!CA262</f>
        <v>HPS</v>
      </c>
      <c r="G682" t="str">
        <f>FUR!CB262</f>
        <v>AC</v>
      </c>
      <c r="H682" t="str">
        <f>FUR!CC262</f>
        <v>Vessel</v>
      </c>
      <c r="I682">
        <f>FUR!CD262</f>
        <v>0</v>
      </c>
      <c r="J682">
        <f>FUR!CE262</f>
        <v>0</v>
      </c>
      <c r="K682">
        <f>FUR!CF262</f>
        <v>0</v>
      </c>
      <c r="L682">
        <f>FUR!CG262</f>
        <v>0</v>
      </c>
      <c r="M682">
        <f>FUR!CH262</f>
        <v>0</v>
      </c>
      <c r="N682">
        <f>FUR!CI262</f>
        <v>0</v>
      </c>
      <c r="O682">
        <f>FUR!CJ262</f>
        <v>0</v>
      </c>
      <c r="P682" s="143" t="str">
        <f>FUR!CK262</f>
        <v/>
      </c>
      <c r="R682">
        <f t="shared" si="10"/>
        <v>681</v>
      </c>
    </row>
    <row r="683" spans="5:18">
      <c r="E683" s="147" t="s">
        <v>31</v>
      </c>
      <c r="F683" t="str">
        <f>FUR!CA263</f>
        <v>HPS</v>
      </c>
      <c r="G683" t="str">
        <f>FUR!CB263</f>
        <v>AC</v>
      </c>
      <c r="H683" t="str">
        <f>FUR!CC263</f>
        <v>Vessel</v>
      </c>
      <c r="I683">
        <f>FUR!CD263</f>
        <v>0</v>
      </c>
      <c r="J683">
        <f>FUR!CE263</f>
        <v>0</v>
      </c>
      <c r="K683">
        <f>FUR!CF263</f>
        <v>0</v>
      </c>
      <c r="L683">
        <f>FUR!CG263</f>
        <v>0</v>
      </c>
      <c r="M683">
        <f>FUR!CH263</f>
        <v>0</v>
      </c>
      <c r="N683">
        <f>FUR!CI263</f>
        <v>0</v>
      </c>
      <c r="O683">
        <f>FUR!CJ263</f>
        <v>0</v>
      </c>
      <c r="P683" s="143" t="str">
        <f>FUR!CK263</f>
        <v/>
      </c>
      <c r="R683">
        <f t="shared" si="10"/>
        <v>682</v>
      </c>
    </row>
    <row r="684" spans="5:18">
      <c r="E684" s="147" t="s">
        <v>31</v>
      </c>
      <c r="F684" t="str">
        <f>FUR!CA264</f>
        <v>HPS</v>
      </c>
      <c r="G684" t="str">
        <f>FUR!CB264</f>
        <v>AC</v>
      </c>
      <c r="H684" t="str">
        <f>FUR!CC264</f>
        <v>Vessel</v>
      </c>
      <c r="I684">
        <f>FUR!CD264</f>
        <v>0</v>
      </c>
      <c r="J684">
        <f>FUR!CE264</f>
        <v>0</v>
      </c>
      <c r="K684">
        <f>FUR!CF264</f>
        <v>0</v>
      </c>
      <c r="L684">
        <f>FUR!CG264</f>
        <v>0</v>
      </c>
      <c r="M684">
        <f>FUR!CH264</f>
        <v>0</v>
      </c>
      <c r="N684">
        <f>FUR!CI264</f>
        <v>0</v>
      </c>
      <c r="O684">
        <f>FUR!CJ264</f>
        <v>0</v>
      </c>
      <c r="P684" s="143" t="str">
        <f>FUR!CK264</f>
        <v/>
      </c>
      <c r="R684">
        <f t="shared" si="10"/>
        <v>683</v>
      </c>
    </row>
    <row r="685" spans="5:18">
      <c r="E685" s="147" t="s">
        <v>31</v>
      </c>
      <c r="F685" t="str">
        <f>FUR!CA265</f>
        <v>HPS</v>
      </c>
      <c r="G685" t="str">
        <f>FUR!CB265</f>
        <v>AC</v>
      </c>
      <c r="H685" t="str">
        <f>FUR!CC265</f>
        <v>Vessel</v>
      </c>
      <c r="I685">
        <f>FUR!CD265</f>
        <v>0</v>
      </c>
      <c r="J685">
        <f>FUR!CE265</f>
        <v>0</v>
      </c>
      <c r="K685">
        <f>FUR!CF265</f>
        <v>0</v>
      </c>
      <c r="L685">
        <f>FUR!CG265</f>
        <v>0</v>
      </c>
      <c r="M685">
        <f>FUR!CH265</f>
        <v>0</v>
      </c>
      <c r="N685">
        <f>FUR!CI265</f>
        <v>0</v>
      </c>
      <c r="O685">
        <f>FUR!CJ265</f>
        <v>0</v>
      </c>
      <c r="P685" s="143" t="str">
        <f>FUR!CK265</f>
        <v/>
      </c>
      <c r="R685">
        <f t="shared" si="10"/>
        <v>684</v>
      </c>
    </row>
    <row r="686" spans="5:18">
      <c r="E686" s="147" t="s">
        <v>31</v>
      </c>
      <c r="F686" t="str">
        <f>FUR!CA266</f>
        <v>HPS</v>
      </c>
      <c r="G686" t="str">
        <f>FUR!CB266</f>
        <v>AC</v>
      </c>
      <c r="H686" t="str">
        <f>FUR!CC266</f>
        <v>Vessel</v>
      </c>
      <c r="I686">
        <f>FUR!CD266</f>
        <v>0</v>
      </c>
      <c r="J686">
        <f>FUR!CE266</f>
        <v>0</v>
      </c>
      <c r="K686">
        <f>FUR!CF266</f>
        <v>0</v>
      </c>
      <c r="L686">
        <f>FUR!CG266</f>
        <v>0</v>
      </c>
      <c r="M686">
        <f>FUR!CH266</f>
        <v>0</v>
      </c>
      <c r="N686">
        <f>FUR!CI266</f>
        <v>0</v>
      </c>
      <c r="O686">
        <f>FUR!CJ266</f>
        <v>0</v>
      </c>
      <c r="P686" s="143" t="str">
        <f>FUR!CK266</f>
        <v/>
      </c>
      <c r="R686">
        <f t="shared" si="10"/>
        <v>685</v>
      </c>
    </row>
    <row r="687" spans="5:18">
      <c r="E687" s="147" t="s">
        <v>31</v>
      </c>
      <c r="F687" t="str">
        <f>FUR!CA267</f>
        <v>HPS</v>
      </c>
      <c r="G687" t="str">
        <f>FUR!CB267</f>
        <v>AC</v>
      </c>
      <c r="H687" t="str">
        <f>FUR!CC267</f>
        <v>Vessel</v>
      </c>
      <c r="I687">
        <f>FUR!CD267</f>
        <v>0</v>
      </c>
      <c r="J687">
        <f>FUR!CE267</f>
        <v>0</v>
      </c>
      <c r="K687">
        <f>FUR!CF267</f>
        <v>0</v>
      </c>
      <c r="L687">
        <f>FUR!CG267</f>
        <v>0</v>
      </c>
      <c r="M687">
        <f>FUR!CH267</f>
        <v>0</v>
      </c>
      <c r="N687">
        <f>FUR!CI267</f>
        <v>0</v>
      </c>
      <c r="O687">
        <f>FUR!CJ267</f>
        <v>0</v>
      </c>
      <c r="P687" s="143" t="str">
        <f>FUR!CK267</f>
        <v/>
      </c>
      <c r="R687">
        <f t="shared" si="10"/>
        <v>686</v>
      </c>
    </row>
    <row r="688" spans="5:18">
      <c r="E688" s="147" t="s">
        <v>31</v>
      </c>
      <c r="F688" t="str">
        <f>FUR!CA268</f>
        <v>HPS</v>
      </c>
      <c r="G688" t="str">
        <f>FUR!CB268</f>
        <v>AC</v>
      </c>
      <c r="H688" t="str">
        <f>FUR!CC268</f>
        <v>Vessel</v>
      </c>
      <c r="I688">
        <f>FUR!CD268</f>
        <v>0</v>
      </c>
      <c r="J688">
        <f>FUR!CE268</f>
        <v>0</v>
      </c>
      <c r="K688">
        <f>FUR!CF268</f>
        <v>0</v>
      </c>
      <c r="L688">
        <f>FUR!CG268</f>
        <v>0</v>
      </c>
      <c r="M688">
        <f>FUR!CH268</f>
        <v>0</v>
      </c>
      <c r="N688">
        <f>FUR!CI268</f>
        <v>0</v>
      </c>
      <c r="O688">
        <f>FUR!CJ268</f>
        <v>0</v>
      </c>
      <c r="P688" s="143" t="str">
        <f>FUR!CK268</f>
        <v/>
      </c>
      <c r="R688">
        <f t="shared" si="10"/>
        <v>687</v>
      </c>
    </row>
    <row r="689" spans="5:18">
      <c r="E689" s="147" t="s">
        <v>31</v>
      </c>
      <c r="F689" t="str">
        <f>FUR!CA269</f>
        <v>HPS</v>
      </c>
      <c r="G689" t="str">
        <f>FUR!CB269</f>
        <v>AC</v>
      </c>
      <c r="H689" t="str">
        <f>FUR!CC269</f>
        <v>Vessel</v>
      </c>
      <c r="I689">
        <f>FUR!CD269</f>
        <v>0</v>
      </c>
      <c r="J689">
        <f>FUR!CE269</f>
        <v>0</v>
      </c>
      <c r="K689">
        <f>FUR!CF269</f>
        <v>0</v>
      </c>
      <c r="L689">
        <f>FUR!CG269</f>
        <v>0</v>
      </c>
      <c r="M689">
        <f>FUR!CH269</f>
        <v>0</v>
      </c>
      <c r="N689">
        <f>FUR!CI269</f>
        <v>0</v>
      </c>
      <c r="O689">
        <f>FUR!CJ269</f>
        <v>0</v>
      </c>
      <c r="P689" s="143" t="str">
        <f>FUR!CK269</f>
        <v/>
      </c>
      <c r="R689">
        <f t="shared" si="10"/>
        <v>688</v>
      </c>
    </row>
    <row r="690" spans="5:18">
      <c r="E690" s="147" t="s">
        <v>31</v>
      </c>
      <c r="F690" t="str">
        <f>FUR!CA270</f>
        <v>HPS</v>
      </c>
      <c r="G690" t="str">
        <f>FUR!CB270</f>
        <v>AC</v>
      </c>
      <c r="H690" t="str">
        <f>FUR!CC270</f>
        <v>Vessel</v>
      </c>
      <c r="I690">
        <f>FUR!CD270</f>
        <v>0</v>
      </c>
      <c r="J690">
        <f>FUR!CE270</f>
        <v>0</v>
      </c>
      <c r="K690">
        <f>FUR!CF270</f>
        <v>0</v>
      </c>
      <c r="L690">
        <f>FUR!CG270</f>
        <v>0</v>
      </c>
      <c r="M690">
        <f>FUR!CH270</f>
        <v>0</v>
      </c>
      <c r="N690">
        <f>FUR!CI270</f>
        <v>0</v>
      </c>
      <c r="O690">
        <f>FUR!CJ270</f>
        <v>0</v>
      </c>
      <c r="P690" s="143" t="str">
        <f>FUR!CK270</f>
        <v/>
      </c>
      <c r="R690">
        <f t="shared" si="10"/>
        <v>689</v>
      </c>
    </row>
    <row r="691" spans="5:18">
      <c r="E691" s="147" t="s">
        <v>31</v>
      </c>
      <c r="F691" t="str">
        <f>FUR!CA271</f>
        <v>HPS</v>
      </c>
      <c r="G691" t="str">
        <f>FUR!CB271</f>
        <v>AC</v>
      </c>
      <c r="H691" t="str">
        <f>FUR!CC271</f>
        <v>Vessel</v>
      </c>
      <c r="I691">
        <f>FUR!CD271</f>
        <v>0</v>
      </c>
      <c r="J691">
        <f>FUR!CE271</f>
        <v>0</v>
      </c>
      <c r="K691">
        <f>FUR!CF271</f>
        <v>0</v>
      </c>
      <c r="L691">
        <f>FUR!CG271</f>
        <v>0</v>
      </c>
      <c r="M691">
        <f>FUR!CH271</f>
        <v>0</v>
      </c>
      <c r="N691">
        <f>FUR!CI271</f>
        <v>0</v>
      </c>
      <c r="O691">
        <f>FUR!CJ271</f>
        <v>0</v>
      </c>
      <c r="P691" s="143" t="str">
        <f>FUR!CK271</f>
        <v/>
      </c>
      <c r="R691">
        <f t="shared" si="10"/>
        <v>690</v>
      </c>
    </row>
    <row r="692" spans="5:18">
      <c r="E692" s="147" t="s">
        <v>31</v>
      </c>
      <c r="F692" t="str">
        <f>FUR!CA272</f>
        <v>HPS</v>
      </c>
      <c r="G692" t="str">
        <f>FUR!CB272</f>
        <v>AC</v>
      </c>
      <c r="H692" t="str">
        <f>FUR!CC272</f>
        <v>Vessel</v>
      </c>
      <c r="I692">
        <f>FUR!CD272</f>
        <v>0</v>
      </c>
      <c r="J692">
        <f>FUR!CE272</f>
        <v>0</v>
      </c>
      <c r="K692">
        <f>FUR!CF272</f>
        <v>0</v>
      </c>
      <c r="L692">
        <f>FUR!CG272</f>
        <v>0</v>
      </c>
      <c r="M692">
        <f>FUR!CH272</f>
        <v>0</v>
      </c>
      <c r="N692">
        <f>FUR!CI272</f>
        <v>0</v>
      </c>
      <c r="O692">
        <f>FUR!CJ272</f>
        <v>0</v>
      </c>
      <c r="P692" s="143" t="str">
        <f>FUR!CK272</f>
        <v/>
      </c>
      <c r="R692">
        <f t="shared" si="10"/>
        <v>691</v>
      </c>
    </row>
    <row r="693" spans="5:18">
      <c r="E693" s="147" t="s">
        <v>31</v>
      </c>
      <c r="F693" t="str">
        <f>FUR!CA273</f>
        <v>HPS</v>
      </c>
      <c r="G693" t="str">
        <f>FUR!CB273</f>
        <v>AC</v>
      </c>
      <c r="H693" t="str">
        <f>FUR!CC273</f>
        <v>Vessel</v>
      </c>
      <c r="I693">
        <f>FUR!CD273</f>
        <v>0</v>
      </c>
      <c r="J693">
        <f>FUR!CE273</f>
        <v>0</v>
      </c>
      <c r="K693">
        <f>FUR!CF273</f>
        <v>0</v>
      </c>
      <c r="L693">
        <f>FUR!CG273</f>
        <v>0</v>
      </c>
      <c r="M693">
        <f>FUR!CH273</f>
        <v>0</v>
      </c>
      <c r="N693">
        <f>FUR!CI273</f>
        <v>0</v>
      </c>
      <c r="O693">
        <f>FUR!CJ273</f>
        <v>0</v>
      </c>
      <c r="P693" s="143" t="str">
        <f>FUR!CK273</f>
        <v/>
      </c>
      <c r="R693">
        <f t="shared" si="10"/>
        <v>692</v>
      </c>
    </row>
    <row r="694" spans="5:18">
      <c r="E694" s="147" t="s">
        <v>31</v>
      </c>
      <c r="F694" t="str">
        <f>FUR!CA274</f>
        <v>HPS</v>
      </c>
      <c r="G694" t="str">
        <f>FUR!CB274</f>
        <v>AC</v>
      </c>
      <c r="H694" t="str">
        <f>FUR!CC274</f>
        <v>Vessel</v>
      </c>
      <c r="I694">
        <f>FUR!CD274</f>
        <v>0</v>
      </c>
      <c r="J694">
        <f>FUR!CE274</f>
        <v>0</v>
      </c>
      <c r="K694">
        <f>FUR!CF274</f>
        <v>0</v>
      </c>
      <c r="L694">
        <f>FUR!CG274</f>
        <v>0</v>
      </c>
      <c r="M694">
        <f>FUR!CH274</f>
        <v>0</v>
      </c>
      <c r="N694">
        <f>FUR!CI274</f>
        <v>0</v>
      </c>
      <c r="O694">
        <f>FUR!CJ274</f>
        <v>0</v>
      </c>
      <c r="P694" s="143" t="str">
        <f>FUR!CK274</f>
        <v/>
      </c>
      <c r="R694">
        <f t="shared" si="10"/>
        <v>693</v>
      </c>
    </row>
    <row r="695" spans="5:18">
      <c r="E695" s="147" t="s">
        <v>31</v>
      </c>
      <c r="F695" t="str">
        <f>FUR!CA275</f>
        <v>HPS</v>
      </c>
      <c r="G695" t="str">
        <f>FUR!CB275</f>
        <v>AC</v>
      </c>
      <c r="H695" t="str">
        <f>FUR!CC275</f>
        <v>Vessel</v>
      </c>
      <c r="I695">
        <f>FUR!CD275</f>
        <v>0</v>
      </c>
      <c r="J695">
        <f>FUR!CE275</f>
        <v>0</v>
      </c>
      <c r="K695">
        <f>FUR!CF275</f>
        <v>0</v>
      </c>
      <c r="L695">
        <f>FUR!CG275</f>
        <v>0</v>
      </c>
      <c r="M695">
        <f>FUR!CH275</f>
        <v>0</v>
      </c>
      <c r="N695">
        <f>FUR!CI275</f>
        <v>0</v>
      </c>
      <c r="O695">
        <f>FUR!CJ275</f>
        <v>0</v>
      </c>
      <c r="P695" s="143" t="str">
        <f>FUR!CK275</f>
        <v/>
      </c>
      <c r="R695">
        <f t="shared" si="10"/>
        <v>694</v>
      </c>
    </row>
    <row r="696" spans="5:18">
      <c r="E696" s="147" t="s">
        <v>31</v>
      </c>
      <c r="F696" t="str">
        <f>FUR!CA276</f>
        <v>HPS</v>
      </c>
      <c r="G696" t="str">
        <f>FUR!CB276</f>
        <v>AC</v>
      </c>
      <c r="H696" t="str">
        <f>FUR!CC276</f>
        <v>Vessel</v>
      </c>
      <c r="I696">
        <f>FUR!CD276</f>
        <v>0</v>
      </c>
      <c r="J696">
        <f>FUR!CE276</f>
        <v>0</v>
      </c>
      <c r="K696">
        <f>FUR!CF276</f>
        <v>0</v>
      </c>
      <c r="L696">
        <f>FUR!CG276</f>
        <v>0</v>
      </c>
      <c r="M696">
        <f>FUR!CH276</f>
        <v>0</v>
      </c>
      <c r="N696">
        <f>FUR!CI276</f>
        <v>0</v>
      </c>
      <c r="O696">
        <f>FUR!CJ276</f>
        <v>0</v>
      </c>
      <c r="P696" s="143" t="str">
        <f>FUR!CK276</f>
        <v/>
      </c>
      <c r="R696">
        <f t="shared" si="10"/>
        <v>695</v>
      </c>
    </row>
    <row r="697" spans="5:18">
      <c r="E697" s="147" t="s">
        <v>31</v>
      </c>
      <c r="F697" t="str">
        <f>FUR!CA277</f>
        <v>HPS</v>
      </c>
      <c r="G697" t="str">
        <f>FUR!CB277</f>
        <v>AC</v>
      </c>
      <c r="H697" t="str">
        <f>FUR!CC277</f>
        <v>Vessel</v>
      </c>
      <c r="I697">
        <f>FUR!CD277</f>
        <v>0</v>
      </c>
      <c r="J697">
        <f>FUR!CE277</f>
        <v>0</v>
      </c>
      <c r="K697">
        <f>FUR!CF277</f>
        <v>0</v>
      </c>
      <c r="L697">
        <f>FUR!CG277</f>
        <v>0</v>
      </c>
      <c r="M697">
        <f>FUR!CH277</f>
        <v>0</v>
      </c>
      <c r="N697">
        <f>FUR!CI277</f>
        <v>0</v>
      </c>
      <c r="O697">
        <f>FUR!CJ277</f>
        <v>0</v>
      </c>
      <c r="P697" s="143" t="str">
        <f>FUR!CK277</f>
        <v/>
      </c>
      <c r="R697">
        <f t="shared" si="10"/>
        <v>696</v>
      </c>
    </row>
    <row r="698" spans="5:18">
      <c r="E698" s="147" t="s">
        <v>31</v>
      </c>
      <c r="F698" t="str">
        <f>FUR!CA278</f>
        <v>HPS</v>
      </c>
      <c r="G698" t="str">
        <f>FUR!CB278</f>
        <v>AC</v>
      </c>
      <c r="H698" t="str">
        <f>FUR!CC278</f>
        <v>Vessel</v>
      </c>
      <c r="I698">
        <f>FUR!CD278</f>
        <v>0</v>
      </c>
      <c r="J698">
        <f>FUR!CE278</f>
        <v>0</v>
      </c>
      <c r="K698">
        <f>FUR!CF278</f>
        <v>0</v>
      </c>
      <c r="L698">
        <f>FUR!CG278</f>
        <v>0</v>
      </c>
      <c r="M698">
        <f>FUR!CH278</f>
        <v>0</v>
      </c>
      <c r="N698">
        <f>FUR!CI278</f>
        <v>0</v>
      </c>
      <c r="O698">
        <f>FUR!CJ278</f>
        <v>0</v>
      </c>
      <c r="P698" s="143" t="str">
        <f>FUR!CK278</f>
        <v/>
      </c>
      <c r="R698">
        <f t="shared" si="10"/>
        <v>697</v>
      </c>
    </row>
    <row r="699" spans="5:18">
      <c r="E699" s="147" t="s">
        <v>31</v>
      </c>
      <c r="F699" t="str">
        <f>FUR!CA279</f>
        <v>HPS</v>
      </c>
      <c r="G699" t="str">
        <f>FUR!CB279</f>
        <v>AC</v>
      </c>
      <c r="H699" t="str">
        <f>FUR!CC279</f>
        <v>Vessel</v>
      </c>
      <c r="I699">
        <f>FUR!CD279</f>
        <v>0</v>
      </c>
      <c r="J699">
        <f>FUR!CE279</f>
        <v>0</v>
      </c>
      <c r="K699">
        <f>FUR!CF279</f>
        <v>0</v>
      </c>
      <c r="L699">
        <f>FUR!CG279</f>
        <v>0</v>
      </c>
      <c r="M699">
        <f>FUR!CH279</f>
        <v>0</v>
      </c>
      <c r="N699">
        <f>FUR!CI279</f>
        <v>0</v>
      </c>
      <c r="O699">
        <f>FUR!CJ279</f>
        <v>0</v>
      </c>
      <c r="P699" s="143" t="str">
        <f>FUR!CK279</f>
        <v/>
      </c>
      <c r="R699">
        <f t="shared" si="10"/>
        <v>698</v>
      </c>
    </row>
    <row r="700" spans="5:18">
      <c r="E700" s="147" t="s">
        <v>31</v>
      </c>
      <c r="F700" t="str">
        <f>FUR!CA280</f>
        <v>HPS</v>
      </c>
      <c r="G700" t="str">
        <f>FUR!CB280</f>
        <v>AC</v>
      </c>
      <c r="H700" t="str">
        <f>FUR!CC280</f>
        <v>Vessel</v>
      </c>
      <c r="I700">
        <f>FUR!CD280</f>
        <v>0</v>
      </c>
      <c r="J700">
        <f>FUR!CE280</f>
        <v>0</v>
      </c>
      <c r="K700">
        <f>FUR!CF280</f>
        <v>0</v>
      </c>
      <c r="L700">
        <f>FUR!CG280</f>
        <v>0</v>
      </c>
      <c r="M700">
        <f>FUR!CH280</f>
        <v>0</v>
      </c>
      <c r="N700">
        <f>FUR!CI280</f>
        <v>0</v>
      </c>
      <c r="O700">
        <f>FUR!CJ280</f>
        <v>0</v>
      </c>
      <c r="P700" s="143" t="str">
        <f>FUR!CK280</f>
        <v/>
      </c>
      <c r="R700">
        <f t="shared" si="10"/>
        <v>699</v>
      </c>
    </row>
    <row r="701" spans="5:18">
      <c r="E701" s="147" t="s">
        <v>31</v>
      </c>
      <c r="F701" t="str">
        <f>FUR!CA281</f>
        <v>HPS</v>
      </c>
      <c r="G701" t="str">
        <f>FUR!CB281</f>
        <v>AC</v>
      </c>
      <c r="H701" t="str">
        <f>FUR!CC281</f>
        <v>Vessel</v>
      </c>
      <c r="I701">
        <f>FUR!CD281</f>
        <v>0</v>
      </c>
      <c r="J701">
        <f>FUR!CE281</f>
        <v>0</v>
      </c>
      <c r="K701">
        <f>FUR!CF281</f>
        <v>0</v>
      </c>
      <c r="L701">
        <f>FUR!CG281</f>
        <v>0</v>
      </c>
      <c r="M701">
        <f>FUR!CH281</f>
        <v>0</v>
      </c>
      <c r="N701">
        <f>FUR!CI281</f>
        <v>0</v>
      </c>
      <c r="O701">
        <f>FUR!CJ281</f>
        <v>0</v>
      </c>
      <c r="P701" s="143" t="str">
        <f>FUR!CK281</f>
        <v/>
      </c>
      <c r="R701">
        <f t="shared" si="10"/>
        <v>700</v>
      </c>
    </row>
    <row r="702" spans="5:18">
      <c r="E702" s="147" t="s">
        <v>31</v>
      </c>
      <c r="F702" t="str">
        <f>FUR!CA282</f>
        <v>HPS</v>
      </c>
      <c r="G702" t="str">
        <f>FUR!CB282</f>
        <v>AC</v>
      </c>
      <c r="H702" t="str">
        <f>FUR!CC282</f>
        <v>Vessel</v>
      </c>
      <c r="I702">
        <f>FUR!CD282</f>
        <v>0</v>
      </c>
      <c r="J702">
        <f>FUR!CE282</f>
        <v>0</v>
      </c>
      <c r="K702">
        <f>FUR!CF282</f>
        <v>0</v>
      </c>
      <c r="L702">
        <f>FUR!CG282</f>
        <v>0</v>
      </c>
      <c r="M702">
        <f>FUR!CH282</f>
        <v>0</v>
      </c>
      <c r="N702">
        <f>FUR!CI282</f>
        <v>0</v>
      </c>
      <c r="O702">
        <f>FUR!CJ282</f>
        <v>0</v>
      </c>
      <c r="P702" s="143" t="str">
        <f>FUR!CK282</f>
        <v/>
      </c>
      <c r="R702">
        <f t="shared" si="10"/>
        <v>701</v>
      </c>
    </row>
    <row r="703" spans="5:18">
      <c r="E703" s="147" t="s">
        <v>31</v>
      </c>
      <c r="F703" t="str">
        <f>FUR!CA283</f>
        <v>HPS</v>
      </c>
      <c r="G703" t="str">
        <f>FUR!CB283</f>
        <v>AC</v>
      </c>
      <c r="H703" t="str">
        <f>FUR!CC283</f>
        <v>Vessel</v>
      </c>
      <c r="I703">
        <f>FUR!CD283</f>
        <v>0</v>
      </c>
      <c r="J703">
        <f>FUR!CE283</f>
        <v>0</v>
      </c>
      <c r="K703">
        <f>FUR!CF283</f>
        <v>0</v>
      </c>
      <c r="L703">
        <f>FUR!CG283</f>
        <v>0</v>
      </c>
      <c r="M703">
        <f>FUR!CH283</f>
        <v>0</v>
      </c>
      <c r="N703">
        <f>FUR!CI283</f>
        <v>0</v>
      </c>
      <c r="O703">
        <f>FUR!CJ283</f>
        <v>0</v>
      </c>
      <c r="P703" s="143" t="str">
        <f>FUR!CK283</f>
        <v/>
      </c>
      <c r="R703">
        <f t="shared" si="10"/>
        <v>702</v>
      </c>
    </row>
    <row r="704" spans="5:18">
      <c r="E704" s="147" t="s">
        <v>31</v>
      </c>
      <c r="F704" t="str">
        <f>FUR!CA284</f>
        <v>HPS</v>
      </c>
      <c r="G704" t="str">
        <f>FUR!CB284</f>
        <v>AC</v>
      </c>
      <c r="H704" t="str">
        <f>FUR!CC284</f>
        <v>Vessel</v>
      </c>
      <c r="I704">
        <f>FUR!CD284</f>
        <v>0</v>
      </c>
      <c r="J704">
        <f>FUR!CE284</f>
        <v>0</v>
      </c>
      <c r="K704">
        <f>FUR!CF284</f>
        <v>0</v>
      </c>
      <c r="L704">
        <f>FUR!CG284</f>
        <v>0</v>
      </c>
      <c r="M704">
        <f>FUR!CH284</f>
        <v>0</v>
      </c>
      <c r="N704">
        <f>FUR!CI284</f>
        <v>0</v>
      </c>
      <c r="O704">
        <f>FUR!CJ284</f>
        <v>0</v>
      </c>
      <c r="P704" s="143" t="str">
        <f>FUR!CK284</f>
        <v/>
      </c>
      <c r="R704">
        <f t="shared" si="10"/>
        <v>703</v>
      </c>
    </row>
    <row r="705" spans="5:18">
      <c r="E705" s="147" t="s">
        <v>31</v>
      </c>
      <c r="F705" t="str">
        <f>FUR!CA285</f>
        <v>HPS</v>
      </c>
      <c r="G705" t="str">
        <f>FUR!CB285</f>
        <v>AC</v>
      </c>
      <c r="H705" t="str">
        <f>FUR!CC285</f>
        <v>Vessel</v>
      </c>
      <c r="I705">
        <f>FUR!CD285</f>
        <v>0</v>
      </c>
      <c r="J705">
        <f>FUR!CE285</f>
        <v>0</v>
      </c>
      <c r="K705">
        <f>FUR!CF285</f>
        <v>0</v>
      </c>
      <c r="L705">
        <f>FUR!CG285</f>
        <v>0</v>
      </c>
      <c r="M705">
        <f>FUR!CH285</f>
        <v>0</v>
      </c>
      <c r="N705">
        <f>FUR!CI285</f>
        <v>0</v>
      </c>
      <c r="O705">
        <f>FUR!CJ285</f>
        <v>0</v>
      </c>
      <c r="P705" s="143" t="str">
        <f>FUR!CK285</f>
        <v/>
      </c>
      <c r="R705">
        <f t="shared" si="10"/>
        <v>704</v>
      </c>
    </row>
    <row r="706" spans="5:18">
      <c r="E706" s="147" t="s">
        <v>31</v>
      </c>
      <c r="F706" t="str">
        <f>FUR!CA286</f>
        <v>HPS</v>
      </c>
      <c r="G706" t="str">
        <f>FUR!CB286</f>
        <v>AC</v>
      </c>
      <c r="H706" t="str">
        <f>FUR!CC286</f>
        <v>Vessel</v>
      </c>
      <c r="I706">
        <f>FUR!CD286</f>
        <v>0</v>
      </c>
      <c r="J706">
        <f>FUR!CE286</f>
        <v>0</v>
      </c>
      <c r="K706">
        <f>FUR!CF286</f>
        <v>0</v>
      </c>
      <c r="L706">
        <f>FUR!CG286</f>
        <v>0</v>
      </c>
      <c r="M706">
        <f>FUR!CH286</f>
        <v>0</v>
      </c>
      <c r="N706">
        <f>FUR!CI286</f>
        <v>0</v>
      </c>
      <c r="O706">
        <f>FUR!CJ286</f>
        <v>0</v>
      </c>
      <c r="P706" s="143" t="str">
        <f>FUR!CK286</f>
        <v/>
      </c>
      <c r="R706">
        <f t="shared" si="10"/>
        <v>705</v>
      </c>
    </row>
    <row r="707" spans="5:18">
      <c r="E707" s="147" t="s">
        <v>31</v>
      </c>
      <c r="F707" t="str">
        <f>FUR!CA287</f>
        <v>HPS</v>
      </c>
      <c r="G707" t="str">
        <f>FUR!CB287</f>
        <v>AC</v>
      </c>
      <c r="H707" t="str">
        <f>FUR!CC287</f>
        <v>Vessel</v>
      </c>
      <c r="I707">
        <f>FUR!CD287</f>
        <v>0</v>
      </c>
      <c r="J707">
        <f>FUR!CE287</f>
        <v>0</v>
      </c>
      <c r="K707">
        <f>FUR!CF287</f>
        <v>0</v>
      </c>
      <c r="L707">
        <f>FUR!CG287</f>
        <v>0</v>
      </c>
      <c r="M707">
        <f>FUR!CH287</f>
        <v>0</v>
      </c>
      <c r="N707">
        <f>FUR!CI287</f>
        <v>0</v>
      </c>
      <c r="O707">
        <f>FUR!CJ287</f>
        <v>0</v>
      </c>
      <c r="P707" s="143" t="str">
        <f>FUR!CK287</f>
        <v/>
      </c>
      <c r="R707">
        <f t="shared" si="10"/>
        <v>706</v>
      </c>
    </row>
    <row r="708" spans="5:18">
      <c r="E708" s="147" t="s">
        <v>31</v>
      </c>
      <c r="F708" t="str">
        <f>FUR!CA288</f>
        <v>HPS</v>
      </c>
      <c r="G708" t="str">
        <f>FUR!CB288</f>
        <v>AC</v>
      </c>
      <c r="H708" t="str">
        <f>FUR!CC288</f>
        <v>Vessel</v>
      </c>
      <c r="I708">
        <f>FUR!CD288</f>
        <v>0</v>
      </c>
      <c r="J708">
        <f>FUR!CE288</f>
        <v>0</v>
      </c>
      <c r="K708">
        <f>FUR!CF288</f>
        <v>0</v>
      </c>
      <c r="L708">
        <f>FUR!CG288</f>
        <v>0</v>
      </c>
      <c r="M708">
        <f>FUR!CH288</f>
        <v>0</v>
      </c>
      <c r="N708">
        <f>FUR!CI288</f>
        <v>0</v>
      </c>
      <c r="O708">
        <f>FUR!CJ288</f>
        <v>0</v>
      </c>
      <c r="P708" s="143" t="str">
        <f>FUR!CK288</f>
        <v/>
      </c>
      <c r="R708">
        <f t="shared" ref="R708:R771" si="11">R707+1</f>
        <v>707</v>
      </c>
    </row>
    <row r="709" spans="5:18">
      <c r="E709" s="147" t="s">
        <v>31</v>
      </c>
      <c r="F709" t="str">
        <f>FUR!CA289</f>
        <v>HPS</v>
      </c>
      <c r="G709" t="str">
        <f>FUR!CB289</f>
        <v>AC</v>
      </c>
      <c r="H709" t="str">
        <f>FUR!CC289</f>
        <v>Vessel</v>
      </c>
      <c r="I709">
        <f>FUR!CD289</f>
        <v>0</v>
      </c>
      <c r="J709">
        <f>FUR!CE289</f>
        <v>0</v>
      </c>
      <c r="K709">
        <f>FUR!CF289</f>
        <v>0</v>
      </c>
      <c r="L709">
        <f>FUR!CG289</f>
        <v>0</v>
      </c>
      <c r="M709">
        <f>FUR!CH289</f>
        <v>0</v>
      </c>
      <c r="N709">
        <f>FUR!CI289</f>
        <v>0</v>
      </c>
      <c r="O709">
        <f>FUR!CJ289</f>
        <v>0</v>
      </c>
      <c r="P709" s="143" t="str">
        <f>FUR!CK289</f>
        <v/>
      </c>
      <c r="R709">
        <f t="shared" si="11"/>
        <v>708</v>
      </c>
    </row>
    <row r="710" spans="5:18">
      <c r="E710" s="147" t="s">
        <v>31</v>
      </c>
      <c r="F710" t="str">
        <f>FUR!CA290</f>
        <v>HPS</v>
      </c>
      <c r="G710" t="str">
        <f>FUR!CB290</f>
        <v>AC</v>
      </c>
      <c r="H710" t="str">
        <f>FUR!CC290</f>
        <v>Vessel</v>
      </c>
      <c r="I710">
        <f>FUR!CD290</f>
        <v>0</v>
      </c>
      <c r="J710">
        <f>FUR!CE290</f>
        <v>0</v>
      </c>
      <c r="K710">
        <f>FUR!CF290</f>
        <v>0</v>
      </c>
      <c r="L710">
        <f>FUR!CG290</f>
        <v>0</v>
      </c>
      <c r="M710">
        <f>FUR!CH290</f>
        <v>0</v>
      </c>
      <c r="N710">
        <f>FUR!CI290</f>
        <v>0</v>
      </c>
      <c r="O710">
        <f>FUR!CJ290</f>
        <v>0</v>
      </c>
      <c r="P710" s="143" t="str">
        <f>FUR!CK290</f>
        <v/>
      </c>
      <c r="R710">
        <f t="shared" si="11"/>
        <v>709</v>
      </c>
    </row>
    <row r="711" spans="5:18">
      <c r="E711" s="147" t="s">
        <v>31</v>
      </c>
      <c r="F711" t="str">
        <f>FUR!CA291</f>
        <v>HPS</v>
      </c>
      <c r="G711" t="str">
        <f>FUR!CB291</f>
        <v>AC</v>
      </c>
      <c r="H711" t="str">
        <f>FUR!CC291</f>
        <v>Vessel</v>
      </c>
      <c r="I711">
        <f>FUR!CD291</f>
        <v>0</v>
      </c>
      <c r="J711">
        <f>FUR!CE291</f>
        <v>0</v>
      </c>
      <c r="K711">
        <f>FUR!CF291</f>
        <v>0</v>
      </c>
      <c r="L711">
        <f>FUR!CG291</f>
        <v>0</v>
      </c>
      <c r="M711">
        <f>FUR!CH291</f>
        <v>0</v>
      </c>
      <c r="N711">
        <f>FUR!CI291</f>
        <v>0</v>
      </c>
      <c r="O711">
        <f>FUR!CJ291</f>
        <v>0</v>
      </c>
      <c r="P711" s="143" t="str">
        <f>FUR!CK291</f>
        <v/>
      </c>
      <c r="R711">
        <f t="shared" si="11"/>
        <v>710</v>
      </c>
    </row>
    <row r="712" spans="5:18">
      <c r="E712" s="147" t="s">
        <v>31</v>
      </c>
      <c r="F712" t="str">
        <f>FUR!CA292</f>
        <v>HPS</v>
      </c>
      <c r="G712" t="str">
        <f>FUR!CB292</f>
        <v>AC</v>
      </c>
      <c r="H712" t="str">
        <f>FUR!CC292</f>
        <v>Vessel</v>
      </c>
      <c r="I712">
        <f>FUR!CD292</f>
        <v>0</v>
      </c>
      <c r="J712">
        <f>FUR!CE292</f>
        <v>0</v>
      </c>
      <c r="K712">
        <f>FUR!CF292</f>
        <v>0</v>
      </c>
      <c r="L712">
        <f>FUR!CG292</f>
        <v>0</v>
      </c>
      <c r="M712">
        <f>FUR!CH292</f>
        <v>0</v>
      </c>
      <c r="N712">
        <f>FUR!CI292</f>
        <v>0</v>
      </c>
      <c r="O712">
        <f>FUR!CJ292</f>
        <v>0</v>
      </c>
      <c r="P712" s="143" t="str">
        <f>FUR!CK292</f>
        <v/>
      </c>
      <c r="R712">
        <f t="shared" si="11"/>
        <v>711</v>
      </c>
    </row>
    <row r="713" spans="5:18">
      <c r="E713" s="147" t="s">
        <v>31</v>
      </c>
      <c r="F713" t="str">
        <f>FUR!CA293</f>
        <v>HPS</v>
      </c>
      <c r="G713" t="str">
        <f>FUR!CB293</f>
        <v>AC</v>
      </c>
      <c r="H713" t="str">
        <f>FUR!CC293</f>
        <v>Vessel</v>
      </c>
      <c r="I713">
        <f>FUR!CD293</f>
        <v>0</v>
      </c>
      <c r="J713">
        <f>FUR!CE293</f>
        <v>0</v>
      </c>
      <c r="K713">
        <f>FUR!CF293</f>
        <v>0</v>
      </c>
      <c r="L713">
        <f>FUR!CG293</f>
        <v>0</v>
      </c>
      <c r="M713">
        <f>FUR!CH293</f>
        <v>0</v>
      </c>
      <c r="N713">
        <f>FUR!CI293</f>
        <v>0</v>
      </c>
      <c r="O713">
        <f>FUR!CJ293</f>
        <v>0</v>
      </c>
      <c r="P713" s="143" t="str">
        <f>FUR!CK293</f>
        <v/>
      </c>
      <c r="R713">
        <f t="shared" si="11"/>
        <v>712</v>
      </c>
    </row>
    <row r="714" spans="5:18">
      <c r="E714" s="147" t="s">
        <v>31</v>
      </c>
      <c r="F714" t="str">
        <f>FUR!CA294</f>
        <v>HPS</v>
      </c>
      <c r="G714" t="str">
        <f>FUR!CB294</f>
        <v>AC</v>
      </c>
      <c r="H714" t="str">
        <f>FUR!CC294</f>
        <v>Vessel</v>
      </c>
      <c r="I714">
        <f>FUR!CD294</f>
        <v>0</v>
      </c>
      <c r="J714">
        <f>FUR!CE294</f>
        <v>0</v>
      </c>
      <c r="K714">
        <f>FUR!CF294</f>
        <v>0</v>
      </c>
      <c r="L714">
        <f>FUR!CG294</f>
        <v>0</v>
      </c>
      <c r="M714">
        <f>FUR!CH294</f>
        <v>0</v>
      </c>
      <c r="N714">
        <f>FUR!CI294</f>
        <v>0</v>
      </c>
      <c r="O714">
        <f>FUR!CJ294</f>
        <v>0</v>
      </c>
      <c r="P714" s="143" t="str">
        <f>FUR!CK294</f>
        <v/>
      </c>
      <c r="R714">
        <f t="shared" si="11"/>
        <v>713</v>
      </c>
    </row>
    <row r="715" spans="5:18">
      <c r="E715" s="147" t="s">
        <v>31</v>
      </c>
      <c r="F715" t="str">
        <f>FUR!CA295</f>
        <v>HPS</v>
      </c>
      <c r="G715" t="str">
        <f>FUR!CB295</f>
        <v>AC</v>
      </c>
      <c r="H715" t="str">
        <f>FUR!CC295</f>
        <v>Vessel</v>
      </c>
      <c r="I715">
        <f>FUR!CD295</f>
        <v>0</v>
      </c>
      <c r="J715">
        <f>FUR!CE295</f>
        <v>0</v>
      </c>
      <c r="K715">
        <f>FUR!CF295</f>
        <v>0</v>
      </c>
      <c r="L715">
        <f>FUR!CG295</f>
        <v>0</v>
      </c>
      <c r="M715">
        <f>FUR!CH295</f>
        <v>0</v>
      </c>
      <c r="N715">
        <f>FUR!CI295</f>
        <v>0</v>
      </c>
      <c r="O715">
        <f>FUR!CJ295</f>
        <v>0</v>
      </c>
      <c r="P715" s="143" t="str">
        <f>FUR!CK295</f>
        <v/>
      </c>
      <c r="R715">
        <f t="shared" si="11"/>
        <v>714</v>
      </c>
    </row>
    <row r="716" spans="5:18">
      <c r="E716" s="147" t="s">
        <v>31</v>
      </c>
      <c r="F716" t="str">
        <f>FUR!CA296</f>
        <v>HPS</v>
      </c>
      <c r="G716" t="str">
        <f>FUR!CB296</f>
        <v>AC</v>
      </c>
      <c r="H716" t="str">
        <f>FUR!CC296</f>
        <v>Vessel</v>
      </c>
      <c r="I716">
        <f>FUR!CD296</f>
        <v>0</v>
      </c>
      <c r="J716">
        <f>FUR!CE296</f>
        <v>0</v>
      </c>
      <c r="K716">
        <f>FUR!CF296</f>
        <v>0</v>
      </c>
      <c r="L716">
        <f>FUR!CG296</f>
        <v>0</v>
      </c>
      <c r="M716">
        <f>FUR!CH296</f>
        <v>0</v>
      </c>
      <c r="N716">
        <f>FUR!CI296</f>
        <v>0</v>
      </c>
      <c r="O716">
        <f>FUR!CJ296</f>
        <v>0</v>
      </c>
      <c r="P716" s="143" t="str">
        <f>FUR!CK296</f>
        <v/>
      </c>
      <c r="R716">
        <f t="shared" si="11"/>
        <v>715</v>
      </c>
    </row>
    <row r="717" spans="5:18">
      <c r="E717" s="147" t="s">
        <v>31</v>
      </c>
      <c r="F717" t="str">
        <f>FUR!CA297</f>
        <v>HPS</v>
      </c>
      <c r="G717" t="str">
        <f>FUR!CB297</f>
        <v>AC</v>
      </c>
      <c r="H717" t="str">
        <f>FUR!CC297</f>
        <v>Vessel</v>
      </c>
      <c r="I717">
        <f>FUR!CD297</f>
        <v>0</v>
      </c>
      <c r="J717">
        <f>FUR!CE297</f>
        <v>0</v>
      </c>
      <c r="K717">
        <f>FUR!CF297</f>
        <v>0</v>
      </c>
      <c r="L717">
        <f>FUR!CG297</f>
        <v>0</v>
      </c>
      <c r="M717">
        <f>FUR!CH297</f>
        <v>0</v>
      </c>
      <c r="N717">
        <f>FUR!CI297</f>
        <v>0</v>
      </c>
      <c r="O717">
        <f>FUR!CJ297</f>
        <v>0</v>
      </c>
      <c r="P717" s="143" t="str">
        <f>FUR!CK297</f>
        <v/>
      </c>
      <c r="R717">
        <f t="shared" si="11"/>
        <v>716</v>
      </c>
    </row>
    <row r="718" spans="5:18">
      <c r="E718" s="147" t="s">
        <v>31</v>
      </c>
      <c r="F718" t="str">
        <f>FUR!CA298</f>
        <v>HPS</v>
      </c>
      <c r="G718" t="str">
        <f>FUR!CB298</f>
        <v>AC</v>
      </c>
      <c r="H718" t="str">
        <f>FUR!CC298</f>
        <v>Vessel</v>
      </c>
      <c r="I718">
        <f>FUR!CD298</f>
        <v>0</v>
      </c>
      <c r="J718">
        <f>FUR!CE298</f>
        <v>0</v>
      </c>
      <c r="K718">
        <f>FUR!CF298</f>
        <v>0</v>
      </c>
      <c r="L718">
        <f>FUR!CG298</f>
        <v>0</v>
      </c>
      <c r="M718">
        <f>FUR!CH298</f>
        <v>0</v>
      </c>
      <c r="N718">
        <f>FUR!CI298</f>
        <v>0</v>
      </c>
      <c r="O718">
        <f>FUR!CJ298</f>
        <v>0</v>
      </c>
      <c r="P718" s="143" t="str">
        <f>FUR!CK298</f>
        <v/>
      </c>
      <c r="R718">
        <f t="shared" si="11"/>
        <v>717</v>
      </c>
    </row>
    <row r="719" spans="5:18">
      <c r="E719" s="147" t="s">
        <v>31</v>
      </c>
      <c r="F719" t="str">
        <f>FUR!CA299</f>
        <v>HPS</v>
      </c>
      <c r="G719" t="str">
        <f>FUR!CB299</f>
        <v>AC</v>
      </c>
      <c r="H719" t="str">
        <f>FUR!CC299</f>
        <v>Vessel</v>
      </c>
      <c r="I719">
        <f>FUR!CD299</f>
        <v>0</v>
      </c>
      <c r="J719">
        <f>FUR!CE299</f>
        <v>0</v>
      </c>
      <c r="K719">
        <f>FUR!CF299</f>
        <v>0</v>
      </c>
      <c r="L719">
        <f>FUR!CG299</f>
        <v>0</v>
      </c>
      <c r="M719">
        <f>FUR!CH299</f>
        <v>0</v>
      </c>
      <c r="N719">
        <f>FUR!CI299</f>
        <v>0</v>
      </c>
      <c r="O719">
        <f>FUR!CJ299</f>
        <v>0</v>
      </c>
      <c r="P719" s="143" t="str">
        <f>FUR!CK299</f>
        <v/>
      </c>
      <c r="R719">
        <f t="shared" si="11"/>
        <v>718</v>
      </c>
    </row>
    <row r="720" spans="5:18">
      <c r="E720" s="147" t="s">
        <v>31</v>
      </c>
      <c r="F720" t="str">
        <f>FUR!CA300</f>
        <v>HPS</v>
      </c>
      <c r="G720" t="str">
        <f>FUR!CB300</f>
        <v>AC</v>
      </c>
      <c r="H720" t="str">
        <f>FUR!CC300</f>
        <v>Vessel</v>
      </c>
      <c r="I720">
        <f>FUR!CD300</f>
        <v>0</v>
      </c>
      <c r="J720">
        <f>FUR!CE300</f>
        <v>0</v>
      </c>
      <c r="K720">
        <f>FUR!CF300</f>
        <v>0</v>
      </c>
      <c r="L720">
        <f>FUR!CG300</f>
        <v>0</v>
      </c>
      <c r="M720">
        <f>FUR!CH300</f>
        <v>0</v>
      </c>
      <c r="N720">
        <f>FUR!CI300</f>
        <v>0</v>
      </c>
      <c r="O720">
        <f>FUR!CJ300</f>
        <v>0</v>
      </c>
      <c r="P720" s="143" t="str">
        <f>FUR!CK300</f>
        <v/>
      </c>
      <c r="R720">
        <f t="shared" si="11"/>
        <v>719</v>
      </c>
    </row>
    <row r="721" spans="5:18">
      <c r="E721" s="147" t="s">
        <v>31</v>
      </c>
      <c r="F721" t="str">
        <f>FUR!CA301</f>
        <v>HPS</v>
      </c>
      <c r="G721" t="str">
        <f>FUR!CB301</f>
        <v>AC</v>
      </c>
      <c r="H721" t="str">
        <f>FUR!CC301</f>
        <v>Vessel</v>
      </c>
      <c r="I721">
        <f>FUR!CD301</f>
        <v>0</v>
      </c>
      <c r="J721">
        <f>FUR!CE301</f>
        <v>0</v>
      </c>
      <c r="K721">
        <f>FUR!CF301</f>
        <v>0</v>
      </c>
      <c r="L721">
        <f>FUR!CG301</f>
        <v>0</v>
      </c>
      <c r="M721">
        <f>FUR!CH301</f>
        <v>0</v>
      </c>
      <c r="N721">
        <f>FUR!CI301</f>
        <v>0</v>
      </c>
      <c r="O721">
        <f>FUR!CJ301</f>
        <v>0</v>
      </c>
      <c r="P721" s="143" t="str">
        <f>FUR!CK301</f>
        <v/>
      </c>
      <c r="R721">
        <f t="shared" si="11"/>
        <v>720</v>
      </c>
    </row>
    <row r="722" spans="5:18">
      <c r="E722" s="147" t="s">
        <v>31</v>
      </c>
      <c r="F722" t="str">
        <f>FUR!CA302</f>
        <v>HPS</v>
      </c>
      <c r="G722" t="str">
        <f>FUR!CB302</f>
        <v>AC</v>
      </c>
      <c r="H722" t="str">
        <f>FUR!CC302</f>
        <v>Vessel</v>
      </c>
      <c r="I722">
        <f>FUR!CD302</f>
        <v>0</v>
      </c>
      <c r="J722">
        <f>FUR!CE302</f>
        <v>0</v>
      </c>
      <c r="K722">
        <f>FUR!CF302</f>
        <v>0</v>
      </c>
      <c r="L722">
        <f>FUR!CG302</f>
        <v>0</v>
      </c>
      <c r="M722">
        <f>FUR!CH302</f>
        <v>0</v>
      </c>
      <c r="N722">
        <f>FUR!CI302</f>
        <v>0</v>
      </c>
      <c r="O722">
        <f>FUR!CJ302</f>
        <v>0</v>
      </c>
      <c r="P722" s="143" t="str">
        <f>FUR!CK302</f>
        <v/>
      </c>
      <c r="R722">
        <f t="shared" si="11"/>
        <v>721</v>
      </c>
    </row>
    <row r="723" spans="5:18">
      <c r="E723" s="147" t="s">
        <v>31</v>
      </c>
      <c r="F723" t="str">
        <f>FUR!CA303</f>
        <v>HPS</v>
      </c>
      <c r="G723" t="str">
        <f>FUR!CB303</f>
        <v>AC</v>
      </c>
      <c r="H723" t="str">
        <f>FUR!CC303</f>
        <v>Vessel</v>
      </c>
      <c r="I723">
        <f>FUR!CD303</f>
        <v>0</v>
      </c>
      <c r="J723">
        <f>FUR!CE303</f>
        <v>0</v>
      </c>
      <c r="K723">
        <f>FUR!CF303</f>
        <v>0</v>
      </c>
      <c r="L723">
        <f>FUR!CG303</f>
        <v>0</v>
      </c>
      <c r="M723">
        <f>FUR!CH303</f>
        <v>0</v>
      </c>
      <c r="N723">
        <f>FUR!CI303</f>
        <v>0</v>
      </c>
      <c r="O723">
        <f>FUR!CJ303</f>
        <v>0</v>
      </c>
      <c r="P723" s="143" t="str">
        <f>FUR!CK303</f>
        <v/>
      </c>
      <c r="R723">
        <f t="shared" si="11"/>
        <v>722</v>
      </c>
    </row>
    <row r="724" spans="5:18">
      <c r="E724" s="147" t="s">
        <v>31</v>
      </c>
      <c r="F724" t="str">
        <f>FUR!CA304</f>
        <v>HPS</v>
      </c>
      <c r="G724" t="str">
        <f>FUR!CB304</f>
        <v>AC</v>
      </c>
      <c r="H724" t="str">
        <f>FUR!CC304</f>
        <v>Vessel</v>
      </c>
      <c r="I724">
        <f>FUR!CD304</f>
        <v>0</v>
      </c>
      <c r="J724">
        <f>FUR!CE304</f>
        <v>0</v>
      </c>
      <c r="K724">
        <f>FUR!CF304</f>
        <v>0</v>
      </c>
      <c r="L724">
        <f>FUR!CG304</f>
        <v>0</v>
      </c>
      <c r="M724">
        <f>FUR!CH304</f>
        <v>0</v>
      </c>
      <c r="N724">
        <f>FUR!CI304</f>
        <v>0</v>
      </c>
      <c r="O724">
        <f>FUR!CJ304</f>
        <v>0</v>
      </c>
      <c r="P724" s="143" t="str">
        <f>FUR!CK304</f>
        <v/>
      </c>
      <c r="R724">
        <f t="shared" si="11"/>
        <v>723</v>
      </c>
    </row>
    <row r="725" spans="5:18">
      <c r="E725" s="147" t="s">
        <v>31</v>
      </c>
      <c r="F725" t="str">
        <f>FUR!CA305</f>
        <v>HPS</v>
      </c>
      <c r="G725" t="str">
        <f>FUR!CB305</f>
        <v>AC</v>
      </c>
      <c r="H725" t="str">
        <f>FUR!CC305</f>
        <v>Vessel</v>
      </c>
      <c r="I725">
        <f>FUR!CD305</f>
        <v>0</v>
      </c>
      <c r="J725">
        <f>FUR!CE305</f>
        <v>0</v>
      </c>
      <c r="K725">
        <f>FUR!CF305</f>
        <v>0</v>
      </c>
      <c r="L725">
        <f>FUR!CG305</f>
        <v>0</v>
      </c>
      <c r="M725">
        <f>FUR!CH305</f>
        <v>0</v>
      </c>
      <c r="N725">
        <f>FUR!CI305</f>
        <v>0</v>
      </c>
      <c r="O725">
        <f>FUR!CJ305</f>
        <v>0</v>
      </c>
      <c r="P725" s="143" t="str">
        <f>FUR!CK305</f>
        <v/>
      </c>
      <c r="R725">
        <f t="shared" si="11"/>
        <v>724</v>
      </c>
    </row>
    <row r="726" spans="5:18">
      <c r="E726" s="147" t="s">
        <v>31</v>
      </c>
      <c r="F726" t="str">
        <f>FUR!CA306</f>
        <v>HPS</v>
      </c>
      <c r="G726" t="str">
        <f>FUR!CB306</f>
        <v>AC</v>
      </c>
      <c r="H726" t="str">
        <f>FUR!CC306</f>
        <v>Vessel</v>
      </c>
      <c r="I726">
        <f>FUR!CD306</f>
        <v>0</v>
      </c>
      <c r="J726">
        <f>FUR!CE306</f>
        <v>0</v>
      </c>
      <c r="K726">
        <f>FUR!CF306</f>
        <v>0</v>
      </c>
      <c r="L726">
        <f>FUR!CG306</f>
        <v>0</v>
      </c>
      <c r="M726">
        <f>FUR!CH306</f>
        <v>0</v>
      </c>
      <c r="N726">
        <f>FUR!CI306</f>
        <v>0</v>
      </c>
      <c r="O726">
        <f>FUR!CJ306</f>
        <v>0</v>
      </c>
      <c r="P726" s="143" t="str">
        <f>FUR!CK306</f>
        <v/>
      </c>
      <c r="R726">
        <f t="shared" si="11"/>
        <v>725</v>
      </c>
    </row>
    <row r="727" spans="5:18">
      <c r="E727" s="147" t="s">
        <v>31</v>
      </c>
      <c r="F727" t="str">
        <f>FUR!CA307</f>
        <v>HPS</v>
      </c>
      <c r="G727" t="str">
        <f>FUR!CB307</f>
        <v>AC</v>
      </c>
      <c r="H727" t="str">
        <f>FUR!CC307</f>
        <v>Vessel</v>
      </c>
      <c r="I727">
        <f>FUR!CD307</f>
        <v>0</v>
      </c>
      <c r="J727">
        <f>FUR!CE307</f>
        <v>0</v>
      </c>
      <c r="K727">
        <f>FUR!CF307</f>
        <v>0</v>
      </c>
      <c r="L727">
        <f>FUR!CG307</f>
        <v>0</v>
      </c>
      <c r="M727">
        <f>FUR!CH307</f>
        <v>0</v>
      </c>
      <c r="N727">
        <f>FUR!CI307</f>
        <v>0</v>
      </c>
      <c r="O727">
        <f>FUR!CJ307</f>
        <v>0</v>
      </c>
      <c r="P727" s="143" t="str">
        <f>FUR!CK307</f>
        <v/>
      </c>
      <c r="R727">
        <f t="shared" si="11"/>
        <v>726</v>
      </c>
    </row>
    <row r="728" spans="5:18">
      <c r="E728" s="147" t="s">
        <v>31</v>
      </c>
      <c r="F728" t="str">
        <f>FUR!CA308</f>
        <v>HPS</v>
      </c>
      <c r="G728" t="str">
        <f>FUR!CB308</f>
        <v>AC</v>
      </c>
      <c r="H728" t="str">
        <f>FUR!CC308</f>
        <v>Vessel</v>
      </c>
      <c r="I728">
        <f>FUR!CD308</f>
        <v>0</v>
      </c>
      <c r="J728">
        <f>FUR!CE308</f>
        <v>0</v>
      </c>
      <c r="K728">
        <f>FUR!CF308</f>
        <v>0</v>
      </c>
      <c r="L728">
        <f>FUR!CG308</f>
        <v>0</v>
      </c>
      <c r="M728">
        <f>FUR!CH308</f>
        <v>0</v>
      </c>
      <c r="N728">
        <f>FUR!CI308</f>
        <v>0</v>
      </c>
      <c r="O728">
        <f>FUR!CJ308</f>
        <v>0</v>
      </c>
      <c r="P728" s="143" t="str">
        <f>FUR!CK308</f>
        <v/>
      </c>
      <c r="R728">
        <f t="shared" si="11"/>
        <v>727</v>
      </c>
    </row>
    <row r="729" spans="5:18">
      <c r="E729" s="147" t="s">
        <v>31</v>
      </c>
      <c r="F729" t="str">
        <f>FUR!CA309</f>
        <v>HPS</v>
      </c>
      <c r="G729" t="str">
        <f>FUR!CB309</f>
        <v>AC</v>
      </c>
      <c r="H729" t="str">
        <f>FUR!CC309</f>
        <v>Vessel</v>
      </c>
      <c r="I729">
        <f>FUR!CD309</f>
        <v>0</v>
      </c>
      <c r="J729">
        <f>FUR!CE309</f>
        <v>0</v>
      </c>
      <c r="K729">
        <f>FUR!CF309</f>
        <v>0</v>
      </c>
      <c r="L729">
        <f>FUR!CG309</f>
        <v>0</v>
      </c>
      <c r="M729">
        <f>FUR!CH309</f>
        <v>0</v>
      </c>
      <c r="N729">
        <f>FUR!CI309</f>
        <v>0</v>
      </c>
      <c r="O729">
        <f>FUR!CJ309</f>
        <v>0</v>
      </c>
      <c r="P729" s="143" t="str">
        <f>FUR!CK309</f>
        <v/>
      </c>
      <c r="R729">
        <f t="shared" si="11"/>
        <v>728</v>
      </c>
    </row>
    <row r="730" spans="5:18">
      <c r="E730" s="147" t="s">
        <v>31</v>
      </c>
      <c r="F730" t="str">
        <f>FUR!CA310</f>
        <v>HPS</v>
      </c>
      <c r="G730" t="str">
        <f>FUR!CB310</f>
        <v>AC</v>
      </c>
      <c r="H730" t="str">
        <f>FUR!CC310</f>
        <v>Vessel</v>
      </c>
      <c r="I730">
        <f>FUR!CD310</f>
        <v>0</v>
      </c>
      <c r="J730">
        <f>FUR!CE310</f>
        <v>0</v>
      </c>
      <c r="K730">
        <f>FUR!CF310</f>
        <v>0</v>
      </c>
      <c r="L730">
        <f>FUR!CG310</f>
        <v>0</v>
      </c>
      <c r="M730">
        <f>FUR!CH310</f>
        <v>0</v>
      </c>
      <c r="N730">
        <f>FUR!CI310</f>
        <v>0</v>
      </c>
      <c r="O730">
        <f>FUR!CJ310</f>
        <v>0</v>
      </c>
      <c r="P730" s="143" t="str">
        <f>FUR!CK310</f>
        <v/>
      </c>
      <c r="R730">
        <f t="shared" si="11"/>
        <v>729</v>
      </c>
    </row>
    <row r="731" spans="5:18">
      <c r="E731" s="147" t="s">
        <v>31</v>
      </c>
      <c r="F731" t="str">
        <f>FUR!CA311</f>
        <v>HPS</v>
      </c>
      <c r="G731" t="str">
        <f>FUR!CB311</f>
        <v>AC</v>
      </c>
      <c r="H731" t="str">
        <f>FUR!CC311</f>
        <v>Vessel</v>
      </c>
      <c r="I731">
        <f>FUR!CD311</f>
        <v>0</v>
      </c>
      <c r="J731">
        <f>FUR!CE311</f>
        <v>0</v>
      </c>
      <c r="K731">
        <f>FUR!CF311</f>
        <v>0</v>
      </c>
      <c r="L731">
        <f>FUR!CG311</f>
        <v>0</v>
      </c>
      <c r="M731">
        <f>FUR!CH311</f>
        <v>0</v>
      </c>
      <c r="N731">
        <f>FUR!CI311</f>
        <v>0</v>
      </c>
      <c r="O731">
        <f>FUR!CJ311</f>
        <v>0</v>
      </c>
      <c r="P731" s="143" t="str">
        <f>FUR!CK311</f>
        <v/>
      </c>
      <c r="R731">
        <f t="shared" si="11"/>
        <v>730</v>
      </c>
    </row>
    <row r="732" spans="5:18">
      <c r="E732" s="147" t="s">
        <v>31</v>
      </c>
      <c r="F732" t="str">
        <f>FUR!CA312</f>
        <v>HPS</v>
      </c>
      <c r="G732" t="str">
        <f>FUR!CB312</f>
        <v>AC</v>
      </c>
      <c r="H732" t="str">
        <f>FUR!CC312</f>
        <v>Vessel</v>
      </c>
      <c r="I732">
        <f>FUR!CD312</f>
        <v>0</v>
      </c>
      <c r="J732">
        <f>FUR!CE312</f>
        <v>0</v>
      </c>
      <c r="K732">
        <f>FUR!CF312</f>
        <v>0</v>
      </c>
      <c r="L732">
        <f>FUR!CG312</f>
        <v>0</v>
      </c>
      <c r="M732">
        <f>FUR!CH312</f>
        <v>0</v>
      </c>
      <c r="N732">
        <f>FUR!CI312</f>
        <v>0</v>
      </c>
      <c r="O732">
        <f>FUR!CJ312</f>
        <v>0</v>
      </c>
      <c r="P732" s="143" t="str">
        <f>FUR!CK312</f>
        <v/>
      </c>
      <c r="R732">
        <f t="shared" si="11"/>
        <v>731</v>
      </c>
    </row>
    <row r="733" spans="5:18">
      <c r="E733" s="147" t="s">
        <v>31</v>
      </c>
      <c r="F733" t="str">
        <f>FUR!CA313</f>
        <v>HPS</v>
      </c>
      <c r="G733" t="str">
        <f>FUR!CB313</f>
        <v>AC</v>
      </c>
      <c r="H733" t="str">
        <f>FUR!CC313</f>
        <v>Vessel</v>
      </c>
      <c r="I733">
        <f>FUR!CD313</f>
        <v>0</v>
      </c>
      <c r="J733">
        <f>FUR!CE313</f>
        <v>0</v>
      </c>
      <c r="K733">
        <f>FUR!CF313</f>
        <v>0</v>
      </c>
      <c r="L733">
        <f>FUR!CG313</f>
        <v>0</v>
      </c>
      <c r="M733">
        <f>FUR!CH313</f>
        <v>0</v>
      </c>
      <c r="N733">
        <f>FUR!CI313</f>
        <v>0</v>
      </c>
      <c r="O733">
        <f>FUR!CJ313</f>
        <v>0</v>
      </c>
      <c r="P733" s="143" t="str">
        <f>FUR!CK313</f>
        <v/>
      </c>
      <c r="R733">
        <f t="shared" si="11"/>
        <v>732</v>
      </c>
    </row>
    <row r="734" spans="5:18">
      <c r="E734" s="147" t="s">
        <v>31</v>
      </c>
      <c r="F734" t="str">
        <f>FUR!CA314</f>
        <v>HPS</v>
      </c>
      <c r="G734" t="str">
        <f>FUR!CB314</f>
        <v>AC</v>
      </c>
      <c r="H734" t="str">
        <f>FUR!CC314</f>
        <v>Vessel</v>
      </c>
      <c r="I734">
        <f>FUR!CD314</f>
        <v>0</v>
      </c>
      <c r="J734">
        <f>FUR!CE314</f>
        <v>0</v>
      </c>
      <c r="K734">
        <f>FUR!CF314</f>
        <v>0</v>
      </c>
      <c r="L734">
        <f>FUR!CG314</f>
        <v>0</v>
      </c>
      <c r="M734">
        <f>FUR!CH314</f>
        <v>0</v>
      </c>
      <c r="N734">
        <f>FUR!CI314</f>
        <v>0</v>
      </c>
      <c r="O734">
        <f>FUR!CJ314</f>
        <v>0</v>
      </c>
      <c r="P734" s="143" t="str">
        <f>FUR!CK314</f>
        <v/>
      </c>
      <c r="R734">
        <f t="shared" si="11"/>
        <v>733</v>
      </c>
    </row>
    <row r="735" spans="5:18">
      <c r="E735" s="147" t="s">
        <v>31</v>
      </c>
      <c r="F735" t="str">
        <f>FUR!CA315</f>
        <v>HPS</v>
      </c>
      <c r="G735" t="str">
        <f>FUR!CB315</f>
        <v>AC</v>
      </c>
      <c r="H735" t="str">
        <f>FUR!CC315</f>
        <v>Vessel</v>
      </c>
      <c r="I735">
        <f>FUR!CD315</f>
        <v>0</v>
      </c>
      <c r="J735">
        <f>FUR!CE315</f>
        <v>0</v>
      </c>
      <c r="K735">
        <f>FUR!CF315</f>
        <v>0</v>
      </c>
      <c r="L735">
        <f>FUR!CG315</f>
        <v>0</v>
      </c>
      <c r="M735">
        <f>FUR!CH315</f>
        <v>0</v>
      </c>
      <c r="N735">
        <f>FUR!CI315</f>
        <v>0</v>
      </c>
      <c r="O735">
        <f>FUR!CJ315</f>
        <v>0</v>
      </c>
      <c r="P735" s="143" t="str">
        <f>FUR!CK315</f>
        <v/>
      </c>
      <c r="R735">
        <f t="shared" si="11"/>
        <v>734</v>
      </c>
    </row>
    <row r="736" spans="5:18">
      <c r="E736" s="147" t="s">
        <v>31</v>
      </c>
      <c r="F736" t="str">
        <f>FUR!CA316</f>
        <v>HPS</v>
      </c>
      <c r="G736" t="str">
        <f>FUR!CB316</f>
        <v>AC</v>
      </c>
      <c r="H736" t="str">
        <f>FUR!CC316</f>
        <v>Vessel</v>
      </c>
      <c r="I736">
        <f>FUR!CD316</f>
        <v>0</v>
      </c>
      <c r="J736">
        <f>FUR!CE316</f>
        <v>0</v>
      </c>
      <c r="K736">
        <f>FUR!CF316</f>
        <v>0</v>
      </c>
      <c r="L736">
        <f>FUR!CG316</f>
        <v>0</v>
      </c>
      <c r="M736">
        <f>FUR!CH316</f>
        <v>0</v>
      </c>
      <c r="N736">
        <f>FUR!CI316</f>
        <v>0</v>
      </c>
      <c r="O736">
        <f>FUR!CJ316</f>
        <v>0</v>
      </c>
      <c r="P736" s="143" t="str">
        <f>FUR!CK316</f>
        <v/>
      </c>
      <c r="R736">
        <f t="shared" si="11"/>
        <v>735</v>
      </c>
    </row>
    <row r="737" spans="5:18">
      <c r="E737" s="147" t="s">
        <v>31</v>
      </c>
      <c r="F737" t="str">
        <f>FUR!CA317</f>
        <v>HPS</v>
      </c>
      <c r="G737" t="str">
        <f>FUR!CB317</f>
        <v>AC</v>
      </c>
      <c r="H737" t="str">
        <f>FUR!CC317</f>
        <v>Vessel</v>
      </c>
      <c r="I737">
        <f>FUR!CD317</f>
        <v>0</v>
      </c>
      <c r="J737">
        <f>FUR!CE317</f>
        <v>0</v>
      </c>
      <c r="K737">
        <f>FUR!CF317</f>
        <v>0</v>
      </c>
      <c r="L737">
        <f>FUR!CG317</f>
        <v>0</v>
      </c>
      <c r="M737">
        <f>FUR!CH317</f>
        <v>0</v>
      </c>
      <c r="N737">
        <f>FUR!CI317</f>
        <v>0</v>
      </c>
      <c r="O737">
        <f>FUR!CJ317</f>
        <v>0</v>
      </c>
      <c r="P737" s="143" t="str">
        <f>FUR!CK317</f>
        <v/>
      </c>
      <c r="R737">
        <f t="shared" si="11"/>
        <v>736</v>
      </c>
    </row>
    <row r="738" spans="5:18">
      <c r="E738" s="147" t="s">
        <v>31</v>
      </c>
      <c r="F738" t="str">
        <f>FUR!CA318</f>
        <v>HPS</v>
      </c>
      <c r="G738" t="str">
        <f>FUR!CB318</f>
        <v>AC</v>
      </c>
      <c r="H738" t="str">
        <f>FUR!CC318</f>
        <v>Vessel</v>
      </c>
      <c r="I738">
        <f>FUR!CD318</f>
        <v>0</v>
      </c>
      <c r="J738">
        <f>FUR!CE318</f>
        <v>0</v>
      </c>
      <c r="K738">
        <f>FUR!CF318</f>
        <v>0</v>
      </c>
      <c r="L738">
        <f>FUR!CG318</f>
        <v>0</v>
      </c>
      <c r="M738">
        <f>FUR!CH318</f>
        <v>0</v>
      </c>
      <c r="N738">
        <f>FUR!CI318</f>
        <v>0</v>
      </c>
      <c r="O738">
        <f>FUR!CJ318</f>
        <v>0</v>
      </c>
      <c r="P738" s="143" t="str">
        <f>FUR!CK318</f>
        <v/>
      </c>
      <c r="R738">
        <f t="shared" si="11"/>
        <v>737</v>
      </c>
    </row>
    <row r="739" spans="5:18">
      <c r="E739" s="147" t="s">
        <v>31</v>
      </c>
      <c r="F739" t="str">
        <f>FUR!CA319</f>
        <v>HPS</v>
      </c>
      <c r="G739" t="str">
        <f>FUR!CB319</f>
        <v>AC</v>
      </c>
      <c r="H739" t="str">
        <f>FUR!CC319</f>
        <v>Vessel</v>
      </c>
      <c r="I739">
        <f>FUR!CD319</f>
        <v>0</v>
      </c>
      <c r="J739">
        <f>FUR!CE319</f>
        <v>0</v>
      </c>
      <c r="K739">
        <f>FUR!CF319</f>
        <v>0</v>
      </c>
      <c r="L739">
        <f>FUR!CG319</f>
        <v>0</v>
      </c>
      <c r="M739">
        <f>FUR!CH319</f>
        <v>0</v>
      </c>
      <c r="N739">
        <f>FUR!CI319</f>
        <v>0</v>
      </c>
      <c r="O739">
        <f>FUR!CJ319</f>
        <v>0</v>
      </c>
      <c r="P739" s="143" t="str">
        <f>FUR!CK319</f>
        <v/>
      </c>
      <c r="R739">
        <f t="shared" si="11"/>
        <v>738</v>
      </c>
    </row>
    <row r="740" spans="5:18">
      <c r="E740" s="147" t="s">
        <v>31</v>
      </c>
      <c r="F740" t="str">
        <f>FUR!CA320</f>
        <v>HPS</v>
      </c>
      <c r="G740" t="str">
        <f>FUR!CB320</f>
        <v>AC</v>
      </c>
      <c r="H740" t="str">
        <f>FUR!CC320</f>
        <v>Vessel</v>
      </c>
      <c r="I740">
        <f>FUR!CD320</f>
        <v>0</v>
      </c>
      <c r="J740">
        <f>FUR!CE320</f>
        <v>0</v>
      </c>
      <c r="K740">
        <f>FUR!CF320</f>
        <v>0</v>
      </c>
      <c r="L740">
        <f>FUR!CG320</f>
        <v>0</v>
      </c>
      <c r="M740">
        <f>FUR!CH320</f>
        <v>0</v>
      </c>
      <c r="N740">
        <f>FUR!CI320</f>
        <v>0</v>
      </c>
      <c r="O740">
        <f>FUR!CJ320</f>
        <v>0</v>
      </c>
      <c r="P740" s="143" t="str">
        <f>FUR!CK320</f>
        <v/>
      </c>
      <c r="R740">
        <f t="shared" si="11"/>
        <v>739</v>
      </c>
    </row>
    <row r="741" spans="5:18">
      <c r="E741" s="147" t="s">
        <v>31</v>
      </c>
      <c r="F741" t="str">
        <f>FUR!CA321</f>
        <v>HPS</v>
      </c>
      <c r="G741" t="str">
        <f>FUR!CB321</f>
        <v>AC</v>
      </c>
      <c r="H741" t="str">
        <f>FUR!CC321</f>
        <v>Vessel</v>
      </c>
      <c r="I741">
        <f>FUR!CD321</f>
        <v>0</v>
      </c>
      <c r="J741">
        <f>FUR!CE321</f>
        <v>0</v>
      </c>
      <c r="K741">
        <f>FUR!CF321</f>
        <v>0</v>
      </c>
      <c r="L741">
        <f>FUR!CG321</f>
        <v>0</v>
      </c>
      <c r="M741">
        <f>FUR!CH321</f>
        <v>0</v>
      </c>
      <c r="N741">
        <f>FUR!CI321</f>
        <v>0</v>
      </c>
      <c r="O741">
        <f>FUR!CJ321</f>
        <v>0</v>
      </c>
      <c r="P741" s="143" t="str">
        <f>FUR!CK321</f>
        <v/>
      </c>
      <c r="R741">
        <f t="shared" si="11"/>
        <v>740</v>
      </c>
    </row>
    <row r="742" spans="5:18">
      <c r="E742" s="147" t="s">
        <v>31</v>
      </c>
      <c r="F742" t="str">
        <f>FUR!CA322</f>
        <v>HPS</v>
      </c>
      <c r="G742" t="str">
        <f>FUR!CB322</f>
        <v>AC</v>
      </c>
      <c r="H742" t="str">
        <f>FUR!CC322</f>
        <v>Vessel</v>
      </c>
      <c r="I742">
        <f>FUR!CD322</f>
        <v>0</v>
      </c>
      <c r="J742">
        <f>FUR!CE322</f>
        <v>0</v>
      </c>
      <c r="K742">
        <f>FUR!CF322</f>
        <v>0</v>
      </c>
      <c r="L742">
        <f>FUR!CG322</f>
        <v>0</v>
      </c>
      <c r="M742">
        <f>FUR!CH322</f>
        <v>0</v>
      </c>
      <c r="N742">
        <f>FUR!CI322</f>
        <v>0</v>
      </c>
      <c r="O742">
        <f>FUR!CJ322</f>
        <v>0</v>
      </c>
      <c r="P742" s="143" t="str">
        <f>FUR!CK322</f>
        <v/>
      </c>
      <c r="R742">
        <f t="shared" si="11"/>
        <v>741</v>
      </c>
    </row>
    <row r="743" spans="5:18">
      <c r="E743" s="147" t="s">
        <v>31</v>
      </c>
      <c r="F743" t="str">
        <f>FUR!CA323</f>
        <v>HPS</v>
      </c>
      <c r="G743" t="str">
        <f>FUR!CB323</f>
        <v>AC</v>
      </c>
      <c r="H743" t="str">
        <f>FUR!CC323</f>
        <v>Vessel</v>
      </c>
      <c r="I743">
        <f>FUR!CD323</f>
        <v>0</v>
      </c>
      <c r="J743">
        <f>FUR!CE323</f>
        <v>0</v>
      </c>
      <c r="K743">
        <f>FUR!CF323</f>
        <v>0</v>
      </c>
      <c r="L743">
        <f>FUR!CG323</f>
        <v>0</v>
      </c>
      <c r="M743">
        <f>FUR!CH323</f>
        <v>0</v>
      </c>
      <c r="N743">
        <f>FUR!CI323</f>
        <v>0</v>
      </c>
      <c r="O743">
        <f>FUR!CJ323</f>
        <v>0</v>
      </c>
      <c r="P743" s="143" t="str">
        <f>FUR!CK323</f>
        <v/>
      </c>
      <c r="R743">
        <f t="shared" si="11"/>
        <v>742</v>
      </c>
    </row>
    <row r="744" spans="5:18">
      <c r="E744" s="147" t="s">
        <v>31</v>
      </c>
      <c r="F744" t="str">
        <f>FUR!CA324</f>
        <v>HPS</v>
      </c>
      <c r="G744" t="str">
        <f>FUR!CB324</f>
        <v>AC</v>
      </c>
      <c r="H744" t="str">
        <f>FUR!CC324</f>
        <v>Vessel</v>
      </c>
      <c r="I744">
        <f>FUR!CD324</f>
        <v>0</v>
      </c>
      <c r="J744">
        <f>FUR!CE324</f>
        <v>0</v>
      </c>
      <c r="K744">
        <f>FUR!CF324</f>
        <v>0</v>
      </c>
      <c r="L744">
        <f>FUR!CG324</f>
        <v>0</v>
      </c>
      <c r="M744">
        <f>FUR!CH324</f>
        <v>0</v>
      </c>
      <c r="N744">
        <f>FUR!CI324</f>
        <v>0</v>
      </c>
      <c r="O744">
        <f>FUR!CJ324</f>
        <v>0</v>
      </c>
      <c r="P744" s="143" t="str">
        <f>FUR!CK324</f>
        <v/>
      </c>
      <c r="R744">
        <f t="shared" si="11"/>
        <v>743</v>
      </c>
    </row>
    <row r="745" spans="5:18">
      <c r="E745" s="147" t="s">
        <v>31</v>
      </c>
      <c r="F745" t="str">
        <f>FUR!CA325</f>
        <v>HPS</v>
      </c>
      <c r="G745" t="str">
        <f>FUR!CB325</f>
        <v>AC</v>
      </c>
      <c r="H745" t="str">
        <f>FUR!CC325</f>
        <v>Vessel</v>
      </c>
      <c r="I745">
        <f>FUR!CD325</f>
        <v>0</v>
      </c>
      <c r="J745">
        <f>FUR!CE325</f>
        <v>0</v>
      </c>
      <c r="K745">
        <f>FUR!CF325</f>
        <v>0</v>
      </c>
      <c r="L745">
        <f>FUR!CG325</f>
        <v>0</v>
      </c>
      <c r="M745">
        <f>FUR!CH325</f>
        <v>0</v>
      </c>
      <c r="N745">
        <f>FUR!CI325</f>
        <v>0</v>
      </c>
      <c r="O745">
        <f>FUR!CJ325</f>
        <v>0</v>
      </c>
      <c r="P745" s="143" t="str">
        <f>FUR!CK325</f>
        <v/>
      </c>
      <c r="R745">
        <f t="shared" si="11"/>
        <v>744</v>
      </c>
    </row>
    <row r="746" spans="5:18">
      <c r="E746" s="147" t="s">
        <v>31</v>
      </c>
      <c r="F746" t="str">
        <f>FUR!CA326</f>
        <v>HPS</v>
      </c>
      <c r="G746" t="str">
        <f>FUR!CB326</f>
        <v>AC</v>
      </c>
      <c r="H746" t="str">
        <f>FUR!CC326</f>
        <v>Vessel</v>
      </c>
      <c r="I746">
        <f>FUR!CD326</f>
        <v>0</v>
      </c>
      <c r="J746">
        <f>FUR!CE326</f>
        <v>0</v>
      </c>
      <c r="K746">
        <f>FUR!CF326</f>
        <v>0</v>
      </c>
      <c r="L746">
        <f>FUR!CG326</f>
        <v>0</v>
      </c>
      <c r="M746">
        <f>FUR!CH326</f>
        <v>0</v>
      </c>
      <c r="N746">
        <f>FUR!CI326</f>
        <v>0</v>
      </c>
      <c r="O746">
        <f>FUR!CJ326</f>
        <v>0</v>
      </c>
      <c r="P746" s="143" t="str">
        <f>FUR!CK326</f>
        <v/>
      </c>
      <c r="R746">
        <f t="shared" si="11"/>
        <v>745</v>
      </c>
    </row>
    <row r="747" spans="5:18">
      <c r="E747" s="147" t="s">
        <v>31</v>
      </c>
      <c r="F747" t="str">
        <f>FUR!CA327</f>
        <v>HPS</v>
      </c>
      <c r="G747" t="str">
        <f>FUR!CB327</f>
        <v>AC</v>
      </c>
      <c r="H747" t="str">
        <f>FUR!CC327</f>
        <v>Vessel</v>
      </c>
      <c r="I747">
        <f>FUR!CD327</f>
        <v>0</v>
      </c>
      <c r="J747">
        <f>FUR!CE327</f>
        <v>0</v>
      </c>
      <c r="K747">
        <f>FUR!CF327</f>
        <v>0</v>
      </c>
      <c r="L747">
        <f>FUR!CG327</f>
        <v>0</v>
      </c>
      <c r="M747">
        <f>FUR!CH327</f>
        <v>0</v>
      </c>
      <c r="N747">
        <f>FUR!CI327</f>
        <v>0</v>
      </c>
      <c r="O747">
        <f>FUR!CJ327</f>
        <v>0</v>
      </c>
      <c r="P747" s="143" t="str">
        <f>FUR!CK327</f>
        <v/>
      </c>
      <c r="R747">
        <f t="shared" si="11"/>
        <v>746</v>
      </c>
    </row>
    <row r="748" spans="5:18">
      <c r="E748" s="147" t="s">
        <v>31</v>
      </c>
      <c r="F748" t="str">
        <f>FUR!CA328</f>
        <v>HPS</v>
      </c>
      <c r="G748" t="str">
        <f>FUR!CB328</f>
        <v>AC</v>
      </c>
      <c r="H748" t="str">
        <f>FUR!CC328</f>
        <v>Vessel</v>
      </c>
      <c r="I748">
        <f>FUR!CD328</f>
        <v>0</v>
      </c>
      <c r="J748">
        <f>FUR!CE328</f>
        <v>0</v>
      </c>
      <c r="K748">
        <f>FUR!CF328</f>
        <v>0</v>
      </c>
      <c r="L748">
        <f>FUR!CG328</f>
        <v>0</v>
      </c>
      <c r="M748">
        <f>FUR!CH328</f>
        <v>0</v>
      </c>
      <c r="N748">
        <f>FUR!CI328</f>
        <v>0</v>
      </c>
      <c r="O748">
        <f>FUR!CJ328</f>
        <v>0</v>
      </c>
      <c r="P748" s="143" t="str">
        <f>FUR!CK328</f>
        <v/>
      </c>
      <c r="R748">
        <f t="shared" si="11"/>
        <v>747</v>
      </c>
    </row>
    <row r="749" spans="5:18">
      <c r="E749" s="147" t="s">
        <v>31</v>
      </c>
      <c r="F749" t="str">
        <f>FUR!CA329</f>
        <v>HPS</v>
      </c>
      <c r="G749" t="str">
        <f>FUR!CB329</f>
        <v>AC</v>
      </c>
      <c r="H749" t="str">
        <f>FUR!CC329</f>
        <v>Vessel</v>
      </c>
      <c r="I749">
        <f>FUR!CD329</f>
        <v>0</v>
      </c>
      <c r="J749">
        <f>FUR!CE329</f>
        <v>0</v>
      </c>
      <c r="K749">
        <f>FUR!CF329</f>
        <v>0</v>
      </c>
      <c r="L749">
        <f>FUR!CG329</f>
        <v>0</v>
      </c>
      <c r="M749">
        <f>FUR!CH329</f>
        <v>0</v>
      </c>
      <c r="N749">
        <f>FUR!CI329</f>
        <v>0</v>
      </c>
      <c r="O749">
        <f>FUR!CJ329</f>
        <v>0</v>
      </c>
      <c r="P749" s="143" t="str">
        <f>FUR!CK329</f>
        <v/>
      </c>
      <c r="R749">
        <f t="shared" si="11"/>
        <v>748</v>
      </c>
    </row>
    <row r="750" spans="5:18">
      <c r="E750" s="147" t="s">
        <v>31</v>
      </c>
      <c r="F750" t="str">
        <f>FUR!CA330</f>
        <v>HPS</v>
      </c>
      <c r="G750" t="str">
        <f>FUR!CB330</f>
        <v>AC</v>
      </c>
      <c r="H750" t="str">
        <f>FUR!CC330</f>
        <v>Vessel</v>
      </c>
      <c r="I750">
        <f>FUR!CD330</f>
        <v>0</v>
      </c>
      <c r="J750">
        <f>FUR!CE330</f>
        <v>0</v>
      </c>
      <c r="K750">
        <f>FUR!CF330</f>
        <v>0</v>
      </c>
      <c r="L750">
        <f>FUR!CG330</f>
        <v>0</v>
      </c>
      <c r="M750">
        <f>FUR!CH330</f>
        <v>0</v>
      </c>
      <c r="N750">
        <f>FUR!CI330</f>
        <v>0</v>
      </c>
      <c r="O750">
        <f>FUR!CJ330</f>
        <v>0</v>
      </c>
      <c r="P750" s="143" t="str">
        <f>FUR!CK330</f>
        <v/>
      </c>
      <c r="R750">
        <f t="shared" si="11"/>
        <v>749</v>
      </c>
    </row>
    <row r="751" spans="5:18">
      <c r="E751" s="147" t="s">
        <v>31</v>
      </c>
      <c r="F751" t="str">
        <f>FUR!CA331</f>
        <v>HPS</v>
      </c>
      <c r="G751" t="str">
        <f>FUR!CB331</f>
        <v>AC</v>
      </c>
      <c r="H751" t="str">
        <f>FUR!CC331</f>
        <v>Vessel</v>
      </c>
      <c r="I751">
        <f>FUR!CD331</f>
        <v>0</v>
      </c>
      <c r="J751">
        <f>FUR!CE331</f>
        <v>0</v>
      </c>
      <c r="K751">
        <f>FUR!CF331</f>
        <v>0</v>
      </c>
      <c r="L751">
        <f>FUR!CG331</f>
        <v>0</v>
      </c>
      <c r="M751">
        <f>FUR!CH331</f>
        <v>0</v>
      </c>
      <c r="N751">
        <f>FUR!CI331</f>
        <v>0</v>
      </c>
      <c r="O751">
        <f>FUR!CJ331</f>
        <v>0</v>
      </c>
      <c r="P751" s="143" t="str">
        <f>FUR!CK331</f>
        <v/>
      </c>
      <c r="R751">
        <f t="shared" si="11"/>
        <v>750</v>
      </c>
    </row>
    <row r="752" spans="5:18">
      <c r="E752" s="147" t="s">
        <v>31</v>
      </c>
      <c r="F752" t="str">
        <f>FUR!CA332</f>
        <v>HPS</v>
      </c>
      <c r="G752" t="str">
        <f>FUR!CB332</f>
        <v>AC</v>
      </c>
      <c r="H752" t="str">
        <f>FUR!CC332</f>
        <v>Vessel</v>
      </c>
      <c r="I752">
        <f>FUR!CD332</f>
        <v>0</v>
      </c>
      <c r="J752">
        <f>FUR!CE332</f>
        <v>0</v>
      </c>
      <c r="K752">
        <f>FUR!CF332</f>
        <v>0</v>
      </c>
      <c r="L752">
        <f>FUR!CG332</f>
        <v>0</v>
      </c>
      <c r="M752">
        <f>FUR!CH332</f>
        <v>0</v>
      </c>
      <c r="N752">
        <f>FUR!CI332</f>
        <v>0</v>
      </c>
      <c r="O752">
        <f>FUR!CJ332</f>
        <v>0</v>
      </c>
      <c r="P752" s="143" t="str">
        <f>FUR!CK332</f>
        <v/>
      </c>
      <c r="R752">
        <f t="shared" si="11"/>
        <v>751</v>
      </c>
    </row>
    <row r="753" spans="5:18">
      <c r="E753" s="147" t="s">
        <v>31</v>
      </c>
      <c r="F753" t="str">
        <f>FUR!CA333</f>
        <v>HPS</v>
      </c>
      <c r="G753" t="str">
        <f>FUR!CB333</f>
        <v>AC</v>
      </c>
      <c r="H753" t="str">
        <f>FUR!CC333</f>
        <v>Vessel</v>
      </c>
      <c r="I753">
        <f>FUR!CD333</f>
        <v>0</v>
      </c>
      <c r="J753">
        <f>FUR!CE333</f>
        <v>0</v>
      </c>
      <c r="K753">
        <f>FUR!CF333</f>
        <v>0</v>
      </c>
      <c r="L753">
        <f>FUR!CG333</f>
        <v>0</v>
      </c>
      <c r="M753">
        <f>FUR!CH333</f>
        <v>0</v>
      </c>
      <c r="N753">
        <f>FUR!CI333</f>
        <v>0</v>
      </c>
      <c r="O753">
        <f>FUR!CJ333</f>
        <v>0</v>
      </c>
      <c r="P753" s="143" t="str">
        <f>FUR!CK333</f>
        <v/>
      </c>
      <c r="R753">
        <f t="shared" si="11"/>
        <v>752</v>
      </c>
    </row>
    <row r="754" spans="5:18">
      <c r="E754" s="147" t="s">
        <v>31</v>
      </c>
      <c r="F754" t="str">
        <f>FUR!CA334</f>
        <v>HPS</v>
      </c>
      <c r="G754" t="str">
        <f>FUR!CB334</f>
        <v>AC</v>
      </c>
      <c r="H754" t="str">
        <f>FUR!CC334</f>
        <v>Vessel</v>
      </c>
      <c r="I754">
        <f>FUR!CD334</f>
        <v>0</v>
      </c>
      <c r="J754">
        <f>FUR!CE334</f>
        <v>0</v>
      </c>
      <c r="K754">
        <f>FUR!CF334</f>
        <v>0</v>
      </c>
      <c r="L754">
        <f>FUR!CG334</f>
        <v>0</v>
      </c>
      <c r="M754">
        <f>FUR!CH334</f>
        <v>0</v>
      </c>
      <c r="N754">
        <f>FUR!CI334</f>
        <v>0</v>
      </c>
      <c r="O754">
        <f>FUR!CJ334</f>
        <v>0</v>
      </c>
      <c r="P754" s="143" t="str">
        <f>FUR!CK334</f>
        <v/>
      </c>
      <c r="R754">
        <f t="shared" si="11"/>
        <v>753</v>
      </c>
    </row>
    <row r="755" spans="5:18">
      <c r="E755" s="147" t="s">
        <v>31</v>
      </c>
      <c r="F755" t="str">
        <f>FUR!CA335</f>
        <v>HPS</v>
      </c>
      <c r="G755" t="str">
        <f>FUR!CB335</f>
        <v>AC</v>
      </c>
      <c r="H755" t="str">
        <f>FUR!CC335</f>
        <v>Vessel</v>
      </c>
      <c r="I755">
        <f>FUR!CD335</f>
        <v>0</v>
      </c>
      <c r="J755">
        <f>FUR!CE335</f>
        <v>0</v>
      </c>
      <c r="K755">
        <f>FUR!CF335</f>
        <v>0</v>
      </c>
      <c r="L755">
        <f>FUR!CG335</f>
        <v>0</v>
      </c>
      <c r="M755">
        <f>FUR!CH335</f>
        <v>0</v>
      </c>
      <c r="N755">
        <f>FUR!CI335</f>
        <v>0</v>
      </c>
      <c r="O755">
        <f>FUR!CJ335</f>
        <v>0</v>
      </c>
      <c r="P755" s="143" t="str">
        <f>FUR!CK335</f>
        <v/>
      </c>
      <c r="R755">
        <f t="shared" si="11"/>
        <v>754</v>
      </c>
    </row>
    <row r="756" spans="5:18">
      <c r="E756" s="147" t="s">
        <v>31</v>
      </c>
      <c r="F756" t="str">
        <f>FUR!CA336</f>
        <v>HPS</v>
      </c>
      <c r="G756" t="str">
        <f>FUR!CB336</f>
        <v>AC</v>
      </c>
      <c r="H756" t="str">
        <f>FUR!CC336</f>
        <v>Vessel</v>
      </c>
      <c r="I756">
        <f>FUR!CD336</f>
        <v>0</v>
      </c>
      <c r="J756">
        <f>FUR!CE336</f>
        <v>0</v>
      </c>
      <c r="K756">
        <f>FUR!CF336</f>
        <v>0</v>
      </c>
      <c r="L756">
        <f>FUR!CG336</f>
        <v>0</v>
      </c>
      <c r="M756">
        <f>FUR!CH336</f>
        <v>0</v>
      </c>
      <c r="N756">
        <f>FUR!CI336</f>
        <v>0</v>
      </c>
      <c r="O756">
        <f>FUR!CJ336</f>
        <v>0</v>
      </c>
      <c r="P756" s="143" t="str">
        <f>FUR!CK336</f>
        <v/>
      </c>
      <c r="R756">
        <f t="shared" si="11"/>
        <v>755</v>
      </c>
    </row>
    <row r="757" spans="5:18">
      <c r="E757" s="147" t="s">
        <v>31</v>
      </c>
      <c r="F757" t="str">
        <f>FUR!CA337</f>
        <v>HPS</v>
      </c>
      <c r="G757" t="str">
        <f>FUR!CB337</f>
        <v>AC</v>
      </c>
      <c r="H757" t="str">
        <f>FUR!CC337</f>
        <v>Vessel</v>
      </c>
      <c r="I757">
        <f>FUR!CD337</f>
        <v>0</v>
      </c>
      <c r="J757">
        <f>FUR!CE337</f>
        <v>0</v>
      </c>
      <c r="K757">
        <f>FUR!CF337</f>
        <v>0</v>
      </c>
      <c r="L757">
        <f>FUR!CG337</f>
        <v>0</v>
      </c>
      <c r="M757">
        <f>FUR!CH337</f>
        <v>0</v>
      </c>
      <c r="N757">
        <f>FUR!CI337</f>
        <v>0</v>
      </c>
      <c r="O757">
        <f>FUR!CJ337</f>
        <v>0</v>
      </c>
      <c r="P757" s="143" t="str">
        <f>FUR!CK337</f>
        <v/>
      </c>
      <c r="R757">
        <f t="shared" si="11"/>
        <v>756</v>
      </c>
    </row>
    <row r="758" spans="5:18">
      <c r="E758" s="147" t="s">
        <v>31</v>
      </c>
      <c r="F758" t="str">
        <f>FUR!CA338</f>
        <v>HPS</v>
      </c>
      <c r="G758" t="str">
        <f>FUR!CB338</f>
        <v>AC</v>
      </c>
      <c r="H758" t="str">
        <f>FUR!CC338</f>
        <v>Vessel</v>
      </c>
      <c r="I758">
        <f>FUR!CD338</f>
        <v>0</v>
      </c>
      <c r="J758">
        <f>FUR!CE338</f>
        <v>0</v>
      </c>
      <c r="K758">
        <f>FUR!CF338</f>
        <v>0</v>
      </c>
      <c r="L758">
        <f>FUR!CG338</f>
        <v>0</v>
      </c>
      <c r="M758">
        <f>FUR!CH338</f>
        <v>0</v>
      </c>
      <c r="N758">
        <f>FUR!CI338</f>
        <v>0</v>
      </c>
      <c r="O758">
        <f>FUR!CJ338</f>
        <v>0</v>
      </c>
      <c r="P758" s="143" t="str">
        <f>FUR!CK338</f>
        <v/>
      </c>
      <c r="R758">
        <f t="shared" si="11"/>
        <v>757</v>
      </c>
    </row>
    <row r="759" spans="5:18">
      <c r="E759" s="147" t="s">
        <v>31</v>
      </c>
      <c r="F759" t="str">
        <f>FUR!CA339</f>
        <v>HPS</v>
      </c>
      <c r="G759" t="str">
        <f>FUR!CB339</f>
        <v>AC</v>
      </c>
      <c r="H759" t="str">
        <f>FUR!CC339</f>
        <v>Vessel</v>
      </c>
      <c r="I759">
        <f>FUR!CD339</f>
        <v>0</v>
      </c>
      <c r="J759">
        <f>FUR!CE339</f>
        <v>0</v>
      </c>
      <c r="K759">
        <f>FUR!CF339</f>
        <v>0</v>
      </c>
      <c r="L759">
        <f>FUR!CG339</f>
        <v>0</v>
      </c>
      <c r="M759">
        <f>FUR!CH339</f>
        <v>0</v>
      </c>
      <c r="N759">
        <f>FUR!CI339</f>
        <v>0</v>
      </c>
      <c r="O759">
        <f>FUR!CJ339</f>
        <v>0</v>
      </c>
      <c r="P759" s="143" t="str">
        <f>FUR!CK339</f>
        <v/>
      </c>
      <c r="R759">
        <f t="shared" si="11"/>
        <v>758</v>
      </c>
    </row>
    <row r="760" spans="5:18">
      <c r="E760" s="147" t="s">
        <v>31</v>
      </c>
      <c r="F760" t="str">
        <f>FUR!CA340</f>
        <v>HPS</v>
      </c>
      <c r="G760" t="str">
        <f>FUR!CB340</f>
        <v>AC</v>
      </c>
      <c r="H760" t="str">
        <f>FUR!CC340</f>
        <v>Vessel</v>
      </c>
      <c r="I760">
        <f>FUR!CD340</f>
        <v>0</v>
      </c>
      <c r="J760">
        <f>FUR!CE340</f>
        <v>0</v>
      </c>
      <c r="K760">
        <f>FUR!CF340</f>
        <v>0</v>
      </c>
      <c r="L760">
        <f>FUR!CG340</f>
        <v>0</v>
      </c>
      <c r="M760">
        <f>FUR!CH340</f>
        <v>0</v>
      </c>
      <c r="N760">
        <f>FUR!CI340</f>
        <v>0</v>
      </c>
      <c r="O760">
        <f>FUR!CJ340</f>
        <v>0</v>
      </c>
      <c r="P760" s="143" t="str">
        <f>FUR!CK340</f>
        <v/>
      </c>
      <c r="R760">
        <f t="shared" si="11"/>
        <v>759</v>
      </c>
    </row>
    <row r="761" spans="5:18">
      <c r="E761" s="147" t="s">
        <v>31</v>
      </c>
      <c r="F761" t="str">
        <f>FUR!CA341</f>
        <v>HPS</v>
      </c>
      <c r="G761" t="str">
        <f>FUR!CB341</f>
        <v>AC</v>
      </c>
      <c r="H761" t="str">
        <f>FUR!CC341</f>
        <v>Vessel</v>
      </c>
      <c r="I761">
        <f>FUR!CD341</f>
        <v>0</v>
      </c>
      <c r="J761">
        <f>FUR!CE341</f>
        <v>0</v>
      </c>
      <c r="K761">
        <f>FUR!CF341</f>
        <v>0</v>
      </c>
      <c r="L761">
        <f>FUR!CG341</f>
        <v>0</v>
      </c>
      <c r="M761">
        <f>FUR!CH341</f>
        <v>0</v>
      </c>
      <c r="N761">
        <f>FUR!CI341</f>
        <v>0</v>
      </c>
      <c r="O761">
        <f>FUR!CJ341</f>
        <v>0</v>
      </c>
      <c r="P761" s="143" t="str">
        <f>FUR!CK341</f>
        <v/>
      </c>
      <c r="R761">
        <f t="shared" si="11"/>
        <v>760</v>
      </c>
    </row>
    <row r="762" spans="5:18">
      <c r="E762" s="147" t="s">
        <v>31</v>
      </c>
      <c r="F762" t="str">
        <f>FUR!CA342</f>
        <v>HPS</v>
      </c>
      <c r="G762" t="str">
        <f>FUR!CB342</f>
        <v>AC</v>
      </c>
      <c r="H762" t="str">
        <f>FUR!CC342</f>
        <v>Vessel</v>
      </c>
      <c r="I762">
        <f>FUR!CD342</f>
        <v>0</v>
      </c>
      <c r="J762">
        <f>FUR!CE342</f>
        <v>0</v>
      </c>
      <c r="K762">
        <f>FUR!CF342</f>
        <v>0</v>
      </c>
      <c r="L762">
        <f>FUR!CG342</f>
        <v>0</v>
      </c>
      <c r="M762">
        <f>FUR!CH342</f>
        <v>0</v>
      </c>
      <c r="N762">
        <f>FUR!CI342</f>
        <v>0</v>
      </c>
      <c r="O762">
        <f>FUR!CJ342</f>
        <v>0</v>
      </c>
      <c r="P762" s="143" t="str">
        <f>FUR!CK342</f>
        <v/>
      </c>
      <c r="R762">
        <f t="shared" si="11"/>
        <v>761</v>
      </c>
    </row>
    <row r="763" spans="5:18">
      <c r="E763" s="147" t="s">
        <v>31</v>
      </c>
      <c r="F763" t="str">
        <f>FUR!CA343</f>
        <v>HPS</v>
      </c>
      <c r="G763" t="str">
        <f>FUR!CB343</f>
        <v>AC</v>
      </c>
      <c r="H763" t="str">
        <f>FUR!CC343</f>
        <v>Vessel</v>
      </c>
      <c r="I763">
        <f>FUR!CD343</f>
        <v>0</v>
      </c>
      <c r="J763">
        <f>FUR!CE343</f>
        <v>0</v>
      </c>
      <c r="K763">
        <f>FUR!CF343</f>
        <v>0</v>
      </c>
      <c r="L763">
        <f>FUR!CG343</f>
        <v>0</v>
      </c>
      <c r="M763">
        <f>FUR!CH343</f>
        <v>0</v>
      </c>
      <c r="N763">
        <f>FUR!CI343</f>
        <v>0</v>
      </c>
      <c r="O763">
        <f>FUR!CJ343</f>
        <v>0</v>
      </c>
      <c r="P763" s="143" t="str">
        <f>FUR!CK343</f>
        <v/>
      </c>
      <c r="R763">
        <f t="shared" si="11"/>
        <v>762</v>
      </c>
    </row>
    <row r="764" spans="5:18">
      <c r="E764" s="147" t="s">
        <v>31</v>
      </c>
      <c r="F764" t="str">
        <f>FUR!CA344</f>
        <v>HPS</v>
      </c>
      <c r="G764" t="str">
        <f>FUR!CB344</f>
        <v>AC</v>
      </c>
      <c r="H764" t="str">
        <f>FUR!CC344</f>
        <v>Vessel</v>
      </c>
      <c r="I764">
        <f>FUR!CD344</f>
        <v>0</v>
      </c>
      <c r="J764">
        <f>FUR!CE344</f>
        <v>0</v>
      </c>
      <c r="K764">
        <f>FUR!CF344</f>
        <v>0</v>
      </c>
      <c r="L764">
        <f>FUR!CG344</f>
        <v>0</v>
      </c>
      <c r="M764">
        <f>FUR!CH344</f>
        <v>0</v>
      </c>
      <c r="N764">
        <f>FUR!CI344</f>
        <v>0</v>
      </c>
      <c r="O764">
        <f>FUR!CJ344</f>
        <v>0</v>
      </c>
      <c r="P764" s="143" t="str">
        <f>FUR!CK344</f>
        <v/>
      </c>
      <c r="R764">
        <f t="shared" si="11"/>
        <v>763</v>
      </c>
    </row>
    <row r="765" spans="5:18">
      <c r="E765" s="147" t="s">
        <v>31</v>
      </c>
      <c r="F765" t="str">
        <f>FUR!CA345</f>
        <v>HPS</v>
      </c>
      <c r="G765" t="str">
        <f>FUR!CB345</f>
        <v>AC</v>
      </c>
      <c r="H765" t="str">
        <f>FUR!CC345</f>
        <v>Vessel</v>
      </c>
      <c r="I765">
        <f>FUR!CD345</f>
        <v>0</v>
      </c>
      <c r="J765">
        <f>FUR!CE345</f>
        <v>0</v>
      </c>
      <c r="K765">
        <f>FUR!CF345</f>
        <v>0</v>
      </c>
      <c r="L765">
        <f>FUR!CG345</f>
        <v>0</v>
      </c>
      <c r="M765">
        <f>FUR!CH345</f>
        <v>0</v>
      </c>
      <c r="N765">
        <f>FUR!CI345</f>
        <v>0</v>
      </c>
      <c r="O765">
        <f>FUR!CJ345</f>
        <v>0</v>
      </c>
      <c r="P765" s="143" t="str">
        <f>FUR!CK345</f>
        <v/>
      </c>
      <c r="R765">
        <f t="shared" si="11"/>
        <v>764</v>
      </c>
    </row>
    <row r="766" spans="5:18">
      <c r="E766" s="147" t="s">
        <v>31</v>
      </c>
      <c r="F766" t="str">
        <f>FUR!CA346</f>
        <v>HPS</v>
      </c>
      <c r="G766" t="str">
        <f>FUR!CB346</f>
        <v>AC</v>
      </c>
      <c r="H766" t="str">
        <f>FUR!CC346</f>
        <v>Vessel</v>
      </c>
      <c r="I766">
        <f>FUR!CD346</f>
        <v>0</v>
      </c>
      <c r="J766">
        <f>FUR!CE346</f>
        <v>0</v>
      </c>
      <c r="K766">
        <f>FUR!CF346</f>
        <v>0</v>
      </c>
      <c r="L766">
        <f>FUR!CG346</f>
        <v>0</v>
      </c>
      <c r="M766">
        <f>FUR!CH346</f>
        <v>0</v>
      </c>
      <c r="N766">
        <f>FUR!CI346</f>
        <v>0</v>
      </c>
      <c r="O766">
        <f>FUR!CJ346</f>
        <v>0</v>
      </c>
      <c r="P766" s="143" t="str">
        <f>FUR!CK346</f>
        <v/>
      </c>
      <c r="R766">
        <f t="shared" si="11"/>
        <v>765</v>
      </c>
    </row>
    <row r="767" spans="5:18">
      <c r="E767" s="147" t="s">
        <v>31</v>
      </c>
      <c r="F767" t="str">
        <f>FUR!CA347</f>
        <v>HPS</v>
      </c>
      <c r="G767" t="str">
        <f>FUR!CB347</f>
        <v>AC</v>
      </c>
      <c r="H767" t="str">
        <f>FUR!CC347</f>
        <v>Vessel</v>
      </c>
      <c r="I767">
        <f>FUR!CD347</f>
        <v>0</v>
      </c>
      <c r="J767">
        <f>FUR!CE347</f>
        <v>0</v>
      </c>
      <c r="K767">
        <f>FUR!CF347</f>
        <v>0</v>
      </c>
      <c r="L767">
        <f>FUR!CG347</f>
        <v>0</v>
      </c>
      <c r="M767">
        <f>FUR!CH347</f>
        <v>0</v>
      </c>
      <c r="N767">
        <f>FUR!CI347</f>
        <v>0</v>
      </c>
      <c r="O767">
        <f>FUR!CJ347</f>
        <v>0</v>
      </c>
      <c r="P767" s="143" t="str">
        <f>FUR!CK347</f>
        <v/>
      </c>
      <c r="R767">
        <f t="shared" si="11"/>
        <v>766</v>
      </c>
    </row>
    <row r="768" spans="5:18">
      <c r="E768" s="147" t="s">
        <v>31</v>
      </c>
      <c r="F768" t="str">
        <f>FUR!CA348</f>
        <v>HPS</v>
      </c>
      <c r="G768" t="str">
        <f>FUR!CB348</f>
        <v>AC</v>
      </c>
      <c r="H768" t="str">
        <f>FUR!CC348</f>
        <v>Vessel</v>
      </c>
      <c r="I768">
        <f>FUR!CD348</f>
        <v>0</v>
      </c>
      <c r="J768">
        <f>FUR!CE348</f>
        <v>0</v>
      </c>
      <c r="K768">
        <f>FUR!CF348</f>
        <v>0</v>
      </c>
      <c r="L768">
        <f>FUR!CG348</f>
        <v>0</v>
      </c>
      <c r="M768">
        <f>FUR!CH348</f>
        <v>0</v>
      </c>
      <c r="N768">
        <f>FUR!CI348</f>
        <v>0</v>
      </c>
      <c r="O768">
        <f>FUR!CJ348</f>
        <v>0</v>
      </c>
      <c r="P768" s="143" t="str">
        <f>FUR!CK348</f>
        <v/>
      </c>
      <c r="R768">
        <f t="shared" si="11"/>
        <v>767</v>
      </c>
    </row>
    <row r="769" spans="5:18">
      <c r="E769" s="147" t="s">
        <v>31</v>
      </c>
      <c r="F769" t="str">
        <f>FUR!CA349</f>
        <v>HPS</v>
      </c>
      <c r="G769" t="str">
        <f>FUR!CB349</f>
        <v>AC</v>
      </c>
      <c r="H769" t="str">
        <f>FUR!CC349</f>
        <v>Vessel</v>
      </c>
      <c r="I769">
        <f>FUR!CD349</f>
        <v>0</v>
      </c>
      <c r="J769">
        <f>FUR!CE349</f>
        <v>0</v>
      </c>
      <c r="K769">
        <f>FUR!CF349</f>
        <v>0</v>
      </c>
      <c r="L769">
        <f>FUR!CG349</f>
        <v>0</v>
      </c>
      <c r="M769">
        <f>FUR!CH349</f>
        <v>0</v>
      </c>
      <c r="N769">
        <f>FUR!CI349</f>
        <v>0</v>
      </c>
      <c r="O769">
        <f>FUR!CJ349</f>
        <v>0</v>
      </c>
      <c r="P769" s="143" t="str">
        <f>FUR!CK349</f>
        <v/>
      </c>
      <c r="R769">
        <f t="shared" si="11"/>
        <v>768</v>
      </c>
    </row>
    <row r="770" spans="5:18">
      <c r="E770" s="147" t="s">
        <v>31</v>
      </c>
      <c r="F770" t="str">
        <f>FUR!CA350</f>
        <v>HPS</v>
      </c>
      <c r="G770" t="str">
        <f>FUR!CB350</f>
        <v>AC</v>
      </c>
      <c r="H770" t="str">
        <f>FUR!CC350</f>
        <v>Vessel</v>
      </c>
      <c r="I770">
        <f>FUR!CD350</f>
        <v>0</v>
      </c>
      <c r="J770">
        <f>FUR!CE350</f>
        <v>0</v>
      </c>
      <c r="K770">
        <f>FUR!CF350</f>
        <v>0</v>
      </c>
      <c r="L770">
        <f>FUR!CG350</f>
        <v>0</v>
      </c>
      <c r="M770">
        <f>FUR!CH350</f>
        <v>0</v>
      </c>
      <c r="N770">
        <f>FUR!CI350</f>
        <v>0</v>
      </c>
      <c r="O770">
        <f>FUR!CJ350</f>
        <v>0</v>
      </c>
      <c r="P770" s="143" t="str">
        <f>FUR!CK350</f>
        <v/>
      </c>
      <c r="R770">
        <f t="shared" si="11"/>
        <v>769</v>
      </c>
    </row>
    <row r="771" spans="5:18">
      <c r="E771" s="147" t="s">
        <v>31</v>
      </c>
      <c r="F771" t="str">
        <f>FUR!CA351</f>
        <v>HPS</v>
      </c>
      <c r="G771" t="str">
        <f>FUR!CB351</f>
        <v>AC</v>
      </c>
      <c r="H771" t="str">
        <f>FUR!CC351</f>
        <v>Vessel</v>
      </c>
      <c r="I771">
        <f>FUR!CD351</f>
        <v>0</v>
      </c>
      <c r="J771">
        <f>FUR!CE351</f>
        <v>0</v>
      </c>
      <c r="K771">
        <f>FUR!CF351</f>
        <v>0</v>
      </c>
      <c r="L771">
        <f>FUR!CG351</f>
        <v>0</v>
      </c>
      <c r="M771">
        <f>FUR!CH351</f>
        <v>0</v>
      </c>
      <c r="N771">
        <f>FUR!CI351</f>
        <v>0</v>
      </c>
      <c r="O771">
        <f>FUR!CJ351</f>
        <v>0</v>
      </c>
      <c r="P771" s="143" t="str">
        <f>FUR!CK351</f>
        <v/>
      </c>
      <c r="R771">
        <f t="shared" si="11"/>
        <v>770</v>
      </c>
    </row>
    <row r="772" spans="5:18">
      <c r="E772" s="147" t="s">
        <v>31</v>
      </c>
      <c r="F772" t="str">
        <f>FUR!CA352</f>
        <v>HPS</v>
      </c>
      <c r="G772" t="str">
        <f>FUR!CB352</f>
        <v>AC</v>
      </c>
      <c r="H772" t="str">
        <f>FUR!CC352</f>
        <v>Vessel</v>
      </c>
      <c r="I772">
        <f>FUR!CD352</f>
        <v>0</v>
      </c>
      <c r="J772">
        <f>FUR!CE352</f>
        <v>0</v>
      </c>
      <c r="K772">
        <f>FUR!CF352</f>
        <v>0</v>
      </c>
      <c r="L772">
        <f>FUR!CG352</f>
        <v>0</v>
      </c>
      <c r="M772">
        <f>FUR!CH352</f>
        <v>0</v>
      </c>
      <c r="N772">
        <f>FUR!CI352</f>
        <v>0</v>
      </c>
      <c r="O772">
        <f>FUR!CJ352</f>
        <v>0</v>
      </c>
      <c r="P772" s="143" t="str">
        <f>FUR!CK352</f>
        <v/>
      </c>
      <c r="R772">
        <f t="shared" ref="R772:R835" si="12">R771+1</f>
        <v>771</v>
      </c>
    </row>
    <row r="773" spans="5:18">
      <c r="E773" s="147" t="s">
        <v>31</v>
      </c>
      <c r="F773" t="str">
        <f>FUR!CA353</f>
        <v>HPS</v>
      </c>
      <c r="G773" t="str">
        <f>FUR!CB353</f>
        <v>AC</v>
      </c>
      <c r="H773" t="str">
        <f>FUR!CC353</f>
        <v>Vessel</v>
      </c>
      <c r="I773">
        <f>FUR!CD353</f>
        <v>0</v>
      </c>
      <c r="J773">
        <f>FUR!CE353</f>
        <v>0</v>
      </c>
      <c r="K773">
        <f>FUR!CF353</f>
        <v>0</v>
      </c>
      <c r="L773">
        <f>FUR!CG353</f>
        <v>0</v>
      </c>
      <c r="M773">
        <f>FUR!CH353</f>
        <v>0</v>
      </c>
      <c r="N773">
        <f>FUR!CI353</f>
        <v>0</v>
      </c>
      <c r="O773">
        <f>FUR!CJ353</f>
        <v>0</v>
      </c>
      <c r="P773" s="143" t="str">
        <f>FUR!CK353</f>
        <v/>
      </c>
      <c r="R773">
        <f t="shared" si="12"/>
        <v>772</v>
      </c>
    </row>
    <row r="774" spans="5:18">
      <c r="E774" s="147" t="s">
        <v>31</v>
      </c>
      <c r="F774" t="str">
        <f>FUR!CA354</f>
        <v>HPS</v>
      </c>
      <c r="G774" t="str">
        <f>FUR!CB354</f>
        <v>AC</v>
      </c>
      <c r="H774" t="str">
        <f>FUR!CC354</f>
        <v>Vessel</v>
      </c>
      <c r="I774">
        <f>FUR!CD354</f>
        <v>0</v>
      </c>
      <c r="J774">
        <f>FUR!CE354</f>
        <v>0</v>
      </c>
      <c r="K774">
        <f>FUR!CF354</f>
        <v>0</v>
      </c>
      <c r="L774">
        <f>FUR!CG354</f>
        <v>0</v>
      </c>
      <c r="M774">
        <f>FUR!CH354</f>
        <v>0</v>
      </c>
      <c r="N774">
        <f>FUR!CI354</f>
        <v>0</v>
      </c>
      <c r="O774">
        <f>FUR!CJ354</f>
        <v>0</v>
      </c>
      <c r="P774" s="143" t="str">
        <f>FUR!CK354</f>
        <v/>
      </c>
      <c r="R774">
        <f t="shared" si="12"/>
        <v>773</v>
      </c>
    </row>
    <row r="775" spans="5:18">
      <c r="E775" s="147" t="s">
        <v>31</v>
      </c>
      <c r="F775" t="str">
        <f>FUR!CA355</f>
        <v>HPS</v>
      </c>
      <c r="G775" t="str">
        <f>FUR!CB355</f>
        <v>AC</v>
      </c>
      <c r="H775" t="str">
        <f>FUR!CC355</f>
        <v>Vessel</v>
      </c>
      <c r="I775">
        <f>FUR!CD355</f>
        <v>0</v>
      </c>
      <c r="J775">
        <f>FUR!CE355</f>
        <v>0</v>
      </c>
      <c r="K775">
        <f>FUR!CF355</f>
        <v>0</v>
      </c>
      <c r="L775">
        <f>FUR!CG355</f>
        <v>0</v>
      </c>
      <c r="M775">
        <f>FUR!CH355</f>
        <v>0</v>
      </c>
      <c r="N775">
        <f>FUR!CI355</f>
        <v>0</v>
      </c>
      <c r="O775">
        <f>FUR!CJ355</f>
        <v>0</v>
      </c>
      <c r="P775" s="143" t="str">
        <f>FUR!CK355</f>
        <v/>
      </c>
      <c r="R775">
        <f t="shared" si="12"/>
        <v>774</v>
      </c>
    </row>
    <row r="776" spans="5:18">
      <c r="E776" s="147" t="s">
        <v>31</v>
      </c>
      <c r="F776" t="str">
        <f>FUR!CA356</f>
        <v>HPS</v>
      </c>
      <c r="G776" t="str">
        <f>FUR!CB356</f>
        <v>AC</v>
      </c>
      <c r="H776" t="str">
        <f>FUR!CC356</f>
        <v>Vessel</v>
      </c>
      <c r="I776">
        <f>FUR!CD356</f>
        <v>0</v>
      </c>
      <c r="J776">
        <f>FUR!CE356</f>
        <v>0</v>
      </c>
      <c r="K776">
        <f>FUR!CF356</f>
        <v>0</v>
      </c>
      <c r="L776">
        <f>FUR!CG356</f>
        <v>0</v>
      </c>
      <c r="M776">
        <f>FUR!CH356</f>
        <v>0</v>
      </c>
      <c r="N776">
        <f>FUR!CI356</f>
        <v>0</v>
      </c>
      <c r="O776">
        <f>FUR!CJ356</f>
        <v>0</v>
      </c>
      <c r="P776" s="143" t="str">
        <f>FUR!CK356</f>
        <v/>
      </c>
      <c r="R776">
        <f t="shared" si="12"/>
        <v>775</v>
      </c>
    </row>
    <row r="777" spans="5:18">
      <c r="E777" s="147" t="s">
        <v>31</v>
      </c>
      <c r="F777" t="str">
        <f>FUR!CA357</f>
        <v>HPS</v>
      </c>
      <c r="G777" t="str">
        <f>FUR!CB357</f>
        <v>AC</v>
      </c>
      <c r="H777" t="str">
        <f>FUR!CC357</f>
        <v>Vessel</v>
      </c>
      <c r="I777">
        <f>FUR!CD357</f>
        <v>0</v>
      </c>
      <c r="J777">
        <f>FUR!CE357</f>
        <v>0</v>
      </c>
      <c r="K777">
        <f>FUR!CF357</f>
        <v>0</v>
      </c>
      <c r="L777">
        <f>FUR!CG357</f>
        <v>0</v>
      </c>
      <c r="M777">
        <f>FUR!CH357</f>
        <v>0</v>
      </c>
      <c r="N777">
        <f>FUR!CI357</f>
        <v>0</v>
      </c>
      <c r="O777">
        <f>FUR!CJ357</f>
        <v>0</v>
      </c>
      <c r="P777" s="143" t="str">
        <f>FUR!CK357</f>
        <v/>
      </c>
      <c r="R777">
        <f t="shared" si="12"/>
        <v>776</v>
      </c>
    </row>
    <row r="778" spans="5:18">
      <c r="E778" s="147" t="s">
        <v>31</v>
      </c>
      <c r="F778" t="str">
        <f>FUR!CA358</f>
        <v>HPS</v>
      </c>
      <c r="G778" t="str">
        <f>FUR!CB358</f>
        <v>AC</v>
      </c>
      <c r="H778" t="str">
        <f>FUR!CC358</f>
        <v>Vessel</v>
      </c>
      <c r="I778">
        <f>FUR!CD358</f>
        <v>0</v>
      </c>
      <c r="J778">
        <f>FUR!CE358</f>
        <v>0</v>
      </c>
      <c r="K778">
        <f>FUR!CF358</f>
        <v>0</v>
      </c>
      <c r="L778">
        <f>FUR!CG358</f>
        <v>0</v>
      </c>
      <c r="M778">
        <f>FUR!CH358</f>
        <v>0</v>
      </c>
      <c r="N778">
        <f>FUR!CI358</f>
        <v>0</v>
      </c>
      <c r="O778">
        <f>FUR!CJ358</f>
        <v>0</v>
      </c>
      <c r="P778" s="143" t="str">
        <f>FUR!CK358</f>
        <v/>
      </c>
      <c r="R778">
        <f t="shared" si="12"/>
        <v>777</v>
      </c>
    </row>
    <row r="779" spans="5:18">
      <c r="E779" s="147" t="s">
        <v>31</v>
      </c>
      <c r="F779" t="str">
        <f>FUR!CA359</f>
        <v>HPS</v>
      </c>
      <c r="G779" t="str">
        <f>FUR!CB359</f>
        <v>AC</v>
      </c>
      <c r="H779" t="str">
        <f>FUR!CC359</f>
        <v>Vessel</v>
      </c>
      <c r="I779">
        <f>FUR!CD359</f>
        <v>0</v>
      </c>
      <c r="J779">
        <f>FUR!CE359</f>
        <v>0</v>
      </c>
      <c r="K779">
        <f>FUR!CF359</f>
        <v>0</v>
      </c>
      <c r="L779">
        <f>FUR!CG359</f>
        <v>0</v>
      </c>
      <c r="M779">
        <f>FUR!CH359</f>
        <v>0</v>
      </c>
      <c r="N779">
        <f>FUR!CI359</f>
        <v>0</v>
      </c>
      <c r="O779">
        <f>FUR!CJ359</f>
        <v>0</v>
      </c>
      <c r="P779" s="143" t="str">
        <f>FUR!CK359</f>
        <v/>
      </c>
      <c r="R779">
        <f t="shared" si="12"/>
        <v>778</v>
      </c>
    </row>
    <row r="780" spans="5:18">
      <c r="E780" s="147" t="s">
        <v>31</v>
      </c>
      <c r="F780" t="str">
        <f>FUR!CA360</f>
        <v>HPS</v>
      </c>
      <c r="G780" t="str">
        <f>FUR!CB360</f>
        <v>AC</v>
      </c>
      <c r="H780" t="str">
        <f>FUR!CC360</f>
        <v>Vessel</v>
      </c>
      <c r="I780">
        <f>FUR!CD360</f>
        <v>0</v>
      </c>
      <c r="J780">
        <f>FUR!CE360</f>
        <v>0</v>
      </c>
      <c r="K780">
        <f>FUR!CF360</f>
        <v>0</v>
      </c>
      <c r="L780">
        <f>FUR!CG360</f>
        <v>0</v>
      </c>
      <c r="M780">
        <f>FUR!CH360</f>
        <v>0</v>
      </c>
      <c r="N780">
        <f>FUR!CI360</f>
        <v>0</v>
      </c>
      <c r="O780">
        <f>FUR!CJ360</f>
        <v>0</v>
      </c>
      <c r="P780" s="143" t="str">
        <f>FUR!CK360</f>
        <v/>
      </c>
      <c r="R780">
        <f t="shared" si="12"/>
        <v>779</v>
      </c>
    </row>
    <row r="781" spans="5:18">
      <c r="E781" s="147" t="s">
        <v>31</v>
      </c>
      <c r="F781" t="str">
        <f>FUR!CA361</f>
        <v>HPS</v>
      </c>
      <c r="G781" t="str">
        <f>FUR!CB361</f>
        <v>AC</v>
      </c>
      <c r="H781" t="str">
        <f>FUR!CC361</f>
        <v>Vessel</v>
      </c>
      <c r="I781">
        <f>FUR!CD361</f>
        <v>0</v>
      </c>
      <c r="J781">
        <f>FUR!CE361</f>
        <v>0</v>
      </c>
      <c r="K781">
        <f>FUR!CF361</f>
        <v>0</v>
      </c>
      <c r="L781">
        <f>FUR!CG361</f>
        <v>0</v>
      </c>
      <c r="M781">
        <f>FUR!CH361</f>
        <v>0</v>
      </c>
      <c r="N781">
        <f>FUR!CI361</f>
        <v>0</v>
      </c>
      <c r="O781">
        <f>FUR!CJ361</f>
        <v>0</v>
      </c>
      <c r="P781" s="143" t="str">
        <f>FUR!CK361</f>
        <v/>
      </c>
      <c r="R781">
        <f t="shared" si="12"/>
        <v>780</v>
      </c>
    </row>
    <row r="782" spans="5:18">
      <c r="E782" s="147" t="s">
        <v>31</v>
      </c>
      <c r="F782" t="str">
        <f>FUR!CA362</f>
        <v>HPS</v>
      </c>
      <c r="G782" t="str">
        <f>FUR!CB362</f>
        <v>AC</v>
      </c>
      <c r="H782" t="str">
        <f>FUR!CC362</f>
        <v>Vessel</v>
      </c>
      <c r="I782">
        <f>FUR!CD362</f>
        <v>0</v>
      </c>
      <c r="J782">
        <f>FUR!CE362</f>
        <v>0</v>
      </c>
      <c r="K782">
        <f>FUR!CF362</f>
        <v>0</v>
      </c>
      <c r="L782">
        <f>FUR!CG362</f>
        <v>0</v>
      </c>
      <c r="M782">
        <f>FUR!CH362</f>
        <v>0</v>
      </c>
      <c r="N782">
        <f>FUR!CI362</f>
        <v>0</v>
      </c>
      <c r="O782">
        <f>FUR!CJ362</f>
        <v>0</v>
      </c>
      <c r="P782" s="143" t="str">
        <f>FUR!CK362</f>
        <v/>
      </c>
      <c r="R782">
        <f t="shared" si="12"/>
        <v>781</v>
      </c>
    </row>
    <row r="783" spans="5:18">
      <c r="E783" s="147" t="s">
        <v>31</v>
      </c>
      <c r="F783" t="str">
        <f>FUR!CA363</f>
        <v>HPS</v>
      </c>
      <c r="G783" t="str">
        <f>FUR!CB363</f>
        <v>AC</v>
      </c>
      <c r="H783" t="str">
        <f>FUR!CC363</f>
        <v>Vessel</v>
      </c>
      <c r="I783">
        <f>FUR!CD363</f>
        <v>0</v>
      </c>
      <c r="J783">
        <f>FUR!CE363</f>
        <v>0</v>
      </c>
      <c r="K783">
        <f>FUR!CF363</f>
        <v>0</v>
      </c>
      <c r="L783">
        <f>FUR!CG363</f>
        <v>0</v>
      </c>
      <c r="M783">
        <f>FUR!CH363</f>
        <v>0</v>
      </c>
      <c r="N783">
        <f>FUR!CI363</f>
        <v>0</v>
      </c>
      <c r="O783">
        <f>FUR!CJ363</f>
        <v>0</v>
      </c>
      <c r="P783" s="143" t="str">
        <f>FUR!CK363</f>
        <v/>
      </c>
      <c r="R783">
        <f t="shared" si="12"/>
        <v>782</v>
      </c>
    </row>
    <row r="784" spans="5:18">
      <c r="E784" s="147" t="s">
        <v>31</v>
      </c>
      <c r="F784" t="str">
        <f>FUR!CA364</f>
        <v>HPS</v>
      </c>
      <c r="G784" t="str">
        <f>FUR!CB364</f>
        <v>AC</v>
      </c>
      <c r="H784" t="str">
        <f>FUR!CC364</f>
        <v>Vessel</v>
      </c>
      <c r="I784">
        <f>FUR!CD364</f>
        <v>0</v>
      </c>
      <c r="J784">
        <f>FUR!CE364</f>
        <v>0</v>
      </c>
      <c r="K784">
        <f>FUR!CF364</f>
        <v>0</v>
      </c>
      <c r="L784">
        <f>FUR!CG364</f>
        <v>0</v>
      </c>
      <c r="M784">
        <f>FUR!CH364</f>
        <v>0</v>
      </c>
      <c r="N784">
        <f>FUR!CI364</f>
        <v>0</v>
      </c>
      <c r="O784">
        <f>FUR!CJ364</f>
        <v>0</v>
      </c>
      <c r="P784" s="143" t="str">
        <f>FUR!CK364</f>
        <v/>
      </c>
      <c r="R784">
        <f t="shared" si="12"/>
        <v>783</v>
      </c>
    </row>
    <row r="785" spans="5:18">
      <c r="E785" s="147" t="s">
        <v>31</v>
      </c>
      <c r="F785" t="str">
        <f>FUR!CA365</f>
        <v>HPS</v>
      </c>
      <c r="G785" t="str">
        <f>FUR!CB365</f>
        <v>AC</v>
      </c>
      <c r="H785" t="str">
        <f>FUR!CC365</f>
        <v>Vessel</v>
      </c>
      <c r="I785">
        <f>FUR!CD365</f>
        <v>0</v>
      </c>
      <c r="J785">
        <f>FUR!CE365</f>
        <v>0</v>
      </c>
      <c r="K785">
        <f>FUR!CF365</f>
        <v>0</v>
      </c>
      <c r="L785">
        <f>FUR!CG365</f>
        <v>0</v>
      </c>
      <c r="M785">
        <f>FUR!CH365</f>
        <v>0</v>
      </c>
      <c r="N785">
        <f>FUR!CI365</f>
        <v>0</v>
      </c>
      <c r="O785">
        <f>FUR!CJ365</f>
        <v>0</v>
      </c>
      <c r="P785" s="143" t="str">
        <f>FUR!CK365</f>
        <v/>
      </c>
      <c r="R785">
        <f t="shared" si="12"/>
        <v>784</v>
      </c>
    </row>
    <row r="786" spans="5:18">
      <c r="E786" s="147" t="s">
        <v>31</v>
      </c>
      <c r="F786" t="str">
        <f>FUR!CA366</f>
        <v>HPS</v>
      </c>
      <c r="G786" t="str">
        <f>FUR!CB366</f>
        <v>AC</v>
      </c>
      <c r="H786" t="str">
        <f>FUR!CC366</f>
        <v>Vessel</v>
      </c>
      <c r="I786">
        <f>FUR!CD366</f>
        <v>0</v>
      </c>
      <c r="J786">
        <f>FUR!CE366</f>
        <v>0</v>
      </c>
      <c r="K786">
        <f>FUR!CF366</f>
        <v>0</v>
      </c>
      <c r="L786">
        <f>FUR!CG366</f>
        <v>0</v>
      </c>
      <c r="M786">
        <f>FUR!CH366</f>
        <v>0</v>
      </c>
      <c r="N786">
        <f>FUR!CI366</f>
        <v>0</v>
      </c>
      <c r="O786">
        <f>FUR!CJ366</f>
        <v>0</v>
      </c>
      <c r="P786" s="143" t="str">
        <f>FUR!CK366</f>
        <v/>
      </c>
      <c r="R786">
        <f t="shared" si="12"/>
        <v>785</v>
      </c>
    </row>
    <row r="787" spans="5:18">
      <c r="E787" s="147" t="s">
        <v>31</v>
      </c>
      <c r="F787" t="str">
        <f>FUR!CA367</f>
        <v>HPS</v>
      </c>
      <c r="G787" t="str">
        <f>FUR!CB367</f>
        <v>AC</v>
      </c>
      <c r="H787" t="str">
        <f>FUR!CC367</f>
        <v>Vessel</v>
      </c>
      <c r="I787">
        <f>FUR!CD367</f>
        <v>0</v>
      </c>
      <c r="J787">
        <f>FUR!CE367</f>
        <v>0</v>
      </c>
      <c r="K787">
        <f>FUR!CF367</f>
        <v>0</v>
      </c>
      <c r="L787">
        <f>FUR!CG367</f>
        <v>0</v>
      </c>
      <c r="M787">
        <f>FUR!CH367</f>
        <v>0</v>
      </c>
      <c r="N787">
        <f>FUR!CI367</f>
        <v>0</v>
      </c>
      <c r="O787">
        <f>FUR!CJ367</f>
        <v>0</v>
      </c>
      <c r="P787" s="143" t="str">
        <f>FUR!CK367</f>
        <v/>
      </c>
      <c r="R787">
        <f t="shared" si="12"/>
        <v>786</v>
      </c>
    </row>
    <row r="788" spans="5:18">
      <c r="E788" s="147" t="s">
        <v>31</v>
      </c>
      <c r="F788" t="str">
        <f>FUR!CA368</f>
        <v>HPS</v>
      </c>
      <c r="G788" t="str">
        <f>FUR!CB368</f>
        <v>AC</v>
      </c>
      <c r="H788" t="str">
        <f>FUR!CC368</f>
        <v>Vessel</v>
      </c>
      <c r="I788">
        <f>FUR!CD368</f>
        <v>0</v>
      </c>
      <c r="J788">
        <f>FUR!CE368</f>
        <v>0</v>
      </c>
      <c r="K788">
        <f>FUR!CF368</f>
        <v>0</v>
      </c>
      <c r="L788">
        <f>FUR!CG368</f>
        <v>0</v>
      </c>
      <c r="M788">
        <f>FUR!CH368</f>
        <v>0</v>
      </c>
      <c r="N788">
        <f>FUR!CI368</f>
        <v>0</v>
      </c>
      <c r="O788">
        <f>FUR!CJ368</f>
        <v>0</v>
      </c>
      <c r="P788" s="143" t="str">
        <f>FUR!CK368</f>
        <v/>
      </c>
      <c r="R788">
        <f t="shared" si="12"/>
        <v>787</v>
      </c>
    </row>
    <row r="789" spans="5:18">
      <c r="E789" s="147" t="s">
        <v>31</v>
      </c>
      <c r="F789" t="str">
        <f>FUR!CA369</f>
        <v>HPS</v>
      </c>
      <c r="G789" t="str">
        <f>FUR!CB369</f>
        <v>AC</v>
      </c>
      <c r="H789" t="str">
        <f>FUR!CC369</f>
        <v>Vessel</v>
      </c>
      <c r="I789">
        <f>FUR!CD369</f>
        <v>0</v>
      </c>
      <c r="J789">
        <f>FUR!CE369</f>
        <v>0</v>
      </c>
      <c r="K789">
        <f>FUR!CF369</f>
        <v>0</v>
      </c>
      <c r="L789">
        <f>FUR!CG369</f>
        <v>0</v>
      </c>
      <c r="M789">
        <f>FUR!CH369</f>
        <v>0</v>
      </c>
      <c r="N789">
        <f>FUR!CI369</f>
        <v>0</v>
      </c>
      <c r="O789">
        <f>FUR!CJ369</f>
        <v>0</v>
      </c>
      <c r="P789" s="143" t="str">
        <f>FUR!CK369</f>
        <v/>
      </c>
      <c r="R789">
        <f t="shared" si="12"/>
        <v>788</v>
      </c>
    </row>
    <row r="790" spans="5:18">
      <c r="E790" s="147" t="s">
        <v>31</v>
      </c>
      <c r="F790" t="str">
        <f>FUR!CA370</f>
        <v>HPS</v>
      </c>
      <c r="G790" t="str">
        <f>FUR!CB370</f>
        <v>AC</v>
      </c>
      <c r="H790" t="str">
        <f>FUR!CC370</f>
        <v>Vessel</v>
      </c>
      <c r="I790">
        <f>FUR!CD370</f>
        <v>0</v>
      </c>
      <c r="J790">
        <f>FUR!CE370</f>
        <v>0</v>
      </c>
      <c r="K790">
        <f>FUR!CF370</f>
        <v>0</v>
      </c>
      <c r="L790">
        <f>FUR!CG370</f>
        <v>0</v>
      </c>
      <c r="M790">
        <f>FUR!CH370</f>
        <v>0</v>
      </c>
      <c r="N790">
        <f>FUR!CI370</f>
        <v>0</v>
      </c>
      <c r="O790">
        <f>FUR!CJ370</f>
        <v>0</v>
      </c>
      <c r="P790" s="143" t="str">
        <f>FUR!CK370</f>
        <v/>
      </c>
      <c r="R790">
        <f t="shared" si="12"/>
        <v>789</v>
      </c>
    </row>
    <row r="791" spans="5:18">
      <c r="E791" s="147" t="s">
        <v>31</v>
      </c>
      <c r="F791" t="str">
        <f>FUR!CA371</f>
        <v>HPS</v>
      </c>
      <c r="G791" t="str">
        <f>FUR!CB371</f>
        <v>AC</v>
      </c>
      <c r="H791" t="str">
        <f>FUR!CC371</f>
        <v>Vessel</v>
      </c>
      <c r="I791">
        <f>FUR!CD371</f>
        <v>0</v>
      </c>
      <c r="J791">
        <f>FUR!CE371</f>
        <v>0</v>
      </c>
      <c r="K791">
        <f>FUR!CF371</f>
        <v>0</v>
      </c>
      <c r="L791">
        <f>FUR!CG371</f>
        <v>0</v>
      </c>
      <c r="M791">
        <f>FUR!CH371</f>
        <v>0</v>
      </c>
      <c r="N791">
        <f>FUR!CI371</f>
        <v>0</v>
      </c>
      <c r="O791">
        <f>FUR!CJ371</f>
        <v>0</v>
      </c>
      <c r="P791" s="143" t="str">
        <f>FUR!CK371</f>
        <v/>
      </c>
      <c r="R791">
        <f t="shared" si="12"/>
        <v>790</v>
      </c>
    </row>
    <row r="792" spans="5:18">
      <c r="E792" s="147" t="s">
        <v>31</v>
      </c>
      <c r="F792" t="str">
        <f>FUR!CA372</f>
        <v>HPS</v>
      </c>
      <c r="G792" t="str">
        <f>FUR!CB372</f>
        <v>AC</v>
      </c>
      <c r="H792" t="str">
        <f>FUR!CC372</f>
        <v>Vessel</v>
      </c>
      <c r="I792">
        <f>FUR!CD372</f>
        <v>0</v>
      </c>
      <c r="J792">
        <f>FUR!CE372</f>
        <v>0</v>
      </c>
      <c r="K792">
        <f>FUR!CF372</f>
        <v>0</v>
      </c>
      <c r="L792">
        <f>FUR!CG372</f>
        <v>0</v>
      </c>
      <c r="M792">
        <f>FUR!CH372</f>
        <v>0</v>
      </c>
      <c r="N792">
        <f>FUR!CI372</f>
        <v>0</v>
      </c>
      <c r="O792">
        <f>FUR!CJ372</f>
        <v>0</v>
      </c>
      <c r="P792" s="143" t="str">
        <f>FUR!CK372</f>
        <v/>
      </c>
      <c r="R792">
        <f t="shared" si="12"/>
        <v>791</v>
      </c>
    </row>
    <row r="793" spans="5:18">
      <c r="E793" s="147" t="s">
        <v>31</v>
      </c>
      <c r="F793" t="str">
        <f>FUR!CA373</f>
        <v>HPS</v>
      </c>
      <c r="G793" t="str">
        <f>FUR!CB373</f>
        <v>AC</v>
      </c>
      <c r="H793" t="str">
        <f>FUR!CC373</f>
        <v>Vessel</v>
      </c>
      <c r="I793">
        <f>FUR!CD373</f>
        <v>0</v>
      </c>
      <c r="J793">
        <f>FUR!CE373</f>
        <v>0</v>
      </c>
      <c r="K793">
        <f>FUR!CF373</f>
        <v>0</v>
      </c>
      <c r="L793">
        <f>FUR!CG373</f>
        <v>0</v>
      </c>
      <c r="M793">
        <f>FUR!CH373</f>
        <v>0</v>
      </c>
      <c r="N793">
        <f>FUR!CI373</f>
        <v>0</v>
      </c>
      <c r="O793">
        <f>FUR!CJ373</f>
        <v>0</v>
      </c>
      <c r="P793" s="143" t="str">
        <f>FUR!CK373</f>
        <v/>
      </c>
      <c r="R793">
        <f t="shared" si="12"/>
        <v>792</v>
      </c>
    </row>
    <row r="794" spans="5:18">
      <c r="E794" s="147" t="s">
        <v>31</v>
      </c>
      <c r="F794" t="str">
        <f>FUR!CA374</f>
        <v>HPS</v>
      </c>
      <c r="G794" t="str">
        <f>FUR!CB374</f>
        <v>AC</v>
      </c>
      <c r="H794" t="str">
        <f>FUR!CC374</f>
        <v>Vessel</v>
      </c>
      <c r="I794">
        <f>FUR!CD374</f>
        <v>0</v>
      </c>
      <c r="J794">
        <f>FUR!CE374</f>
        <v>0</v>
      </c>
      <c r="K794">
        <f>FUR!CF374</f>
        <v>0</v>
      </c>
      <c r="L794">
        <f>FUR!CG374</f>
        <v>0</v>
      </c>
      <c r="M794">
        <f>FUR!CH374</f>
        <v>0</v>
      </c>
      <c r="N794">
        <f>FUR!CI374</f>
        <v>0</v>
      </c>
      <c r="O794">
        <f>FUR!CJ374</f>
        <v>0</v>
      </c>
      <c r="P794" s="143" t="str">
        <f>FUR!CK374</f>
        <v/>
      </c>
      <c r="R794">
        <f t="shared" si="12"/>
        <v>793</v>
      </c>
    </row>
    <row r="795" spans="5:18">
      <c r="E795" s="147" t="s">
        <v>31</v>
      </c>
      <c r="F795" t="str">
        <f>FUR!CA375</f>
        <v>HPS</v>
      </c>
      <c r="G795" t="str">
        <f>FUR!CB375</f>
        <v>AC</v>
      </c>
      <c r="H795" t="str">
        <f>FUR!CC375</f>
        <v>Vessel</v>
      </c>
      <c r="I795">
        <f>FUR!CD375</f>
        <v>0</v>
      </c>
      <c r="J795">
        <f>FUR!CE375</f>
        <v>0</v>
      </c>
      <c r="K795">
        <f>FUR!CF375</f>
        <v>0</v>
      </c>
      <c r="L795">
        <f>FUR!CG375</f>
        <v>0</v>
      </c>
      <c r="M795">
        <f>FUR!CH375</f>
        <v>0</v>
      </c>
      <c r="N795">
        <f>FUR!CI375</f>
        <v>0</v>
      </c>
      <c r="O795">
        <f>FUR!CJ375</f>
        <v>0</v>
      </c>
      <c r="P795" s="143" t="str">
        <f>FUR!CK375</f>
        <v/>
      </c>
      <c r="R795">
        <f t="shared" si="12"/>
        <v>794</v>
      </c>
    </row>
    <row r="796" spans="5:18">
      <c r="E796" s="147" t="s">
        <v>31</v>
      </c>
      <c r="F796" t="str">
        <f>FUR!CA376</f>
        <v>HPS</v>
      </c>
      <c r="G796" t="str">
        <f>FUR!CB376</f>
        <v>AC</v>
      </c>
      <c r="H796" t="str">
        <f>FUR!CC376</f>
        <v>Vessel</v>
      </c>
      <c r="I796">
        <f>FUR!CD376</f>
        <v>0</v>
      </c>
      <c r="J796">
        <f>FUR!CE376</f>
        <v>0</v>
      </c>
      <c r="K796">
        <f>FUR!CF376</f>
        <v>0</v>
      </c>
      <c r="L796">
        <f>FUR!CG376</f>
        <v>0</v>
      </c>
      <c r="M796">
        <f>FUR!CH376</f>
        <v>0</v>
      </c>
      <c r="N796">
        <f>FUR!CI376</f>
        <v>0</v>
      </c>
      <c r="O796">
        <f>FUR!CJ376</f>
        <v>0</v>
      </c>
      <c r="P796" s="143" t="str">
        <f>FUR!CK376</f>
        <v/>
      </c>
      <c r="R796">
        <f t="shared" si="12"/>
        <v>795</v>
      </c>
    </row>
    <row r="797" spans="5:18">
      <c r="E797" s="147" t="s">
        <v>31</v>
      </c>
      <c r="F797" t="str">
        <f>FUR!CA377</f>
        <v>HPS</v>
      </c>
      <c r="G797" t="str">
        <f>FUR!CB377</f>
        <v>AC</v>
      </c>
      <c r="H797" t="str">
        <f>FUR!CC377</f>
        <v>Vessel</v>
      </c>
      <c r="I797">
        <f>FUR!CD377</f>
        <v>0</v>
      </c>
      <c r="J797">
        <f>FUR!CE377</f>
        <v>0</v>
      </c>
      <c r="K797">
        <f>FUR!CF377</f>
        <v>0</v>
      </c>
      <c r="L797">
        <f>FUR!CG377</f>
        <v>0</v>
      </c>
      <c r="M797">
        <f>FUR!CH377</f>
        <v>0</v>
      </c>
      <c r="N797">
        <f>FUR!CI377</f>
        <v>0</v>
      </c>
      <c r="O797">
        <f>FUR!CJ377</f>
        <v>0</v>
      </c>
      <c r="P797" s="143" t="str">
        <f>FUR!CK377</f>
        <v/>
      </c>
      <c r="R797">
        <f t="shared" si="12"/>
        <v>796</v>
      </c>
    </row>
    <row r="798" spans="5:18">
      <c r="E798" s="147" t="s">
        <v>31</v>
      </c>
      <c r="F798" t="str">
        <f>FUR!CA378</f>
        <v>HPS</v>
      </c>
      <c r="G798" t="str">
        <f>FUR!CB378</f>
        <v>AC</v>
      </c>
      <c r="H798" t="str">
        <f>FUR!CC378</f>
        <v>Vessel</v>
      </c>
      <c r="I798">
        <f>FUR!CD378</f>
        <v>0</v>
      </c>
      <c r="J798">
        <f>FUR!CE378</f>
        <v>0</v>
      </c>
      <c r="K798">
        <f>FUR!CF378</f>
        <v>0</v>
      </c>
      <c r="L798">
        <f>FUR!CG378</f>
        <v>0</v>
      </c>
      <c r="M798">
        <f>FUR!CH378</f>
        <v>0</v>
      </c>
      <c r="N798">
        <f>FUR!CI378</f>
        <v>0</v>
      </c>
      <c r="O798">
        <f>FUR!CJ378</f>
        <v>0</v>
      </c>
      <c r="P798" s="143" t="str">
        <f>FUR!CK378</f>
        <v/>
      </c>
      <c r="R798">
        <f t="shared" si="12"/>
        <v>797</v>
      </c>
    </row>
    <row r="799" spans="5:18">
      <c r="E799" s="147" t="s">
        <v>31</v>
      </c>
      <c r="F799" t="str">
        <f>FUR!CA379</f>
        <v>HPS</v>
      </c>
      <c r="G799" t="str">
        <f>FUR!CB379</f>
        <v>AC</v>
      </c>
      <c r="H799" t="str">
        <f>FUR!CC379</f>
        <v>Vessel</v>
      </c>
      <c r="I799">
        <f>FUR!CD379</f>
        <v>0</v>
      </c>
      <c r="J799">
        <f>FUR!CE379</f>
        <v>0</v>
      </c>
      <c r="K799">
        <f>FUR!CF379</f>
        <v>0</v>
      </c>
      <c r="L799">
        <f>FUR!CG379</f>
        <v>0</v>
      </c>
      <c r="M799">
        <f>FUR!CH379</f>
        <v>0</v>
      </c>
      <c r="N799">
        <f>FUR!CI379</f>
        <v>0</v>
      </c>
      <c r="O799">
        <f>FUR!CJ379</f>
        <v>0</v>
      </c>
      <c r="P799" s="143" t="str">
        <f>FUR!CK379</f>
        <v/>
      </c>
      <c r="R799">
        <f t="shared" si="12"/>
        <v>798</v>
      </c>
    </row>
    <row r="800" spans="5:18">
      <c r="E800" s="147" t="s">
        <v>31</v>
      </c>
      <c r="F800" t="str">
        <f>FUR!CA380</f>
        <v>HPS</v>
      </c>
      <c r="G800" t="str">
        <f>FUR!CB380</f>
        <v>AC</v>
      </c>
      <c r="H800" t="str">
        <f>FUR!CC380</f>
        <v>Vessel</v>
      </c>
      <c r="I800">
        <f>FUR!CD380</f>
        <v>0</v>
      </c>
      <c r="J800">
        <f>FUR!CE380</f>
        <v>0</v>
      </c>
      <c r="K800">
        <f>FUR!CF380</f>
        <v>0</v>
      </c>
      <c r="L800">
        <f>FUR!CG380</f>
        <v>0</v>
      </c>
      <c r="M800">
        <f>FUR!CH380</f>
        <v>0</v>
      </c>
      <c r="N800">
        <f>FUR!CI380</f>
        <v>0</v>
      </c>
      <c r="O800">
        <f>FUR!CJ380</f>
        <v>0</v>
      </c>
      <c r="P800" s="143" t="str">
        <f>FUR!CK380</f>
        <v/>
      </c>
      <c r="R800">
        <f t="shared" si="12"/>
        <v>799</v>
      </c>
    </row>
    <row r="801" spans="5:18">
      <c r="E801" s="147" t="s">
        <v>31</v>
      </c>
      <c r="F801" t="str">
        <f>FUR!CA381</f>
        <v>HPS</v>
      </c>
      <c r="G801" t="str">
        <f>FUR!CB381</f>
        <v>AC</v>
      </c>
      <c r="H801" t="str">
        <f>FUR!CC381</f>
        <v>Vessel</v>
      </c>
      <c r="I801">
        <f>FUR!CD381</f>
        <v>0</v>
      </c>
      <c r="J801">
        <f>FUR!CE381</f>
        <v>0</v>
      </c>
      <c r="K801">
        <f>FUR!CF381</f>
        <v>0</v>
      </c>
      <c r="L801">
        <f>FUR!CG381</f>
        <v>0</v>
      </c>
      <c r="M801">
        <f>FUR!CH381</f>
        <v>0</v>
      </c>
      <c r="N801">
        <f>FUR!CI381</f>
        <v>0</v>
      </c>
      <c r="O801">
        <f>FUR!CJ381</f>
        <v>0</v>
      </c>
      <c r="P801" s="143" t="str">
        <f>FUR!CK381</f>
        <v/>
      </c>
      <c r="R801">
        <f t="shared" si="12"/>
        <v>800</v>
      </c>
    </row>
    <row r="802" spans="5:18">
      <c r="E802" s="147" t="s">
        <v>31</v>
      </c>
      <c r="F802" t="str">
        <f>FUR!CA382</f>
        <v>HPS</v>
      </c>
      <c r="G802" t="str">
        <f>FUR!CB382</f>
        <v>AC</v>
      </c>
      <c r="H802" t="str">
        <f>FUR!CC382</f>
        <v>Vessel</v>
      </c>
      <c r="I802">
        <f>FUR!CD382</f>
        <v>0</v>
      </c>
      <c r="J802">
        <f>FUR!CE382</f>
        <v>0</v>
      </c>
      <c r="K802">
        <f>FUR!CF382</f>
        <v>0</v>
      </c>
      <c r="L802">
        <f>FUR!CG382</f>
        <v>0</v>
      </c>
      <c r="M802">
        <f>FUR!CH382</f>
        <v>0</v>
      </c>
      <c r="N802">
        <f>FUR!CI382</f>
        <v>0</v>
      </c>
      <c r="O802">
        <f>FUR!CJ382</f>
        <v>0</v>
      </c>
      <c r="P802" s="143" t="str">
        <f>FUR!CK382</f>
        <v/>
      </c>
      <c r="R802">
        <f t="shared" si="12"/>
        <v>801</v>
      </c>
    </row>
    <row r="803" spans="5:18">
      <c r="E803" s="147" t="s">
        <v>31</v>
      </c>
      <c r="F803" t="str">
        <f>FUR!CA383</f>
        <v>HPS</v>
      </c>
      <c r="G803" t="str">
        <f>FUR!CB383</f>
        <v>AC</v>
      </c>
      <c r="H803" t="str">
        <f>FUR!CC383</f>
        <v>Vessel</v>
      </c>
      <c r="I803">
        <f>FUR!CD383</f>
        <v>0</v>
      </c>
      <c r="J803">
        <f>FUR!CE383</f>
        <v>0</v>
      </c>
      <c r="K803">
        <f>FUR!CF383</f>
        <v>0</v>
      </c>
      <c r="L803">
        <f>FUR!CG383</f>
        <v>0</v>
      </c>
      <c r="M803">
        <f>FUR!CH383</f>
        <v>0</v>
      </c>
      <c r="N803">
        <f>FUR!CI383</f>
        <v>0</v>
      </c>
      <c r="O803">
        <f>FUR!CJ383</f>
        <v>0</v>
      </c>
      <c r="P803" s="143" t="str">
        <f>FUR!CK383</f>
        <v/>
      </c>
      <c r="R803">
        <f t="shared" si="12"/>
        <v>802</v>
      </c>
    </row>
    <row r="804" spans="5:18">
      <c r="E804" s="147" t="s">
        <v>31</v>
      </c>
      <c r="F804" t="str">
        <f>FUR!CA384</f>
        <v>HPS</v>
      </c>
      <c r="G804" t="str">
        <f>FUR!CB384</f>
        <v>AC</v>
      </c>
      <c r="H804" t="str">
        <f>FUR!CC384</f>
        <v>Vessel</v>
      </c>
      <c r="I804">
        <f>FUR!CD384</f>
        <v>0</v>
      </c>
      <c r="J804">
        <f>FUR!CE384</f>
        <v>0</v>
      </c>
      <c r="K804">
        <f>FUR!CF384</f>
        <v>0</v>
      </c>
      <c r="L804">
        <f>FUR!CG384</f>
        <v>0</v>
      </c>
      <c r="M804">
        <f>FUR!CH384</f>
        <v>0</v>
      </c>
      <c r="N804">
        <f>FUR!CI384</f>
        <v>0</v>
      </c>
      <c r="O804">
        <f>FUR!CJ384</f>
        <v>0</v>
      </c>
      <c r="P804" s="143" t="str">
        <f>FUR!CK384</f>
        <v/>
      </c>
      <c r="R804">
        <f t="shared" si="12"/>
        <v>803</v>
      </c>
    </row>
    <row r="805" spans="5:18">
      <c r="E805" s="147" t="s">
        <v>31</v>
      </c>
      <c r="F805" t="str">
        <f>FUR!CA385</f>
        <v>HPS</v>
      </c>
      <c r="G805" t="str">
        <f>FUR!CB385</f>
        <v>AC</v>
      </c>
      <c r="H805" t="str">
        <f>FUR!CC385</f>
        <v>Vessel</v>
      </c>
      <c r="I805">
        <f>FUR!CD385</f>
        <v>0</v>
      </c>
      <c r="J805">
        <f>FUR!CE385</f>
        <v>0</v>
      </c>
      <c r="K805">
        <f>FUR!CF385</f>
        <v>0</v>
      </c>
      <c r="L805">
        <f>FUR!CG385</f>
        <v>0</v>
      </c>
      <c r="M805">
        <f>FUR!CH385</f>
        <v>0</v>
      </c>
      <c r="N805">
        <f>FUR!CI385</f>
        <v>0</v>
      </c>
      <c r="O805">
        <f>FUR!CJ385</f>
        <v>0</v>
      </c>
      <c r="P805" s="143" t="str">
        <f>FUR!CK385</f>
        <v/>
      </c>
      <c r="R805">
        <f t="shared" si="12"/>
        <v>804</v>
      </c>
    </row>
    <row r="806" spans="5:18">
      <c r="E806" s="147" t="s">
        <v>31</v>
      </c>
      <c r="F806" t="str">
        <f>FUR!CA386</f>
        <v>HPS</v>
      </c>
      <c r="G806" t="str">
        <f>FUR!CB386</f>
        <v>AC</v>
      </c>
      <c r="H806" t="str">
        <f>FUR!CC386</f>
        <v>Vessel</v>
      </c>
      <c r="I806">
        <f>FUR!CD386</f>
        <v>0</v>
      </c>
      <c r="J806">
        <f>FUR!CE386</f>
        <v>0</v>
      </c>
      <c r="K806">
        <f>FUR!CF386</f>
        <v>0</v>
      </c>
      <c r="L806">
        <f>FUR!CG386</f>
        <v>0</v>
      </c>
      <c r="M806">
        <f>FUR!CH386</f>
        <v>0</v>
      </c>
      <c r="N806">
        <f>FUR!CI386</f>
        <v>0</v>
      </c>
      <c r="O806">
        <f>FUR!CJ386</f>
        <v>0</v>
      </c>
      <c r="P806" s="143" t="str">
        <f>FUR!CK386</f>
        <v/>
      </c>
      <c r="R806">
        <f t="shared" si="12"/>
        <v>805</v>
      </c>
    </row>
    <row r="807" spans="5:18">
      <c r="E807" s="147" t="s">
        <v>31</v>
      </c>
      <c r="F807" t="str">
        <f>FUR!CA387</f>
        <v>HPS</v>
      </c>
      <c r="G807" t="str">
        <f>FUR!CB387</f>
        <v>AC</v>
      </c>
      <c r="H807" t="str">
        <f>FUR!CC387</f>
        <v>Vessel</v>
      </c>
      <c r="I807">
        <f>FUR!CD387</f>
        <v>0</v>
      </c>
      <c r="J807">
        <f>FUR!CE387</f>
        <v>0</v>
      </c>
      <c r="K807">
        <f>FUR!CF387</f>
        <v>0</v>
      </c>
      <c r="L807">
        <f>FUR!CG387</f>
        <v>0</v>
      </c>
      <c r="M807">
        <f>FUR!CH387</f>
        <v>0</v>
      </c>
      <c r="N807">
        <f>FUR!CI387</f>
        <v>0</v>
      </c>
      <c r="O807">
        <f>FUR!CJ387</f>
        <v>0</v>
      </c>
      <c r="P807" s="143" t="str">
        <f>FUR!CK387</f>
        <v/>
      </c>
      <c r="R807">
        <f t="shared" si="12"/>
        <v>806</v>
      </c>
    </row>
    <row r="808" spans="5:18">
      <c r="E808" s="147" t="s">
        <v>31</v>
      </c>
      <c r="F808" t="str">
        <f>FUR!CA388</f>
        <v>HPS</v>
      </c>
      <c r="G808" t="str">
        <f>FUR!CB388</f>
        <v>AC</v>
      </c>
      <c r="H808" t="str">
        <f>FUR!CC388</f>
        <v>Vessel</v>
      </c>
      <c r="I808">
        <f>FUR!CD388</f>
        <v>0</v>
      </c>
      <c r="J808">
        <f>FUR!CE388</f>
        <v>0</v>
      </c>
      <c r="K808">
        <f>FUR!CF388</f>
        <v>0</v>
      </c>
      <c r="L808">
        <f>FUR!CG388</f>
        <v>0</v>
      </c>
      <c r="M808">
        <f>FUR!CH388</f>
        <v>0</v>
      </c>
      <c r="N808">
        <f>FUR!CI388</f>
        <v>0</v>
      </c>
      <c r="O808">
        <f>FUR!CJ388</f>
        <v>0</v>
      </c>
      <c r="P808" s="143" t="str">
        <f>FUR!CK388</f>
        <v/>
      </c>
      <c r="R808">
        <f t="shared" si="12"/>
        <v>807</v>
      </c>
    </row>
    <row r="809" spans="5:18">
      <c r="E809" s="147" t="s">
        <v>31</v>
      </c>
      <c r="F809" t="str">
        <f>FUR!CA389</f>
        <v>HPS</v>
      </c>
      <c r="G809" t="str">
        <f>FUR!CB389</f>
        <v>AC</v>
      </c>
      <c r="H809" t="str">
        <f>FUR!CC389</f>
        <v>Vessel</v>
      </c>
      <c r="I809">
        <f>FUR!CD389</f>
        <v>0</v>
      </c>
      <c r="J809">
        <f>FUR!CE389</f>
        <v>0</v>
      </c>
      <c r="K809">
        <f>FUR!CF389</f>
        <v>0</v>
      </c>
      <c r="L809">
        <f>FUR!CG389</f>
        <v>0</v>
      </c>
      <c r="M809">
        <f>FUR!CH389</f>
        <v>0</v>
      </c>
      <c r="N809">
        <f>FUR!CI389</f>
        <v>0</v>
      </c>
      <c r="O809">
        <f>FUR!CJ389</f>
        <v>0</v>
      </c>
      <c r="P809" s="143" t="str">
        <f>FUR!CK389</f>
        <v/>
      </c>
      <c r="R809">
        <f t="shared" si="12"/>
        <v>808</v>
      </c>
    </row>
    <row r="810" spans="5:18">
      <c r="E810" s="147" t="s">
        <v>31</v>
      </c>
      <c r="F810" t="str">
        <f>FUR!CA390</f>
        <v>HPS</v>
      </c>
      <c r="G810" t="str">
        <f>FUR!CB390</f>
        <v>AC</v>
      </c>
      <c r="H810" t="str">
        <f>FUR!CC390</f>
        <v>Vessel</v>
      </c>
      <c r="I810">
        <f>FUR!CD390</f>
        <v>0</v>
      </c>
      <c r="J810">
        <f>FUR!CE390</f>
        <v>0</v>
      </c>
      <c r="K810">
        <f>FUR!CF390</f>
        <v>0</v>
      </c>
      <c r="L810">
        <f>FUR!CG390</f>
        <v>0</v>
      </c>
      <c r="M810">
        <f>FUR!CH390</f>
        <v>0</v>
      </c>
      <c r="N810">
        <f>FUR!CI390</f>
        <v>0</v>
      </c>
      <c r="O810">
        <f>FUR!CJ390</f>
        <v>0</v>
      </c>
      <c r="P810" s="143" t="str">
        <f>FUR!CK390</f>
        <v/>
      </c>
      <c r="R810">
        <f t="shared" si="12"/>
        <v>809</v>
      </c>
    </row>
    <row r="811" spans="5:18">
      <c r="E811" s="147" t="s">
        <v>31</v>
      </c>
      <c r="F811" t="str">
        <f>FUR!CA391</f>
        <v>HPS</v>
      </c>
      <c r="G811" t="str">
        <f>FUR!CB391</f>
        <v>AC</v>
      </c>
      <c r="H811" t="str">
        <f>FUR!CC391</f>
        <v>Vessel</v>
      </c>
      <c r="I811">
        <f>FUR!CD391</f>
        <v>0</v>
      </c>
      <c r="J811">
        <f>FUR!CE391</f>
        <v>0</v>
      </c>
      <c r="K811">
        <f>FUR!CF391</f>
        <v>0</v>
      </c>
      <c r="L811">
        <f>FUR!CG391</f>
        <v>0</v>
      </c>
      <c r="M811">
        <f>FUR!CH391</f>
        <v>0</v>
      </c>
      <c r="N811">
        <f>FUR!CI391</f>
        <v>0</v>
      </c>
      <c r="O811">
        <f>FUR!CJ391</f>
        <v>0</v>
      </c>
      <c r="P811" s="143" t="str">
        <f>FUR!CK391</f>
        <v/>
      </c>
      <c r="R811">
        <f t="shared" si="12"/>
        <v>810</v>
      </c>
    </row>
    <row r="812" spans="5:18">
      <c r="E812" s="147" t="s">
        <v>31</v>
      </c>
      <c r="F812" t="str">
        <f>FUR!CA392</f>
        <v>HPS</v>
      </c>
      <c r="G812" t="str">
        <f>FUR!CB392</f>
        <v>AC</v>
      </c>
      <c r="H812" t="str">
        <f>FUR!CC392</f>
        <v>Vessel</v>
      </c>
      <c r="I812">
        <f>FUR!CD392</f>
        <v>0</v>
      </c>
      <c r="J812">
        <f>FUR!CE392</f>
        <v>0</v>
      </c>
      <c r="K812">
        <f>FUR!CF392</f>
        <v>0</v>
      </c>
      <c r="L812">
        <f>FUR!CG392</f>
        <v>0</v>
      </c>
      <c r="M812">
        <f>FUR!CH392</f>
        <v>0</v>
      </c>
      <c r="N812">
        <f>FUR!CI392</f>
        <v>0</v>
      </c>
      <c r="O812">
        <f>FUR!CJ392</f>
        <v>0</v>
      </c>
      <c r="P812" s="143" t="str">
        <f>FUR!CK392</f>
        <v/>
      </c>
      <c r="R812">
        <f t="shared" si="12"/>
        <v>811</v>
      </c>
    </row>
    <row r="813" spans="5:18">
      <c r="E813" s="147" t="s">
        <v>31</v>
      </c>
      <c r="F813" t="str">
        <f>FUR!CA393</f>
        <v>HPS</v>
      </c>
      <c r="G813" t="str">
        <f>FUR!CB393</f>
        <v>AC</v>
      </c>
      <c r="H813" t="str">
        <f>FUR!CC393</f>
        <v>Vessel</v>
      </c>
      <c r="I813">
        <f>FUR!CD393</f>
        <v>0</v>
      </c>
      <c r="J813">
        <f>FUR!CE393</f>
        <v>0</v>
      </c>
      <c r="K813">
        <f>FUR!CF393</f>
        <v>0</v>
      </c>
      <c r="L813">
        <f>FUR!CG393</f>
        <v>0</v>
      </c>
      <c r="M813">
        <f>FUR!CH393</f>
        <v>0</v>
      </c>
      <c r="N813">
        <f>FUR!CI393</f>
        <v>0</v>
      </c>
      <c r="O813">
        <f>FUR!CJ393</f>
        <v>0</v>
      </c>
      <c r="P813" s="143" t="str">
        <f>FUR!CK393</f>
        <v/>
      </c>
      <c r="R813">
        <f t="shared" si="12"/>
        <v>812</v>
      </c>
    </row>
    <row r="814" spans="5:18">
      <c r="E814" s="147" t="s">
        <v>31</v>
      </c>
      <c r="F814" t="str">
        <f>FUR!CA394</f>
        <v>HPS</v>
      </c>
      <c r="G814" t="str">
        <f>FUR!CB394</f>
        <v>AC</v>
      </c>
      <c r="H814" t="str">
        <f>FUR!CC394</f>
        <v>Vessel</v>
      </c>
      <c r="I814">
        <f>FUR!CD394</f>
        <v>0</v>
      </c>
      <c r="J814">
        <f>FUR!CE394</f>
        <v>0</v>
      </c>
      <c r="K814">
        <f>FUR!CF394</f>
        <v>0</v>
      </c>
      <c r="L814">
        <f>FUR!CG394</f>
        <v>0</v>
      </c>
      <c r="M814">
        <f>FUR!CH394</f>
        <v>0</v>
      </c>
      <c r="N814">
        <f>FUR!CI394</f>
        <v>0</v>
      </c>
      <c r="O814">
        <f>FUR!CJ394</f>
        <v>0</v>
      </c>
      <c r="P814" s="143" t="str">
        <f>FUR!CK394</f>
        <v/>
      </c>
      <c r="R814">
        <f t="shared" si="12"/>
        <v>813</v>
      </c>
    </row>
    <row r="815" spans="5:18">
      <c r="E815" s="147" t="s">
        <v>31</v>
      </c>
      <c r="F815" t="str">
        <f>FUR!CA395</f>
        <v>HPS</v>
      </c>
      <c r="G815" t="str">
        <f>FUR!CB395</f>
        <v>AC</v>
      </c>
      <c r="H815" t="str">
        <f>FUR!CC395</f>
        <v>Vessel</v>
      </c>
      <c r="I815">
        <f>FUR!CD395</f>
        <v>0</v>
      </c>
      <c r="J815">
        <f>FUR!CE395</f>
        <v>0</v>
      </c>
      <c r="K815">
        <f>FUR!CF395</f>
        <v>0</v>
      </c>
      <c r="L815">
        <f>FUR!CG395</f>
        <v>0</v>
      </c>
      <c r="M815">
        <f>FUR!CH395</f>
        <v>0</v>
      </c>
      <c r="N815">
        <f>FUR!CI395</f>
        <v>0</v>
      </c>
      <c r="O815">
        <f>FUR!CJ395</f>
        <v>0</v>
      </c>
      <c r="P815" s="143" t="str">
        <f>FUR!CK395</f>
        <v/>
      </c>
      <c r="R815">
        <f t="shared" si="12"/>
        <v>814</v>
      </c>
    </row>
    <row r="816" spans="5:18">
      <c r="E816" s="147" t="s">
        <v>31</v>
      </c>
      <c r="F816" t="str">
        <f>FUR!CA396</f>
        <v>HPS</v>
      </c>
      <c r="G816" t="str">
        <f>FUR!CB396</f>
        <v>AC</v>
      </c>
      <c r="H816" t="str">
        <f>FUR!CC396</f>
        <v>Vessel</v>
      </c>
      <c r="I816">
        <f>FUR!CD396</f>
        <v>0</v>
      </c>
      <c r="J816">
        <f>FUR!CE396</f>
        <v>0</v>
      </c>
      <c r="K816">
        <f>FUR!CF396</f>
        <v>0</v>
      </c>
      <c r="L816">
        <f>FUR!CG396</f>
        <v>0</v>
      </c>
      <c r="M816">
        <f>FUR!CH396</f>
        <v>0</v>
      </c>
      <c r="N816">
        <f>FUR!CI396</f>
        <v>0</v>
      </c>
      <c r="O816">
        <f>FUR!CJ396</f>
        <v>0</v>
      </c>
      <c r="P816" s="143" t="str">
        <f>FUR!CK396</f>
        <v/>
      </c>
      <c r="R816">
        <f t="shared" si="12"/>
        <v>815</v>
      </c>
    </row>
    <row r="817" spans="5:18">
      <c r="E817" s="147" t="s">
        <v>31</v>
      </c>
      <c r="F817" t="str">
        <f>FUR!CA397</f>
        <v>HPS</v>
      </c>
      <c r="G817" t="str">
        <f>FUR!CB397</f>
        <v>AC</v>
      </c>
      <c r="H817" t="str">
        <f>FUR!CC397</f>
        <v>Vessel</v>
      </c>
      <c r="I817">
        <f>FUR!CD397</f>
        <v>0</v>
      </c>
      <c r="J817">
        <f>FUR!CE397</f>
        <v>0</v>
      </c>
      <c r="K817">
        <f>FUR!CF397</f>
        <v>0</v>
      </c>
      <c r="L817">
        <f>FUR!CG397</f>
        <v>0</v>
      </c>
      <c r="M817">
        <f>FUR!CH397</f>
        <v>0</v>
      </c>
      <c r="N817">
        <f>FUR!CI397</f>
        <v>0</v>
      </c>
      <c r="O817">
        <f>FUR!CJ397</f>
        <v>0</v>
      </c>
      <c r="P817" s="143" t="str">
        <f>FUR!CK397</f>
        <v/>
      </c>
      <c r="R817">
        <f t="shared" si="12"/>
        <v>816</v>
      </c>
    </row>
    <row r="818" spans="5:18">
      <c r="E818" s="147" t="s">
        <v>31</v>
      </c>
      <c r="F818" t="str">
        <f>FUR!CA398</f>
        <v>HPS</v>
      </c>
      <c r="G818" t="str">
        <f>FUR!CB398</f>
        <v>AC</v>
      </c>
      <c r="H818" t="str">
        <f>FUR!CC398</f>
        <v>Vessel</v>
      </c>
      <c r="I818">
        <f>FUR!CD398</f>
        <v>0</v>
      </c>
      <c r="J818">
        <f>FUR!CE398</f>
        <v>0</v>
      </c>
      <c r="K818">
        <f>FUR!CF398</f>
        <v>0</v>
      </c>
      <c r="L818">
        <f>FUR!CG398</f>
        <v>0</v>
      </c>
      <c r="M818">
        <f>FUR!CH398</f>
        <v>0</v>
      </c>
      <c r="N818">
        <f>FUR!CI398</f>
        <v>0</v>
      </c>
      <c r="O818">
        <f>FUR!CJ398</f>
        <v>0</v>
      </c>
      <c r="P818" s="143" t="str">
        <f>FUR!CK398</f>
        <v/>
      </c>
      <c r="R818">
        <f t="shared" si="12"/>
        <v>817</v>
      </c>
    </row>
    <row r="819" spans="5:18">
      <c r="E819" s="147" t="s">
        <v>31</v>
      </c>
      <c r="F819" t="str">
        <f>FUR!CA399</f>
        <v>HPS</v>
      </c>
      <c r="G819" t="str">
        <f>FUR!CB399</f>
        <v>AC</v>
      </c>
      <c r="H819" t="str">
        <f>FUR!CC399</f>
        <v>Vessel</v>
      </c>
      <c r="I819">
        <f>FUR!CD399</f>
        <v>0</v>
      </c>
      <c r="J819">
        <f>FUR!CE399</f>
        <v>0</v>
      </c>
      <c r="K819">
        <f>FUR!CF399</f>
        <v>0</v>
      </c>
      <c r="L819">
        <f>FUR!CG399</f>
        <v>0</v>
      </c>
      <c r="M819">
        <f>FUR!CH399</f>
        <v>0</v>
      </c>
      <c r="N819">
        <f>FUR!CI399</f>
        <v>0</v>
      </c>
      <c r="O819">
        <f>FUR!CJ399</f>
        <v>0</v>
      </c>
      <c r="P819" s="143" t="str">
        <f>FUR!CK399</f>
        <v/>
      </c>
      <c r="R819">
        <f t="shared" si="12"/>
        <v>818</v>
      </c>
    </row>
    <row r="820" spans="5:18">
      <c r="E820" s="147" t="s">
        <v>31</v>
      </c>
      <c r="F820" t="str">
        <f>FUR!CA400</f>
        <v>HPS</v>
      </c>
      <c r="G820" t="str">
        <f>FUR!CB400</f>
        <v>AC</v>
      </c>
      <c r="H820" t="str">
        <f>FUR!CC400</f>
        <v>Vessel</v>
      </c>
      <c r="I820">
        <f>FUR!CD400</f>
        <v>0</v>
      </c>
      <c r="J820">
        <f>FUR!CE400</f>
        <v>0</v>
      </c>
      <c r="K820">
        <f>FUR!CF400</f>
        <v>0</v>
      </c>
      <c r="L820">
        <f>FUR!CG400</f>
        <v>0</v>
      </c>
      <c r="M820">
        <f>FUR!CH400</f>
        <v>0</v>
      </c>
      <c r="N820">
        <f>FUR!CI400</f>
        <v>0</v>
      </c>
      <c r="O820">
        <f>FUR!CJ400</f>
        <v>0</v>
      </c>
      <c r="P820" s="143" t="str">
        <f>FUR!CK400</f>
        <v/>
      </c>
      <c r="R820">
        <f t="shared" si="12"/>
        <v>819</v>
      </c>
    </row>
    <row r="821" spans="5:18" ht="17.100000000000001" thickBot="1">
      <c r="E821" s="148" t="s">
        <v>31</v>
      </c>
      <c r="F821" s="144" t="str">
        <f>FUR!CA401</f>
        <v>HPS</v>
      </c>
      <c r="G821" s="144" t="str">
        <f>FUR!CB401</f>
        <v>AC</v>
      </c>
      <c r="H821" s="144" t="str">
        <f>FUR!CC401</f>
        <v>Vessel</v>
      </c>
      <c r="I821" s="144">
        <f>FUR!CD401</f>
        <v>0</v>
      </c>
      <c r="J821" s="144">
        <f>FUR!CE401</f>
        <v>0</v>
      </c>
      <c r="K821" s="144">
        <f>FUR!CF401</f>
        <v>0</v>
      </c>
      <c r="L821" s="144">
        <f>FUR!CG401</f>
        <v>0</v>
      </c>
      <c r="M821" s="144">
        <f>FUR!CH401</f>
        <v>0</v>
      </c>
      <c r="N821" s="144">
        <f>FUR!CI401</f>
        <v>0</v>
      </c>
      <c r="O821" s="144">
        <f>FUR!CJ401</f>
        <v>0</v>
      </c>
      <c r="P821" s="145" t="str">
        <f>FUR!CK401</f>
        <v/>
      </c>
      <c r="R821">
        <f t="shared" si="12"/>
        <v>820</v>
      </c>
    </row>
    <row r="822" spans="5:18">
      <c r="E822" s="146" t="s">
        <v>60</v>
      </c>
      <c r="F822" s="141" t="str">
        <f>GKT!CB2</f>
        <v>HPS</v>
      </c>
      <c r="G822" s="141" t="str">
        <f>GKT!CC2</f>
        <v>AC</v>
      </c>
      <c r="H822" s="141" t="str">
        <f>GKT!CD2</f>
        <v>Vessel</v>
      </c>
      <c r="I822" s="141">
        <f>GKT!CE2</f>
        <v>0</v>
      </c>
      <c r="J822" s="141" t="str">
        <f>GKT!CF2</f>
        <v>Gasket</v>
      </c>
      <c r="K822" s="141" t="str">
        <f>GKT!CG2</f>
        <v>400MPa Ni</v>
      </c>
      <c r="L822" s="141" t="str">
        <f>GKT!CH2</f>
        <v>GKT-400-1</v>
      </c>
      <c r="M822" s="141">
        <f>GKT!CI2</f>
        <v>0</v>
      </c>
      <c r="N822" s="141">
        <f>GKT!CJ2</f>
        <v>0</v>
      </c>
      <c r="O822" s="141">
        <f>GKT!CK2</f>
        <v>0</v>
      </c>
      <c r="P822" s="142" t="str">
        <f>GKT!CL2</f>
        <v>Retired</v>
      </c>
      <c r="R822">
        <f t="shared" si="12"/>
        <v>821</v>
      </c>
    </row>
    <row r="823" spans="5:18">
      <c r="E823" s="147" t="s">
        <v>60</v>
      </c>
      <c r="F823" t="str">
        <f>GKT!CB3</f>
        <v>HPS</v>
      </c>
      <c r="G823" t="str">
        <f>GKT!CC3</f>
        <v>AC</v>
      </c>
      <c r="H823" t="str">
        <f>GKT!CD3</f>
        <v>Vessel</v>
      </c>
      <c r="I823">
        <f>GKT!CE3</f>
        <v>0</v>
      </c>
      <c r="J823" t="str">
        <f>GKT!CF3</f>
        <v>Gasket</v>
      </c>
      <c r="K823" t="str">
        <f>GKT!CG3</f>
        <v>400MPa Ni w/M8</v>
      </c>
      <c r="L823" t="str">
        <f>GKT!CH3</f>
        <v>GKT-400-2</v>
      </c>
      <c r="M823">
        <f>GKT!CI3</f>
        <v>0</v>
      </c>
      <c r="N823">
        <f>GKT!CJ3</f>
        <v>0</v>
      </c>
      <c r="O823">
        <f>GKT!CK3</f>
        <v>0</v>
      </c>
      <c r="P823" s="143" t="str">
        <f>GKT!CL3</f>
        <v>Retired</v>
      </c>
      <c r="R823">
        <f t="shared" si="12"/>
        <v>822</v>
      </c>
    </row>
    <row r="824" spans="5:18">
      <c r="E824" s="147" t="s">
        <v>60</v>
      </c>
      <c r="F824" t="str">
        <f>GKT!CB4</f>
        <v>HPS</v>
      </c>
      <c r="G824" t="str">
        <f>GKT!CC4</f>
        <v>AC</v>
      </c>
      <c r="H824" t="str">
        <f>GKT!CD4</f>
        <v>Vessel</v>
      </c>
      <c r="I824">
        <f>GKT!CE4</f>
        <v>0</v>
      </c>
      <c r="J824" t="str">
        <f>GKT!CF4</f>
        <v>Gasket</v>
      </c>
      <c r="K824" t="str">
        <f>GKT!CG4</f>
        <v>400MPa Inconel</v>
      </c>
      <c r="L824" t="str">
        <f>GKT!CH4</f>
        <v>GKT-400-3</v>
      </c>
      <c r="M824">
        <f>GKT!CI4</f>
        <v>0</v>
      </c>
      <c r="N824">
        <f>GKT!CJ4</f>
        <v>0</v>
      </c>
      <c r="O824">
        <f>GKT!CK4</f>
        <v>0</v>
      </c>
      <c r="P824" s="143" t="str">
        <f>GKT!CL4</f>
        <v>Retired</v>
      </c>
      <c r="R824">
        <f t="shared" si="12"/>
        <v>823</v>
      </c>
    </row>
    <row r="825" spans="5:18">
      <c r="E825" s="147" t="s">
        <v>60</v>
      </c>
      <c r="F825" t="str">
        <f>GKT!CB5</f>
        <v>HPS</v>
      </c>
      <c r="G825" t="str">
        <f>GKT!CC5</f>
        <v>AC</v>
      </c>
      <c r="H825" t="str">
        <f>GKT!CD5</f>
        <v>Vessel</v>
      </c>
      <c r="I825">
        <f>GKT!CE5</f>
        <v>0</v>
      </c>
      <c r="J825" t="str">
        <f>GKT!CF5</f>
        <v>Gasket</v>
      </c>
      <c r="K825" t="str">
        <f>GKT!CG5</f>
        <v>New 1" Inconel</v>
      </c>
      <c r="L825" t="str">
        <f>GKT!CH5</f>
        <v>GKT-New1-1</v>
      </c>
      <c r="M825">
        <f>GKT!CI5</f>
        <v>0</v>
      </c>
      <c r="N825">
        <f>GKT!CJ5</f>
        <v>0</v>
      </c>
      <c r="O825">
        <f>GKT!CK5</f>
        <v>0</v>
      </c>
      <c r="P825" s="143" t="str">
        <f>GKT!CL5</f>
        <v>Active</v>
      </c>
      <c r="R825">
        <f t="shared" si="12"/>
        <v>824</v>
      </c>
    </row>
    <row r="826" spans="5:18">
      <c r="E826" s="147" t="s">
        <v>60</v>
      </c>
      <c r="F826" t="str">
        <f>GKT!CB6</f>
        <v>HPS</v>
      </c>
      <c r="G826" t="str">
        <f>GKT!CC6</f>
        <v>AC</v>
      </c>
      <c r="H826" t="str">
        <f>GKT!CD6</f>
        <v>Vessel</v>
      </c>
      <c r="I826">
        <f>GKT!CE6</f>
        <v>0</v>
      </c>
      <c r="J826" t="str">
        <f>GKT!CF6</f>
        <v>Gasket</v>
      </c>
      <c r="K826" t="str">
        <f>GKT!CG6</f>
        <v>New 1" Ni</v>
      </c>
      <c r="L826" t="str">
        <f>GKT!CH6</f>
        <v>GKT-New1-2</v>
      </c>
      <c r="M826">
        <f>GKT!CI6</f>
        <v>0</v>
      </c>
      <c r="N826">
        <f>GKT!CJ6</f>
        <v>0</v>
      </c>
      <c r="O826">
        <f>GKT!CK6</f>
        <v>0</v>
      </c>
      <c r="P826" s="143" t="str">
        <f>GKT!CL6</f>
        <v>Active</v>
      </c>
      <c r="R826">
        <f t="shared" si="12"/>
        <v>825</v>
      </c>
    </row>
    <row r="827" spans="5:18">
      <c r="E827" s="147" t="s">
        <v>60</v>
      </c>
      <c r="F827" t="str">
        <f>GKT!CB7</f>
        <v>HPS</v>
      </c>
      <c r="G827" t="str">
        <f>GKT!CC7</f>
        <v>AC</v>
      </c>
      <c r="H827" t="str">
        <f>GKT!CD7</f>
        <v>Vessel</v>
      </c>
      <c r="I827">
        <f>GKT!CE7</f>
        <v>0</v>
      </c>
      <c r="J827" t="str">
        <f>GKT!CF7</f>
        <v>Gasket</v>
      </c>
      <c r="K827" t="str">
        <f>GKT!CG7</f>
        <v xml:space="preserve"> New 1" Ni One Ridge</v>
      </c>
      <c r="L827" t="str">
        <f>GKT!CH7</f>
        <v>GKT-New1-3</v>
      </c>
      <c r="M827">
        <f>GKT!CI7</f>
        <v>0</v>
      </c>
      <c r="N827">
        <f>GKT!CJ7</f>
        <v>0</v>
      </c>
      <c r="O827">
        <f>GKT!CK7</f>
        <v>0</v>
      </c>
      <c r="P827" s="143" t="str">
        <f>GKT!CL7</f>
        <v>Active</v>
      </c>
      <c r="R827">
        <f t="shared" si="12"/>
        <v>826</v>
      </c>
    </row>
    <row r="828" spans="5:18">
      <c r="E828" s="147" t="s">
        <v>60</v>
      </c>
      <c r="F828" t="str">
        <f>GKT!CB8</f>
        <v>HPS</v>
      </c>
      <c r="G828" t="str">
        <f>GKT!CC8</f>
        <v>AC</v>
      </c>
      <c r="H828" t="str">
        <f>GKT!CD8</f>
        <v>Vessel</v>
      </c>
      <c r="I828">
        <f>GKT!CE8</f>
        <v>0</v>
      </c>
      <c r="J828" t="str">
        <f>GKT!CF8</f>
        <v>Gasket</v>
      </c>
      <c r="K828" t="str">
        <f>GKT!CG8</f>
        <v xml:space="preserve">New 1" Ni One Ridge Loose </v>
      </c>
      <c r="L828" t="str">
        <f>GKT!CH8</f>
        <v>GKT-New1-4</v>
      </c>
      <c r="M828">
        <f>GKT!CI8</f>
        <v>0</v>
      </c>
      <c r="N828">
        <f>GKT!CJ8</f>
        <v>0</v>
      </c>
      <c r="O828">
        <f>GKT!CK8</f>
        <v>0</v>
      </c>
      <c r="P828" s="143" t="str">
        <f>GKT!CL8</f>
        <v>Active</v>
      </c>
      <c r="R828">
        <f t="shared" si="12"/>
        <v>827</v>
      </c>
    </row>
    <row r="829" spans="5:18">
      <c r="E829" s="147" t="s">
        <v>60</v>
      </c>
      <c r="F829" t="str">
        <f>GKT!CB9</f>
        <v>HPS</v>
      </c>
      <c r="G829" t="str">
        <f>GKT!CC9</f>
        <v>AC</v>
      </c>
      <c r="H829" t="str">
        <f>GKT!CD9</f>
        <v>Vessel</v>
      </c>
      <c r="I829">
        <f>GKT!CE9</f>
        <v>0</v>
      </c>
      <c r="J829" t="str">
        <f>GKT!CF9</f>
        <v>Gasket</v>
      </c>
      <c r="K829" t="str">
        <f>GKT!CG9</f>
        <v>Old 1"  Ni</v>
      </c>
      <c r="L829" t="str">
        <f>GKT!CH9</f>
        <v>GKT-Old1-1</v>
      </c>
      <c r="M829">
        <f>GKT!CI9</f>
        <v>0</v>
      </c>
      <c r="N829">
        <f>GKT!CJ9</f>
        <v>0</v>
      </c>
      <c r="O829">
        <f>GKT!CK9</f>
        <v>0</v>
      </c>
      <c r="P829" s="143" t="str">
        <f>GKT!CL9</f>
        <v>Active</v>
      </c>
      <c r="R829">
        <f t="shared" si="12"/>
        <v>828</v>
      </c>
    </row>
    <row r="830" spans="5:18">
      <c r="E830" s="147" t="s">
        <v>60</v>
      </c>
      <c r="F830" t="str">
        <f>GKT!CB10</f>
        <v>HPS</v>
      </c>
      <c r="G830" t="str">
        <f>GKT!CC10</f>
        <v>AC</v>
      </c>
      <c r="H830" t="str">
        <f>GKT!CD10</f>
        <v>Vessel</v>
      </c>
      <c r="I830">
        <f>GKT!CE10</f>
        <v>0</v>
      </c>
      <c r="J830" t="str">
        <f>GKT!CF10</f>
        <v>Gasket</v>
      </c>
      <c r="K830" t="str">
        <f>GKT!CG10</f>
        <v>Old 1" One Ridge</v>
      </c>
      <c r="L830" t="str">
        <f>GKT!CH10</f>
        <v>GKT-Old1-2</v>
      </c>
      <c r="M830">
        <f>GKT!CI10</f>
        <v>0</v>
      </c>
      <c r="N830">
        <f>GKT!CJ10</f>
        <v>0</v>
      </c>
      <c r="O830">
        <f>GKT!CK10</f>
        <v>0</v>
      </c>
      <c r="P830" s="143" t="str">
        <f>GKT!CL10</f>
        <v>Active</v>
      </c>
      <c r="R830">
        <f t="shared" si="12"/>
        <v>829</v>
      </c>
    </row>
    <row r="831" spans="5:18">
      <c r="E831" s="147" t="s">
        <v>60</v>
      </c>
      <c r="F831" t="str">
        <f>GKT!CB11</f>
        <v>HPS</v>
      </c>
      <c r="G831" t="str">
        <f>GKT!CC11</f>
        <v>AC</v>
      </c>
      <c r="H831" t="str">
        <f>GKT!CD11</f>
        <v>Vessel</v>
      </c>
      <c r="I831">
        <f>GKT!CE11</f>
        <v>0</v>
      </c>
      <c r="J831" t="str">
        <f>GKT!CF11</f>
        <v>Gasket</v>
      </c>
      <c r="K831" t="str">
        <f>GKT!CG11</f>
        <v>Old 1" Two Ridge</v>
      </c>
      <c r="L831" t="str">
        <f>GKT!CH11</f>
        <v>GKT-Old1-3</v>
      </c>
      <c r="M831">
        <f>GKT!CI11</f>
        <v>0</v>
      </c>
      <c r="N831">
        <f>GKT!CJ11</f>
        <v>0</v>
      </c>
      <c r="O831">
        <f>GKT!CK11</f>
        <v>0</v>
      </c>
      <c r="P831" s="143" t="str">
        <f>GKT!CL11</f>
        <v>Active</v>
      </c>
      <c r="R831">
        <f t="shared" si="12"/>
        <v>830</v>
      </c>
    </row>
    <row r="832" spans="5:18">
      <c r="E832" s="147" t="s">
        <v>60</v>
      </c>
      <c r="F832" t="str">
        <f>GKT!CB12</f>
        <v>HPS</v>
      </c>
      <c r="G832" t="str">
        <f>GKT!CC12</f>
        <v>AC</v>
      </c>
      <c r="H832" t="str">
        <f>GKT!CD12</f>
        <v>Vessel</v>
      </c>
      <c r="I832">
        <f>GKT!CE12</f>
        <v>0</v>
      </c>
      <c r="J832" t="str">
        <f>GKT!CF12</f>
        <v>Gasket</v>
      </c>
      <c r="K832" t="str">
        <f>GKT!CG12</f>
        <v>2"</v>
      </c>
      <c r="L832" t="str">
        <f>GKT!CH12</f>
        <v>GKT-2-1</v>
      </c>
      <c r="M832">
        <f>GKT!CI12</f>
        <v>0</v>
      </c>
      <c r="N832">
        <f>GKT!CJ12</f>
        <v>0</v>
      </c>
      <c r="O832">
        <f>GKT!CK12</f>
        <v>0</v>
      </c>
      <c r="P832" s="143" t="str">
        <f>GKT!CL12</f>
        <v>Retired</v>
      </c>
      <c r="R832">
        <f t="shared" si="12"/>
        <v>831</v>
      </c>
    </row>
    <row r="833" spans="5:18">
      <c r="E833" s="147" t="s">
        <v>60</v>
      </c>
      <c r="F833" t="str">
        <f>GKT!CB13</f>
        <v>HPS</v>
      </c>
      <c r="G833" t="str">
        <f>GKT!CC13</f>
        <v>AC</v>
      </c>
      <c r="H833" t="str">
        <f>GKT!CD13</f>
        <v>Vessel</v>
      </c>
      <c r="I833">
        <f>GKT!CE13</f>
        <v>0</v>
      </c>
      <c r="J833" t="str">
        <f>GKT!CF13</f>
        <v>Gasket</v>
      </c>
      <c r="K833" t="str">
        <f>GKT!CG13</f>
        <v>Old 1" 625</v>
      </c>
      <c r="L833" t="str">
        <f>GKT!CH13</f>
        <v>GKT-Old1-4</v>
      </c>
      <c r="M833">
        <f>GKT!CI13</f>
        <v>0</v>
      </c>
      <c r="N833">
        <f>GKT!CJ13</f>
        <v>0</v>
      </c>
      <c r="O833">
        <f>GKT!CK13</f>
        <v>0</v>
      </c>
      <c r="P833" s="143" t="str">
        <f>GKT!CL13</f>
        <v>Active</v>
      </c>
      <c r="R833">
        <f t="shared" si="12"/>
        <v>832</v>
      </c>
    </row>
    <row r="834" spans="5:18">
      <c r="E834" s="147" t="s">
        <v>60</v>
      </c>
      <c r="F834" t="str">
        <f>GKT!CB14</f>
        <v>HPS</v>
      </c>
      <c r="G834" t="str">
        <f>GKT!CC14</f>
        <v>AC</v>
      </c>
      <c r="H834" t="str">
        <f>GKT!CD14</f>
        <v>Vessel</v>
      </c>
      <c r="I834">
        <f>GKT!CE14</f>
        <v>0</v>
      </c>
      <c r="J834" t="str">
        <f>GKT!CF14</f>
        <v>Gasket</v>
      </c>
      <c r="K834" t="str">
        <f>GKT!CG14</f>
        <v xml:space="preserve">New 1" Ni One Ridge Loose </v>
      </c>
      <c r="L834" t="str">
        <f>GKT!CH14</f>
        <v>GKT-New1-6</v>
      </c>
      <c r="M834">
        <f>GKT!CI14</f>
        <v>0</v>
      </c>
      <c r="N834">
        <f>GKT!CJ14</f>
        <v>0</v>
      </c>
      <c r="O834">
        <f>GKT!CK14</f>
        <v>0</v>
      </c>
      <c r="P834" s="143" t="str">
        <f>GKT!CL14</f>
        <v>Active</v>
      </c>
      <c r="R834">
        <f t="shared" si="12"/>
        <v>833</v>
      </c>
    </row>
    <row r="835" spans="5:18">
      <c r="E835" s="147" t="s">
        <v>60</v>
      </c>
      <c r="F835" t="str">
        <f>GKT!CB15</f>
        <v>HPS</v>
      </c>
      <c r="G835" t="str">
        <f>GKT!CC15</f>
        <v>AC</v>
      </c>
      <c r="H835" t="str">
        <f>GKT!CD15</f>
        <v>Vessel</v>
      </c>
      <c r="I835">
        <f>GKT!CE15</f>
        <v>0</v>
      </c>
      <c r="J835" t="str">
        <f>GKT!CF15</f>
        <v>Gasket</v>
      </c>
      <c r="K835" t="str">
        <f>GKT!CG15</f>
        <v>New 1" Ni Slip Fit</v>
      </c>
      <c r="L835" t="str">
        <f>GKT!CH15</f>
        <v>GKT-New1-5</v>
      </c>
      <c r="M835">
        <f>GKT!CI15</f>
        <v>0</v>
      </c>
      <c r="N835">
        <f>GKT!CJ15</f>
        <v>0</v>
      </c>
      <c r="O835">
        <f>GKT!CK15</f>
        <v>0</v>
      </c>
      <c r="P835" s="143" t="str">
        <f>GKT!CL15</f>
        <v>Active</v>
      </c>
      <c r="R835">
        <f t="shared" si="12"/>
        <v>834</v>
      </c>
    </row>
    <row r="836" spans="5:18">
      <c r="E836" s="147" t="s">
        <v>60</v>
      </c>
      <c r="F836" t="str">
        <f>GKT!CB16</f>
        <v>HPS</v>
      </c>
      <c r="G836" t="str">
        <f>GKT!CC16</f>
        <v>AC</v>
      </c>
      <c r="H836" t="str">
        <f>GKT!CD16</f>
        <v>Vessel</v>
      </c>
      <c r="I836">
        <f>GKT!CE16</f>
        <v>0</v>
      </c>
      <c r="J836" t="str">
        <f>GKT!CF16</f>
        <v>Gasket</v>
      </c>
      <c r="K836" t="str">
        <f>GKT!CG16</f>
        <v>New 1" Grayloc</v>
      </c>
      <c r="L836" t="str">
        <f>GKT!CH16</f>
        <v>GKT-Size 11</v>
      </c>
      <c r="M836">
        <f>GKT!CI16</f>
        <v>0</v>
      </c>
      <c r="N836">
        <f>GKT!CJ16</f>
        <v>0</v>
      </c>
      <c r="O836">
        <f>GKT!CK16</f>
        <v>0</v>
      </c>
      <c r="P836" s="143" t="str">
        <f>GKT!CL16</f>
        <v>Active</v>
      </c>
      <c r="R836">
        <f t="shared" ref="R836:R899" si="13">R835+1</f>
        <v>835</v>
      </c>
    </row>
    <row r="837" spans="5:18">
      <c r="E837" s="147" t="s">
        <v>60</v>
      </c>
      <c r="F837" t="str">
        <f>GKT!CB17</f>
        <v>HPS</v>
      </c>
      <c r="G837" t="str">
        <f>GKT!CC17</f>
        <v>AC</v>
      </c>
      <c r="H837" t="str">
        <f>GKT!CD17</f>
        <v>Vessel</v>
      </c>
      <c r="I837">
        <f>GKT!CE17</f>
        <v>0</v>
      </c>
      <c r="J837" t="str">
        <f>GKT!CF17</f>
        <v>Gasket</v>
      </c>
      <c r="K837" t="str">
        <f>GKT!CG17</f>
        <v>New 1" Grayloc</v>
      </c>
      <c r="L837" t="str">
        <f>GKT!CH17</f>
        <v>GKT-Size 11</v>
      </c>
      <c r="M837">
        <f>GKT!CI17</f>
        <v>0</v>
      </c>
      <c r="N837">
        <f>GKT!CJ17</f>
        <v>0</v>
      </c>
      <c r="O837">
        <f>GKT!CK17</f>
        <v>0</v>
      </c>
      <c r="P837" s="143" t="str">
        <f>GKT!CL17</f>
        <v>Active</v>
      </c>
      <c r="R837">
        <f t="shared" si="13"/>
        <v>836</v>
      </c>
    </row>
    <row r="838" spans="5:18">
      <c r="E838" s="147" t="s">
        <v>60</v>
      </c>
      <c r="F838" t="str">
        <f>GKT!CB18</f>
        <v>HPS</v>
      </c>
      <c r="G838" t="str">
        <f>GKT!CC18</f>
        <v>AC</v>
      </c>
      <c r="H838" t="str">
        <f>GKT!CD18</f>
        <v>Vessel</v>
      </c>
      <c r="I838">
        <f>GKT!CE18</f>
        <v>0</v>
      </c>
      <c r="J838" t="str">
        <f>GKT!CF18</f>
        <v>Gasket</v>
      </c>
      <c r="K838" t="str">
        <f>GKT!CG18</f>
        <v>New 1" Grayloc</v>
      </c>
      <c r="L838" t="str">
        <f>GKT!CH18</f>
        <v>GKT-Size 11</v>
      </c>
      <c r="M838">
        <f>GKT!CI18</f>
        <v>0</v>
      </c>
      <c r="N838">
        <f>GKT!CJ18</f>
        <v>0</v>
      </c>
      <c r="O838">
        <f>GKT!CK18</f>
        <v>0</v>
      </c>
      <c r="P838" s="143" t="str">
        <f>GKT!CL18</f>
        <v>Active</v>
      </c>
      <c r="R838">
        <f t="shared" si="13"/>
        <v>837</v>
      </c>
    </row>
    <row r="839" spans="5:18">
      <c r="E839" s="147" t="s">
        <v>60</v>
      </c>
      <c r="F839" t="str">
        <f>GKT!CB19</f>
        <v>HPS</v>
      </c>
      <c r="G839" t="str">
        <f>GKT!CC19</f>
        <v>AC</v>
      </c>
      <c r="H839" t="str">
        <f>GKT!CD19</f>
        <v>Vessel</v>
      </c>
      <c r="I839">
        <f>GKT!CE19</f>
        <v>0</v>
      </c>
      <c r="J839" t="str">
        <f>GKT!CF19</f>
        <v>Gasket</v>
      </c>
      <c r="K839" t="str">
        <f>GKT!CG19</f>
        <v>SS Autoclave HIP</v>
      </c>
      <c r="L839" t="str">
        <f>GKT!CH19</f>
        <v>GKT-SS-HIP</v>
      </c>
      <c r="M839">
        <f>GKT!CI19</f>
        <v>0</v>
      </c>
      <c r="N839">
        <f>GKT!CJ19</f>
        <v>0</v>
      </c>
      <c r="O839">
        <f>GKT!CK19</f>
        <v>0</v>
      </c>
      <c r="P839" s="143" t="str">
        <f>GKT!CL19</f>
        <v>Active</v>
      </c>
      <c r="R839">
        <f t="shared" si="13"/>
        <v>838</v>
      </c>
    </row>
    <row r="840" spans="5:18">
      <c r="E840" s="147" t="s">
        <v>60</v>
      </c>
      <c r="F840" t="str">
        <f>GKT!CB20</f>
        <v>HPS</v>
      </c>
      <c r="G840" t="str">
        <f>GKT!CC20</f>
        <v>AC</v>
      </c>
      <c r="H840" t="str">
        <f>GKT!CD20</f>
        <v>Vessel</v>
      </c>
      <c r="I840">
        <f>GKT!CE20</f>
        <v>0</v>
      </c>
      <c r="J840" t="str">
        <f>GKT!CF20</f>
        <v>Gasket</v>
      </c>
      <c r="K840" t="str">
        <f>GKT!CG20</f>
        <v>Std SS VCR 1/2"</v>
      </c>
      <c r="L840" t="str">
        <f>GKT!CH20</f>
        <v>GKT-TZM1-1</v>
      </c>
      <c r="M840">
        <f>GKT!CI20</f>
        <v>0</v>
      </c>
      <c r="N840">
        <f>GKT!CJ20</f>
        <v>0</v>
      </c>
      <c r="O840">
        <f>GKT!CK20</f>
        <v>0</v>
      </c>
      <c r="P840" s="143" t="str">
        <f>GKT!CL20</f>
        <v>Active</v>
      </c>
      <c r="R840">
        <f t="shared" si="13"/>
        <v>839</v>
      </c>
    </row>
    <row r="841" spans="5:18">
      <c r="E841" s="147" t="s">
        <v>60</v>
      </c>
      <c r="F841" t="str">
        <f>GKT!CB21</f>
        <v>HPS</v>
      </c>
      <c r="G841" t="str">
        <f>GKT!CC21</f>
        <v>AC</v>
      </c>
      <c r="H841" t="str">
        <f>GKT!CD21</f>
        <v>Vessel</v>
      </c>
      <c r="I841">
        <f>GKT!CE21</f>
        <v>0</v>
      </c>
      <c r="J841" t="str">
        <f>GKT!CF21</f>
        <v>Gasket</v>
      </c>
      <c r="K841" t="str">
        <f>GKT!CG21</f>
        <v>Mo ID OD T</v>
      </c>
      <c r="L841" t="str">
        <f>GKT!CH21</f>
        <v>GKT-TZM1-2</v>
      </c>
      <c r="M841">
        <f>GKT!CI21</f>
        <v>0</v>
      </c>
      <c r="N841">
        <f>GKT!CJ21</f>
        <v>0</v>
      </c>
      <c r="O841">
        <f>GKT!CK21</f>
        <v>0</v>
      </c>
      <c r="P841" s="143" t="str">
        <f>GKT!CL21</f>
        <v>Active</v>
      </c>
      <c r="R841">
        <f t="shared" si="13"/>
        <v>840</v>
      </c>
    </row>
    <row r="842" spans="5:18">
      <c r="E842" s="147" t="s">
        <v>60</v>
      </c>
      <c r="F842" t="str">
        <f>GKT!CB22</f>
        <v>HPS</v>
      </c>
      <c r="G842" t="str">
        <f>GKT!CC22</f>
        <v>AC</v>
      </c>
      <c r="H842" t="str">
        <f>GKT!CD22</f>
        <v>Vessel</v>
      </c>
      <c r="I842">
        <f>GKT!CE22</f>
        <v>0</v>
      </c>
      <c r="J842" t="str">
        <f>GKT!CF22</f>
        <v>Gasket</v>
      </c>
      <c r="K842">
        <f>GKT!CG22</f>
        <v>0</v>
      </c>
      <c r="L842" t="str">
        <f>GKT!CH22</f>
        <v>GKT-Parr</v>
      </c>
      <c r="M842">
        <f>GKT!CI22</f>
        <v>0</v>
      </c>
      <c r="N842">
        <f>GKT!CJ22</f>
        <v>0</v>
      </c>
      <c r="O842">
        <f>GKT!CK22</f>
        <v>0</v>
      </c>
      <c r="P842" s="143" t="str">
        <f>GKT!CL22</f>
        <v>Active</v>
      </c>
      <c r="R842">
        <f t="shared" si="13"/>
        <v>841</v>
      </c>
    </row>
    <row r="843" spans="5:18">
      <c r="E843" s="147" t="s">
        <v>60</v>
      </c>
      <c r="F843" t="str">
        <f>GKT!CB23</f>
        <v>HPS</v>
      </c>
      <c r="G843" t="str">
        <f>GKT!CC23</f>
        <v>AC</v>
      </c>
      <c r="H843" t="str">
        <f>GKT!CD23</f>
        <v>Vessel</v>
      </c>
      <c r="I843">
        <f>GKT!CE23</f>
        <v>0</v>
      </c>
      <c r="J843" t="str">
        <f>GKT!CF23</f>
        <v>Gasket</v>
      </c>
      <c r="K843" t="str">
        <f>GKT!CG23</f>
        <v>TZM 3" OD Top Gasket</v>
      </c>
      <c r="L843" t="str">
        <f>GKT!CH23</f>
        <v>GKT-TM3-1</v>
      </c>
      <c r="M843">
        <f>GKT!CI23</f>
        <v>0</v>
      </c>
      <c r="N843">
        <f>GKT!CJ23</f>
        <v>0</v>
      </c>
      <c r="O843">
        <f>GKT!CK23</f>
        <v>0</v>
      </c>
      <c r="P843" s="143" t="str">
        <f>GKT!CL23</f>
        <v>New</v>
      </c>
      <c r="R843">
        <f t="shared" si="13"/>
        <v>842</v>
      </c>
    </row>
    <row r="844" spans="5:18">
      <c r="E844" s="147" t="s">
        <v>60</v>
      </c>
      <c r="F844" t="str">
        <f>GKT!CB24</f>
        <v>HPS</v>
      </c>
      <c r="G844" t="str">
        <f>GKT!CC24</f>
        <v>AC</v>
      </c>
      <c r="H844" t="str">
        <f>GKT!CD24</f>
        <v>Vessel</v>
      </c>
      <c r="I844">
        <f>GKT!CE24</f>
        <v>0</v>
      </c>
      <c r="J844" t="str">
        <f>GKT!CF24</f>
        <v>Gasket</v>
      </c>
      <c r="K844" t="str">
        <f>GKT!CG24</f>
        <v>TZM 3" OD Bottom Gasket</v>
      </c>
      <c r="L844" t="str">
        <f>GKT!CH24</f>
        <v>GKT-TM3-2</v>
      </c>
      <c r="M844">
        <f>GKT!CI24</f>
        <v>0</v>
      </c>
      <c r="N844">
        <f>GKT!CJ24</f>
        <v>0</v>
      </c>
      <c r="O844">
        <f>GKT!CK24</f>
        <v>0</v>
      </c>
      <c r="P844" s="143" t="str">
        <f>GKT!CL24</f>
        <v>New</v>
      </c>
      <c r="R844">
        <f t="shared" si="13"/>
        <v>843</v>
      </c>
    </row>
    <row r="845" spans="5:18">
      <c r="E845" s="147" t="s">
        <v>60</v>
      </c>
      <c r="F845" t="str">
        <f>GKT!CB25</f>
        <v>HPS</v>
      </c>
      <c r="G845" t="str">
        <f>GKT!CC25</f>
        <v>AC</v>
      </c>
      <c r="H845" t="str">
        <f>GKT!CD25</f>
        <v>Vessel</v>
      </c>
      <c r="I845">
        <f>GKT!CE25</f>
        <v>0</v>
      </c>
      <c r="J845" t="str">
        <f>GKT!CF25</f>
        <v>Gasket</v>
      </c>
      <c r="K845" t="str">
        <f>GKT!CG25</f>
        <v>TZM 3.5" OD Top Gasket</v>
      </c>
      <c r="L845" t="str">
        <f>GKT!CH25</f>
        <v>GKT-TM3-3</v>
      </c>
      <c r="M845">
        <f>GKT!CI25</f>
        <v>0</v>
      </c>
      <c r="N845">
        <f>GKT!CJ25</f>
        <v>0</v>
      </c>
      <c r="O845">
        <f>GKT!CK25</f>
        <v>0</v>
      </c>
      <c r="P845" s="143" t="str">
        <f>GKT!CL25</f>
        <v>New</v>
      </c>
      <c r="R845">
        <f t="shared" si="13"/>
        <v>844</v>
      </c>
    </row>
    <row r="846" spans="5:18">
      <c r="E846" s="147" t="s">
        <v>60</v>
      </c>
      <c r="F846" t="str">
        <f>GKT!CB26</f>
        <v>HPS</v>
      </c>
      <c r="G846" t="str">
        <f>GKT!CC26</f>
        <v>AC</v>
      </c>
      <c r="H846" t="str">
        <f>GKT!CD26</f>
        <v>Vessel</v>
      </c>
      <c r="I846">
        <f>GKT!CE26</f>
        <v>0</v>
      </c>
      <c r="J846" t="str">
        <f>GKT!CF26</f>
        <v>Gasket</v>
      </c>
      <c r="K846" t="str">
        <f>GKT!CG26</f>
        <v>TZM 3.5" OD Bottom Gasket</v>
      </c>
      <c r="L846" t="str">
        <f>GKT!CH26</f>
        <v>GKT-TM3-4</v>
      </c>
      <c r="M846">
        <f>GKT!CI26</f>
        <v>0</v>
      </c>
      <c r="N846">
        <f>GKT!CJ26</f>
        <v>0</v>
      </c>
      <c r="O846">
        <f>GKT!CK26</f>
        <v>0</v>
      </c>
      <c r="P846" s="143" t="str">
        <f>GKT!CL26</f>
        <v>New</v>
      </c>
      <c r="R846">
        <f t="shared" si="13"/>
        <v>845</v>
      </c>
    </row>
    <row r="847" spans="5:18">
      <c r="E847" s="147" t="s">
        <v>60</v>
      </c>
      <c r="F847" t="str">
        <f>GKT!CB27</f>
        <v>HPS</v>
      </c>
      <c r="G847" t="str">
        <f>GKT!CC27</f>
        <v>AC</v>
      </c>
      <c r="H847" t="str">
        <f>GKT!CD27</f>
        <v>Vessel</v>
      </c>
      <c r="I847">
        <f>GKT!CE27</f>
        <v>0</v>
      </c>
      <c r="J847">
        <f>GKT!CF27</f>
        <v>0</v>
      </c>
      <c r="K847">
        <f>GKT!CG27</f>
        <v>0</v>
      </c>
      <c r="L847">
        <f>GKT!CH27</f>
        <v>0</v>
      </c>
      <c r="M847">
        <f>GKT!CI27</f>
        <v>0</v>
      </c>
      <c r="N847">
        <f>GKT!CJ27</f>
        <v>0</v>
      </c>
      <c r="O847">
        <f>GKT!CK27</f>
        <v>0</v>
      </c>
      <c r="P847" s="143" t="str">
        <f>GKT!CL27</f>
        <v/>
      </c>
      <c r="R847">
        <f t="shared" si="13"/>
        <v>846</v>
      </c>
    </row>
    <row r="848" spans="5:18">
      <c r="E848" s="147" t="s">
        <v>60</v>
      </c>
      <c r="F848" t="str">
        <f>GKT!CB28</f>
        <v>HPS</v>
      </c>
      <c r="G848" t="str">
        <f>GKT!CC28</f>
        <v>AC</v>
      </c>
      <c r="H848" t="str">
        <f>GKT!CD28</f>
        <v>Vessel</v>
      </c>
      <c r="I848">
        <f>GKT!CE28</f>
        <v>0</v>
      </c>
      <c r="J848">
        <f>GKT!CF28</f>
        <v>0</v>
      </c>
      <c r="K848">
        <f>GKT!CG28</f>
        <v>0</v>
      </c>
      <c r="L848">
        <f>GKT!CH28</f>
        <v>0</v>
      </c>
      <c r="M848">
        <f>GKT!CI28</f>
        <v>0</v>
      </c>
      <c r="N848">
        <f>GKT!CJ28</f>
        <v>0</v>
      </c>
      <c r="O848">
        <f>GKT!CK28</f>
        <v>0</v>
      </c>
      <c r="P848" s="143" t="str">
        <f>GKT!CL28</f>
        <v/>
      </c>
      <c r="R848">
        <f t="shared" si="13"/>
        <v>847</v>
      </c>
    </row>
    <row r="849" spans="5:18">
      <c r="E849" s="147" t="s">
        <v>60</v>
      </c>
      <c r="F849" t="str">
        <f>GKT!CB29</f>
        <v>HPS</v>
      </c>
      <c r="G849" t="str">
        <f>GKT!CC29</f>
        <v>AC</v>
      </c>
      <c r="H849" t="str">
        <f>GKT!CD29</f>
        <v>Vessel</v>
      </c>
      <c r="I849">
        <f>GKT!CE29</f>
        <v>0</v>
      </c>
      <c r="J849">
        <f>GKT!CF29</f>
        <v>0</v>
      </c>
      <c r="K849">
        <f>GKT!CG29</f>
        <v>0</v>
      </c>
      <c r="L849">
        <f>GKT!CH29</f>
        <v>0</v>
      </c>
      <c r="M849">
        <f>GKT!CI29</f>
        <v>0</v>
      </c>
      <c r="N849">
        <f>GKT!CJ29</f>
        <v>0</v>
      </c>
      <c r="O849">
        <f>GKT!CK29</f>
        <v>0</v>
      </c>
      <c r="P849" s="143" t="str">
        <f>GKT!CL29</f>
        <v/>
      </c>
      <c r="R849">
        <f t="shared" si="13"/>
        <v>848</v>
      </c>
    </row>
    <row r="850" spans="5:18">
      <c r="E850" s="147" t="s">
        <v>60</v>
      </c>
      <c r="F850" t="str">
        <f>GKT!CB30</f>
        <v>HPS</v>
      </c>
      <c r="G850" t="str">
        <f>GKT!CC30</f>
        <v>AC</v>
      </c>
      <c r="H850" t="str">
        <f>GKT!CD30</f>
        <v>Vessel</v>
      </c>
      <c r="I850">
        <f>GKT!CE30</f>
        <v>0</v>
      </c>
      <c r="J850">
        <f>GKT!CF30</f>
        <v>0</v>
      </c>
      <c r="K850">
        <f>GKT!CG30</f>
        <v>0</v>
      </c>
      <c r="L850">
        <f>GKT!CH30</f>
        <v>0</v>
      </c>
      <c r="M850">
        <f>GKT!CI30</f>
        <v>0</v>
      </c>
      <c r="N850">
        <f>GKT!CJ30</f>
        <v>0</v>
      </c>
      <c r="O850">
        <f>GKT!CK30</f>
        <v>0</v>
      </c>
      <c r="P850" s="143" t="str">
        <f>GKT!CL30</f>
        <v/>
      </c>
      <c r="R850">
        <f t="shared" si="13"/>
        <v>849</v>
      </c>
    </row>
    <row r="851" spans="5:18">
      <c r="E851" s="147" t="s">
        <v>60</v>
      </c>
      <c r="F851" t="str">
        <f>GKT!CB31</f>
        <v>HPS</v>
      </c>
      <c r="G851" t="str">
        <f>GKT!CC31</f>
        <v>AC</v>
      </c>
      <c r="H851" t="str">
        <f>GKT!CD31</f>
        <v>Vessel</v>
      </c>
      <c r="I851">
        <f>GKT!CE31</f>
        <v>0</v>
      </c>
      <c r="J851">
        <f>GKT!CF31</f>
        <v>0</v>
      </c>
      <c r="K851">
        <f>GKT!CG31</f>
        <v>0</v>
      </c>
      <c r="L851">
        <f>GKT!CH31</f>
        <v>0</v>
      </c>
      <c r="M851">
        <f>GKT!CI31</f>
        <v>0</v>
      </c>
      <c r="N851">
        <f>GKT!CJ31</f>
        <v>0</v>
      </c>
      <c r="O851">
        <f>GKT!CK31</f>
        <v>0</v>
      </c>
      <c r="P851" s="143" t="str">
        <f>GKT!CL31</f>
        <v/>
      </c>
      <c r="R851">
        <f t="shared" si="13"/>
        <v>850</v>
      </c>
    </row>
    <row r="852" spans="5:18">
      <c r="E852" s="147" t="s">
        <v>60</v>
      </c>
      <c r="F852" t="str">
        <f>GKT!CB32</f>
        <v>HPS</v>
      </c>
      <c r="G852" t="str">
        <f>GKT!CC32</f>
        <v>AC</v>
      </c>
      <c r="H852" t="str">
        <f>GKT!CD32</f>
        <v>Vessel</v>
      </c>
      <c r="I852">
        <f>GKT!CE32</f>
        <v>0</v>
      </c>
      <c r="J852">
        <f>GKT!CF32</f>
        <v>0</v>
      </c>
      <c r="K852">
        <f>GKT!CG32</f>
        <v>0</v>
      </c>
      <c r="L852">
        <f>GKT!CH32</f>
        <v>0</v>
      </c>
      <c r="M852">
        <f>GKT!CI32</f>
        <v>0</v>
      </c>
      <c r="N852">
        <f>GKT!CJ32</f>
        <v>0</v>
      </c>
      <c r="O852">
        <f>GKT!CK32</f>
        <v>0</v>
      </c>
      <c r="P852" s="143" t="str">
        <f>GKT!CL32</f>
        <v/>
      </c>
      <c r="R852">
        <f t="shared" si="13"/>
        <v>851</v>
      </c>
    </row>
    <row r="853" spans="5:18">
      <c r="E853" s="147" t="s">
        <v>60</v>
      </c>
      <c r="F853" t="str">
        <f>GKT!CB33</f>
        <v>HPS</v>
      </c>
      <c r="G853" t="str">
        <f>GKT!CC33</f>
        <v>AC</v>
      </c>
      <c r="H853" t="str">
        <f>GKT!CD33</f>
        <v>Vessel</v>
      </c>
      <c r="I853">
        <f>GKT!CE33</f>
        <v>0</v>
      </c>
      <c r="J853">
        <f>GKT!CF33</f>
        <v>0</v>
      </c>
      <c r="K853">
        <f>GKT!CG33</f>
        <v>0</v>
      </c>
      <c r="L853">
        <f>GKT!CH33</f>
        <v>0</v>
      </c>
      <c r="M853">
        <f>GKT!CI33</f>
        <v>0</v>
      </c>
      <c r="N853">
        <f>GKT!CJ33</f>
        <v>0</v>
      </c>
      <c r="O853">
        <f>GKT!CK33</f>
        <v>0</v>
      </c>
      <c r="P853" s="143" t="str">
        <f>GKT!CL33</f>
        <v/>
      </c>
      <c r="R853">
        <f t="shared" si="13"/>
        <v>852</v>
      </c>
    </row>
    <row r="854" spans="5:18">
      <c r="E854" s="147" t="s">
        <v>60</v>
      </c>
      <c r="F854" t="str">
        <f>GKT!CB34</f>
        <v>HPS</v>
      </c>
      <c r="G854" t="str">
        <f>GKT!CC34</f>
        <v>AC</v>
      </c>
      <c r="H854" t="str">
        <f>GKT!CD34</f>
        <v>Vessel</v>
      </c>
      <c r="I854">
        <f>GKT!CE34</f>
        <v>0</v>
      </c>
      <c r="J854">
        <f>GKT!CF34</f>
        <v>0</v>
      </c>
      <c r="K854">
        <f>GKT!CG34</f>
        <v>0</v>
      </c>
      <c r="L854">
        <f>GKT!CH34</f>
        <v>0</v>
      </c>
      <c r="M854">
        <f>GKT!CI34</f>
        <v>0</v>
      </c>
      <c r="N854">
        <f>GKT!CJ34</f>
        <v>0</v>
      </c>
      <c r="O854">
        <f>GKT!CK34</f>
        <v>0</v>
      </c>
      <c r="P854" s="143" t="str">
        <f>GKT!CL34</f>
        <v/>
      </c>
      <c r="R854">
        <f t="shared" si="13"/>
        <v>853</v>
      </c>
    </row>
    <row r="855" spans="5:18">
      <c r="E855" s="147" t="s">
        <v>60</v>
      </c>
      <c r="F855" t="str">
        <f>GKT!CB35</f>
        <v>HPS</v>
      </c>
      <c r="G855" t="str">
        <f>GKT!CC35</f>
        <v>AC</v>
      </c>
      <c r="H855" t="str">
        <f>GKT!CD35</f>
        <v>Vessel</v>
      </c>
      <c r="I855">
        <f>GKT!CE35</f>
        <v>0</v>
      </c>
      <c r="J855">
        <f>GKT!CF35</f>
        <v>0</v>
      </c>
      <c r="K855">
        <f>GKT!CG35</f>
        <v>0</v>
      </c>
      <c r="L855">
        <f>GKT!CH35</f>
        <v>0</v>
      </c>
      <c r="M855">
        <f>GKT!CI35</f>
        <v>0</v>
      </c>
      <c r="N855">
        <f>GKT!CJ35</f>
        <v>0</v>
      </c>
      <c r="O855">
        <f>GKT!CK35</f>
        <v>0</v>
      </c>
      <c r="P855" s="143" t="str">
        <f>GKT!CL35</f>
        <v/>
      </c>
      <c r="R855">
        <f t="shared" si="13"/>
        <v>854</v>
      </c>
    </row>
    <row r="856" spans="5:18">
      <c r="E856" s="147" t="s">
        <v>60</v>
      </c>
      <c r="F856" t="str">
        <f>GKT!CB36</f>
        <v>HPS</v>
      </c>
      <c r="G856" t="str">
        <f>GKT!CC36</f>
        <v>AC</v>
      </c>
      <c r="H856" t="str">
        <f>GKT!CD36</f>
        <v>Vessel</v>
      </c>
      <c r="I856">
        <f>GKT!CE36</f>
        <v>0</v>
      </c>
      <c r="J856">
        <f>GKT!CF36</f>
        <v>0</v>
      </c>
      <c r="K856">
        <f>GKT!CG36</f>
        <v>0</v>
      </c>
      <c r="L856">
        <f>GKT!CH36</f>
        <v>0</v>
      </c>
      <c r="M856">
        <f>GKT!CI36</f>
        <v>0</v>
      </c>
      <c r="N856">
        <f>GKT!CJ36</f>
        <v>0</v>
      </c>
      <c r="O856">
        <f>GKT!CK36</f>
        <v>0</v>
      </c>
      <c r="P856" s="143" t="str">
        <f>GKT!CL36</f>
        <v/>
      </c>
      <c r="R856">
        <f t="shared" si="13"/>
        <v>855</v>
      </c>
    </row>
    <row r="857" spans="5:18">
      <c r="E857" s="147" t="s">
        <v>60</v>
      </c>
      <c r="F857" t="str">
        <f>GKT!CB37</f>
        <v>HPS</v>
      </c>
      <c r="G857" t="str">
        <f>GKT!CC37</f>
        <v>AC</v>
      </c>
      <c r="H857" t="str">
        <f>GKT!CD37</f>
        <v>Vessel</v>
      </c>
      <c r="I857">
        <f>GKT!CE37</f>
        <v>0</v>
      </c>
      <c r="J857">
        <f>GKT!CF37</f>
        <v>0</v>
      </c>
      <c r="K857">
        <f>GKT!CG37</f>
        <v>0</v>
      </c>
      <c r="L857">
        <f>GKT!CH37</f>
        <v>0</v>
      </c>
      <c r="M857">
        <f>GKT!CI37</f>
        <v>0</v>
      </c>
      <c r="N857">
        <f>GKT!CJ37</f>
        <v>0</v>
      </c>
      <c r="O857">
        <f>GKT!CK37</f>
        <v>0</v>
      </c>
      <c r="P857" s="143" t="str">
        <f>GKT!CL37</f>
        <v/>
      </c>
      <c r="R857">
        <f t="shared" si="13"/>
        <v>856</v>
      </c>
    </row>
    <row r="858" spans="5:18">
      <c r="E858" s="147" t="s">
        <v>60</v>
      </c>
      <c r="F858" t="str">
        <f>GKT!CB38</f>
        <v>HPS</v>
      </c>
      <c r="G858" t="str">
        <f>GKT!CC38</f>
        <v>AC</v>
      </c>
      <c r="H858" t="str">
        <f>GKT!CD38</f>
        <v>Vessel</v>
      </c>
      <c r="I858">
        <f>GKT!CE38</f>
        <v>0</v>
      </c>
      <c r="J858">
        <f>GKT!CF38</f>
        <v>0</v>
      </c>
      <c r="K858">
        <f>GKT!CG38</f>
        <v>0</v>
      </c>
      <c r="L858">
        <f>GKT!CH38</f>
        <v>0</v>
      </c>
      <c r="M858">
        <f>GKT!CI38</f>
        <v>0</v>
      </c>
      <c r="N858">
        <f>GKT!CJ38</f>
        <v>0</v>
      </c>
      <c r="O858">
        <f>GKT!CK38</f>
        <v>0</v>
      </c>
      <c r="P858" s="143" t="str">
        <f>GKT!CL38</f>
        <v/>
      </c>
      <c r="R858">
        <f t="shared" si="13"/>
        <v>857</v>
      </c>
    </row>
    <row r="859" spans="5:18">
      <c r="E859" s="147" t="s">
        <v>60</v>
      </c>
      <c r="F859" t="str">
        <f>GKT!CB39</f>
        <v>HPS</v>
      </c>
      <c r="G859" t="str">
        <f>GKT!CC39</f>
        <v>AC</v>
      </c>
      <c r="H859" t="str">
        <f>GKT!CD39</f>
        <v>Vessel</v>
      </c>
      <c r="I859">
        <f>GKT!CE39</f>
        <v>0</v>
      </c>
      <c r="J859">
        <f>GKT!CF39</f>
        <v>0</v>
      </c>
      <c r="K859">
        <f>GKT!CG39</f>
        <v>0</v>
      </c>
      <c r="L859">
        <f>GKT!CH39</f>
        <v>0</v>
      </c>
      <c r="M859">
        <f>GKT!CI39</f>
        <v>0</v>
      </c>
      <c r="N859">
        <f>GKT!CJ39</f>
        <v>0</v>
      </c>
      <c r="O859">
        <f>GKT!CK39</f>
        <v>0</v>
      </c>
      <c r="P859" s="143" t="str">
        <f>GKT!CL39</f>
        <v/>
      </c>
      <c r="R859">
        <f t="shared" si="13"/>
        <v>858</v>
      </c>
    </row>
    <row r="860" spans="5:18">
      <c r="E860" s="147" t="s">
        <v>60</v>
      </c>
      <c r="F860" t="str">
        <f>GKT!CB40</f>
        <v>HPS</v>
      </c>
      <c r="G860" t="str">
        <f>GKT!CC40</f>
        <v>AC</v>
      </c>
      <c r="H860" t="str">
        <f>GKT!CD40</f>
        <v>Vessel</v>
      </c>
      <c r="I860">
        <f>GKT!CE40</f>
        <v>0</v>
      </c>
      <c r="J860">
        <f>GKT!CF40</f>
        <v>0</v>
      </c>
      <c r="K860">
        <f>GKT!CG40</f>
        <v>0</v>
      </c>
      <c r="L860">
        <f>GKT!CH40</f>
        <v>0</v>
      </c>
      <c r="M860">
        <f>GKT!CI40</f>
        <v>0</v>
      </c>
      <c r="N860">
        <f>GKT!CJ40</f>
        <v>0</v>
      </c>
      <c r="O860">
        <f>GKT!CK40</f>
        <v>0</v>
      </c>
      <c r="P860" s="143" t="str">
        <f>GKT!CL40</f>
        <v/>
      </c>
      <c r="R860">
        <f t="shared" si="13"/>
        <v>859</v>
      </c>
    </row>
    <row r="861" spans="5:18">
      <c r="E861" s="147" t="s">
        <v>60</v>
      </c>
      <c r="F861" t="str">
        <f>GKT!CB41</f>
        <v>HPS</v>
      </c>
      <c r="G861" t="str">
        <f>GKT!CC41</f>
        <v>AC</v>
      </c>
      <c r="H861" t="str">
        <f>GKT!CD41</f>
        <v>Vessel</v>
      </c>
      <c r="I861">
        <f>GKT!CE41</f>
        <v>0</v>
      </c>
      <c r="J861">
        <f>GKT!CF41</f>
        <v>0</v>
      </c>
      <c r="K861">
        <f>GKT!CG41</f>
        <v>0</v>
      </c>
      <c r="L861">
        <f>GKT!CH41</f>
        <v>0</v>
      </c>
      <c r="M861">
        <f>GKT!CI41</f>
        <v>0</v>
      </c>
      <c r="N861">
        <f>GKT!CJ41</f>
        <v>0</v>
      </c>
      <c r="O861">
        <f>GKT!CK41</f>
        <v>0</v>
      </c>
      <c r="P861" s="143" t="str">
        <f>GKT!CL41</f>
        <v/>
      </c>
      <c r="R861">
        <f t="shared" si="13"/>
        <v>860</v>
      </c>
    </row>
    <row r="862" spans="5:18">
      <c r="E862" s="147" t="s">
        <v>60</v>
      </c>
      <c r="F862" t="str">
        <f>GKT!CB42</f>
        <v>HPS</v>
      </c>
      <c r="G862" t="str">
        <f>GKT!CC42</f>
        <v>AC</v>
      </c>
      <c r="H862" t="str">
        <f>GKT!CD42</f>
        <v>Vessel</v>
      </c>
      <c r="I862">
        <f>GKT!CE42</f>
        <v>0</v>
      </c>
      <c r="J862">
        <f>GKT!CF42</f>
        <v>0</v>
      </c>
      <c r="K862">
        <f>GKT!CG42</f>
        <v>0</v>
      </c>
      <c r="L862">
        <f>GKT!CH42</f>
        <v>0</v>
      </c>
      <c r="M862">
        <f>GKT!CI42</f>
        <v>0</v>
      </c>
      <c r="N862">
        <f>GKT!CJ42</f>
        <v>0</v>
      </c>
      <c r="O862">
        <f>GKT!CK42</f>
        <v>0</v>
      </c>
      <c r="P862" s="143" t="str">
        <f>GKT!CL42</f>
        <v/>
      </c>
      <c r="R862">
        <f t="shared" si="13"/>
        <v>861</v>
      </c>
    </row>
    <row r="863" spans="5:18">
      <c r="E863" s="147" t="s">
        <v>60</v>
      </c>
      <c r="F863" t="str">
        <f>GKT!CB43</f>
        <v>HPS</v>
      </c>
      <c r="G863" t="str">
        <f>GKT!CC43</f>
        <v>AC</v>
      </c>
      <c r="H863" t="str">
        <f>GKT!CD43</f>
        <v>Vessel</v>
      </c>
      <c r="I863">
        <f>GKT!CE43</f>
        <v>0</v>
      </c>
      <c r="J863">
        <f>GKT!CF43</f>
        <v>0</v>
      </c>
      <c r="K863">
        <f>GKT!CG43</f>
        <v>0</v>
      </c>
      <c r="L863">
        <f>GKT!CH43</f>
        <v>0</v>
      </c>
      <c r="M863">
        <f>GKT!CI43</f>
        <v>0</v>
      </c>
      <c r="N863">
        <f>GKT!CJ43</f>
        <v>0</v>
      </c>
      <c r="O863">
        <f>GKT!CK43</f>
        <v>0</v>
      </c>
      <c r="P863" s="143" t="str">
        <f>GKT!CL43</f>
        <v/>
      </c>
      <c r="R863">
        <f t="shared" si="13"/>
        <v>862</v>
      </c>
    </row>
    <row r="864" spans="5:18">
      <c r="E864" s="147" t="s">
        <v>60</v>
      </c>
      <c r="F864" t="str">
        <f>GKT!CB44</f>
        <v>HPS</v>
      </c>
      <c r="G864" t="str">
        <f>GKT!CC44</f>
        <v>AC</v>
      </c>
      <c r="H864" t="str">
        <f>GKT!CD44</f>
        <v>Vessel</v>
      </c>
      <c r="I864">
        <f>GKT!CE44</f>
        <v>0</v>
      </c>
      <c r="J864">
        <f>GKT!CF44</f>
        <v>0</v>
      </c>
      <c r="K864">
        <f>GKT!CG44</f>
        <v>0</v>
      </c>
      <c r="L864">
        <f>GKT!CH44</f>
        <v>0</v>
      </c>
      <c r="M864">
        <f>GKT!CI44</f>
        <v>0</v>
      </c>
      <c r="N864">
        <f>GKT!CJ44</f>
        <v>0</v>
      </c>
      <c r="O864">
        <f>GKT!CK44</f>
        <v>0</v>
      </c>
      <c r="P864" s="143" t="str">
        <f>GKT!CL44</f>
        <v/>
      </c>
      <c r="R864">
        <f t="shared" si="13"/>
        <v>863</v>
      </c>
    </row>
    <row r="865" spans="5:18">
      <c r="E865" s="147" t="s">
        <v>60</v>
      </c>
      <c r="F865" t="str">
        <f>GKT!CB45</f>
        <v>HPS</v>
      </c>
      <c r="G865" t="str">
        <f>GKT!CC45</f>
        <v>AC</v>
      </c>
      <c r="H865" t="str">
        <f>GKT!CD45</f>
        <v>Vessel</v>
      </c>
      <c r="I865">
        <f>GKT!CE45</f>
        <v>0</v>
      </c>
      <c r="J865">
        <f>GKT!CF45</f>
        <v>0</v>
      </c>
      <c r="K865">
        <f>GKT!CG45</f>
        <v>0</v>
      </c>
      <c r="L865">
        <f>GKT!CH45</f>
        <v>0</v>
      </c>
      <c r="M865">
        <f>GKT!CI45</f>
        <v>0</v>
      </c>
      <c r="N865">
        <f>GKT!CJ45</f>
        <v>0</v>
      </c>
      <c r="O865">
        <f>GKT!CK45</f>
        <v>0</v>
      </c>
      <c r="P865" s="143" t="str">
        <f>GKT!CL45</f>
        <v/>
      </c>
      <c r="R865">
        <f t="shared" si="13"/>
        <v>864</v>
      </c>
    </row>
    <row r="866" spans="5:18">
      <c r="E866" s="147" t="s">
        <v>60</v>
      </c>
      <c r="F866" t="str">
        <f>GKT!CB46</f>
        <v>HPS</v>
      </c>
      <c r="G866" t="str">
        <f>GKT!CC46</f>
        <v>AC</v>
      </c>
      <c r="H866" t="str">
        <f>GKT!CD46</f>
        <v>Vessel</v>
      </c>
      <c r="I866">
        <f>GKT!CE46</f>
        <v>0</v>
      </c>
      <c r="J866">
        <f>GKT!CF46</f>
        <v>0</v>
      </c>
      <c r="K866">
        <f>GKT!CG46</f>
        <v>0</v>
      </c>
      <c r="L866">
        <f>GKT!CH46</f>
        <v>0</v>
      </c>
      <c r="M866">
        <f>GKT!CI46</f>
        <v>0</v>
      </c>
      <c r="N866">
        <f>GKT!CJ46</f>
        <v>0</v>
      </c>
      <c r="O866">
        <f>GKT!CK46</f>
        <v>0</v>
      </c>
      <c r="P866" s="143" t="str">
        <f>GKT!CL46</f>
        <v/>
      </c>
      <c r="R866">
        <f t="shared" si="13"/>
        <v>865</v>
      </c>
    </row>
    <row r="867" spans="5:18">
      <c r="E867" s="147" t="s">
        <v>60</v>
      </c>
      <c r="F867" t="str">
        <f>GKT!CB47</f>
        <v>HPS</v>
      </c>
      <c r="G867" t="str">
        <f>GKT!CC47</f>
        <v>AC</v>
      </c>
      <c r="H867" t="str">
        <f>GKT!CD47</f>
        <v>Vessel</v>
      </c>
      <c r="I867">
        <f>GKT!CE47</f>
        <v>0</v>
      </c>
      <c r="J867">
        <f>GKT!CF47</f>
        <v>0</v>
      </c>
      <c r="K867">
        <f>GKT!CG47</f>
        <v>0</v>
      </c>
      <c r="L867">
        <f>GKT!CH47</f>
        <v>0</v>
      </c>
      <c r="M867">
        <f>GKT!CI47</f>
        <v>0</v>
      </c>
      <c r="N867">
        <f>GKT!CJ47</f>
        <v>0</v>
      </c>
      <c r="O867">
        <f>GKT!CK47</f>
        <v>0</v>
      </c>
      <c r="P867" s="143" t="str">
        <f>GKT!CL47</f>
        <v/>
      </c>
      <c r="R867">
        <f t="shared" si="13"/>
        <v>866</v>
      </c>
    </row>
    <row r="868" spans="5:18">
      <c r="E868" s="147" t="s">
        <v>60</v>
      </c>
      <c r="F868" t="str">
        <f>GKT!CB48</f>
        <v>HPS</v>
      </c>
      <c r="G868" t="str">
        <f>GKT!CC48</f>
        <v>AC</v>
      </c>
      <c r="H868" t="str">
        <f>GKT!CD48</f>
        <v>Vessel</v>
      </c>
      <c r="I868">
        <f>GKT!CE48</f>
        <v>0</v>
      </c>
      <c r="J868">
        <f>GKT!CF48</f>
        <v>0</v>
      </c>
      <c r="K868">
        <f>GKT!CG48</f>
        <v>0</v>
      </c>
      <c r="L868">
        <f>GKT!CH48</f>
        <v>0</v>
      </c>
      <c r="M868">
        <f>GKT!CI48</f>
        <v>0</v>
      </c>
      <c r="N868">
        <f>GKT!CJ48</f>
        <v>0</v>
      </c>
      <c r="O868">
        <f>GKT!CK48</f>
        <v>0</v>
      </c>
      <c r="P868" s="143" t="str">
        <f>GKT!CL48</f>
        <v/>
      </c>
      <c r="R868">
        <f t="shared" si="13"/>
        <v>867</v>
      </c>
    </row>
    <row r="869" spans="5:18">
      <c r="E869" s="147" t="s">
        <v>60</v>
      </c>
      <c r="F869" t="str">
        <f>GKT!CB49</f>
        <v>HPS</v>
      </c>
      <c r="G869" t="str">
        <f>GKT!CC49</f>
        <v>AC</v>
      </c>
      <c r="H869" t="str">
        <f>GKT!CD49</f>
        <v>Vessel</v>
      </c>
      <c r="I869">
        <f>GKT!CE49</f>
        <v>0</v>
      </c>
      <c r="J869">
        <f>GKT!CF49</f>
        <v>0</v>
      </c>
      <c r="K869">
        <f>GKT!CG49</f>
        <v>0</v>
      </c>
      <c r="L869">
        <f>GKT!CH49</f>
        <v>0</v>
      </c>
      <c r="M869">
        <f>GKT!CI49</f>
        <v>0</v>
      </c>
      <c r="N869">
        <f>GKT!CJ49</f>
        <v>0</v>
      </c>
      <c r="O869">
        <f>GKT!CK49</f>
        <v>0</v>
      </c>
      <c r="P869" s="143" t="str">
        <f>GKT!CL49</f>
        <v/>
      </c>
      <c r="R869">
        <f t="shared" si="13"/>
        <v>868</v>
      </c>
    </row>
    <row r="870" spans="5:18">
      <c r="E870" s="147" t="s">
        <v>60</v>
      </c>
      <c r="F870" t="str">
        <f>GKT!CB50</f>
        <v>HPS</v>
      </c>
      <c r="G870" t="str">
        <f>GKT!CC50</f>
        <v>AC</v>
      </c>
      <c r="H870" t="str">
        <f>GKT!CD50</f>
        <v>Vessel</v>
      </c>
      <c r="I870">
        <f>GKT!CE50</f>
        <v>0</v>
      </c>
      <c r="J870">
        <f>GKT!CF50</f>
        <v>0</v>
      </c>
      <c r="K870">
        <f>GKT!CG50</f>
        <v>0</v>
      </c>
      <c r="L870">
        <f>GKT!CH50</f>
        <v>0</v>
      </c>
      <c r="M870">
        <f>GKT!CI50</f>
        <v>0</v>
      </c>
      <c r="N870">
        <f>GKT!CJ50</f>
        <v>0</v>
      </c>
      <c r="O870">
        <f>GKT!CK50</f>
        <v>0</v>
      </c>
      <c r="P870" s="143" t="str">
        <f>GKT!CL50</f>
        <v/>
      </c>
      <c r="R870">
        <f t="shared" si="13"/>
        <v>869</v>
      </c>
    </row>
    <row r="871" spans="5:18">
      <c r="E871" s="147" t="s">
        <v>60</v>
      </c>
      <c r="F871" t="str">
        <f>GKT!CB51</f>
        <v>HPS</v>
      </c>
      <c r="G871" t="str">
        <f>GKT!CC51</f>
        <v>AC</v>
      </c>
      <c r="H871" t="str">
        <f>GKT!CD51</f>
        <v>Vessel</v>
      </c>
      <c r="I871">
        <f>GKT!CE51</f>
        <v>0</v>
      </c>
      <c r="J871">
        <f>GKT!CF51</f>
        <v>0</v>
      </c>
      <c r="K871">
        <f>GKT!CG51</f>
        <v>0</v>
      </c>
      <c r="L871">
        <f>GKT!CH51</f>
        <v>0</v>
      </c>
      <c r="M871">
        <f>GKT!CI51</f>
        <v>0</v>
      </c>
      <c r="N871">
        <f>GKT!CJ51</f>
        <v>0</v>
      </c>
      <c r="O871">
        <f>GKT!CK51</f>
        <v>0</v>
      </c>
      <c r="P871" s="143" t="str">
        <f>GKT!CL51</f>
        <v/>
      </c>
      <c r="R871">
        <f t="shared" si="13"/>
        <v>870</v>
      </c>
    </row>
    <row r="872" spans="5:18">
      <c r="E872" s="147" t="s">
        <v>60</v>
      </c>
      <c r="F872" t="str">
        <f>GKT!CB52</f>
        <v>HPS</v>
      </c>
      <c r="G872" t="str">
        <f>GKT!CC52</f>
        <v>AC</v>
      </c>
      <c r="H872" t="str">
        <f>GKT!CD52</f>
        <v>Vessel</v>
      </c>
      <c r="I872">
        <f>GKT!CE52</f>
        <v>0</v>
      </c>
      <c r="J872">
        <f>GKT!CF52</f>
        <v>0</v>
      </c>
      <c r="K872">
        <f>GKT!CG52</f>
        <v>0</v>
      </c>
      <c r="L872">
        <f>GKT!CH52</f>
        <v>0</v>
      </c>
      <c r="M872">
        <f>GKT!CI52</f>
        <v>0</v>
      </c>
      <c r="N872">
        <f>GKT!CJ52</f>
        <v>0</v>
      </c>
      <c r="O872">
        <f>GKT!CK52</f>
        <v>0</v>
      </c>
      <c r="P872" s="143" t="str">
        <f>GKT!CL52</f>
        <v/>
      </c>
      <c r="R872">
        <f t="shared" si="13"/>
        <v>871</v>
      </c>
    </row>
    <row r="873" spans="5:18">
      <c r="E873" s="147" t="s">
        <v>60</v>
      </c>
      <c r="F873" t="str">
        <f>GKT!CB53</f>
        <v>HPS</v>
      </c>
      <c r="G873" t="str">
        <f>GKT!CC53</f>
        <v>AC</v>
      </c>
      <c r="H873" t="str">
        <f>GKT!CD53</f>
        <v>Vessel</v>
      </c>
      <c r="I873">
        <f>GKT!CE53</f>
        <v>0</v>
      </c>
      <c r="J873">
        <f>GKT!CF53</f>
        <v>0</v>
      </c>
      <c r="K873">
        <f>GKT!CG53</f>
        <v>0</v>
      </c>
      <c r="L873">
        <f>GKT!CH53</f>
        <v>0</v>
      </c>
      <c r="M873">
        <f>GKT!CI53</f>
        <v>0</v>
      </c>
      <c r="N873">
        <f>GKT!CJ53</f>
        <v>0</v>
      </c>
      <c r="O873">
        <f>GKT!CK53</f>
        <v>0</v>
      </c>
      <c r="P873" s="143" t="str">
        <f>GKT!CL53</f>
        <v/>
      </c>
      <c r="R873">
        <f t="shared" si="13"/>
        <v>872</v>
      </c>
    </row>
    <row r="874" spans="5:18">
      <c r="E874" s="147" t="s">
        <v>60</v>
      </c>
      <c r="F874" t="str">
        <f>GKT!CB54</f>
        <v>HPS</v>
      </c>
      <c r="G874" t="str">
        <f>GKT!CC54</f>
        <v>AC</v>
      </c>
      <c r="H874" t="str">
        <f>GKT!CD54</f>
        <v>Vessel</v>
      </c>
      <c r="I874">
        <f>GKT!CE54</f>
        <v>0</v>
      </c>
      <c r="J874">
        <f>GKT!CF54</f>
        <v>0</v>
      </c>
      <c r="K874">
        <f>GKT!CG54</f>
        <v>0</v>
      </c>
      <c r="L874">
        <f>GKT!CH54</f>
        <v>0</v>
      </c>
      <c r="M874">
        <f>GKT!CI54</f>
        <v>0</v>
      </c>
      <c r="N874">
        <f>GKT!CJ54</f>
        <v>0</v>
      </c>
      <c r="O874">
        <f>GKT!CK54</f>
        <v>0</v>
      </c>
      <c r="P874" s="143" t="str">
        <f>GKT!CL54</f>
        <v/>
      </c>
      <c r="R874">
        <f t="shared" si="13"/>
        <v>873</v>
      </c>
    </row>
    <row r="875" spans="5:18">
      <c r="E875" s="147" t="s">
        <v>60</v>
      </c>
      <c r="F875" t="str">
        <f>GKT!CB55</f>
        <v>HPS</v>
      </c>
      <c r="G875" t="str">
        <f>GKT!CC55</f>
        <v>AC</v>
      </c>
      <c r="H875" t="str">
        <f>GKT!CD55</f>
        <v>Vessel</v>
      </c>
      <c r="I875">
        <f>GKT!CE55</f>
        <v>0</v>
      </c>
      <c r="J875">
        <f>GKT!CF55</f>
        <v>0</v>
      </c>
      <c r="K875">
        <f>GKT!CG55</f>
        <v>0</v>
      </c>
      <c r="L875">
        <f>GKT!CH55</f>
        <v>0</v>
      </c>
      <c r="M875">
        <f>GKT!CI55</f>
        <v>0</v>
      </c>
      <c r="N875">
        <f>GKT!CJ55</f>
        <v>0</v>
      </c>
      <c r="O875">
        <f>GKT!CK55</f>
        <v>0</v>
      </c>
      <c r="P875" s="143" t="str">
        <f>GKT!CL55</f>
        <v/>
      </c>
      <c r="R875">
        <f t="shared" si="13"/>
        <v>874</v>
      </c>
    </row>
    <row r="876" spans="5:18">
      <c r="E876" s="147" t="s">
        <v>60</v>
      </c>
      <c r="F876" t="str">
        <f>GKT!CB56</f>
        <v>HPS</v>
      </c>
      <c r="G876" t="str">
        <f>GKT!CC56</f>
        <v>AC</v>
      </c>
      <c r="H876" t="str">
        <f>GKT!CD56</f>
        <v>Vessel</v>
      </c>
      <c r="I876">
        <f>GKT!CE56</f>
        <v>0</v>
      </c>
      <c r="J876">
        <f>GKT!CF56</f>
        <v>0</v>
      </c>
      <c r="K876">
        <f>GKT!CG56</f>
        <v>0</v>
      </c>
      <c r="L876">
        <f>GKT!CH56</f>
        <v>0</v>
      </c>
      <c r="M876">
        <f>GKT!CI56</f>
        <v>0</v>
      </c>
      <c r="N876">
        <f>GKT!CJ56</f>
        <v>0</v>
      </c>
      <c r="O876">
        <f>GKT!CK56</f>
        <v>0</v>
      </c>
      <c r="P876" s="143" t="str">
        <f>GKT!CL56</f>
        <v/>
      </c>
      <c r="R876">
        <f t="shared" si="13"/>
        <v>875</v>
      </c>
    </row>
    <row r="877" spans="5:18">
      <c r="E877" s="147" t="s">
        <v>60</v>
      </c>
      <c r="F877" t="str">
        <f>GKT!CB57</f>
        <v>HPS</v>
      </c>
      <c r="G877" t="str">
        <f>GKT!CC57</f>
        <v>AC</v>
      </c>
      <c r="H877" t="str">
        <f>GKT!CD57</f>
        <v>Vessel</v>
      </c>
      <c r="I877">
        <f>GKT!CE57</f>
        <v>0</v>
      </c>
      <c r="J877">
        <f>GKT!CF57</f>
        <v>0</v>
      </c>
      <c r="K877">
        <f>GKT!CG57</f>
        <v>0</v>
      </c>
      <c r="L877">
        <f>GKT!CH57</f>
        <v>0</v>
      </c>
      <c r="M877">
        <f>GKT!CI57</f>
        <v>0</v>
      </c>
      <c r="N877">
        <f>GKT!CJ57</f>
        <v>0</v>
      </c>
      <c r="O877">
        <f>GKT!CK57</f>
        <v>0</v>
      </c>
      <c r="P877" s="143" t="str">
        <f>GKT!CL57</f>
        <v/>
      </c>
      <c r="R877">
        <f t="shared" si="13"/>
        <v>876</v>
      </c>
    </row>
    <row r="878" spans="5:18">
      <c r="E878" s="147" t="s">
        <v>60</v>
      </c>
      <c r="F878" t="str">
        <f>GKT!CB58</f>
        <v>HPS</v>
      </c>
      <c r="G878" t="str">
        <f>GKT!CC58</f>
        <v>AC</v>
      </c>
      <c r="H878" t="str">
        <f>GKT!CD58</f>
        <v>Vessel</v>
      </c>
      <c r="I878">
        <f>GKT!CE58</f>
        <v>0</v>
      </c>
      <c r="J878">
        <f>GKT!CF58</f>
        <v>0</v>
      </c>
      <c r="K878">
        <f>GKT!CG58</f>
        <v>0</v>
      </c>
      <c r="L878">
        <f>GKT!CH58</f>
        <v>0</v>
      </c>
      <c r="M878">
        <f>GKT!CI58</f>
        <v>0</v>
      </c>
      <c r="N878">
        <f>GKT!CJ58</f>
        <v>0</v>
      </c>
      <c r="O878">
        <f>GKT!CK58</f>
        <v>0</v>
      </c>
      <c r="P878" s="143" t="str">
        <f>GKT!CL58</f>
        <v/>
      </c>
      <c r="R878">
        <f t="shared" si="13"/>
        <v>877</v>
      </c>
    </row>
    <row r="879" spans="5:18">
      <c r="E879" s="147" t="s">
        <v>60</v>
      </c>
      <c r="F879" t="str">
        <f>GKT!CB59</f>
        <v>HPS</v>
      </c>
      <c r="G879" t="str">
        <f>GKT!CC59</f>
        <v>AC</v>
      </c>
      <c r="H879" t="str">
        <f>GKT!CD59</f>
        <v>Vessel</v>
      </c>
      <c r="I879">
        <f>GKT!CE59</f>
        <v>0</v>
      </c>
      <c r="J879">
        <f>GKT!CF59</f>
        <v>0</v>
      </c>
      <c r="K879">
        <f>GKT!CG59</f>
        <v>0</v>
      </c>
      <c r="L879">
        <f>GKT!CH59</f>
        <v>0</v>
      </c>
      <c r="M879">
        <f>GKT!CI59</f>
        <v>0</v>
      </c>
      <c r="N879">
        <f>GKT!CJ59</f>
        <v>0</v>
      </c>
      <c r="O879">
        <f>GKT!CK59</f>
        <v>0</v>
      </c>
      <c r="P879" s="143" t="str">
        <f>GKT!CL59</f>
        <v/>
      </c>
      <c r="R879">
        <f t="shared" si="13"/>
        <v>878</v>
      </c>
    </row>
    <row r="880" spans="5:18">
      <c r="E880" s="147" t="s">
        <v>60</v>
      </c>
      <c r="F880" t="str">
        <f>GKT!CB60</f>
        <v>HPS</v>
      </c>
      <c r="G880" t="str">
        <f>GKT!CC60</f>
        <v>AC</v>
      </c>
      <c r="H880" t="str">
        <f>GKT!CD60</f>
        <v>Vessel</v>
      </c>
      <c r="I880">
        <f>GKT!CE60</f>
        <v>0</v>
      </c>
      <c r="J880">
        <f>GKT!CF60</f>
        <v>0</v>
      </c>
      <c r="K880">
        <f>GKT!CG60</f>
        <v>0</v>
      </c>
      <c r="L880">
        <f>GKT!CH60</f>
        <v>0</v>
      </c>
      <c r="M880">
        <f>GKT!CI60</f>
        <v>0</v>
      </c>
      <c r="N880">
        <f>GKT!CJ60</f>
        <v>0</v>
      </c>
      <c r="O880">
        <f>GKT!CK60</f>
        <v>0</v>
      </c>
      <c r="P880" s="143" t="str">
        <f>GKT!CL60</f>
        <v/>
      </c>
      <c r="R880">
        <f t="shared" si="13"/>
        <v>879</v>
      </c>
    </row>
    <row r="881" spans="5:18">
      <c r="E881" s="147" t="s">
        <v>60</v>
      </c>
      <c r="F881" t="str">
        <f>GKT!CB61</f>
        <v>HPS</v>
      </c>
      <c r="G881" t="str">
        <f>GKT!CC61</f>
        <v>AC</v>
      </c>
      <c r="H881" t="str">
        <f>GKT!CD61</f>
        <v>Vessel</v>
      </c>
      <c r="I881">
        <f>GKT!CE61</f>
        <v>0</v>
      </c>
      <c r="J881">
        <f>GKT!CF61</f>
        <v>0</v>
      </c>
      <c r="K881">
        <f>GKT!CG61</f>
        <v>0</v>
      </c>
      <c r="L881">
        <f>GKT!CH61</f>
        <v>0</v>
      </c>
      <c r="M881">
        <f>GKT!CI61</f>
        <v>0</v>
      </c>
      <c r="N881">
        <f>GKT!CJ61</f>
        <v>0</v>
      </c>
      <c r="O881">
        <f>GKT!CK61</f>
        <v>0</v>
      </c>
      <c r="P881" s="143" t="str">
        <f>GKT!CL61</f>
        <v/>
      </c>
      <c r="R881">
        <f t="shared" si="13"/>
        <v>880</v>
      </c>
    </row>
    <row r="882" spans="5:18">
      <c r="E882" s="147" t="s">
        <v>60</v>
      </c>
      <c r="F882" t="str">
        <f>GKT!CB62</f>
        <v>HPS</v>
      </c>
      <c r="G882" t="str">
        <f>GKT!CC62</f>
        <v>AC</v>
      </c>
      <c r="H882" t="str">
        <f>GKT!CD62</f>
        <v>Vessel</v>
      </c>
      <c r="I882">
        <f>GKT!CE62</f>
        <v>0</v>
      </c>
      <c r="J882">
        <f>GKT!CF62</f>
        <v>0</v>
      </c>
      <c r="K882">
        <f>GKT!CG62</f>
        <v>0</v>
      </c>
      <c r="L882">
        <f>GKT!CH62</f>
        <v>0</v>
      </c>
      <c r="M882">
        <f>GKT!CI62</f>
        <v>0</v>
      </c>
      <c r="N882">
        <f>GKT!CJ62</f>
        <v>0</v>
      </c>
      <c r="O882">
        <f>GKT!CK62</f>
        <v>0</v>
      </c>
      <c r="P882" s="143" t="str">
        <f>GKT!CL62</f>
        <v/>
      </c>
      <c r="R882">
        <f t="shared" si="13"/>
        <v>881</v>
      </c>
    </row>
    <row r="883" spans="5:18">
      <c r="E883" s="147" t="s">
        <v>60</v>
      </c>
      <c r="F883" t="str">
        <f>GKT!CB63</f>
        <v>HPS</v>
      </c>
      <c r="G883" t="str">
        <f>GKT!CC63</f>
        <v>AC</v>
      </c>
      <c r="H883" t="str">
        <f>GKT!CD63</f>
        <v>Vessel</v>
      </c>
      <c r="I883">
        <f>GKT!CE63</f>
        <v>0</v>
      </c>
      <c r="J883">
        <f>GKT!CF63</f>
        <v>0</v>
      </c>
      <c r="K883">
        <f>GKT!CG63</f>
        <v>0</v>
      </c>
      <c r="L883">
        <f>GKT!CH63</f>
        <v>0</v>
      </c>
      <c r="M883">
        <f>GKT!CI63</f>
        <v>0</v>
      </c>
      <c r="N883">
        <f>GKT!CJ63</f>
        <v>0</v>
      </c>
      <c r="O883">
        <f>GKT!CK63</f>
        <v>0</v>
      </c>
      <c r="P883" s="143" t="str">
        <f>GKT!CL63</f>
        <v/>
      </c>
      <c r="R883">
        <f t="shared" si="13"/>
        <v>882</v>
      </c>
    </row>
    <row r="884" spans="5:18">
      <c r="E884" s="147" t="s">
        <v>60</v>
      </c>
      <c r="F884" t="str">
        <f>GKT!CB64</f>
        <v>HPS</v>
      </c>
      <c r="G884" t="str">
        <f>GKT!CC64</f>
        <v>AC</v>
      </c>
      <c r="H884" t="str">
        <f>GKT!CD64</f>
        <v>Vessel</v>
      </c>
      <c r="I884">
        <f>GKT!CE64</f>
        <v>0</v>
      </c>
      <c r="J884">
        <f>GKT!CF64</f>
        <v>0</v>
      </c>
      <c r="K884">
        <f>GKT!CG64</f>
        <v>0</v>
      </c>
      <c r="L884">
        <f>GKT!CH64</f>
        <v>0</v>
      </c>
      <c r="M884">
        <f>GKT!CI64</f>
        <v>0</v>
      </c>
      <c r="N884">
        <f>GKT!CJ64</f>
        <v>0</v>
      </c>
      <c r="O884">
        <f>GKT!CK64</f>
        <v>0</v>
      </c>
      <c r="P884" s="143" t="str">
        <f>GKT!CL64</f>
        <v/>
      </c>
      <c r="R884">
        <f t="shared" si="13"/>
        <v>883</v>
      </c>
    </row>
    <row r="885" spans="5:18">
      <c r="E885" s="147" t="s">
        <v>60</v>
      </c>
      <c r="F885" t="str">
        <f>GKT!CB65</f>
        <v>HPS</v>
      </c>
      <c r="G885" t="str">
        <f>GKT!CC65</f>
        <v>AC</v>
      </c>
      <c r="H885" t="str">
        <f>GKT!CD65</f>
        <v>Vessel</v>
      </c>
      <c r="I885">
        <f>GKT!CE65</f>
        <v>0</v>
      </c>
      <c r="J885">
        <f>GKT!CF65</f>
        <v>0</v>
      </c>
      <c r="K885">
        <f>GKT!CG65</f>
        <v>0</v>
      </c>
      <c r="L885">
        <f>GKT!CH65</f>
        <v>0</v>
      </c>
      <c r="M885">
        <f>GKT!CI65</f>
        <v>0</v>
      </c>
      <c r="N885">
        <f>GKT!CJ65</f>
        <v>0</v>
      </c>
      <c r="O885">
        <f>GKT!CK65</f>
        <v>0</v>
      </c>
      <c r="P885" s="143" t="str">
        <f>GKT!CL65</f>
        <v/>
      </c>
      <c r="R885">
        <f t="shared" si="13"/>
        <v>884</v>
      </c>
    </row>
    <row r="886" spans="5:18">
      <c r="E886" s="147" t="s">
        <v>60</v>
      </c>
      <c r="F886" t="str">
        <f>GKT!CB66</f>
        <v>HPS</v>
      </c>
      <c r="G886" t="str">
        <f>GKT!CC66</f>
        <v>AC</v>
      </c>
      <c r="H886" t="str">
        <f>GKT!CD66</f>
        <v>Vessel</v>
      </c>
      <c r="I886">
        <f>GKT!CE66</f>
        <v>0</v>
      </c>
      <c r="J886">
        <f>GKT!CF66</f>
        <v>0</v>
      </c>
      <c r="K886">
        <f>GKT!CG66</f>
        <v>0</v>
      </c>
      <c r="L886">
        <f>GKT!CH66</f>
        <v>0</v>
      </c>
      <c r="M886">
        <f>GKT!CI66</f>
        <v>0</v>
      </c>
      <c r="N886">
        <f>GKT!CJ66</f>
        <v>0</v>
      </c>
      <c r="O886">
        <f>GKT!CK66</f>
        <v>0</v>
      </c>
      <c r="P886" s="143" t="str">
        <f>GKT!CL66</f>
        <v/>
      </c>
      <c r="R886">
        <f t="shared" si="13"/>
        <v>885</v>
      </c>
    </row>
    <row r="887" spans="5:18">
      <c r="E887" s="147" t="s">
        <v>60</v>
      </c>
      <c r="F887" t="str">
        <f>GKT!CB67</f>
        <v>HPS</v>
      </c>
      <c r="G887" t="str">
        <f>GKT!CC67</f>
        <v>AC</v>
      </c>
      <c r="H887" t="str">
        <f>GKT!CD67</f>
        <v>Vessel</v>
      </c>
      <c r="I887">
        <f>GKT!CE67</f>
        <v>0</v>
      </c>
      <c r="J887">
        <f>GKT!CF67</f>
        <v>0</v>
      </c>
      <c r="K887">
        <f>GKT!CG67</f>
        <v>0</v>
      </c>
      <c r="L887">
        <f>GKT!CH67</f>
        <v>0</v>
      </c>
      <c r="M887">
        <f>GKT!CI67</f>
        <v>0</v>
      </c>
      <c r="N887">
        <f>GKT!CJ67</f>
        <v>0</v>
      </c>
      <c r="O887">
        <f>GKT!CK67</f>
        <v>0</v>
      </c>
      <c r="P887" s="143" t="str">
        <f>GKT!CL67</f>
        <v/>
      </c>
      <c r="R887">
        <f t="shared" si="13"/>
        <v>886</v>
      </c>
    </row>
    <row r="888" spans="5:18">
      <c r="E888" s="147" t="s">
        <v>60</v>
      </c>
      <c r="F888" t="str">
        <f>GKT!CB68</f>
        <v>HPS</v>
      </c>
      <c r="G888" t="str">
        <f>GKT!CC68</f>
        <v>AC</v>
      </c>
      <c r="H888" t="str">
        <f>GKT!CD68</f>
        <v>Vessel</v>
      </c>
      <c r="I888">
        <f>GKT!CE68</f>
        <v>0</v>
      </c>
      <c r="J888">
        <f>GKT!CF68</f>
        <v>0</v>
      </c>
      <c r="K888">
        <f>GKT!CG68</f>
        <v>0</v>
      </c>
      <c r="L888">
        <f>GKT!CH68</f>
        <v>0</v>
      </c>
      <c r="M888">
        <f>GKT!CI68</f>
        <v>0</v>
      </c>
      <c r="N888">
        <f>GKT!CJ68</f>
        <v>0</v>
      </c>
      <c r="O888">
        <f>GKT!CK68</f>
        <v>0</v>
      </c>
      <c r="P888" s="143" t="str">
        <f>GKT!CL68</f>
        <v/>
      </c>
      <c r="R888">
        <f t="shared" si="13"/>
        <v>887</v>
      </c>
    </row>
    <row r="889" spans="5:18">
      <c r="E889" s="147" t="s">
        <v>60</v>
      </c>
      <c r="F889" t="str">
        <f>GKT!CB69</f>
        <v>HPS</v>
      </c>
      <c r="G889" t="str">
        <f>GKT!CC69</f>
        <v>AC</v>
      </c>
      <c r="H889" t="str">
        <f>GKT!CD69</f>
        <v>Vessel</v>
      </c>
      <c r="I889">
        <f>GKT!CE69</f>
        <v>0</v>
      </c>
      <c r="J889">
        <f>GKT!CF69</f>
        <v>0</v>
      </c>
      <c r="K889">
        <f>GKT!CG69</f>
        <v>0</v>
      </c>
      <c r="L889">
        <f>GKT!CH69</f>
        <v>0</v>
      </c>
      <c r="M889">
        <f>GKT!CI69</f>
        <v>0</v>
      </c>
      <c r="N889">
        <f>GKT!CJ69</f>
        <v>0</v>
      </c>
      <c r="O889">
        <f>GKT!CK69</f>
        <v>0</v>
      </c>
      <c r="P889" s="143" t="str">
        <f>GKT!CL69</f>
        <v/>
      </c>
      <c r="R889">
        <f t="shared" si="13"/>
        <v>888</v>
      </c>
    </row>
    <row r="890" spans="5:18">
      <c r="E890" s="147" t="s">
        <v>60</v>
      </c>
      <c r="F890" t="str">
        <f>GKT!CB70</f>
        <v>HPS</v>
      </c>
      <c r="G890" t="str">
        <f>GKT!CC70</f>
        <v>AC</v>
      </c>
      <c r="H890" t="str">
        <f>GKT!CD70</f>
        <v>Vessel</v>
      </c>
      <c r="I890">
        <f>GKT!CE70</f>
        <v>0</v>
      </c>
      <c r="J890">
        <f>GKT!CF70</f>
        <v>0</v>
      </c>
      <c r="K890">
        <f>GKT!CG70</f>
        <v>0</v>
      </c>
      <c r="L890">
        <f>GKT!CH70</f>
        <v>0</v>
      </c>
      <c r="M890">
        <f>GKT!CI70</f>
        <v>0</v>
      </c>
      <c r="N890">
        <f>GKT!CJ70</f>
        <v>0</v>
      </c>
      <c r="O890">
        <f>GKT!CK70</f>
        <v>0</v>
      </c>
      <c r="P890" s="143" t="str">
        <f>GKT!CL70</f>
        <v/>
      </c>
      <c r="R890">
        <f t="shared" si="13"/>
        <v>889</v>
      </c>
    </row>
    <row r="891" spans="5:18">
      <c r="E891" s="147" t="s">
        <v>60</v>
      </c>
      <c r="F891" t="str">
        <f>GKT!CB71</f>
        <v>HPS</v>
      </c>
      <c r="G891" t="str">
        <f>GKT!CC71</f>
        <v>AC</v>
      </c>
      <c r="H891" t="str">
        <f>GKT!CD71</f>
        <v>Vessel</v>
      </c>
      <c r="I891">
        <f>GKT!CE71</f>
        <v>0</v>
      </c>
      <c r="J891">
        <f>GKT!CF71</f>
        <v>0</v>
      </c>
      <c r="K891">
        <f>GKT!CG71</f>
        <v>0</v>
      </c>
      <c r="L891">
        <f>GKT!CH71</f>
        <v>0</v>
      </c>
      <c r="M891">
        <f>GKT!CI71</f>
        <v>0</v>
      </c>
      <c r="N891">
        <f>GKT!CJ71</f>
        <v>0</v>
      </c>
      <c r="O891">
        <f>GKT!CK71</f>
        <v>0</v>
      </c>
      <c r="P891" s="143" t="str">
        <f>GKT!CL71</f>
        <v/>
      </c>
      <c r="R891">
        <f t="shared" si="13"/>
        <v>890</v>
      </c>
    </row>
    <row r="892" spans="5:18">
      <c r="E892" s="147" t="s">
        <v>60</v>
      </c>
      <c r="F892" t="str">
        <f>GKT!CB72</f>
        <v>HPS</v>
      </c>
      <c r="G892" t="str">
        <f>GKT!CC72</f>
        <v>AC</v>
      </c>
      <c r="H892" t="str">
        <f>GKT!CD72</f>
        <v>Vessel</v>
      </c>
      <c r="I892">
        <f>GKT!CE72</f>
        <v>0</v>
      </c>
      <c r="J892">
        <f>GKT!CF72</f>
        <v>0</v>
      </c>
      <c r="K892">
        <f>GKT!CG72</f>
        <v>0</v>
      </c>
      <c r="L892">
        <f>GKT!CH72</f>
        <v>0</v>
      </c>
      <c r="M892">
        <f>GKT!CI72</f>
        <v>0</v>
      </c>
      <c r="N892">
        <f>GKT!CJ72</f>
        <v>0</v>
      </c>
      <c r="O892">
        <f>GKT!CK72</f>
        <v>0</v>
      </c>
      <c r="P892" s="143" t="str">
        <f>GKT!CL72</f>
        <v/>
      </c>
      <c r="R892">
        <f t="shared" si="13"/>
        <v>891</v>
      </c>
    </row>
    <row r="893" spans="5:18">
      <c r="E893" s="147" t="s">
        <v>60</v>
      </c>
      <c r="F893" t="str">
        <f>GKT!CB73</f>
        <v>HPS</v>
      </c>
      <c r="G893" t="str">
        <f>GKT!CC73</f>
        <v>AC</v>
      </c>
      <c r="H893" t="str">
        <f>GKT!CD73</f>
        <v>Vessel</v>
      </c>
      <c r="I893">
        <f>GKT!CE73</f>
        <v>0</v>
      </c>
      <c r="J893">
        <f>GKT!CF73</f>
        <v>0</v>
      </c>
      <c r="K893">
        <f>GKT!CG73</f>
        <v>0</v>
      </c>
      <c r="L893">
        <f>GKT!CH73</f>
        <v>0</v>
      </c>
      <c r="M893">
        <f>GKT!CI73</f>
        <v>0</v>
      </c>
      <c r="N893">
        <f>GKT!CJ73</f>
        <v>0</v>
      </c>
      <c r="O893">
        <f>GKT!CK73</f>
        <v>0</v>
      </c>
      <c r="P893" s="143" t="str">
        <f>GKT!CL73</f>
        <v/>
      </c>
      <c r="R893">
        <f t="shared" si="13"/>
        <v>892</v>
      </c>
    </row>
    <row r="894" spans="5:18">
      <c r="E894" s="147" t="s">
        <v>60</v>
      </c>
      <c r="F894" t="str">
        <f>GKT!CB74</f>
        <v>HPS</v>
      </c>
      <c r="G894" t="str">
        <f>GKT!CC74</f>
        <v>AC</v>
      </c>
      <c r="H894" t="str">
        <f>GKT!CD74</f>
        <v>Vessel</v>
      </c>
      <c r="I894">
        <f>GKT!CE74</f>
        <v>0</v>
      </c>
      <c r="J894">
        <f>GKT!CF74</f>
        <v>0</v>
      </c>
      <c r="K894">
        <f>GKT!CG74</f>
        <v>0</v>
      </c>
      <c r="L894">
        <f>GKT!CH74</f>
        <v>0</v>
      </c>
      <c r="M894">
        <f>GKT!CI74</f>
        <v>0</v>
      </c>
      <c r="N894">
        <f>GKT!CJ74</f>
        <v>0</v>
      </c>
      <c r="O894">
        <f>GKT!CK74</f>
        <v>0</v>
      </c>
      <c r="P894" s="143" t="str">
        <f>GKT!CL74</f>
        <v/>
      </c>
      <c r="R894">
        <f t="shared" si="13"/>
        <v>893</v>
      </c>
    </row>
    <row r="895" spans="5:18">
      <c r="E895" s="147" t="s">
        <v>60</v>
      </c>
      <c r="F895" t="str">
        <f>GKT!CB75</f>
        <v>HPS</v>
      </c>
      <c r="G895" t="str">
        <f>GKT!CC75</f>
        <v>AC</v>
      </c>
      <c r="H895" t="str">
        <f>GKT!CD75</f>
        <v>Vessel</v>
      </c>
      <c r="I895">
        <f>GKT!CE75</f>
        <v>0</v>
      </c>
      <c r="J895">
        <f>GKT!CF75</f>
        <v>0</v>
      </c>
      <c r="K895">
        <f>GKT!CG75</f>
        <v>0</v>
      </c>
      <c r="L895">
        <f>GKT!CH75</f>
        <v>0</v>
      </c>
      <c r="M895">
        <f>GKT!CI75</f>
        <v>0</v>
      </c>
      <c r="N895">
        <f>GKT!CJ75</f>
        <v>0</v>
      </c>
      <c r="O895">
        <f>GKT!CK75</f>
        <v>0</v>
      </c>
      <c r="P895" s="143" t="str">
        <f>GKT!CL75</f>
        <v/>
      </c>
      <c r="R895">
        <f t="shared" si="13"/>
        <v>894</v>
      </c>
    </row>
    <row r="896" spans="5:18">
      <c r="E896" s="147" t="s">
        <v>60</v>
      </c>
      <c r="F896" t="str">
        <f>GKT!CB76</f>
        <v>HPS</v>
      </c>
      <c r="G896" t="str">
        <f>GKT!CC76</f>
        <v>AC</v>
      </c>
      <c r="H896" t="str">
        <f>GKT!CD76</f>
        <v>Vessel</v>
      </c>
      <c r="I896">
        <f>GKT!CE76</f>
        <v>0</v>
      </c>
      <c r="J896">
        <f>GKT!CF76</f>
        <v>0</v>
      </c>
      <c r="K896">
        <f>GKT!CG76</f>
        <v>0</v>
      </c>
      <c r="L896">
        <f>GKT!CH76</f>
        <v>0</v>
      </c>
      <c r="M896">
        <f>GKT!CI76</f>
        <v>0</v>
      </c>
      <c r="N896">
        <f>GKT!CJ76</f>
        <v>0</v>
      </c>
      <c r="O896">
        <f>GKT!CK76</f>
        <v>0</v>
      </c>
      <c r="P896" s="143" t="str">
        <f>GKT!CL76</f>
        <v/>
      </c>
      <c r="R896">
        <f t="shared" si="13"/>
        <v>895</v>
      </c>
    </row>
    <row r="897" spans="5:18">
      <c r="E897" s="147" t="s">
        <v>60</v>
      </c>
      <c r="F897" t="str">
        <f>GKT!CB77</f>
        <v>HPS</v>
      </c>
      <c r="G897" t="str">
        <f>GKT!CC77</f>
        <v>AC</v>
      </c>
      <c r="H897" t="str">
        <f>GKT!CD77</f>
        <v>Vessel</v>
      </c>
      <c r="I897">
        <f>GKT!CE77</f>
        <v>0</v>
      </c>
      <c r="J897">
        <f>GKT!CF77</f>
        <v>0</v>
      </c>
      <c r="K897">
        <f>GKT!CG77</f>
        <v>0</v>
      </c>
      <c r="L897">
        <f>GKT!CH77</f>
        <v>0</v>
      </c>
      <c r="M897">
        <f>GKT!CI77</f>
        <v>0</v>
      </c>
      <c r="N897">
        <f>GKT!CJ77</f>
        <v>0</v>
      </c>
      <c r="O897">
        <f>GKT!CK77</f>
        <v>0</v>
      </c>
      <c r="P897" s="143" t="str">
        <f>GKT!CL77</f>
        <v/>
      </c>
      <c r="R897">
        <f t="shared" si="13"/>
        <v>896</v>
      </c>
    </row>
    <row r="898" spans="5:18">
      <c r="E898" s="147" t="s">
        <v>60</v>
      </c>
      <c r="F898" t="str">
        <f>GKT!CB78</f>
        <v>HPS</v>
      </c>
      <c r="G898" t="str">
        <f>GKT!CC78</f>
        <v>AC</v>
      </c>
      <c r="H898" t="str">
        <f>GKT!CD78</f>
        <v>Vessel</v>
      </c>
      <c r="I898">
        <f>GKT!CE78</f>
        <v>0</v>
      </c>
      <c r="J898">
        <f>GKT!CF78</f>
        <v>0</v>
      </c>
      <c r="K898">
        <f>GKT!CG78</f>
        <v>0</v>
      </c>
      <c r="L898">
        <f>GKT!CH78</f>
        <v>0</v>
      </c>
      <c r="M898">
        <f>GKT!CI78</f>
        <v>0</v>
      </c>
      <c r="N898">
        <f>GKT!CJ78</f>
        <v>0</v>
      </c>
      <c r="O898">
        <f>GKT!CK78</f>
        <v>0</v>
      </c>
      <c r="P898" s="143" t="str">
        <f>GKT!CL78</f>
        <v/>
      </c>
      <c r="R898">
        <f t="shared" si="13"/>
        <v>897</v>
      </c>
    </row>
    <row r="899" spans="5:18">
      <c r="E899" s="147" t="s">
        <v>60</v>
      </c>
      <c r="F899" t="str">
        <f>GKT!CB79</f>
        <v>HPS</v>
      </c>
      <c r="G899" t="str">
        <f>GKT!CC79</f>
        <v>AC</v>
      </c>
      <c r="H899" t="str">
        <f>GKT!CD79</f>
        <v>Vessel</v>
      </c>
      <c r="I899">
        <f>GKT!CE79</f>
        <v>0</v>
      </c>
      <c r="J899">
        <f>GKT!CF79</f>
        <v>0</v>
      </c>
      <c r="K899">
        <f>GKT!CG79</f>
        <v>0</v>
      </c>
      <c r="L899">
        <f>GKT!CH79</f>
        <v>0</v>
      </c>
      <c r="M899">
        <f>GKT!CI79</f>
        <v>0</v>
      </c>
      <c r="N899">
        <f>GKT!CJ79</f>
        <v>0</v>
      </c>
      <c r="O899">
        <f>GKT!CK79</f>
        <v>0</v>
      </c>
      <c r="P899" s="143" t="str">
        <f>GKT!CL79</f>
        <v/>
      </c>
      <c r="R899">
        <f t="shared" si="13"/>
        <v>898</v>
      </c>
    </row>
    <row r="900" spans="5:18">
      <c r="E900" s="147" t="s">
        <v>60</v>
      </c>
      <c r="F900" t="str">
        <f>GKT!CB80</f>
        <v>HPS</v>
      </c>
      <c r="G900" t="str">
        <f>GKT!CC80</f>
        <v>AC</v>
      </c>
      <c r="H900" t="str">
        <f>GKT!CD80</f>
        <v>Vessel</v>
      </c>
      <c r="I900">
        <f>GKT!CE80</f>
        <v>0</v>
      </c>
      <c r="J900">
        <f>GKT!CF80</f>
        <v>0</v>
      </c>
      <c r="K900">
        <f>GKT!CG80</f>
        <v>0</v>
      </c>
      <c r="L900">
        <f>GKT!CH80</f>
        <v>0</v>
      </c>
      <c r="M900">
        <f>GKT!CI80</f>
        <v>0</v>
      </c>
      <c r="N900">
        <f>GKT!CJ80</f>
        <v>0</v>
      </c>
      <c r="O900">
        <f>GKT!CK80</f>
        <v>0</v>
      </c>
      <c r="P900" s="143" t="str">
        <f>GKT!CL80</f>
        <v/>
      </c>
      <c r="R900">
        <f t="shared" ref="R900:R963" si="14">R899+1</f>
        <v>899</v>
      </c>
    </row>
    <row r="901" spans="5:18">
      <c r="E901" s="147" t="s">
        <v>60</v>
      </c>
      <c r="F901" t="str">
        <f>GKT!CB81</f>
        <v>HPS</v>
      </c>
      <c r="G901" t="str">
        <f>GKT!CC81</f>
        <v>AC</v>
      </c>
      <c r="H901" t="str">
        <f>GKT!CD81</f>
        <v>Vessel</v>
      </c>
      <c r="I901">
        <f>GKT!CE81</f>
        <v>0</v>
      </c>
      <c r="J901">
        <f>GKT!CF81</f>
        <v>0</v>
      </c>
      <c r="K901">
        <f>GKT!CG81</f>
        <v>0</v>
      </c>
      <c r="L901">
        <f>GKT!CH81</f>
        <v>0</v>
      </c>
      <c r="M901">
        <f>GKT!CI81</f>
        <v>0</v>
      </c>
      <c r="N901">
        <f>GKT!CJ81</f>
        <v>0</v>
      </c>
      <c r="O901">
        <f>GKT!CK81</f>
        <v>0</v>
      </c>
      <c r="P901" s="143" t="str">
        <f>GKT!CL81</f>
        <v/>
      </c>
      <c r="R901">
        <f t="shared" si="14"/>
        <v>900</v>
      </c>
    </row>
    <row r="902" spans="5:18">
      <c r="E902" s="147" t="s">
        <v>60</v>
      </c>
      <c r="F902" t="str">
        <f>GKT!CB82</f>
        <v>HPS</v>
      </c>
      <c r="G902" t="str">
        <f>GKT!CC82</f>
        <v>AC</v>
      </c>
      <c r="H902" t="str">
        <f>GKT!CD82</f>
        <v>Vessel</v>
      </c>
      <c r="I902">
        <f>GKT!CE82</f>
        <v>0</v>
      </c>
      <c r="J902">
        <f>GKT!CF82</f>
        <v>0</v>
      </c>
      <c r="K902">
        <f>GKT!CG82</f>
        <v>0</v>
      </c>
      <c r="L902">
        <f>GKT!CH82</f>
        <v>0</v>
      </c>
      <c r="M902">
        <f>GKT!CI82</f>
        <v>0</v>
      </c>
      <c r="N902">
        <f>GKT!CJ82</f>
        <v>0</v>
      </c>
      <c r="O902">
        <f>GKT!CK82</f>
        <v>0</v>
      </c>
      <c r="P902" s="143" t="str">
        <f>GKT!CL82</f>
        <v/>
      </c>
      <c r="R902">
        <f t="shared" si="14"/>
        <v>901</v>
      </c>
    </row>
    <row r="903" spans="5:18">
      <c r="E903" s="147" t="s">
        <v>60</v>
      </c>
      <c r="F903" t="str">
        <f>GKT!CB83</f>
        <v>HPS</v>
      </c>
      <c r="G903" t="str">
        <f>GKT!CC83</f>
        <v>AC</v>
      </c>
      <c r="H903" t="str">
        <f>GKT!CD83</f>
        <v>Vessel</v>
      </c>
      <c r="I903">
        <f>GKT!CE83</f>
        <v>0</v>
      </c>
      <c r="J903">
        <f>GKT!CF83</f>
        <v>0</v>
      </c>
      <c r="K903">
        <f>GKT!CG83</f>
        <v>0</v>
      </c>
      <c r="L903">
        <f>GKT!CH83</f>
        <v>0</v>
      </c>
      <c r="M903">
        <f>GKT!CI83</f>
        <v>0</v>
      </c>
      <c r="N903">
        <f>GKT!CJ83</f>
        <v>0</v>
      </c>
      <c r="O903">
        <f>GKT!CK83</f>
        <v>0</v>
      </c>
      <c r="P903" s="143" t="str">
        <f>GKT!CL83</f>
        <v/>
      </c>
      <c r="R903">
        <f t="shared" si="14"/>
        <v>902</v>
      </c>
    </row>
    <row r="904" spans="5:18">
      <c r="E904" s="147" t="s">
        <v>60</v>
      </c>
      <c r="F904" t="str">
        <f>GKT!CB84</f>
        <v>HPS</v>
      </c>
      <c r="G904" t="str">
        <f>GKT!CC84</f>
        <v>AC</v>
      </c>
      <c r="H904" t="str">
        <f>GKT!CD84</f>
        <v>Vessel</v>
      </c>
      <c r="I904">
        <f>GKT!CE84</f>
        <v>0</v>
      </c>
      <c r="J904">
        <f>GKT!CF84</f>
        <v>0</v>
      </c>
      <c r="K904">
        <f>GKT!CG84</f>
        <v>0</v>
      </c>
      <c r="L904">
        <f>GKT!CH84</f>
        <v>0</v>
      </c>
      <c r="M904">
        <f>GKT!CI84</f>
        <v>0</v>
      </c>
      <c r="N904">
        <f>GKT!CJ84</f>
        <v>0</v>
      </c>
      <c r="O904">
        <f>GKT!CK84</f>
        <v>0</v>
      </c>
      <c r="P904" s="143" t="str">
        <f>GKT!CL84</f>
        <v/>
      </c>
      <c r="R904">
        <f t="shared" si="14"/>
        <v>903</v>
      </c>
    </row>
    <row r="905" spans="5:18">
      <c r="E905" s="147" t="s">
        <v>60</v>
      </c>
      <c r="F905" t="str">
        <f>GKT!CB85</f>
        <v>HPS</v>
      </c>
      <c r="G905" t="str">
        <f>GKT!CC85</f>
        <v>AC</v>
      </c>
      <c r="H905" t="str">
        <f>GKT!CD85</f>
        <v>Vessel</v>
      </c>
      <c r="I905">
        <f>GKT!CE85</f>
        <v>0</v>
      </c>
      <c r="J905">
        <f>GKT!CF85</f>
        <v>0</v>
      </c>
      <c r="K905">
        <f>GKT!CG85</f>
        <v>0</v>
      </c>
      <c r="L905">
        <f>GKT!CH85</f>
        <v>0</v>
      </c>
      <c r="M905">
        <f>GKT!CI85</f>
        <v>0</v>
      </c>
      <c r="N905">
        <f>GKT!CJ85</f>
        <v>0</v>
      </c>
      <c r="O905">
        <f>GKT!CK85</f>
        <v>0</v>
      </c>
      <c r="P905" s="143" t="str">
        <f>GKT!CL85</f>
        <v/>
      </c>
      <c r="R905">
        <f t="shared" si="14"/>
        <v>904</v>
      </c>
    </row>
    <row r="906" spans="5:18">
      <c r="E906" s="147" t="s">
        <v>60</v>
      </c>
      <c r="F906" t="str">
        <f>GKT!CB86</f>
        <v>HPS</v>
      </c>
      <c r="G906" t="str">
        <f>GKT!CC86</f>
        <v>AC</v>
      </c>
      <c r="H906" t="str">
        <f>GKT!CD86</f>
        <v>Vessel</v>
      </c>
      <c r="I906">
        <f>GKT!CE86</f>
        <v>0</v>
      </c>
      <c r="J906">
        <f>GKT!CF86</f>
        <v>0</v>
      </c>
      <c r="K906">
        <f>GKT!CG86</f>
        <v>0</v>
      </c>
      <c r="L906">
        <f>GKT!CH86</f>
        <v>0</v>
      </c>
      <c r="M906">
        <f>GKT!CI86</f>
        <v>0</v>
      </c>
      <c r="N906">
        <f>GKT!CJ86</f>
        <v>0</v>
      </c>
      <c r="O906">
        <f>GKT!CK86</f>
        <v>0</v>
      </c>
      <c r="P906" s="143" t="str">
        <f>GKT!CL86</f>
        <v/>
      </c>
      <c r="R906">
        <f t="shared" si="14"/>
        <v>905</v>
      </c>
    </row>
    <row r="907" spans="5:18">
      <c r="E907" s="147" t="s">
        <v>60</v>
      </c>
      <c r="F907" t="str">
        <f>GKT!CB87</f>
        <v>HPS</v>
      </c>
      <c r="G907" t="str">
        <f>GKT!CC87</f>
        <v>AC</v>
      </c>
      <c r="H907" t="str">
        <f>GKT!CD87</f>
        <v>Vessel</v>
      </c>
      <c r="I907">
        <f>GKT!CE87</f>
        <v>0</v>
      </c>
      <c r="J907">
        <f>GKT!CF87</f>
        <v>0</v>
      </c>
      <c r="K907">
        <f>GKT!CG87</f>
        <v>0</v>
      </c>
      <c r="L907">
        <f>GKT!CH87</f>
        <v>0</v>
      </c>
      <c r="M907">
        <f>GKT!CI87</f>
        <v>0</v>
      </c>
      <c r="N907">
        <f>GKT!CJ87</f>
        <v>0</v>
      </c>
      <c r="O907">
        <f>GKT!CK87</f>
        <v>0</v>
      </c>
      <c r="P907" s="143" t="str">
        <f>GKT!CL87</f>
        <v/>
      </c>
      <c r="R907">
        <f t="shared" si="14"/>
        <v>906</v>
      </c>
    </row>
    <row r="908" spans="5:18">
      <c r="E908" s="147" t="s">
        <v>60</v>
      </c>
      <c r="F908" t="str">
        <f>GKT!CB88</f>
        <v>HPS</v>
      </c>
      <c r="G908" t="str">
        <f>GKT!CC88</f>
        <v>AC</v>
      </c>
      <c r="H908" t="str">
        <f>GKT!CD88</f>
        <v>Vessel</v>
      </c>
      <c r="I908">
        <f>GKT!CE88</f>
        <v>0</v>
      </c>
      <c r="J908">
        <f>GKT!CF88</f>
        <v>0</v>
      </c>
      <c r="K908">
        <f>GKT!CG88</f>
        <v>0</v>
      </c>
      <c r="L908">
        <f>GKT!CH88</f>
        <v>0</v>
      </c>
      <c r="M908">
        <f>GKT!CI88</f>
        <v>0</v>
      </c>
      <c r="N908">
        <f>GKT!CJ88</f>
        <v>0</v>
      </c>
      <c r="O908">
        <f>GKT!CK88</f>
        <v>0</v>
      </c>
      <c r="P908" s="143" t="str">
        <f>GKT!CL88</f>
        <v/>
      </c>
      <c r="R908">
        <f t="shared" si="14"/>
        <v>907</v>
      </c>
    </row>
    <row r="909" spans="5:18">
      <c r="E909" s="147" t="s">
        <v>60</v>
      </c>
      <c r="F909" t="str">
        <f>GKT!CB89</f>
        <v>HPS</v>
      </c>
      <c r="G909" t="str">
        <f>GKT!CC89</f>
        <v>AC</v>
      </c>
      <c r="H909" t="str">
        <f>GKT!CD89</f>
        <v>Vessel</v>
      </c>
      <c r="I909">
        <f>GKT!CE89</f>
        <v>0</v>
      </c>
      <c r="J909">
        <f>GKT!CF89</f>
        <v>0</v>
      </c>
      <c r="K909">
        <f>GKT!CG89</f>
        <v>0</v>
      </c>
      <c r="L909">
        <f>GKT!CH89</f>
        <v>0</v>
      </c>
      <c r="M909">
        <f>GKT!CI89</f>
        <v>0</v>
      </c>
      <c r="N909">
        <f>GKT!CJ89</f>
        <v>0</v>
      </c>
      <c r="O909">
        <f>GKT!CK89</f>
        <v>0</v>
      </c>
      <c r="P909" s="143" t="str">
        <f>GKT!CL89</f>
        <v/>
      </c>
      <c r="R909">
        <f t="shared" si="14"/>
        <v>908</v>
      </c>
    </row>
    <row r="910" spans="5:18">
      <c r="E910" s="147" t="s">
        <v>60</v>
      </c>
      <c r="F910" t="str">
        <f>GKT!CB90</f>
        <v>HPS</v>
      </c>
      <c r="G910" t="str">
        <f>GKT!CC90</f>
        <v>AC</v>
      </c>
      <c r="H910" t="str">
        <f>GKT!CD90</f>
        <v>Vessel</v>
      </c>
      <c r="I910">
        <f>GKT!CE90</f>
        <v>0</v>
      </c>
      <c r="J910">
        <f>GKT!CF90</f>
        <v>0</v>
      </c>
      <c r="K910">
        <f>GKT!CG90</f>
        <v>0</v>
      </c>
      <c r="L910">
        <f>GKT!CH90</f>
        <v>0</v>
      </c>
      <c r="M910">
        <f>GKT!CI90</f>
        <v>0</v>
      </c>
      <c r="N910">
        <f>GKT!CJ90</f>
        <v>0</v>
      </c>
      <c r="O910">
        <f>GKT!CK90</f>
        <v>0</v>
      </c>
      <c r="P910" s="143" t="str">
        <f>GKT!CL90</f>
        <v/>
      </c>
      <c r="R910">
        <f t="shared" si="14"/>
        <v>909</v>
      </c>
    </row>
    <row r="911" spans="5:18">
      <c r="E911" s="147" t="s">
        <v>60</v>
      </c>
      <c r="F911" t="str">
        <f>GKT!CB91</f>
        <v>HPS</v>
      </c>
      <c r="G911" t="str">
        <f>GKT!CC91</f>
        <v>AC</v>
      </c>
      <c r="H911" t="str">
        <f>GKT!CD91</f>
        <v>Vessel</v>
      </c>
      <c r="I911">
        <f>GKT!CE91</f>
        <v>0</v>
      </c>
      <c r="J911">
        <f>GKT!CF91</f>
        <v>0</v>
      </c>
      <c r="K911">
        <f>GKT!CG91</f>
        <v>0</v>
      </c>
      <c r="L911">
        <f>GKT!CH91</f>
        <v>0</v>
      </c>
      <c r="M911">
        <f>GKT!CI91</f>
        <v>0</v>
      </c>
      <c r="N911">
        <f>GKT!CJ91</f>
        <v>0</v>
      </c>
      <c r="O911">
        <f>GKT!CK91</f>
        <v>0</v>
      </c>
      <c r="P911" s="143" t="str">
        <f>GKT!CL91</f>
        <v/>
      </c>
      <c r="R911">
        <f t="shared" si="14"/>
        <v>910</v>
      </c>
    </row>
    <row r="912" spans="5:18">
      <c r="E912" s="147" t="s">
        <v>60</v>
      </c>
      <c r="F912" t="str">
        <f>GKT!CB92</f>
        <v>HPS</v>
      </c>
      <c r="G912" t="str">
        <f>GKT!CC92</f>
        <v>AC</v>
      </c>
      <c r="H912" t="str">
        <f>GKT!CD92</f>
        <v>Vessel</v>
      </c>
      <c r="I912">
        <f>GKT!CE92</f>
        <v>0</v>
      </c>
      <c r="J912">
        <f>GKT!CF92</f>
        <v>0</v>
      </c>
      <c r="K912">
        <f>GKT!CG92</f>
        <v>0</v>
      </c>
      <c r="L912">
        <f>GKT!CH92</f>
        <v>0</v>
      </c>
      <c r="M912">
        <f>GKT!CI92</f>
        <v>0</v>
      </c>
      <c r="N912">
        <f>GKT!CJ92</f>
        <v>0</v>
      </c>
      <c r="O912">
        <f>GKT!CK92</f>
        <v>0</v>
      </c>
      <c r="P912" s="143" t="str">
        <f>GKT!CL92</f>
        <v/>
      </c>
      <c r="R912">
        <f t="shared" si="14"/>
        <v>911</v>
      </c>
    </row>
    <row r="913" spans="5:18">
      <c r="E913" s="147" t="s">
        <v>60</v>
      </c>
      <c r="F913" t="str">
        <f>GKT!CB93</f>
        <v>HPS</v>
      </c>
      <c r="G913" t="str">
        <f>GKT!CC93</f>
        <v>AC</v>
      </c>
      <c r="H913" t="str">
        <f>GKT!CD93</f>
        <v>Vessel</v>
      </c>
      <c r="I913">
        <f>GKT!CE93</f>
        <v>0</v>
      </c>
      <c r="J913">
        <f>GKT!CF93</f>
        <v>0</v>
      </c>
      <c r="K913">
        <f>GKT!CG93</f>
        <v>0</v>
      </c>
      <c r="L913">
        <f>GKT!CH93</f>
        <v>0</v>
      </c>
      <c r="M913">
        <f>GKT!CI93</f>
        <v>0</v>
      </c>
      <c r="N913">
        <f>GKT!CJ93</f>
        <v>0</v>
      </c>
      <c r="O913">
        <f>GKT!CK93</f>
        <v>0</v>
      </c>
      <c r="P913" s="143" t="str">
        <f>GKT!CL93</f>
        <v/>
      </c>
      <c r="R913">
        <f t="shared" si="14"/>
        <v>912</v>
      </c>
    </row>
    <row r="914" spans="5:18">
      <c r="E914" s="147" t="s">
        <v>60</v>
      </c>
      <c r="F914" t="str">
        <f>GKT!CB94</f>
        <v>HPS</v>
      </c>
      <c r="G914" t="str">
        <f>GKT!CC94</f>
        <v>AC</v>
      </c>
      <c r="H914" t="str">
        <f>GKT!CD94</f>
        <v>Vessel</v>
      </c>
      <c r="I914">
        <f>GKT!CE94</f>
        <v>0</v>
      </c>
      <c r="J914">
        <f>GKT!CF94</f>
        <v>0</v>
      </c>
      <c r="K914">
        <f>GKT!CG94</f>
        <v>0</v>
      </c>
      <c r="L914">
        <f>GKT!CH94</f>
        <v>0</v>
      </c>
      <c r="M914">
        <f>GKT!CI94</f>
        <v>0</v>
      </c>
      <c r="N914">
        <f>GKT!CJ94</f>
        <v>0</v>
      </c>
      <c r="O914">
        <f>GKT!CK94</f>
        <v>0</v>
      </c>
      <c r="P914" s="143" t="str">
        <f>GKT!CL94</f>
        <v/>
      </c>
      <c r="R914">
        <f t="shared" si="14"/>
        <v>913</v>
      </c>
    </row>
    <row r="915" spans="5:18">
      <c r="E915" s="147" t="s">
        <v>60</v>
      </c>
      <c r="F915" t="str">
        <f>GKT!CB95</f>
        <v>HPS</v>
      </c>
      <c r="G915" t="str">
        <f>GKT!CC95</f>
        <v>AC</v>
      </c>
      <c r="H915" t="str">
        <f>GKT!CD95</f>
        <v>Vessel</v>
      </c>
      <c r="I915">
        <f>GKT!CE95</f>
        <v>0</v>
      </c>
      <c r="J915">
        <f>GKT!CF95</f>
        <v>0</v>
      </c>
      <c r="K915">
        <f>GKT!CG95</f>
        <v>0</v>
      </c>
      <c r="L915">
        <f>GKT!CH95</f>
        <v>0</v>
      </c>
      <c r="M915">
        <f>GKT!CI95</f>
        <v>0</v>
      </c>
      <c r="N915">
        <f>GKT!CJ95</f>
        <v>0</v>
      </c>
      <c r="O915">
        <f>GKT!CK95</f>
        <v>0</v>
      </c>
      <c r="P915" s="143" t="str">
        <f>GKT!CL95</f>
        <v/>
      </c>
      <c r="R915">
        <f t="shared" si="14"/>
        <v>914</v>
      </c>
    </row>
    <row r="916" spans="5:18">
      <c r="E916" s="147" t="s">
        <v>60</v>
      </c>
      <c r="F916" t="str">
        <f>GKT!CB96</f>
        <v>HPS</v>
      </c>
      <c r="G916" t="str">
        <f>GKT!CC96</f>
        <v>AC</v>
      </c>
      <c r="H916" t="str">
        <f>GKT!CD96</f>
        <v>Vessel</v>
      </c>
      <c r="I916">
        <f>GKT!CE96</f>
        <v>0</v>
      </c>
      <c r="J916">
        <f>GKT!CF96</f>
        <v>0</v>
      </c>
      <c r="K916">
        <f>GKT!CG96</f>
        <v>0</v>
      </c>
      <c r="L916">
        <f>GKT!CH96</f>
        <v>0</v>
      </c>
      <c r="M916">
        <f>GKT!CI96</f>
        <v>0</v>
      </c>
      <c r="N916">
        <f>GKT!CJ96</f>
        <v>0</v>
      </c>
      <c r="O916">
        <f>GKT!CK96</f>
        <v>0</v>
      </c>
      <c r="P916" s="143" t="str">
        <f>GKT!CL96</f>
        <v/>
      </c>
      <c r="R916">
        <f t="shared" si="14"/>
        <v>915</v>
      </c>
    </row>
    <row r="917" spans="5:18">
      <c r="E917" s="147" t="s">
        <v>60</v>
      </c>
      <c r="F917" t="str">
        <f>GKT!CB97</f>
        <v>HPS</v>
      </c>
      <c r="G917" t="str">
        <f>GKT!CC97</f>
        <v>AC</v>
      </c>
      <c r="H917" t="str">
        <f>GKT!CD97</f>
        <v>Vessel</v>
      </c>
      <c r="I917">
        <f>GKT!CE97</f>
        <v>0</v>
      </c>
      <c r="J917">
        <f>GKT!CF97</f>
        <v>0</v>
      </c>
      <c r="K917">
        <f>GKT!CG97</f>
        <v>0</v>
      </c>
      <c r="L917">
        <f>GKT!CH97</f>
        <v>0</v>
      </c>
      <c r="M917">
        <f>GKT!CI97</f>
        <v>0</v>
      </c>
      <c r="N917">
        <f>GKT!CJ97</f>
        <v>0</v>
      </c>
      <c r="O917">
        <f>GKT!CK97</f>
        <v>0</v>
      </c>
      <c r="P917" s="143" t="str">
        <f>GKT!CL97</f>
        <v/>
      </c>
      <c r="R917">
        <f t="shared" si="14"/>
        <v>916</v>
      </c>
    </row>
    <row r="918" spans="5:18">
      <c r="E918" s="147" t="s">
        <v>60</v>
      </c>
      <c r="F918" t="str">
        <f>GKT!CB98</f>
        <v>HPS</v>
      </c>
      <c r="G918" t="str">
        <f>GKT!CC98</f>
        <v>AC</v>
      </c>
      <c r="H918" t="str">
        <f>GKT!CD98</f>
        <v>Vessel</v>
      </c>
      <c r="I918">
        <f>GKT!CE98</f>
        <v>0</v>
      </c>
      <c r="J918">
        <f>GKT!CF98</f>
        <v>0</v>
      </c>
      <c r="K918">
        <f>GKT!CG98</f>
        <v>0</v>
      </c>
      <c r="L918">
        <f>GKT!CH98</f>
        <v>0</v>
      </c>
      <c r="M918">
        <f>GKT!CI98</f>
        <v>0</v>
      </c>
      <c r="N918">
        <f>GKT!CJ98</f>
        <v>0</v>
      </c>
      <c r="O918">
        <f>GKT!CK98</f>
        <v>0</v>
      </c>
      <c r="P918" s="143" t="str">
        <f>GKT!CL98</f>
        <v/>
      </c>
      <c r="R918">
        <f t="shared" si="14"/>
        <v>917</v>
      </c>
    </row>
    <row r="919" spans="5:18">
      <c r="E919" s="147" t="s">
        <v>60</v>
      </c>
      <c r="F919" t="str">
        <f>GKT!CB99</f>
        <v>HPS</v>
      </c>
      <c r="G919" t="str">
        <f>GKT!CC99</f>
        <v>AC</v>
      </c>
      <c r="H919" t="str">
        <f>GKT!CD99</f>
        <v>Vessel</v>
      </c>
      <c r="I919">
        <f>GKT!CE99</f>
        <v>0</v>
      </c>
      <c r="J919">
        <f>GKT!CF99</f>
        <v>0</v>
      </c>
      <c r="K919">
        <f>GKT!CG99</f>
        <v>0</v>
      </c>
      <c r="L919">
        <f>GKT!CH99</f>
        <v>0</v>
      </c>
      <c r="M919">
        <f>GKT!CI99</f>
        <v>0</v>
      </c>
      <c r="N919">
        <f>GKT!CJ99</f>
        <v>0</v>
      </c>
      <c r="O919">
        <f>GKT!CK99</f>
        <v>0</v>
      </c>
      <c r="P919" s="143" t="str">
        <f>GKT!CL99</f>
        <v/>
      </c>
      <c r="R919">
        <f t="shared" si="14"/>
        <v>918</v>
      </c>
    </row>
    <row r="920" spans="5:18">
      <c r="E920" s="147" t="s">
        <v>60</v>
      </c>
      <c r="F920" t="str">
        <f>GKT!CB100</f>
        <v>HPS</v>
      </c>
      <c r="G920" t="str">
        <f>GKT!CC100</f>
        <v>AC</v>
      </c>
      <c r="H920" t="str">
        <f>GKT!CD100</f>
        <v>Vessel</v>
      </c>
      <c r="I920">
        <f>GKT!CE100</f>
        <v>0</v>
      </c>
      <c r="J920">
        <f>GKT!CF100</f>
        <v>0</v>
      </c>
      <c r="K920">
        <f>GKT!CG100</f>
        <v>0</v>
      </c>
      <c r="L920">
        <f>GKT!CH100</f>
        <v>0</v>
      </c>
      <c r="M920">
        <f>GKT!CI100</f>
        <v>0</v>
      </c>
      <c r="N920">
        <f>GKT!CJ100</f>
        <v>0</v>
      </c>
      <c r="O920">
        <f>GKT!CK100</f>
        <v>0</v>
      </c>
      <c r="P920" s="143" t="str">
        <f>GKT!CL100</f>
        <v/>
      </c>
      <c r="R920">
        <f t="shared" si="14"/>
        <v>919</v>
      </c>
    </row>
    <row r="921" spans="5:18" ht="17.100000000000001" thickBot="1">
      <c r="E921" s="148" t="s">
        <v>60</v>
      </c>
      <c r="F921" s="144" t="str">
        <f>GKT!CB101</f>
        <v>HPS</v>
      </c>
      <c r="G921" s="144" t="str">
        <f>GKT!CC101</f>
        <v>AC</v>
      </c>
      <c r="H921" s="144" t="str">
        <f>GKT!CD101</f>
        <v>Vessel</v>
      </c>
      <c r="I921" s="144">
        <f>GKT!CE101</f>
        <v>0</v>
      </c>
      <c r="J921" s="144">
        <f>GKT!CF101</f>
        <v>0</v>
      </c>
      <c r="K921" s="144">
        <f>GKT!CG101</f>
        <v>0</v>
      </c>
      <c r="L921" s="144">
        <f>GKT!CH101</f>
        <v>0</v>
      </c>
      <c r="M921" s="144">
        <f>GKT!CI101</f>
        <v>0</v>
      </c>
      <c r="N921" s="144">
        <f>GKT!CJ101</f>
        <v>0</v>
      </c>
      <c r="O921" s="144">
        <f>GKT!CK101</f>
        <v>0</v>
      </c>
      <c r="P921" s="145" t="str">
        <f>GKT!CL101</f>
        <v/>
      </c>
      <c r="R921">
        <f t="shared" si="14"/>
        <v>920</v>
      </c>
    </row>
    <row r="922" spans="5:18">
      <c r="E922" s="146" t="s">
        <v>61</v>
      </c>
      <c r="F922" s="141" t="str">
        <f>GN!CA2</f>
        <v>HPS</v>
      </c>
      <c r="G922" s="141" t="str">
        <f>GN!CB2</f>
        <v>AC</v>
      </c>
      <c r="H922" s="141" t="str">
        <f>GN!CC2</f>
        <v>Vessel</v>
      </c>
      <c r="I922" s="141">
        <f>GN!CD2</f>
        <v>0</v>
      </c>
      <c r="J922" s="141" t="str">
        <f>GN!CE2</f>
        <v>Grand Nut</v>
      </c>
      <c r="K922" s="141" t="str">
        <f>GN!CF2</f>
        <v>Old 1"</v>
      </c>
      <c r="L922" s="141" t="str">
        <f>GN!CG2</f>
        <v>GN-A</v>
      </c>
      <c r="M922" s="141">
        <f>GN!CH2</f>
        <v>0</v>
      </c>
      <c r="N922" s="141">
        <f>GN!CI2</f>
        <v>0</v>
      </c>
      <c r="O922" s="141">
        <f>GN!CJ2</f>
        <v>0</v>
      </c>
      <c r="P922" s="142" t="str">
        <f>GN!CK2</f>
        <v>Active</v>
      </c>
      <c r="R922">
        <f t="shared" si="14"/>
        <v>921</v>
      </c>
    </row>
    <row r="923" spans="5:18">
      <c r="E923" s="147" t="s">
        <v>61</v>
      </c>
      <c r="F923" t="str">
        <f>GN!CA3</f>
        <v>HPS</v>
      </c>
      <c r="G923" t="str">
        <f>GN!CB3</f>
        <v>AC</v>
      </c>
      <c r="H923" t="str">
        <f>GN!CC3</f>
        <v>Vessel</v>
      </c>
      <c r="I923">
        <f>GN!CD3</f>
        <v>0</v>
      </c>
      <c r="J923" t="str">
        <f>GN!CE3</f>
        <v>Grand Nut</v>
      </c>
      <c r="K923" t="str">
        <f>GN!CF3</f>
        <v>Short 1" - Rene 41</v>
      </c>
      <c r="L923" t="str">
        <f>GN!CG3</f>
        <v>GN-B</v>
      </c>
      <c r="M923">
        <f>GN!CH3</f>
        <v>0</v>
      </c>
      <c r="N923">
        <f>GN!CI3</f>
        <v>0</v>
      </c>
      <c r="O923">
        <f>GN!CJ3</f>
        <v>0</v>
      </c>
      <c r="P923" s="143" t="str">
        <f>GN!CK3</f>
        <v>Active</v>
      </c>
      <c r="R923">
        <f t="shared" si="14"/>
        <v>922</v>
      </c>
    </row>
    <row r="924" spans="5:18">
      <c r="E924" s="147" t="s">
        <v>61</v>
      </c>
      <c r="F924" t="str">
        <f>GN!CA4</f>
        <v>HPS</v>
      </c>
      <c r="G924" t="str">
        <f>GN!CB4</f>
        <v>AC</v>
      </c>
      <c r="H924" t="str">
        <f>GN!CC4</f>
        <v>Vessel</v>
      </c>
      <c r="I924">
        <f>GN!CD4</f>
        <v>0</v>
      </c>
      <c r="J924" t="str">
        <f>GN!CE4</f>
        <v>Grand Nut</v>
      </c>
      <c r="K924" t="str">
        <f>GN!CF4</f>
        <v>Short 1" - Rene 41</v>
      </c>
      <c r="L924" t="str">
        <f>GN!CG4</f>
        <v>GN-C</v>
      </c>
      <c r="M924">
        <f>GN!CH4</f>
        <v>0</v>
      </c>
      <c r="N924">
        <f>GN!CI4</f>
        <v>0</v>
      </c>
      <c r="O924">
        <f>GN!CJ4</f>
        <v>0</v>
      </c>
      <c r="P924" s="143" t="str">
        <f>GN!CK4</f>
        <v>Active</v>
      </c>
      <c r="R924">
        <f t="shared" si="14"/>
        <v>923</v>
      </c>
    </row>
    <row r="925" spans="5:18">
      <c r="E925" s="147" t="s">
        <v>61</v>
      </c>
      <c r="F925" t="str">
        <f>GN!CA5</f>
        <v>HPS</v>
      </c>
      <c r="G925" t="str">
        <f>GN!CB5</f>
        <v>AC</v>
      </c>
      <c r="H925" t="str">
        <f>GN!CC5</f>
        <v>Vessel</v>
      </c>
      <c r="I925">
        <f>GN!CD5</f>
        <v>0</v>
      </c>
      <c r="J925" t="str">
        <f>GN!CE5</f>
        <v>Grand Nut</v>
      </c>
      <c r="K925" t="str">
        <f>GN!CF5</f>
        <v>Short 1" - Rene 41</v>
      </c>
      <c r="L925" t="str">
        <f>GN!CG5</f>
        <v>GN-D</v>
      </c>
      <c r="M925">
        <f>GN!CH5</f>
        <v>0</v>
      </c>
      <c r="N925">
        <f>GN!CI5</f>
        <v>0</v>
      </c>
      <c r="O925">
        <f>GN!CJ5</f>
        <v>0</v>
      </c>
      <c r="P925" s="143" t="str">
        <f>GN!CK5</f>
        <v>Active</v>
      </c>
      <c r="R925">
        <f t="shared" si="14"/>
        <v>924</v>
      </c>
    </row>
    <row r="926" spans="5:18">
      <c r="E926" s="147" t="s">
        <v>61</v>
      </c>
      <c r="F926" t="str">
        <f>GN!CA6</f>
        <v>HPS</v>
      </c>
      <c r="G926" t="str">
        <f>GN!CB6</f>
        <v>AC</v>
      </c>
      <c r="H926" t="str">
        <f>GN!CC6</f>
        <v>Vessel</v>
      </c>
      <c r="I926">
        <f>GN!CD6</f>
        <v>0</v>
      </c>
      <c r="J926" t="str">
        <f>GN!CE6</f>
        <v>Grand Nut</v>
      </c>
      <c r="K926" t="str">
        <f>GN!CF6</f>
        <v>Short 1" - Inconel</v>
      </c>
      <c r="L926" t="str">
        <f>GN!CG6</f>
        <v>GN-E</v>
      </c>
      <c r="M926">
        <f>GN!CH6</f>
        <v>0</v>
      </c>
      <c r="N926">
        <f>GN!CI6</f>
        <v>0</v>
      </c>
      <c r="O926">
        <f>GN!CJ6</f>
        <v>0</v>
      </c>
      <c r="P926" s="143" t="str">
        <f>GN!CK6</f>
        <v>Active</v>
      </c>
      <c r="R926">
        <f t="shared" si="14"/>
        <v>925</v>
      </c>
    </row>
    <row r="927" spans="5:18">
      <c r="E927" s="147" t="s">
        <v>61</v>
      </c>
      <c r="F927" t="str">
        <f>GN!CA7</f>
        <v>HPS</v>
      </c>
      <c r="G927" t="str">
        <f>GN!CB7</f>
        <v>AC</v>
      </c>
      <c r="H927" t="str">
        <f>GN!CC7</f>
        <v>Vessel</v>
      </c>
      <c r="I927">
        <f>GN!CD7</f>
        <v>0</v>
      </c>
      <c r="J927" t="str">
        <f>GN!CE7</f>
        <v>Grand Nut</v>
      </c>
      <c r="K927" t="str">
        <f>GN!CF7</f>
        <v>Short 1" - Inconel</v>
      </c>
      <c r="L927" t="str">
        <f>GN!CG7</f>
        <v>GN-F</v>
      </c>
      <c r="M927">
        <f>GN!CH7</f>
        <v>0</v>
      </c>
      <c r="N927">
        <f>GN!CI7</f>
        <v>0</v>
      </c>
      <c r="O927">
        <f>GN!CJ7</f>
        <v>0</v>
      </c>
      <c r="P927" s="143" t="str">
        <f>GN!CK7</f>
        <v>Active</v>
      </c>
      <c r="R927">
        <f t="shared" si="14"/>
        <v>926</v>
      </c>
    </row>
    <row r="928" spans="5:18">
      <c r="E928" s="147" t="s">
        <v>61</v>
      </c>
      <c r="F928" t="str">
        <f>GN!CA8</f>
        <v>HPS</v>
      </c>
      <c r="G928" t="str">
        <f>GN!CB8</f>
        <v>AC</v>
      </c>
      <c r="H928" t="str">
        <f>GN!CC8</f>
        <v>Vessel</v>
      </c>
      <c r="I928">
        <f>GN!CD8</f>
        <v>0</v>
      </c>
      <c r="J928" t="str">
        <f>GN!CE8</f>
        <v>Grand Nut</v>
      </c>
      <c r="K928" t="str">
        <f>GN!CF8</f>
        <v>Short 1" - Inconel</v>
      </c>
      <c r="L928" t="str">
        <f>GN!CG8</f>
        <v>GN-G</v>
      </c>
      <c r="M928">
        <f>GN!CH8</f>
        <v>0</v>
      </c>
      <c r="N928">
        <f>GN!CI8</f>
        <v>0</v>
      </c>
      <c r="O928">
        <f>GN!CJ8</f>
        <v>0</v>
      </c>
      <c r="P928" s="143" t="str">
        <f>GN!CK8</f>
        <v>Active</v>
      </c>
      <c r="R928">
        <f t="shared" si="14"/>
        <v>927</v>
      </c>
    </row>
    <row r="929" spans="5:18">
      <c r="E929" s="147" t="s">
        <v>61</v>
      </c>
      <c r="F929" t="str">
        <f>GN!CA9</f>
        <v>HPS</v>
      </c>
      <c r="G929" t="str">
        <f>GN!CB9</f>
        <v>AC</v>
      </c>
      <c r="H929" t="str">
        <f>GN!CC9</f>
        <v>Vessel</v>
      </c>
      <c r="I929">
        <f>GN!CD9</f>
        <v>0</v>
      </c>
      <c r="J929" t="str">
        <f>GN!CE9</f>
        <v>Grand Nut</v>
      </c>
      <c r="K929" t="str">
        <f>GN!CF9</f>
        <v>SS</v>
      </c>
      <c r="L929" t="str">
        <f>GN!CG9</f>
        <v>GN-H</v>
      </c>
      <c r="M929">
        <f>GN!CH9</f>
        <v>0</v>
      </c>
      <c r="N929">
        <f>GN!CI9</f>
        <v>0</v>
      </c>
      <c r="O929">
        <f>GN!CJ9</f>
        <v>0</v>
      </c>
      <c r="P929" s="143" t="str">
        <f>GN!CK9</f>
        <v>Active</v>
      </c>
      <c r="R929">
        <f t="shared" si="14"/>
        <v>928</v>
      </c>
    </row>
    <row r="930" spans="5:18">
      <c r="E930" s="147" t="s">
        <v>61</v>
      </c>
      <c r="F930" t="str">
        <f>GN!CA10</f>
        <v>HPS</v>
      </c>
      <c r="G930" t="str">
        <f>GN!CB10</f>
        <v>AC</v>
      </c>
      <c r="H930" t="str">
        <f>GN!CC10</f>
        <v>Vessel</v>
      </c>
      <c r="I930">
        <f>GN!CD10</f>
        <v>0</v>
      </c>
      <c r="J930" t="str">
        <f>GN!CE10</f>
        <v>Grand Nut</v>
      </c>
      <c r="K930" t="str">
        <f>GN!CF10</f>
        <v>400 MPa</v>
      </c>
      <c r="L930" t="str">
        <f>GN!CG10</f>
        <v>GN-K</v>
      </c>
      <c r="M930">
        <f>GN!CH10</f>
        <v>0</v>
      </c>
      <c r="N930">
        <f>GN!CI10</f>
        <v>0</v>
      </c>
      <c r="O930">
        <f>GN!CJ10</f>
        <v>0</v>
      </c>
      <c r="P930" s="143" t="str">
        <f>GN!CK10</f>
        <v>UCSB</v>
      </c>
      <c r="R930">
        <f t="shared" si="14"/>
        <v>929</v>
      </c>
    </row>
    <row r="931" spans="5:18">
      <c r="E931" s="147" t="s">
        <v>61</v>
      </c>
      <c r="F931" t="str">
        <f>GN!CA11</f>
        <v>HPS</v>
      </c>
      <c r="G931" t="str">
        <f>GN!CB11</f>
        <v>AC</v>
      </c>
      <c r="H931" t="str">
        <f>GN!CC11</f>
        <v>Vessel</v>
      </c>
      <c r="I931">
        <f>GN!CD11</f>
        <v>0</v>
      </c>
      <c r="J931" t="str">
        <f>GN!CE11</f>
        <v>Grand Nut</v>
      </c>
      <c r="K931" t="str">
        <f>GN!CF11</f>
        <v>400 MPa</v>
      </c>
      <c r="L931" t="str">
        <f>GN!CG11</f>
        <v>GN-L</v>
      </c>
      <c r="M931">
        <f>GN!CH11</f>
        <v>0</v>
      </c>
      <c r="N931">
        <f>GN!CI11</f>
        <v>0</v>
      </c>
      <c r="O931">
        <f>GN!CJ11</f>
        <v>0</v>
      </c>
      <c r="P931" s="143" t="str">
        <f>GN!CK11</f>
        <v>UCSB</v>
      </c>
      <c r="R931">
        <f t="shared" si="14"/>
        <v>930</v>
      </c>
    </row>
    <row r="932" spans="5:18">
      <c r="E932" s="147" t="s">
        <v>61</v>
      </c>
      <c r="F932" t="str">
        <f>GN!CA12</f>
        <v>HPS</v>
      </c>
      <c r="G932" t="str">
        <f>GN!CB12</f>
        <v>AC</v>
      </c>
      <c r="H932" t="str">
        <f>GN!CC12</f>
        <v>Vessel</v>
      </c>
      <c r="I932">
        <f>GN!CD12</f>
        <v>0</v>
      </c>
      <c r="J932" t="str">
        <f>GN!CE12</f>
        <v>Grand Nut</v>
      </c>
      <c r="K932" t="str">
        <f>GN!CF12</f>
        <v>New 1"</v>
      </c>
      <c r="L932" t="str">
        <f>GN!CG12</f>
        <v>GN-M</v>
      </c>
      <c r="M932">
        <f>GN!CH12</f>
        <v>0</v>
      </c>
      <c r="N932">
        <f>GN!CI12</f>
        <v>0</v>
      </c>
      <c r="O932">
        <f>GN!CJ12</f>
        <v>0</v>
      </c>
      <c r="P932" s="143" t="str">
        <f>GN!CK12</f>
        <v>UCSB</v>
      </c>
      <c r="R932">
        <f t="shared" si="14"/>
        <v>931</v>
      </c>
    </row>
    <row r="933" spans="5:18">
      <c r="E933" s="147" t="s">
        <v>61</v>
      </c>
      <c r="F933" t="str">
        <f>GN!CA13</f>
        <v>HPS</v>
      </c>
      <c r="G933" t="str">
        <f>GN!CB13</f>
        <v>AC</v>
      </c>
      <c r="H933" t="str">
        <f>GN!CC13</f>
        <v>Vessel</v>
      </c>
      <c r="I933">
        <f>GN!CD13</f>
        <v>0</v>
      </c>
      <c r="J933" t="str">
        <f>GN!CE13</f>
        <v>Grand Nut</v>
      </c>
      <c r="K933" t="str">
        <f>GN!CF13</f>
        <v>New 1"</v>
      </c>
      <c r="L933" t="str">
        <f>GN!CG13</f>
        <v>GN-N</v>
      </c>
      <c r="M933">
        <f>GN!CH13</f>
        <v>0</v>
      </c>
      <c r="N933">
        <f>GN!CI13</f>
        <v>0</v>
      </c>
      <c r="O933">
        <f>GN!CJ13</f>
        <v>0</v>
      </c>
      <c r="P933" s="143" t="str">
        <f>GN!CK13</f>
        <v>UCSB</v>
      </c>
      <c r="R933">
        <f t="shared" si="14"/>
        <v>932</v>
      </c>
    </row>
    <row r="934" spans="5:18">
      <c r="E934" s="147" t="s">
        <v>61</v>
      </c>
      <c r="F934" t="str">
        <f>GN!CA14</f>
        <v>HPS</v>
      </c>
      <c r="G934" t="str">
        <f>GN!CB14</f>
        <v>AC</v>
      </c>
      <c r="H934" t="str">
        <f>GN!CC14</f>
        <v>Vessel</v>
      </c>
      <c r="I934">
        <f>GN!CD14</f>
        <v>0</v>
      </c>
      <c r="J934" t="str">
        <f>GN!CE14</f>
        <v>Grand Nut</v>
      </c>
      <c r="K934" t="str">
        <f>GN!CF14</f>
        <v>New 1"</v>
      </c>
      <c r="L934" t="str">
        <f>GN!CG14</f>
        <v>GN-P</v>
      </c>
      <c r="M934">
        <f>GN!CH14</f>
        <v>0</v>
      </c>
      <c r="N934">
        <f>GN!CI14</f>
        <v>0</v>
      </c>
      <c r="O934">
        <f>GN!CJ14</f>
        <v>0</v>
      </c>
      <c r="P934" s="143" t="str">
        <f>GN!CK14</f>
        <v>Active</v>
      </c>
      <c r="R934">
        <f t="shared" si="14"/>
        <v>933</v>
      </c>
    </row>
    <row r="935" spans="5:18">
      <c r="E935" s="147" t="s">
        <v>61</v>
      </c>
      <c r="F935" t="str">
        <f>GN!CA15</f>
        <v>HPS</v>
      </c>
      <c r="G935" t="str">
        <f>GN!CB15</f>
        <v>AC</v>
      </c>
      <c r="H935" t="str">
        <f>GN!CC15</f>
        <v>Vessel</v>
      </c>
      <c r="I935">
        <f>GN!CD15</f>
        <v>0</v>
      </c>
      <c r="J935" t="str">
        <f>GN!CE15</f>
        <v>Grand Nut</v>
      </c>
      <c r="K935" t="str">
        <f>GN!CF15</f>
        <v>New 1"</v>
      </c>
      <c r="L935" t="str">
        <f>GN!CG15</f>
        <v>GN-Q</v>
      </c>
      <c r="M935">
        <f>GN!CH15</f>
        <v>0</v>
      </c>
      <c r="N935">
        <f>GN!CI15</f>
        <v>0</v>
      </c>
      <c r="O935">
        <f>GN!CJ15</f>
        <v>0</v>
      </c>
      <c r="P935" s="143" t="str">
        <f>GN!CK15</f>
        <v>Active</v>
      </c>
      <c r="R935">
        <f t="shared" si="14"/>
        <v>934</v>
      </c>
    </row>
    <row r="936" spans="5:18">
      <c r="E936" s="147" t="s">
        <v>61</v>
      </c>
      <c r="F936" t="str">
        <f>GN!CA16</f>
        <v>HPS</v>
      </c>
      <c r="G936" t="str">
        <f>GN!CB16</f>
        <v>AC</v>
      </c>
      <c r="H936" t="str">
        <f>GN!CC16</f>
        <v>Vessel</v>
      </c>
      <c r="I936">
        <f>GN!CD16</f>
        <v>0</v>
      </c>
      <c r="J936" t="str">
        <f>GN!CE16</f>
        <v>Grand Nut</v>
      </c>
      <c r="K936" t="str">
        <f>GN!CF16</f>
        <v>New 1"</v>
      </c>
      <c r="L936" t="str">
        <f>GN!CG16</f>
        <v>GN-R</v>
      </c>
      <c r="M936">
        <f>GN!CH16</f>
        <v>0</v>
      </c>
      <c r="N936">
        <f>GN!CI16</f>
        <v>0</v>
      </c>
      <c r="O936">
        <f>GN!CJ16</f>
        <v>0</v>
      </c>
      <c r="P936" s="143" t="str">
        <f>GN!CK16</f>
        <v>Active</v>
      </c>
      <c r="R936">
        <f t="shared" si="14"/>
        <v>935</v>
      </c>
    </row>
    <row r="937" spans="5:18">
      <c r="E937" s="147" t="s">
        <v>61</v>
      </c>
      <c r="F937" t="str">
        <f>GN!CA17</f>
        <v>HPS</v>
      </c>
      <c r="G937" t="str">
        <f>GN!CB17</f>
        <v>AC</v>
      </c>
      <c r="H937" t="str">
        <f>GN!CC17</f>
        <v>Vessel</v>
      </c>
      <c r="I937">
        <f>GN!CD17</f>
        <v>0</v>
      </c>
      <c r="J937" t="str">
        <f>GN!CE17</f>
        <v>Grand Nut</v>
      </c>
      <c r="K937" t="str">
        <f>GN!CF17</f>
        <v>2"</v>
      </c>
      <c r="L937" t="str">
        <f>GN!CG17</f>
        <v>GN-Z</v>
      </c>
      <c r="M937">
        <f>GN!CH17</f>
        <v>0</v>
      </c>
      <c r="N937">
        <f>GN!CI17</f>
        <v>0</v>
      </c>
      <c r="O937">
        <f>GN!CJ17</f>
        <v>0</v>
      </c>
      <c r="P937" s="143" t="str">
        <f>GN!CK17</f>
        <v>UCSB</v>
      </c>
      <c r="R937">
        <f t="shared" si="14"/>
        <v>936</v>
      </c>
    </row>
    <row r="938" spans="5:18">
      <c r="E938" s="147" t="s">
        <v>61</v>
      </c>
      <c r="F938" t="str">
        <f>GN!CA18</f>
        <v>HPS</v>
      </c>
      <c r="G938" t="str">
        <f>GN!CB18</f>
        <v>AC</v>
      </c>
      <c r="H938" t="str">
        <f>GN!CC18</f>
        <v>Vessel</v>
      </c>
      <c r="I938">
        <f>GN!CD18</f>
        <v>0</v>
      </c>
      <c r="J938" t="str">
        <f>GN!CE18</f>
        <v>Grand Nut</v>
      </c>
      <c r="K938" t="str">
        <f>GN!CF18</f>
        <v>New 1"</v>
      </c>
      <c r="L938" t="str">
        <f>GN!CG18</f>
        <v>GN-S</v>
      </c>
      <c r="M938">
        <f>GN!CH18</f>
        <v>0</v>
      </c>
      <c r="N938">
        <f>GN!CI18</f>
        <v>0</v>
      </c>
      <c r="O938">
        <f>GN!CJ18</f>
        <v>0</v>
      </c>
      <c r="P938" s="143" t="str">
        <f>GN!CK18</f>
        <v>Active</v>
      </c>
      <c r="R938">
        <f t="shared" si="14"/>
        <v>937</v>
      </c>
    </row>
    <row r="939" spans="5:18">
      <c r="E939" s="147" t="s">
        <v>61</v>
      </c>
      <c r="F939" t="str">
        <f>GN!CA19</f>
        <v>HPS</v>
      </c>
      <c r="G939" t="str">
        <f>GN!CB19</f>
        <v>AC</v>
      </c>
      <c r="H939" t="str">
        <f>GN!CC19</f>
        <v>Vessel</v>
      </c>
      <c r="I939">
        <f>GN!CD19</f>
        <v>0</v>
      </c>
      <c r="J939" t="str">
        <f>GN!CE19</f>
        <v>Grand Nut</v>
      </c>
      <c r="K939" t="str">
        <f>GN!CF19</f>
        <v>Parr 4"</v>
      </c>
      <c r="L939" t="str">
        <f>GN!CG19</f>
        <v>GN-Parr</v>
      </c>
      <c r="M939">
        <f>GN!CH19</f>
        <v>0</v>
      </c>
      <c r="N939">
        <f>GN!CI19</f>
        <v>0</v>
      </c>
      <c r="O939">
        <f>GN!CJ19</f>
        <v>0</v>
      </c>
      <c r="P939" s="143" t="str">
        <f>GN!CK19</f>
        <v>Active</v>
      </c>
      <c r="R939">
        <f t="shared" si="14"/>
        <v>938</v>
      </c>
    </row>
    <row r="940" spans="5:18">
      <c r="E940" s="147" t="s">
        <v>61</v>
      </c>
      <c r="F940" t="str">
        <f>GN!CA20</f>
        <v>HPS</v>
      </c>
      <c r="G940" t="str">
        <f>GN!CB20</f>
        <v>AC</v>
      </c>
      <c r="H940" t="str">
        <f>GN!CC20</f>
        <v>Vessel</v>
      </c>
      <c r="I940">
        <f>GN!CD20</f>
        <v>0</v>
      </c>
      <c r="J940" t="str">
        <f>GN!CE20</f>
        <v>Grand Nut</v>
      </c>
      <c r="K940" t="str">
        <f>GN!CF20</f>
        <v>TZM 3"</v>
      </c>
      <c r="L940" t="str">
        <f>GN!CG20</f>
        <v>GN-AD</v>
      </c>
      <c r="M940">
        <f>GN!CH20</f>
        <v>0</v>
      </c>
      <c r="N940">
        <f>GN!CI20</f>
        <v>0</v>
      </c>
      <c r="O940">
        <f>GN!CJ20</f>
        <v>0</v>
      </c>
      <c r="P940" s="143" t="str">
        <f>GN!CK20</f>
        <v>New</v>
      </c>
      <c r="R940">
        <f t="shared" si="14"/>
        <v>939</v>
      </c>
    </row>
    <row r="941" spans="5:18">
      <c r="E941" s="147" t="s">
        <v>61</v>
      </c>
      <c r="F941" t="str">
        <f>GN!CA21</f>
        <v>HPS</v>
      </c>
      <c r="G941" t="str">
        <f>GN!CB21</f>
        <v>AC</v>
      </c>
      <c r="H941" t="str">
        <f>GN!CC21</f>
        <v>Vessel</v>
      </c>
      <c r="I941">
        <f>GN!CD21</f>
        <v>0</v>
      </c>
      <c r="J941" t="str">
        <f>GN!CE21</f>
        <v>Grand Nut</v>
      </c>
      <c r="K941" t="str">
        <f>GN!CF21</f>
        <v>TZM 3"</v>
      </c>
      <c r="L941" t="str">
        <f>GN!CG21</f>
        <v>GN-AE</v>
      </c>
      <c r="M941">
        <f>GN!CH21</f>
        <v>0</v>
      </c>
      <c r="N941">
        <f>GN!CI21</f>
        <v>0</v>
      </c>
      <c r="O941">
        <f>GN!CJ21</f>
        <v>0</v>
      </c>
      <c r="P941" s="143" t="str">
        <f>GN!CK21</f>
        <v>New</v>
      </c>
      <c r="R941">
        <f t="shared" si="14"/>
        <v>940</v>
      </c>
    </row>
    <row r="942" spans="5:18">
      <c r="E942" s="147" t="s">
        <v>61</v>
      </c>
      <c r="F942" t="str">
        <f>GN!CA22</f>
        <v>HPS</v>
      </c>
      <c r="G942" t="str">
        <f>GN!CB22</f>
        <v>AC</v>
      </c>
      <c r="H942" t="str">
        <f>GN!CC22</f>
        <v>Vessel</v>
      </c>
      <c r="I942">
        <f>GN!CD22</f>
        <v>0</v>
      </c>
      <c r="J942" t="str">
        <f>GN!CE22</f>
        <v>Grand Nut</v>
      </c>
      <c r="K942" t="str">
        <f>GN!CF22</f>
        <v>TZM 3.5"</v>
      </c>
      <c r="L942" t="str">
        <f>GN!CG22</f>
        <v>GN-AF</v>
      </c>
      <c r="M942">
        <f>GN!CH22</f>
        <v>0</v>
      </c>
      <c r="N942">
        <f>GN!CI22</f>
        <v>0</v>
      </c>
      <c r="O942">
        <f>GN!CJ22</f>
        <v>0</v>
      </c>
      <c r="P942" s="143" t="str">
        <f>GN!CK22</f>
        <v>New</v>
      </c>
      <c r="R942">
        <f t="shared" si="14"/>
        <v>941</v>
      </c>
    </row>
    <row r="943" spans="5:18">
      <c r="E943" s="147" t="s">
        <v>61</v>
      </c>
      <c r="F943" t="str">
        <f>GN!CA23</f>
        <v>HPS</v>
      </c>
      <c r="G943" t="str">
        <f>GN!CB23</f>
        <v>AC</v>
      </c>
      <c r="H943" t="str">
        <f>GN!CC23</f>
        <v>Vessel</v>
      </c>
      <c r="I943">
        <f>GN!CD23</f>
        <v>0</v>
      </c>
      <c r="J943" t="str">
        <f>GN!CE23</f>
        <v/>
      </c>
      <c r="K943" t="str">
        <f>GN!CF23</f>
        <v/>
      </c>
      <c r="L943">
        <f>GN!CG23</f>
        <v>0</v>
      </c>
      <c r="M943">
        <f>GN!CH23</f>
        <v>0</v>
      </c>
      <c r="N943">
        <f>GN!CI23</f>
        <v>0</v>
      </c>
      <c r="O943">
        <f>GN!CJ23</f>
        <v>0</v>
      </c>
      <c r="P943" s="143" t="str">
        <f>GN!CK23</f>
        <v/>
      </c>
      <c r="R943">
        <f t="shared" si="14"/>
        <v>942</v>
      </c>
    </row>
    <row r="944" spans="5:18">
      <c r="E944" s="147" t="s">
        <v>61</v>
      </c>
      <c r="F944" t="str">
        <f>GN!CA24</f>
        <v>HPS</v>
      </c>
      <c r="G944" t="str">
        <f>GN!CB24</f>
        <v>AC</v>
      </c>
      <c r="H944" t="str">
        <f>GN!CC24</f>
        <v>Vessel</v>
      </c>
      <c r="I944">
        <f>GN!CD24</f>
        <v>0</v>
      </c>
      <c r="J944" t="str">
        <f>GN!CE24</f>
        <v/>
      </c>
      <c r="K944" t="str">
        <f>GN!CF24</f>
        <v/>
      </c>
      <c r="L944">
        <f>GN!CG24</f>
        <v>0</v>
      </c>
      <c r="M944">
        <f>GN!CH24</f>
        <v>0</v>
      </c>
      <c r="N944">
        <f>GN!CI24</f>
        <v>0</v>
      </c>
      <c r="O944">
        <f>GN!CJ24</f>
        <v>0</v>
      </c>
      <c r="P944" s="143" t="str">
        <f>GN!CK24</f>
        <v/>
      </c>
      <c r="R944">
        <f t="shared" si="14"/>
        <v>943</v>
      </c>
    </row>
    <row r="945" spans="5:18">
      <c r="E945" s="147" t="s">
        <v>61</v>
      </c>
      <c r="F945" t="str">
        <f>GN!CA25</f>
        <v>HPS</v>
      </c>
      <c r="G945" t="str">
        <f>GN!CB25</f>
        <v>AC</v>
      </c>
      <c r="H945" t="str">
        <f>GN!CC25</f>
        <v>Vessel</v>
      </c>
      <c r="I945">
        <f>GN!CD25</f>
        <v>0</v>
      </c>
      <c r="J945" t="str">
        <f>GN!CE25</f>
        <v/>
      </c>
      <c r="K945" t="str">
        <f>GN!CF25</f>
        <v/>
      </c>
      <c r="L945">
        <f>GN!CG25</f>
        <v>0</v>
      </c>
      <c r="M945">
        <f>GN!CH25</f>
        <v>0</v>
      </c>
      <c r="N945">
        <f>GN!CI25</f>
        <v>0</v>
      </c>
      <c r="O945">
        <f>GN!CJ25</f>
        <v>0</v>
      </c>
      <c r="P945" s="143" t="str">
        <f>GN!CK25</f>
        <v/>
      </c>
      <c r="R945">
        <f t="shared" si="14"/>
        <v>944</v>
      </c>
    </row>
    <row r="946" spans="5:18">
      <c r="E946" s="147" t="s">
        <v>61</v>
      </c>
      <c r="F946" t="str">
        <f>GN!CA26</f>
        <v>HPS</v>
      </c>
      <c r="G946" t="str">
        <f>GN!CB26</f>
        <v>AC</v>
      </c>
      <c r="H946" t="str">
        <f>GN!CC26</f>
        <v>Vessel</v>
      </c>
      <c r="I946">
        <f>GN!CD26</f>
        <v>0</v>
      </c>
      <c r="J946" t="str">
        <f>GN!CE26</f>
        <v/>
      </c>
      <c r="K946" t="str">
        <f>GN!CF26</f>
        <v/>
      </c>
      <c r="L946">
        <f>GN!CG26</f>
        <v>0</v>
      </c>
      <c r="M946">
        <f>GN!CH26</f>
        <v>0</v>
      </c>
      <c r="N946">
        <f>GN!CI26</f>
        <v>0</v>
      </c>
      <c r="O946">
        <f>GN!CJ26</f>
        <v>0</v>
      </c>
      <c r="P946" s="143" t="str">
        <f>GN!CK26</f>
        <v/>
      </c>
      <c r="R946">
        <f t="shared" si="14"/>
        <v>945</v>
      </c>
    </row>
    <row r="947" spans="5:18">
      <c r="E947" s="147" t="s">
        <v>61</v>
      </c>
      <c r="F947" t="str">
        <f>GN!CA27</f>
        <v>HPS</v>
      </c>
      <c r="G947" t="str">
        <f>GN!CB27</f>
        <v>AC</v>
      </c>
      <c r="H947" t="str">
        <f>GN!CC27</f>
        <v>Vessel</v>
      </c>
      <c r="I947">
        <f>GN!CD27</f>
        <v>0</v>
      </c>
      <c r="J947" t="str">
        <f>GN!CE27</f>
        <v/>
      </c>
      <c r="K947" t="str">
        <f>GN!CF27</f>
        <v/>
      </c>
      <c r="L947">
        <f>GN!CG27</f>
        <v>0</v>
      </c>
      <c r="M947">
        <f>GN!CH27</f>
        <v>0</v>
      </c>
      <c r="N947">
        <f>GN!CI27</f>
        <v>0</v>
      </c>
      <c r="O947">
        <f>GN!CJ27</f>
        <v>0</v>
      </c>
      <c r="P947" s="143" t="str">
        <f>GN!CK27</f>
        <v/>
      </c>
      <c r="R947">
        <f t="shared" si="14"/>
        <v>946</v>
      </c>
    </row>
    <row r="948" spans="5:18">
      <c r="E948" s="147" t="s">
        <v>61</v>
      </c>
      <c r="F948" t="str">
        <f>GN!CA28</f>
        <v>HPS</v>
      </c>
      <c r="G948" t="str">
        <f>GN!CB28</f>
        <v>AC</v>
      </c>
      <c r="H948" t="str">
        <f>GN!CC28</f>
        <v>Vessel</v>
      </c>
      <c r="I948">
        <f>GN!CD28</f>
        <v>0</v>
      </c>
      <c r="J948" t="str">
        <f>GN!CE28</f>
        <v/>
      </c>
      <c r="K948" t="str">
        <f>GN!CF28</f>
        <v/>
      </c>
      <c r="L948">
        <f>GN!CG28</f>
        <v>0</v>
      </c>
      <c r="M948">
        <f>GN!CH28</f>
        <v>0</v>
      </c>
      <c r="N948">
        <f>GN!CI28</f>
        <v>0</v>
      </c>
      <c r="O948">
        <f>GN!CJ28</f>
        <v>0</v>
      </c>
      <c r="P948" s="143" t="str">
        <f>GN!CK28</f>
        <v/>
      </c>
      <c r="R948">
        <f t="shared" si="14"/>
        <v>947</v>
      </c>
    </row>
    <row r="949" spans="5:18">
      <c r="E949" s="147" t="s">
        <v>61</v>
      </c>
      <c r="F949" t="str">
        <f>GN!CA29</f>
        <v>HPS</v>
      </c>
      <c r="G949" t="str">
        <f>GN!CB29</f>
        <v>AC</v>
      </c>
      <c r="H949" t="str">
        <f>GN!CC29</f>
        <v>Vessel</v>
      </c>
      <c r="I949">
        <f>GN!CD29</f>
        <v>0</v>
      </c>
      <c r="J949" t="str">
        <f>GN!CE29</f>
        <v/>
      </c>
      <c r="K949" t="str">
        <f>GN!CF29</f>
        <v/>
      </c>
      <c r="L949">
        <f>GN!CG29</f>
        <v>0</v>
      </c>
      <c r="M949">
        <f>GN!CH29</f>
        <v>0</v>
      </c>
      <c r="N949">
        <f>GN!CI29</f>
        <v>0</v>
      </c>
      <c r="O949">
        <f>GN!CJ29</f>
        <v>0</v>
      </c>
      <c r="P949" s="143" t="str">
        <f>GN!CK29</f>
        <v/>
      </c>
      <c r="R949">
        <f t="shared" si="14"/>
        <v>948</v>
      </c>
    </row>
    <row r="950" spans="5:18">
      <c r="E950" s="147" t="s">
        <v>61</v>
      </c>
      <c r="F950" t="str">
        <f>GN!CA30</f>
        <v>HPS</v>
      </c>
      <c r="G950" t="str">
        <f>GN!CB30</f>
        <v>AC</v>
      </c>
      <c r="H950" t="str">
        <f>GN!CC30</f>
        <v>Vessel</v>
      </c>
      <c r="I950">
        <f>GN!CD30</f>
        <v>0</v>
      </c>
      <c r="J950" t="str">
        <f>GN!CE30</f>
        <v/>
      </c>
      <c r="K950" t="str">
        <f>GN!CF30</f>
        <v/>
      </c>
      <c r="L950">
        <f>GN!CG30</f>
        <v>0</v>
      </c>
      <c r="M950">
        <f>GN!CH30</f>
        <v>0</v>
      </c>
      <c r="N950">
        <f>GN!CI30</f>
        <v>0</v>
      </c>
      <c r="O950">
        <f>GN!CJ30</f>
        <v>0</v>
      </c>
      <c r="P950" s="143" t="str">
        <f>GN!CK30</f>
        <v/>
      </c>
      <c r="R950">
        <f t="shared" si="14"/>
        <v>949</v>
      </c>
    </row>
    <row r="951" spans="5:18">
      <c r="E951" s="147" t="s">
        <v>61</v>
      </c>
      <c r="F951" t="str">
        <f>GN!CA31</f>
        <v>HPS</v>
      </c>
      <c r="G951" t="str">
        <f>GN!CB31</f>
        <v>AC</v>
      </c>
      <c r="H951" t="str">
        <f>GN!CC31</f>
        <v>Vessel</v>
      </c>
      <c r="I951">
        <f>GN!CD31</f>
        <v>0</v>
      </c>
      <c r="J951" t="str">
        <f>GN!CE31</f>
        <v/>
      </c>
      <c r="K951" t="str">
        <f>GN!CF31</f>
        <v/>
      </c>
      <c r="L951">
        <f>GN!CG31</f>
        <v>0</v>
      </c>
      <c r="M951">
        <f>GN!CH31</f>
        <v>0</v>
      </c>
      <c r="N951">
        <f>GN!CI31</f>
        <v>0</v>
      </c>
      <c r="O951">
        <f>GN!CJ31</f>
        <v>0</v>
      </c>
      <c r="P951" s="143" t="str">
        <f>GN!CK31</f>
        <v/>
      </c>
      <c r="R951">
        <f t="shared" si="14"/>
        <v>950</v>
      </c>
    </row>
    <row r="952" spans="5:18">
      <c r="E952" s="147" t="s">
        <v>61</v>
      </c>
      <c r="F952" t="str">
        <f>GN!CA32</f>
        <v>HPS</v>
      </c>
      <c r="G952" t="str">
        <f>GN!CB32</f>
        <v>AC</v>
      </c>
      <c r="H952" t="str">
        <f>GN!CC32</f>
        <v>Vessel</v>
      </c>
      <c r="I952">
        <f>GN!CD32</f>
        <v>0</v>
      </c>
      <c r="J952" t="str">
        <f>GN!CE32</f>
        <v/>
      </c>
      <c r="K952" t="str">
        <f>GN!CF32</f>
        <v/>
      </c>
      <c r="L952">
        <f>GN!CG32</f>
        <v>0</v>
      </c>
      <c r="M952">
        <f>GN!CH32</f>
        <v>0</v>
      </c>
      <c r="N952">
        <f>GN!CI32</f>
        <v>0</v>
      </c>
      <c r="O952">
        <f>GN!CJ32</f>
        <v>0</v>
      </c>
      <c r="P952" s="143" t="str">
        <f>GN!CK32</f>
        <v/>
      </c>
      <c r="R952">
        <f t="shared" si="14"/>
        <v>951</v>
      </c>
    </row>
    <row r="953" spans="5:18">
      <c r="E953" s="147" t="s">
        <v>61</v>
      </c>
      <c r="F953" t="str">
        <f>GN!CA33</f>
        <v>HPS</v>
      </c>
      <c r="G953" t="str">
        <f>GN!CB33</f>
        <v>AC</v>
      </c>
      <c r="H953" t="str">
        <f>GN!CC33</f>
        <v>Vessel</v>
      </c>
      <c r="I953">
        <f>GN!CD33</f>
        <v>0</v>
      </c>
      <c r="J953" t="str">
        <f>GN!CE33</f>
        <v/>
      </c>
      <c r="K953" t="str">
        <f>GN!CF33</f>
        <v/>
      </c>
      <c r="L953">
        <f>GN!CG33</f>
        <v>0</v>
      </c>
      <c r="M953">
        <f>GN!CH33</f>
        <v>0</v>
      </c>
      <c r="N953">
        <f>GN!CI33</f>
        <v>0</v>
      </c>
      <c r="O953">
        <f>GN!CJ33</f>
        <v>0</v>
      </c>
      <c r="P953" s="143" t="str">
        <f>GN!CK33</f>
        <v/>
      </c>
      <c r="R953">
        <f t="shared" si="14"/>
        <v>952</v>
      </c>
    </row>
    <row r="954" spans="5:18">
      <c r="E954" s="147" t="s">
        <v>61</v>
      </c>
      <c r="F954" t="str">
        <f>GN!CA34</f>
        <v>HPS</v>
      </c>
      <c r="G954" t="str">
        <f>GN!CB34</f>
        <v>AC</v>
      </c>
      <c r="H954" t="str">
        <f>GN!CC34</f>
        <v>Vessel</v>
      </c>
      <c r="I954">
        <f>GN!CD34</f>
        <v>0</v>
      </c>
      <c r="J954" t="str">
        <f>GN!CE34</f>
        <v/>
      </c>
      <c r="K954" t="str">
        <f>GN!CF34</f>
        <v/>
      </c>
      <c r="L954">
        <f>GN!CG34</f>
        <v>0</v>
      </c>
      <c r="M954">
        <f>GN!CH34</f>
        <v>0</v>
      </c>
      <c r="N954">
        <f>GN!CI34</f>
        <v>0</v>
      </c>
      <c r="O954">
        <f>GN!CJ34</f>
        <v>0</v>
      </c>
      <c r="P954" s="143" t="str">
        <f>GN!CK34</f>
        <v/>
      </c>
      <c r="R954">
        <f t="shared" si="14"/>
        <v>953</v>
      </c>
    </row>
    <row r="955" spans="5:18">
      <c r="E955" s="147" t="s">
        <v>61</v>
      </c>
      <c r="F955" t="str">
        <f>GN!CA35</f>
        <v>HPS</v>
      </c>
      <c r="G955" t="str">
        <f>GN!CB35</f>
        <v>AC</v>
      </c>
      <c r="H955" t="str">
        <f>GN!CC35</f>
        <v>Vessel</v>
      </c>
      <c r="I955">
        <f>GN!CD35</f>
        <v>0</v>
      </c>
      <c r="J955" t="str">
        <f>GN!CE35</f>
        <v/>
      </c>
      <c r="K955" t="str">
        <f>GN!CF35</f>
        <v/>
      </c>
      <c r="L955">
        <f>GN!CG35</f>
        <v>0</v>
      </c>
      <c r="M955">
        <f>GN!CH35</f>
        <v>0</v>
      </c>
      <c r="N955">
        <f>GN!CI35</f>
        <v>0</v>
      </c>
      <c r="O955">
        <f>GN!CJ35</f>
        <v>0</v>
      </c>
      <c r="P955" s="143" t="str">
        <f>GN!CK35</f>
        <v/>
      </c>
      <c r="R955">
        <f t="shared" si="14"/>
        <v>954</v>
      </c>
    </row>
    <row r="956" spans="5:18">
      <c r="E956" s="147" t="s">
        <v>61</v>
      </c>
      <c r="F956" t="str">
        <f>GN!CA36</f>
        <v>HPS</v>
      </c>
      <c r="G956" t="str">
        <f>GN!CB36</f>
        <v>AC</v>
      </c>
      <c r="H956" t="str">
        <f>GN!CC36</f>
        <v>Vessel</v>
      </c>
      <c r="I956">
        <f>GN!CD36</f>
        <v>0</v>
      </c>
      <c r="J956" t="str">
        <f>GN!CE36</f>
        <v/>
      </c>
      <c r="K956" t="str">
        <f>GN!CF36</f>
        <v/>
      </c>
      <c r="L956">
        <f>GN!CG36</f>
        <v>0</v>
      </c>
      <c r="M956">
        <f>GN!CH36</f>
        <v>0</v>
      </c>
      <c r="N956">
        <f>GN!CI36</f>
        <v>0</v>
      </c>
      <c r="O956">
        <f>GN!CJ36</f>
        <v>0</v>
      </c>
      <c r="P956" s="143" t="str">
        <f>GN!CK36</f>
        <v/>
      </c>
      <c r="R956">
        <f t="shared" si="14"/>
        <v>955</v>
      </c>
    </row>
    <row r="957" spans="5:18">
      <c r="E957" s="147" t="s">
        <v>61</v>
      </c>
      <c r="F957" t="str">
        <f>GN!CA37</f>
        <v>HPS</v>
      </c>
      <c r="G957" t="str">
        <f>GN!CB37</f>
        <v>AC</v>
      </c>
      <c r="H957" t="str">
        <f>GN!CC37</f>
        <v>Vessel</v>
      </c>
      <c r="I957">
        <f>GN!CD37</f>
        <v>0</v>
      </c>
      <c r="J957" t="str">
        <f>GN!CE37</f>
        <v/>
      </c>
      <c r="K957" t="str">
        <f>GN!CF37</f>
        <v/>
      </c>
      <c r="L957">
        <f>GN!CG37</f>
        <v>0</v>
      </c>
      <c r="M957">
        <f>GN!CH37</f>
        <v>0</v>
      </c>
      <c r="N957">
        <f>GN!CI37</f>
        <v>0</v>
      </c>
      <c r="O957">
        <f>GN!CJ37</f>
        <v>0</v>
      </c>
      <c r="P957" s="143" t="str">
        <f>GN!CK37</f>
        <v/>
      </c>
      <c r="R957">
        <f t="shared" si="14"/>
        <v>956</v>
      </c>
    </row>
    <row r="958" spans="5:18">
      <c r="E958" s="147" t="s">
        <v>61</v>
      </c>
      <c r="F958" t="str">
        <f>GN!CA38</f>
        <v>HPS</v>
      </c>
      <c r="G958" t="str">
        <f>GN!CB38</f>
        <v>AC</v>
      </c>
      <c r="H958" t="str">
        <f>GN!CC38</f>
        <v>Vessel</v>
      </c>
      <c r="I958">
        <f>GN!CD38</f>
        <v>0</v>
      </c>
      <c r="J958" t="str">
        <f>GN!CE38</f>
        <v/>
      </c>
      <c r="K958" t="str">
        <f>GN!CF38</f>
        <v/>
      </c>
      <c r="L958">
        <f>GN!CG38</f>
        <v>0</v>
      </c>
      <c r="M958">
        <f>GN!CH38</f>
        <v>0</v>
      </c>
      <c r="N958">
        <f>GN!CI38</f>
        <v>0</v>
      </c>
      <c r="O958">
        <f>GN!CJ38</f>
        <v>0</v>
      </c>
      <c r="P958" s="143" t="str">
        <f>GN!CK38</f>
        <v/>
      </c>
      <c r="R958">
        <f t="shared" si="14"/>
        <v>957</v>
      </c>
    </row>
    <row r="959" spans="5:18">
      <c r="E959" s="147" t="s">
        <v>61</v>
      </c>
      <c r="F959" t="str">
        <f>GN!CA39</f>
        <v>HPS</v>
      </c>
      <c r="G959" t="str">
        <f>GN!CB39</f>
        <v>AC</v>
      </c>
      <c r="H959" t="str">
        <f>GN!CC39</f>
        <v>Vessel</v>
      </c>
      <c r="I959">
        <f>GN!CD39</f>
        <v>0</v>
      </c>
      <c r="J959" t="str">
        <f>GN!CE39</f>
        <v/>
      </c>
      <c r="K959" t="str">
        <f>GN!CF39</f>
        <v/>
      </c>
      <c r="L959">
        <f>GN!CG39</f>
        <v>0</v>
      </c>
      <c r="M959">
        <f>GN!CH39</f>
        <v>0</v>
      </c>
      <c r="N959">
        <f>GN!CI39</f>
        <v>0</v>
      </c>
      <c r="O959">
        <f>GN!CJ39</f>
        <v>0</v>
      </c>
      <c r="P959" s="143" t="str">
        <f>GN!CK39</f>
        <v/>
      </c>
      <c r="R959">
        <f t="shared" si="14"/>
        <v>958</v>
      </c>
    </row>
    <row r="960" spans="5:18">
      <c r="E960" s="147" t="s">
        <v>61</v>
      </c>
      <c r="F960" t="str">
        <f>GN!CA40</f>
        <v>HPS</v>
      </c>
      <c r="G960" t="str">
        <f>GN!CB40</f>
        <v>AC</v>
      </c>
      <c r="H960" t="str">
        <f>GN!CC40</f>
        <v>Vessel</v>
      </c>
      <c r="I960">
        <f>GN!CD40</f>
        <v>0</v>
      </c>
      <c r="J960" t="str">
        <f>GN!CE40</f>
        <v/>
      </c>
      <c r="K960" t="str">
        <f>GN!CF40</f>
        <v/>
      </c>
      <c r="L960">
        <f>GN!CG40</f>
        <v>0</v>
      </c>
      <c r="M960">
        <f>GN!CH40</f>
        <v>0</v>
      </c>
      <c r="N960">
        <f>GN!CI40</f>
        <v>0</v>
      </c>
      <c r="O960">
        <f>GN!CJ40</f>
        <v>0</v>
      </c>
      <c r="P960" s="143" t="str">
        <f>GN!CK40</f>
        <v/>
      </c>
      <c r="R960">
        <f t="shared" si="14"/>
        <v>959</v>
      </c>
    </row>
    <row r="961" spans="5:18">
      <c r="E961" s="147" t="s">
        <v>61</v>
      </c>
      <c r="F961" t="str">
        <f>GN!CA41</f>
        <v>HPS</v>
      </c>
      <c r="G961" t="str">
        <f>GN!CB41</f>
        <v>AC</v>
      </c>
      <c r="H961" t="str">
        <f>GN!CC41</f>
        <v>Vessel</v>
      </c>
      <c r="I961">
        <f>GN!CD41</f>
        <v>0</v>
      </c>
      <c r="J961" t="str">
        <f>GN!CE41</f>
        <v/>
      </c>
      <c r="K961" t="str">
        <f>GN!CF41</f>
        <v/>
      </c>
      <c r="L961">
        <f>GN!CG41</f>
        <v>0</v>
      </c>
      <c r="M961">
        <f>GN!CH41</f>
        <v>0</v>
      </c>
      <c r="N961">
        <f>GN!CI41</f>
        <v>0</v>
      </c>
      <c r="O961">
        <f>GN!CJ41</f>
        <v>0</v>
      </c>
      <c r="P961" s="143" t="str">
        <f>GN!CK41</f>
        <v/>
      </c>
      <c r="R961">
        <f t="shared" si="14"/>
        <v>960</v>
      </c>
    </row>
    <row r="962" spans="5:18">
      <c r="E962" s="147" t="s">
        <v>61</v>
      </c>
      <c r="F962" t="str">
        <f>GN!CA42</f>
        <v>HPS</v>
      </c>
      <c r="G962" t="str">
        <f>GN!CB42</f>
        <v>AC</v>
      </c>
      <c r="H962" t="str">
        <f>GN!CC42</f>
        <v>Vessel</v>
      </c>
      <c r="I962">
        <f>GN!CD42</f>
        <v>0</v>
      </c>
      <c r="J962" t="str">
        <f>GN!CE42</f>
        <v/>
      </c>
      <c r="K962" t="str">
        <f>GN!CF42</f>
        <v/>
      </c>
      <c r="L962">
        <f>GN!CG42</f>
        <v>0</v>
      </c>
      <c r="M962">
        <f>GN!CH42</f>
        <v>0</v>
      </c>
      <c r="N962">
        <f>GN!CI42</f>
        <v>0</v>
      </c>
      <c r="O962">
        <f>GN!CJ42</f>
        <v>0</v>
      </c>
      <c r="P962" s="143" t="str">
        <f>GN!CK42</f>
        <v/>
      </c>
      <c r="R962">
        <f t="shared" si="14"/>
        <v>961</v>
      </c>
    </row>
    <row r="963" spans="5:18">
      <c r="E963" s="147" t="s">
        <v>61</v>
      </c>
      <c r="F963" t="str">
        <f>GN!CA43</f>
        <v>HPS</v>
      </c>
      <c r="G963" t="str">
        <f>GN!CB43</f>
        <v>AC</v>
      </c>
      <c r="H963" t="str">
        <f>GN!CC43</f>
        <v>Vessel</v>
      </c>
      <c r="I963">
        <f>GN!CD43</f>
        <v>0</v>
      </c>
      <c r="J963" t="str">
        <f>GN!CE43</f>
        <v/>
      </c>
      <c r="K963" t="str">
        <f>GN!CF43</f>
        <v/>
      </c>
      <c r="L963">
        <f>GN!CG43</f>
        <v>0</v>
      </c>
      <c r="M963">
        <f>GN!CH43</f>
        <v>0</v>
      </c>
      <c r="N963">
        <f>GN!CI43</f>
        <v>0</v>
      </c>
      <c r="O963">
        <f>GN!CJ43</f>
        <v>0</v>
      </c>
      <c r="P963" s="143" t="str">
        <f>GN!CK43</f>
        <v/>
      </c>
      <c r="R963">
        <f t="shared" si="14"/>
        <v>962</v>
      </c>
    </row>
    <row r="964" spans="5:18">
      <c r="E964" s="147" t="s">
        <v>61</v>
      </c>
      <c r="F964" t="str">
        <f>GN!CA44</f>
        <v>HPS</v>
      </c>
      <c r="G964" t="str">
        <f>GN!CB44</f>
        <v>AC</v>
      </c>
      <c r="H964" t="str">
        <f>GN!CC44</f>
        <v>Vessel</v>
      </c>
      <c r="I964">
        <f>GN!CD44</f>
        <v>0</v>
      </c>
      <c r="J964" t="str">
        <f>GN!CE44</f>
        <v/>
      </c>
      <c r="K964" t="str">
        <f>GN!CF44</f>
        <v/>
      </c>
      <c r="L964">
        <f>GN!CG44</f>
        <v>0</v>
      </c>
      <c r="M964">
        <f>GN!CH44</f>
        <v>0</v>
      </c>
      <c r="N964">
        <f>GN!CI44</f>
        <v>0</v>
      </c>
      <c r="O964">
        <f>GN!CJ44</f>
        <v>0</v>
      </c>
      <c r="P964" s="143" t="str">
        <f>GN!CK44</f>
        <v/>
      </c>
      <c r="R964">
        <f t="shared" ref="R964:R1027" si="15">R963+1</f>
        <v>963</v>
      </c>
    </row>
    <row r="965" spans="5:18">
      <c r="E965" s="147" t="s">
        <v>61</v>
      </c>
      <c r="F965" t="str">
        <f>GN!CA45</f>
        <v>HPS</v>
      </c>
      <c r="G965" t="str">
        <f>GN!CB45</f>
        <v>AC</v>
      </c>
      <c r="H965" t="str">
        <f>GN!CC45</f>
        <v>Vessel</v>
      </c>
      <c r="I965">
        <f>GN!CD45</f>
        <v>0</v>
      </c>
      <c r="J965" t="str">
        <f>GN!CE45</f>
        <v/>
      </c>
      <c r="K965" t="str">
        <f>GN!CF45</f>
        <v/>
      </c>
      <c r="L965">
        <f>GN!CG45</f>
        <v>0</v>
      </c>
      <c r="M965">
        <f>GN!CH45</f>
        <v>0</v>
      </c>
      <c r="N965">
        <f>GN!CI45</f>
        <v>0</v>
      </c>
      <c r="O965">
        <f>GN!CJ45</f>
        <v>0</v>
      </c>
      <c r="P965" s="143" t="str">
        <f>GN!CK45</f>
        <v/>
      </c>
      <c r="R965">
        <f t="shared" si="15"/>
        <v>964</v>
      </c>
    </row>
    <row r="966" spans="5:18">
      <c r="E966" s="147" t="s">
        <v>61</v>
      </c>
      <c r="F966" t="str">
        <f>GN!CA46</f>
        <v>HPS</v>
      </c>
      <c r="G966" t="str">
        <f>GN!CB46</f>
        <v>AC</v>
      </c>
      <c r="H966" t="str">
        <f>GN!CC46</f>
        <v>Vessel</v>
      </c>
      <c r="I966">
        <f>GN!CD46</f>
        <v>0</v>
      </c>
      <c r="J966" t="str">
        <f>GN!CE46</f>
        <v/>
      </c>
      <c r="K966" t="str">
        <f>GN!CF46</f>
        <v/>
      </c>
      <c r="L966">
        <f>GN!CG46</f>
        <v>0</v>
      </c>
      <c r="M966">
        <f>GN!CH46</f>
        <v>0</v>
      </c>
      <c r="N966">
        <f>GN!CI46</f>
        <v>0</v>
      </c>
      <c r="O966">
        <f>GN!CJ46</f>
        <v>0</v>
      </c>
      <c r="P966" s="143" t="str">
        <f>GN!CK46</f>
        <v/>
      </c>
      <c r="R966">
        <f t="shared" si="15"/>
        <v>965</v>
      </c>
    </row>
    <row r="967" spans="5:18">
      <c r="E967" s="147" t="s">
        <v>61</v>
      </c>
      <c r="F967" t="str">
        <f>GN!CA47</f>
        <v>HPS</v>
      </c>
      <c r="G967" t="str">
        <f>GN!CB47</f>
        <v>AC</v>
      </c>
      <c r="H967" t="str">
        <f>GN!CC47</f>
        <v>Vessel</v>
      </c>
      <c r="I967">
        <f>GN!CD47</f>
        <v>0</v>
      </c>
      <c r="J967" t="str">
        <f>GN!CE47</f>
        <v/>
      </c>
      <c r="K967" t="str">
        <f>GN!CF47</f>
        <v/>
      </c>
      <c r="L967">
        <f>GN!CG47</f>
        <v>0</v>
      </c>
      <c r="M967">
        <f>GN!CH47</f>
        <v>0</v>
      </c>
      <c r="N967">
        <f>GN!CI47</f>
        <v>0</v>
      </c>
      <c r="O967">
        <f>GN!CJ47</f>
        <v>0</v>
      </c>
      <c r="P967" s="143" t="str">
        <f>GN!CK47</f>
        <v/>
      </c>
      <c r="R967">
        <f t="shared" si="15"/>
        <v>966</v>
      </c>
    </row>
    <row r="968" spans="5:18">
      <c r="E968" s="147" t="s">
        <v>61</v>
      </c>
      <c r="F968" t="str">
        <f>GN!CA48</f>
        <v>HPS</v>
      </c>
      <c r="G968" t="str">
        <f>GN!CB48</f>
        <v>AC</v>
      </c>
      <c r="H968" t="str">
        <f>GN!CC48</f>
        <v>Vessel</v>
      </c>
      <c r="I968">
        <f>GN!CD48</f>
        <v>0</v>
      </c>
      <c r="J968" t="str">
        <f>GN!CE48</f>
        <v/>
      </c>
      <c r="K968" t="str">
        <f>GN!CF48</f>
        <v/>
      </c>
      <c r="L968">
        <f>GN!CG48</f>
        <v>0</v>
      </c>
      <c r="M968">
        <f>GN!CH48</f>
        <v>0</v>
      </c>
      <c r="N968">
        <f>GN!CI48</f>
        <v>0</v>
      </c>
      <c r="O968">
        <f>GN!CJ48</f>
        <v>0</v>
      </c>
      <c r="P968" s="143" t="str">
        <f>GN!CK48</f>
        <v/>
      </c>
      <c r="R968">
        <f t="shared" si="15"/>
        <v>967</v>
      </c>
    </row>
    <row r="969" spans="5:18">
      <c r="E969" s="147" t="s">
        <v>61</v>
      </c>
      <c r="F969" t="str">
        <f>GN!CA49</f>
        <v>HPS</v>
      </c>
      <c r="G969" t="str">
        <f>GN!CB49</f>
        <v>AC</v>
      </c>
      <c r="H969" t="str">
        <f>GN!CC49</f>
        <v>Vessel</v>
      </c>
      <c r="I969">
        <f>GN!CD49</f>
        <v>0</v>
      </c>
      <c r="J969" t="str">
        <f>GN!CE49</f>
        <v/>
      </c>
      <c r="K969" t="str">
        <f>GN!CF49</f>
        <v/>
      </c>
      <c r="L969">
        <f>GN!CG49</f>
        <v>0</v>
      </c>
      <c r="M969">
        <f>GN!CH49</f>
        <v>0</v>
      </c>
      <c r="N969">
        <f>GN!CI49</f>
        <v>0</v>
      </c>
      <c r="O969">
        <f>GN!CJ49</f>
        <v>0</v>
      </c>
      <c r="P969" s="143" t="str">
        <f>GN!CK49</f>
        <v/>
      </c>
      <c r="R969">
        <f t="shared" si="15"/>
        <v>968</v>
      </c>
    </row>
    <row r="970" spans="5:18">
      <c r="E970" s="147" t="s">
        <v>61</v>
      </c>
      <c r="F970" t="str">
        <f>GN!CA50</f>
        <v>HPS</v>
      </c>
      <c r="G970" t="str">
        <f>GN!CB50</f>
        <v>AC</v>
      </c>
      <c r="H970" t="str">
        <f>GN!CC50</f>
        <v>Vessel</v>
      </c>
      <c r="I970">
        <f>GN!CD50</f>
        <v>0</v>
      </c>
      <c r="J970" t="str">
        <f>GN!CE50</f>
        <v/>
      </c>
      <c r="K970" t="str">
        <f>GN!CF50</f>
        <v/>
      </c>
      <c r="L970">
        <f>GN!CG50</f>
        <v>0</v>
      </c>
      <c r="M970">
        <f>GN!CH50</f>
        <v>0</v>
      </c>
      <c r="N970">
        <f>GN!CI50</f>
        <v>0</v>
      </c>
      <c r="O970">
        <f>GN!CJ50</f>
        <v>0</v>
      </c>
      <c r="P970" s="143" t="str">
        <f>GN!CK50</f>
        <v/>
      </c>
      <c r="R970">
        <f t="shared" si="15"/>
        <v>969</v>
      </c>
    </row>
    <row r="971" spans="5:18">
      <c r="E971" s="147" t="s">
        <v>61</v>
      </c>
      <c r="F971" t="str">
        <f>GN!CA51</f>
        <v>HPS</v>
      </c>
      <c r="G971" t="str">
        <f>GN!CB51</f>
        <v>AC</v>
      </c>
      <c r="H971" t="str">
        <f>GN!CC51</f>
        <v>Vessel</v>
      </c>
      <c r="I971">
        <f>GN!CD51</f>
        <v>0</v>
      </c>
      <c r="J971" t="str">
        <f>GN!CE51</f>
        <v/>
      </c>
      <c r="K971" t="str">
        <f>GN!CF51</f>
        <v/>
      </c>
      <c r="L971">
        <f>GN!CG51</f>
        <v>0</v>
      </c>
      <c r="M971">
        <f>GN!CH51</f>
        <v>0</v>
      </c>
      <c r="N971">
        <f>GN!CI51</f>
        <v>0</v>
      </c>
      <c r="O971">
        <f>GN!CJ51</f>
        <v>0</v>
      </c>
      <c r="P971" s="143" t="str">
        <f>GN!CK51</f>
        <v/>
      </c>
      <c r="R971">
        <f t="shared" si="15"/>
        <v>970</v>
      </c>
    </row>
    <row r="972" spans="5:18">
      <c r="E972" s="147" t="s">
        <v>61</v>
      </c>
      <c r="F972" t="str">
        <f>GN!CA52</f>
        <v>HPS</v>
      </c>
      <c r="G972" t="str">
        <f>GN!CB52</f>
        <v>AC</v>
      </c>
      <c r="H972" t="str">
        <f>GN!CC52</f>
        <v>Vessel</v>
      </c>
      <c r="I972">
        <f>GN!CD52</f>
        <v>0</v>
      </c>
      <c r="J972" t="str">
        <f>GN!CE52</f>
        <v/>
      </c>
      <c r="K972" t="str">
        <f>GN!CF52</f>
        <v/>
      </c>
      <c r="L972">
        <f>GN!CG52</f>
        <v>0</v>
      </c>
      <c r="M972">
        <f>GN!CH52</f>
        <v>0</v>
      </c>
      <c r="N972">
        <f>GN!CI52</f>
        <v>0</v>
      </c>
      <c r="O972">
        <f>GN!CJ52</f>
        <v>0</v>
      </c>
      <c r="P972" s="143" t="str">
        <f>GN!CK52</f>
        <v/>
      </c>
      <c r="R972">
        <f t="shared" si="15"/>
        <v>971</v>
      </c>
    </row>
    <row r="973" spans="5:18">
      <c r="E973" s="147" t="s">
        <v>61</v>
      </c>
      <c r="F973" t="str">
        <f>GN!CA53</f>
        <v>HPS</v>
      </c>
      <c r="G973" t="str">
        <f>GN!CB53</f>
        <v>AC</v>
      </c>
      <c r="H973" t="str">
        <f>GN!CC53</f>
        <v>Vessel</v>
      </c>
      <c r="I973">
        <f>GN!CD53</f>
        <v>0</v>
      </c>
      <c r="J973" t="str">
        <f>GN!CE53</f>
        <v/>
      </c>
      <c r="K973" t="str">
        <f>GN!CF53</f>
        <v/>
      </c>
      <c r="L973">
        <f>GN!CG53</f>
        <v>0</v>
      </c>
      <c r="M973">
        <f>GN!CH53</f>
        <v>0</v>
      </c>
      <c r="N973">
        <f>GN!CI53</f>
        <v>0</v>
      </c>
      <c r="O973">
        <f>GN!CJ53</f>
        <v>0</v>
      </c>
      <c r="P973" s="143" t="str">
        <f>GN!CK53</f>
        <v/>
      </c>
      <c r="R973">
        <f t="shared" si="15"/>
        <v>972</v>
      </c>
    </row>
    <row r="974" spans="5:18">
      <c r="E974" s="147" t="s">
        <v>61</v>
      </c>
      <c r="F974" t="str">
        <f>GN!CA54</f>
        <v>HPS</v>
      </c>
      <c r="G974" t="str">
        <f>GN!CB54</f>
        <v>AC</v>
      </c>
      <c r="H974" t="str">
        <f>GN!CC54</f>
        <v>Vessel</v>
      </c>
      <c r="I974">
        <f>GN!CD54</f>
        <v>0</v>
      </c>
      <c r="J974" t="str">
        <f>GN!CE54</f>
        <v/>
      </c>
      <c r="K974" t="str">
        <f>GN!CF54</f>
        <v/>
      </c>
      <c r="L974">
        <f>GN!CG54</f>
        <v>0</v>
      </c>
      <c r="M974">
        <f>GN!CH54</f>
        <v>0</v>
      </c>
      <c r="N974">
        <f>GN!CI54</f>
        <v>0</v>
      </c>
      <c r="O974">
        <f>GN!CJ54</f>
        <v>0</v>
      </c>
      <c r="P974" s="143" t="str">
        <f>GN!CK54</f>
        <v/>
      </c>
      <c r="R974">
        <f t="shared" si="15"/>
        <v>973</v>
      </c>
    </row>
    <row r="975" spans="5:18">
      <c r="E975" s="147" t="s">
        <v>61</v>
      </c>
      <c r="F975" t="str">
        <f>GN!CA55</f>
        <v>HPS</v>
      </c>
      <c r="G975" t="str">
        <f>GN!CB55</f>
        <v>AC</v>
      </c>
      <c r="H975" t="str">
        <f>GN!CC55</f>
        <v>Vessel</v>
      </c>
      <c r="I975">
        <f>GN!CD55</f>
        <v>0</v>
      </c>
      <c r="J975" t="str">
        <f>GN!CE55</f>
        <v/>
      </c>
      <c r="K975" t="str">
        <f>GN!CF55</f>
        <v/>
      </c>
      <c r="L975">
        <f>GN!CG55</f>
        <v>0</v>
      </c>
      <c r="M975">
        <f>GN!CH55</f>
        <v>0</v>
      </c>
      <c r="N975">
        <f>GN!CI55</f>
        <v>0</v>
      </c>
      <c r="O975">
        <f>GN!CJ55</f>
        <v>0</v>
      </c>
      <c r="P975" s="143" t="str">
        <f>GN!CK55</f>
        <v/>
      </c>
      <c r="R975">
        <f t="shared" si="15"/>
        <v>974</v>
      </c>
    </row>
    <row r="976" spans="5:18">
      <c r="E976" s="147" t="s">
        <v>61</v>
      </c>
      <c r="F976" t="str">
        <f>GN!CA56</f>
        <v>HPS</v>
      </c>
      <c r="G976" t="str">
        <f>GN!CB56</f>
        <v>AC</v>
      </c>
      <c r="H976" t="str">
        <f>GN!CC56</f>
        <v>Vessel</v>
      </c>
      <c r="I976">
        <f>GN!CD56</f>
        <v>0</v>
      </c>
      <c r="J976" t="str">
        <f>GN!CE56</f>
        <v/>
      </c>
      <c r="K976" t="str">
        <f>GN!CF56</f>
        <v/>
      </c>
      <c r="L976">
        <f>GN!CG56</f>
        <v>0</v>
      </c>
      <c r="M976">
        <f>GN!CH56</f>
        <v>0</v>
      </c>
      <c r="N976">
        <f>GN!CI56</f>
        <v>0</v>
      </c>
      <c r="O976">
        <f>GN!CJ56</f>
        <v>0</v>
      </c>
      <c r="P976" s="143" t="str">
        <f>GN!CK56</f>
        <v/>
      </c>
      <c r="R976">
        <f t="shared" si="15"/>
        <v>975</v>
      </c>
    </row>
    <row r="977" spans="5:18">
      <c r="E977" s="147" t="s">
        <v>61</v>
      </c>
      <c r="F977" t="str">
        <f>GN!CA57</f>
        <v>HPS</v>
      </c>
      <c r="G977" t="str">
        <f>GN!CB57</f>
        <v>AC</v>
      </c>
      <c r="H977" t="str">
        <f>GN!CC57</f>
        <v>Vessel</v>
      </c>
      <c r="I977">
        <f>GN!CD57</f>
        <v>0</v>
      </c>
      <c r="J977" t="str">
        <f>GN!CE57</f>
        <v/>
      </c>
      <c r="K977" t="str">
        <f>GN!CF57</f>
        <v/>
      </c>
      <c r="L977">
        <f>GN!CG57</f>
        <v>0</v>
      </c>
      <c r="M977">
        <f>GN!CH57</f>
        <v>0</v>
      </c>
      <c r="N977">
        <f>GN!CI57</f>
        <v>0</v>
      </c>
      <c r="O977">
        <f>GN!CJ57</f>
        <v>0</v>
      </c>
      <c r="P977" s="143" t="str">
        <f>GN!CK57</f>
        <v/>
      </c>
      <c r="R977">
        <f t="shared" si="15"/>
        <v>976</v>
      </c>
    </row>
    <row r="978" spans="5:18">
      <c r="E978" s="147" t="s">
        <v>61</v>
      </c>
      <c r="F978" t="str">
        <f>GN!CA58</f>
        <v>HPS</v>
      </c>
      <c r="G978" t="str">
        <f>GN!CB58</f>
        <v>AC</v>
      </c>
      <c r="H978" t="str">
        <f>GN!CC58</f>
        <v>Vessel</v>
      </c>
      <c r="I978">
        <f>GN!CD58</f>
        <v>0</v>
      </c>
      <c r="J978" t="str">
        <f>GN!CE58</f>
        <v/>
      </c>
      <c r="K978" t="str">
        <f>GN!CF58</f>
        <v/>
      </c>
      <c r="L978">
        <f>GN!CG58</f>
        <v>0</v>
      </c>
      <c r="M978">
        <f>GN!CH58</f>
        <v>0</v>
      </c>
      <c r="N978">
        <f>GN!CI58</f>
        <v>0</v>
      </c>
      <c r="O978">
        <f>GN!CJ58</f>
        <v>0</v>
      </c>
      <c r="P978" s="143" t="str">
        <f>GN!CK58</f>
        <v/>
      </c>
      <c r="R978">
        <f t="shared" si="15"/>
        <v>977</v>
      </c>
    </row>
    <row r="979" spans="5:18">
      <c r="E979" s="147" t="s">
        <v>61</v>
      </c>
      <c r="F979" t="str">
        <f>GN!CA59</f>
        <v>HPS</v>
      </c>
      <c r="G979" t="str">
        <f>GN!CB59</f>
        <v>AC</v>
      </c>
      <c r="H979" t="str">
        <f>GN!CC59</f>
        <v>Vessel</v>
      </c>
      <c r="I979">
        <f>GN!CD59</f>
        <v>0</v>
      </c>
      <c r="J979" t="str">
        <f>GN!CE59</f>
        <v/>
      </c>
      <c r="K979" t="str">
        <f>GN!CF59</f>
        <v/>
      </c>
      <c r="L979">
        <f>GN!CG59</f>
        <v>0</v>
      </c>
      <c r="M979">
        <f>GN!CH59</f>
        <v>0</v>
      </c>
      <c r="N979">
        <f>GN!CI59</f>
        <v>0</v>
      </c>
      <c r="O979">
        <f>GN!CJ59</f>
        <v>0</v>
      </c>
      <c r="P979" s="143" t="str">
        <f>GN!CK59</f>
        <v/>
      </c>
      <c r="R979">
        <f t="shared" si="15"/>
        <v>978</v>
      </c>
    </row>
    <row r="980" spans="5:18">
      <c r="E980" s="147" t="s">
        <v>61</v>
      </c>
      <c r="F980" t="str">
        <f>GN!CA60</f>
        <v>HPS</v>
      </c>
      <c r="G980" t="str">
        <f>GN!CB60</f>
        <v>AC</v>
      </c>
      <c r="H980" t="str">
        <f>GN!CC60</f>
        <v>Vessel</v>
      </c>
      <c r="I980">
        <f>GN!CD60</f>
        <v>0</v>
      </c>
      <c r="J980" t="str">
        <f>GN!CE60</f>
        <v/>
      </c>
      <c r="K980" t="str">
        <f>GN!CF60</f>
        <v/>
      </c>
      <c r="L980">
        <f>GN!CG60</f>
        <v>0</v>
      </c>
      <c r="M980">
        <f>GN!CH60</f>
        <v>0</v>
      </c>
      <c r="N980">
        <f>GN!CI60</f>
        <v>0</v>
      </c>
      <c r="O980">
        <f>GN!CJ60</f>
        <v>0</v>
      </c>
      <c r="P980" s="143" t="str">
        <f>GN!CK60</f>
        <v/>
      </c>
      <c r="R980">
        <f t="shared" si="15"/>
        <v>979</v>
      </c>
    </row>
    <row r="981" spans="5:18">
      <c r="E981" s="147" t="s">
        <v>61</v>
      </c>
      <c r="F981" t="str">
        <f>GN!CA61</f>
        <v>HPS</v>
      </c>
      <c r="G981" t="str">
        <f>GN!CB61</f>
        <v>AC</v>
      </c>
      <c r="H981" t="str">
        <f>GN!CC61</f>
        <v>Vessel</v>
      </c>
      <c r="I981">
        <f>GN!CD61</f>
        <v>0</v>
      </c>
      <c r="J981" t="str">
        <f>GN!CE61</f>
        <v/>
      </c>
      <c r="K981" t="str">
        <f>GN!CF61</f>
        <v/>
      </c>
      <c r="L981">
        <f>GN!CG61</f>
        <v>0</v>
      </c>
      <c r="M981">
        <f>GN!CH61</f>
        <v>0</v>
      </c>
      <c r="N981">
        <f>GN!CI61</f>
        <v>0</v>
      </c>
      <c r="O981">
        <f>GN!CJ61</f>
        <v>0</v>
      </c>
      <c r="P981" s="143" t="str">
        <f>GN!CK61</f>
        <v/>
      </c>
      <c r="R981">
        <f t="shared" si="15"/>
        <v>980</v>
      </c>
    </row>
    <row r="982" spans="5:18">
      <c r="E982" s="147" t="s">
        <v>61</v>
      </c>
      <c r="F982" t="str">
        <f>GN!CA62</f>
        <v>HPS</v>
      </c>
      <c r="G982" t="str">
        <f>GN!CB62</f>
        <v>AC</v>
      </c>
      <c r="H982" t="str">
        <f>GN!CC62</f>
        <v>Vessel</v>
      </c>
      <c r="I982">
        <f>GN!CD62</f>
        <v>0</v>
      </c>
      <c r="J982" t="str">
        <f>GN!CE62</f>
        <v/>
      </c>
      <c r="K982" t="str">
        <f>GN!CF62</f>
        <v/>
      </c>
      <c r="L982">
        <f>GN!CG62</f>
        <v>0</v>
      </c>
      <c r="M982">
        <f>GN!CH62</f>
        <v>0</v>
      </c>
      <c r="N982">
        <f>GN!CI62</f>
        <v>0</v>
      </c>
      <c r="O982">
        <f>GN!CJ62</f>
        <v>0</v>
      </c>
      <c r="P982" s="143" t="str">
        <f>GN!CK62</f>
        <v/>
      </c>
      <c r="R982">
        <f t="shared" si="15"/>
        <v>981</v>
      </c>
    </row>
    <row r="983" spans="5:18">
      <c r="E983" s="147" t="s">
        <v>61</v>
      </c>
      <c r="F983" t="str">
        <f>GN!CA63</f>
        <v>HPS</v>
      </c>
      <c r="G983" t="str">
        <f>GN!CB63</f>
        <v>AC</v>
      </c>
      <c r="H983" t="str">
        <f>GN!CC63</f>
        <v>Vessel</v>
      </c>
      <c r="I983">
        <f>GN!CD63</f>
        <v>0</v>
      </c>
      <c r="J983" t="str">
        <f>GN!CE63</f>
        <v/>
      </c>
      <c r="K983" t="str">
        <f>GN!CF63</f>
        <v/>
      </c>
      <c r="L983">
        <f>GN!CG63</f>
        <v>0</v>
      </c>
      <c r="M983">
        <f>GN!CH63</f>
        <v>0</v>
      </c>
      <c r="N983">
        <f>GN!CI63</f>
        <v>0</v>
      </c>
      <c r="O983">
        <f>GN!CJ63</f>
        <v>0</v>
      </c>
      <c r="P983" s="143" t="str">
        <f>GN!CK63</f>
        <v/>
      </c>
      <c r="R983">
        <f t="shared" si="15"/>
        <v>982</v>
      </c>
    </row>
    <row r="984" spans="5:18">
      <c r="E984" s="147" t="s">
        <v>61</v>
      </c>
      <c r="F984" t="str">
        <f>GN!CA64</f>
        <v>HPS</v>
      </c>
      <c r="G984" t="str">
        <f>GN!CB64</f>
        <v>AC</v>
      </c>
      <c r="H984" t="str">
        <f>GN!CC64</f>
        <v>Vessel</v>
      </c>
      <c r="I984">
        <f>GN!CD64</f>
        <v>0</v>
      </c>
      <c r="J984" t="str">
        <f>GN!CE64</f>
        <v/>
      </c>
      <c r="K984" t="str">
        <f>GN!CF64</f>
        <v/>
      </c>
      <c r="L984">
        <f>GN!CG64</f>
        <v>0</v>
      </c>
      <c r="M984">
        <f>GN!CH64</f>
        <v>0</v>
      </c>
      <c r="N984">
        <f>GN!CI64</f>
        <v>0</v>
      </c>
      <c r="O984">
        <f>GN!CJ64</f>
        <v>0</v>
      </c>
      <c r="P984" s="143" t="str">
        <f>GN!CK64</f>
        <v/>
      </c>
      <c r="R984">
        <f t="shared" si="15"/>
        <v>983</v>
      </c>
    </row>
    <row r="985" spans="5:18">
      <c r="E985" s="147" t="s">
        <v>61</v>
      </c>
      <c r="F985" t="str">
        <f>GN!CA65</f>
        <v>HPS</v>
      </c>
      <c r="G985" t="str">
        <f>GN!CB65</f>
        <v>AC</v>
      </c>
      <c r="H985" t="str">
        <f>GN!CC65</f>
        <v>Vessel</v>
      </c>
      <c r="I985">
        <f>GN!CD65</f>
        <v>0</v>
      </c>
      <c r="J985" t="str">
        <f>GN!CE65</f>
        <v/>
      </c>
      <c r="K985" t="str">
        <f>GN!CF65</f>
        <v/>
      </c>
      <c r="L985">
        <f>GN!CG65</f>
        <v>0</v>
      </c>
      <c r="M985">
        <f>GN!CH65</f>
        <v>0</v>
      </c>
      <c r="N985">
        <f>GN!CI65</f>
        <v>0</v>
      </c>
      <c r="O985">
        <f>GN!CJ65</f>
        <v>0</v>
      </c>
      <c r="P985" s="143" t="str">
        <f>GN!CK65</f>
        <v/>
      </c>
      <c r="R985">
        <f t="shared" si="15"/>
        <v>984</v>
      </c>
    </row>
    <row r="986" spans="5:18">
      <c r="E986" s="147" t="s">
        <v>61</v>
      </c>
      <c r="F986" t="str">
        <f>GN!CA66</f>
        <v>HPS</v>
      </c>
      <c r="G986" t="str">
        <f>GN!CB66</f>
        <v>AC</v>
      </c>
      <c r="H986" t="str">
        <f>GN!CC66</f>
        <v>Vessel</v>
      </c>
      <c r="I986">
        <f>GN!CD66</f>
        <v>0</v>
      </c>
      <c r="J986" t="str">
        <f>GN!CE66</f>
        <v/>
      </c>
      <c r="K986" t="str">
        <f>GN!CF66</f>
        <v/>
      </c>
      <c r="L986">
        <f>GN!CG66</f>
        <v>0</v>
      </c>
      <c r="M986">
        <f>GN!CH66</f>
        <v>0</v>
      </c>
      <c r="N986">
        <f>GN!CI66</f>
        <v>0</v>
      </c>
      <c r="O986">
        <f>GN!CJ66</f>
        <v>0</v>
      </c>
      <c r="P986" s="143" t="str">
        <f>GN!CK66</f>
        <v/>
      </c>
      <c r="R986">
        <f t="shared" si="15"/>
        <v>985</v>
      </c>
    </row>
    <row r="987" spans="5:18">
      <c r="E987" s="147" t="s">
        <v>61</v>
      </c>
      <c r="F987" t="str">
        <f>GN!CA67</f>
        <v>HPS</v>
      </c>
      <c r="G987" t="str">
        <f>GN!CB67</f>
        <v>AC</v>
      </c>
      <c r="H987" t="str">
        <f>GN!CC67</f>
        <v>Vessel</v>
      </c>
      <c r="I987">
        <f>GN!CD67</f>
        <v>0</v>
      </c>
      <c r="J987" t="str">
        <f>GN!CE67</f>
        <v/>
      </c>
      <c r="K987" t="str">
        <f>GN!CF67</f>
        <v/>
      </c>
      <c r="L987">
        <f>GN!CG67</f>
        <v>0</v>
      </c>
      <c r="M987">
        <f>GN!CH67</f>
        <v>0</v>
      </c>
      <c r="N987">
        <f>GN!CI67</f>
        <v>0</v>
      </c>
      <c r="O987">
        <f>GN!CJ67</f>
        <v>0</v>
      </c>
      <c r="P987" s="143" t="str">
        <f>GN!CK67</f>
        <v/>
      </c>
      <c r="R987">
        <f t="shared" si="15"/>
        <v>986</v>
      </c>
    </row>
    <row r="988" spans="5:18">
      <c r="E988" s="147" t="s">
        <v>61</v>
      </c>
      <c r="F988" t="str">
        <f>GN!CA68</f>
        <v>HPS</v>
      </c>
      <c r="G988" t="str">
        <f>GN!CB68</f>
        <v>AC</v>
      </c>
      <c r="H988" t="str">
        <f>GN!CC68</f>
        <v>Vessel</v>
      </c>
      <c r="I988">
        <f>GN!CD68</f>
        <v>0</v>
      </c>
      <c r="J988" t="str">
        <f>GN!CE68</f>
        <v/>
      </c>
      <c r="K988" t="str">
        <f>GN!CF68</f>
        <v/>
      </c>
      <c r="L988">
        <f>GN!CG68</f>
        <v>0</v>
      </c>
      <c r="M988">
        <f>GN!CH68</f>
        <v>0</v>
      </c>
      <c r="N988">
        <f>GN!CI68</f>
        <v>0</v>
      </c>
      <c r="O988">
        <f>GN!CJ68</f>
        <v>0</v>
      </c>
      <c r="P988" s="143" t="str">
        <f>GN!CK68</f>
        <v/>
      </c>
      <c r="R988">
        <f t="shared" si="15"/>
        <v>987</v>
      </c>
    </row>
    <row r="989" spans="5:18">
      <c r="E989" s="147" t="s">
        <v>61</v>
      </c>
      <c r="F989" t="str">
        <f>GN!CA69</f>
        <v>HPS</v>
      </c>
      <c r="G989" t="str">
        <f>GN!CB69</f>
        <v>AC</v>
      </c>
      <c r="H989" t="str">
        <f>GN!CC69</f>
        <v>Vessel</v>
      </c>
      <c r="I989">
        <f>GN!CD69</f>
        <v>0</v>
      </c>
      <c r="J989" t="str">
        <f>GN!CE69</f>
        <v/>
      </c>
      <c r="K989" t="str">
        <f>GN!CF69</f>
        <v/>
      </c>
      <c r="L989">
        <f>GN!CG69</f>
        <v>0</v>
      </c>
      <c r="M989">
        <f>GN!CH69</f>
        <v>0</v>
      </c>
      <c r="N989">
        <f>GN!CI69</f>
        <v>0</v>
      </c>
      <c r="O989">
        <f>GN!CJ69</f>
        <v>0</v>
      </c>
      <c r="P989" s="143" t="str">
        <f>GN!CK69</f>
        <v/>
      </c>
      <c r="R989">
        <f t="shared" si="15"/>
        <v>988</v>
      </c>
    </row>
    <row r="990" spans="5:18">
      <c r="E990" s="147" t="s">
        <v>61</v>
      </c>
      <c r="F990" t="str">
        <f>GN!CA70</f>
        <v>HPS</v>
      </c>
      <c r="G990" t="str">
        <f>GN!CB70</f>
        <v>AC</v>
      </c>
      <c r="H990" t="str">
        <f>GN!CC70</f>
        <v>Vessel</v>
      </c>
      <c r="I990">
        <f>GN!CD70</f>
        <v>0</v>
      </c>
      <c r="J990" t="str">
        <f>GN!CE70</f>
        <v/>
      </c>
      <c r="K990" t="str">
        <f>GN!CF70</f>
        <v/>
      </c>
      <c r="L990">
        <f>GN!CG70</f>
        <v>0</v>
      </c>
      <c r="M990">
        <f>GN!CH70</f>
        <v>0</v>
      </c>
      <c r="N990">
        <f>GN!CI70</f>
        <v>0</v>
      </c>
      <c r="O990">
        <f>GN!CJ70</f>
        <v>0</v>
      </c>
      <c r="P990" s="143" t="str">
        <f>GN!CK70</f>
        <v/>
      </c>
      <c r="R990">
        <f t="shared" si="15"/>
        <v>989</v>
      </c>
    </row>
    <row r="991" spans="5:18">
      <c r="E991" s="147" t="s">
        <v>61</v>
      </c>
      <c r="F991" t="str">
        <f>GN!CA71</f>
        <v>HPS</v>
      </c>
      <c r="G991" t="str">
        <f>GN!CB71</f>
        <v>AC</v>
      </c>
      <c r="H991" t="str">
        <f>GN!CC71</f>
        <v>Vessel</v>
      </c>
      <c r="I991">
        <f>GN!CD71</f>
        <v>0</v>
      </c>
      <c r="J991" t="str">
        <f>GN!CE71</f>
        <v/>
      </c>
      <c r="K991" t="str">
        <f>GN!CF71</f>
        <v/>
      </c>
      <c r="L991">
        <f>GN!CG71</f>
        <v>0</v>
      </c>
      <c r="M991">
        <f>GN!CH71</f>
        <v>0</v>
      </c>
      <c r="N991">
        <f>GN!CI71</f>
        <v>0</v>
      </c>
      <c r="O991">
        <f>GN!CJ71</f>
        <v>0</v>
      </c>
      <c r="P991" s="143" t="str">
        <f>GN!CK71</f>
        <v/>
      </c>
      <c r="R991">
        <f t="shared" si="15"/>
        <v>990</v>
      </c>
    </row>
    <row r="992" spans="5:18">
      <c r="E992" s="147" t="s">
        <v>61</v>
      </c>
      <c r="F992" t="str">
        <f>GN!CA72</f>
        <v>HPS</v>
      </c>
      <c r="G992" t="str">
        <f>GN!CB72</f>
        <v>AC</v>
      </c>
      <c r="H992" t="str">
        <f>GN!CC72</f>
        <v>Vessel</v>
      </c>
      <c r="I992">
        <f>GN!CD72</f>
        <v>0</v>
      </c>
      <c r="J992" t="str">
        <f>GN!CE72</f>
        <v/>
      </c>
      <c r="K992" t="str">
        <f>GN!CF72</f>
        <v/>
      </c>
      <c r="L992">
        <f>GN!CG72</f>
        <v>0</v>
      </c>
      <c r="M992">
        <f>GN!CH72</f>
        <v>0</v>
      </c>
      <c r="N992">
        <f>GN!CI72</f>
        <v>0</v>
      </c>
      <c r="O992">
        <f>GN!CJ72</f>
        <v>0</v>
      </c>
      <c r="P992" s="143" t="str">
        <f>GN!CK72</f>
        <v/>
      </c>
      <c r="R992">
        <f t="shared" si="15"/>
        <v>991</v>
      </c>
    </row>
    <row r="993" spans="5:18">
      <c r="E993" s="147" t="s">
        <v>61</v>
      </c>
      <c r="F993" t="str">
        <f>GN!CA73</f>
        <v>HPS</v>
      </c>
      <c r="G993" t="str">
        <f>GN!CB73</f>
        <v>AC</v>
      </c>
      <c r="H993" t="str">
        <f>GN!CC73</f>
        <v>Vessel</v>
      </c>
      <c r="I993">
        <f>GN!CD73</f>
        <v>0</v>
      </c>
      <c r="J993" t="str">
        <f>GN!CE73</f>
        <v/>
      </c>
      <c r="K993" t="str">
        <f>GN!CF73</f>
        <v/>
      </c>
      <c r="L993">
        <f>GN!CG73</f>
        <v>0</v>
      </c>
      <c r="M993">
        <f>GN!CH73</f>
        <v>0</v>
      </c>
      <c r="N993">
        <f>GN!CI73</f>
        <v>0</v>
      </c>
      <c r="O993">
        <f>GN!CJ73</f>
        <v>0</v>
      </c>
      <c r="P993" s="143" t="str">
        <f>GN!CK73</f>
        <v/>
      </c>
      <c r="R993">
        <f t="shared" si="15"/>
        <v>992</v>
      </c>
    </row>
    <row r="994" spans="5:18">
      <c r="E994" s="147" t="s">
        <v>61</v>
      </c>
      <c r="F994" t="str">
        <f>GN!CA74</f>
        <v>HPS</v>
      </c>
      <c r="G994" t="str">
        <f>GN!CB74</f>
        <v>AC</v>
      </c>
      <c r="H994" t="str">
        <f>GN!CC74</f>
        <v>Vessel</v>
      </c>
      <c r="I994">
        <f>GN!CD74</f>
        <v>0</v>
      </c>
      <c r="J994" t="str">
        <f>GN!CE74</f>
        <v/>
      </c>
      <c r="K994" t="str">
        <f>GN!CF74</f>
        <v/>
      </c>
      <c r="L994">
        <f>GN!CG74</f>
        <v>0</v>
      </c>
      <c r="M994">
        <f>GN!CH74</f>
        <v>0</v>
      </c>
      <c r="N994">
        <f>GN!CI74</f>
        <v>0</v>
      </c>
      <c r="O994">
        <f>GN!CJ74</f>
        <v>0</v>
      </c>
      <c r="P994" s="143" t="str">
        <f>GN!CK74</f>
        <v/>
      </c>
      <c r="R994">
        <f t="shared" si="15"/>
        <v>993</v>
      </c>
    </row>
    <row r="995" spans="5:18">
      <c r="E995" s="147" t="s">
        <v>61</v>
      </c>
      <c r="F995" t="str">
        <f>GN!CA75</f>
        <v>HPS</v>
      </c>
      <c r="G995" t="str">
        <f>GN!CB75</f>
        <v>AC</v>
      </c>
      <c r="H995" t="str">
        <f>GN!CC75</f>
        <v>Vessel</v>
      </c>
      <c r="I995">
        <f>GN!CD75</f>
        <v>0</v>
      </c>
      <c r="J995" t="str">
        <f>GN!CE75</f>
        <v/>
      </c>
      <c r="K995" t="str">
        <f>GN!CF75</f>
        <v/>
      </c>
      <c r="L995">
        <f>GN!CG75</f>
        <v>0</v>
      </c>
      <c r="M995">
        <f>GN!CH75</f>
        <v>0</v>
      </c>
      <c r="N995">
        <f>GN!CI75</f>
        <v>0</v>
      </c>
      <c r="O995">
        <f>GN!CJ75</f>
        <v>0</v>
      </c>
      <c r="P995" s="143" t="str">
        <f>GN!CK75</f>
        <v/>
      </c>
      <c r="R995">
        <f t="shared" si="15"/>
        <v>994</v>
      </c>
    </row>
    <row r="996" spans="5:18">
      <c r="E996" s="147" t="s">
        <v>61</v>
      </c>
      <c r="F996" t="str">
        <f>GN!CA76</f>
        <v>HPS</v>
      </c>
      <c r="G996" t="str">
        <f>GN!CB76</f>
        <v>AC</v>
      </c>
      <c r="H996" t="str">
        <f>GN!CC76</f>
        <v>Vessel</v>
      </c>
      <c r="I996">
        <f>GN!CD76</f>
        <v>0</v>
      </c>
      <c r="J996" t="str">
        <f>GN!CE76</f>
        <v/>
      </c>
      <c r="K996" t="str">
        <f>GN!CF76</f>
        <v/>
      </c>
      <c r="L996">
        <f>GN!CG76</f>
        <v>0</v>
      </c>
      <c r="M996">
        <f>GN!CH76</f>
        <v>0</v>
      </c>
      <c r="N996">
        <f>GN!CI76</f>
        <v>0</v>
      </c>
      <c r="O996">
        <f>GN!CJ76</f>
        <v>0</v>
      </c>
      <c r="P996" s="143" t="str">
        <f>GN!CK76</f>
        <v/>
      </c>
      <c r="R996">
        <f t="shared" si="15"/>
        <v>995</v>
      </c>
    </row>
    <row r="997" spans="5:18">
      <c r="E997" s="147" t="s">
        <v>61</v>
      </c>
      <c r="F997" t="str">
        <f>GN!CA77</f>
        <v>HPS</v>
      </c>
      <c r="G997" t="str">
        <f>GN!CB77</f>
        <v>AC</v>
      </c>
      <c r="H997" t="str">
        <f>GN!CC77</f>
        <v>Vessel</v>
      </c>
      <c r="I997">
        <f>GN!CD77</f>
        <v>0</v>
      </c>
      <c r="J997" t="str">
        <f>GN!CE77</f>
        <v/>
      </c>
      <c r="K997" t="str">
        <f>GN!CF77</f>
        <v/>
      </c>
      <c r="L997">
        <f>GN!CG77</f>
        <v>0</v>
      </c>
      <c r="M997">
        <f>GN!CH77</f>
        <v>0</v>
      </c>
      <c r="N997">
        <f>GN!CI77</f>
        <v>0</v>
      </c>
      <c r="O997">
        <f>GN!CJ77</f>
        <v>0</v>
      </c>
      <c r="P997" s="143" t="str">
        <f>GN!CK77</f>
        <v/>
      </c>
      <c r="R997">
        <f t="shared" si="15"/>
        <v>996</v>
      </c>
    </row>
    <row r="998" spans="5:18">
      <c r="E998" s="147" t="s">
        <v>61</v>
      </c>
      <c r="F998" t="str">
        <f>GN!CA78</f>
        <v>HPS</v>
      </c>
      <c r="G998" t="str">
        <f>GN!CB78</f>
        <v>AC</v>
      </c>
      <c r="H998" t="str">
        <f>GN!CC78</f>
        <v>Vessel</v>
      </c>
      <c r="I998">
        <f>GN!CD78</f>
        <v>0</v>
      </c>
      <c r="J998" t="str">
        <f>GN!CE78</f>
        <v/>
      </c>
      <c r="K998" t="str">
        <f>GN!CF78</f>
        <v/>
      </c>
      <c r="L998">
        <f>GN!CG78</f>
        <v>0</v>
      </c>
      <c r="M998">
        <f>GN!CH78</f>
        <v>0</v>
      </c>
      <c r="N998">
        <f>GN!CI78</f>
        <v>0</v>
      </c>
      <c r="O998">
        <f>GN!CJ78</f>
        <v>0</v>
      </c>
      <c r="P998" s="143" t="str">
        <f>GN!CK78</f>
        <v/>
      </c>
      <c r="R998">
        <f t="shared" si="15"/>
        <v>997</v>
      </c>
    </row>
    <row r="999" spans="5:18">
      <c r="E999" s="147" t="s">
        <v>61</v>
      </c>
      <c r="F999" t="str">
        <f>GN!CA79</f>
        <v>HPS</v>
      </c>
      <c r="G999" t="str">
        <f>GN!CB79</f>
        <v>AC</v>
      </c>
      <c r="H999" t="str">
        <f>GN!CC79</f>
        <v>Vessel</v>
      </c>
      <c r="I999">
        <f>GN!CD79</f>
        <v>0</v>
      </c>
      <c r="J999" t="str">
        <f>GN!CE79</f>
        <v/>
      </c>
      <c r="K999" t="str">
        <f>GN!CF79</f>
        <v/>
      </c>
      <c r="L999">
        <f>GN!CG79</f>
        <v>0</v>
      </c>
      <c r="M999">
        <f>GN!CH79</f>
        <v>0</v>
      </c>
      <c r="N999">
        <f>GN!CI79</f>
        <v>0</v>
      </c>
      <c r="O999">
        <f>GN!CJ79</f>
        <v>0</v>
      </c>
      <c r="P999" s="143" t="str">
        <f>GN!CK79</f>
        <v/>
      </c>
      <c r="R999">
        <f t="shared" si="15"/>
        <v>998</v>
      </c>
    </row>
    <row r="1000" spans="5:18">
      <c r="E1000" s="147" t="s">
        <v>61</v>
      </c>
      <c r="F1000" t="str">
        <f>GN!CA80</f>
        <v>HPS</v>
      </c>
      <c r="G1000" t="str">
        <f>GN!CB80</f>
        <v>AC</v>
      </c>
      <c r="H1000" t="str">
        <f>GN!CC80</f>
        <v>Vessel</v>
      </c>
      <c r="I1000">
        <f>GN!CD80</f>
        <v>0</v>
      </c>
      <c r="J1000" t="str">
        <f>GN!CE80</f>
        <v/>
      </c>
      <c r="K1000" t="str">
        <f>GN!CF80</f>
        <v/>
      </c>
      <c r="L1000">
        <f>GN!CG80</f>
        <v>0</v>
      </c>
      <c r="M1000">
        <f>GN!CH80</f>
        <v>0</v>
      </c>
      <c r="N1000">
        <f>GN!CI80</f>
        <v>0</v>
      </c>
      <c r="O1000">
        <f>GN!CJ80</f>
        <v>0</v>
      </c>
      <c r="P1000" s="143" t="str">
        <f>GN!CK80</f>
        <v/>
      </c>
      <c r="R1000">
        <f t="shared" si="15"/>
        <v>999</v>
      </c>
    </row>
    <row r="1001" spans="5:18">
      <c r="E1001" s="147" t="s">
        <v>61</v>
      </c>
      <c r="F1001" t="str">
        <f>GN!CA81</f>
        <v>HPS</v>
      </c>
      <c r="G1001" t="str">
        <f>GN!CB81</f>
        <v>AC</v>
      </c>
      <c r="H1001" t="str">
        <f>GN!CC81</f>
        <v>Vessel</v>
      </c>
      <c r="I1001">
        <f>GN!CD81</f>
        <v>0</v>
      </c>
      <c r="J1001" t="str">
        <f>GN!CE81</f>
        <v/>
      </c>
      <c r="K1001" t="str">
        <f>GN!CF81</f>
        <v/>
      </c>
      <c r="L1001">
        <f>GN!CG81</f>
        <v>0</v>
      </c>
      <c r="M1001">
        <f>GN!CH81</f>
        <v>0</v>
      </c>
      <c r="N1001">
        <f>GN!CI81</f>
        <v>0</v>
      </c>
      <c r="O1001">
        <f>GN!CJ81</f>
        <v>0</v>
      </c>
      <c r="P1001" s="143" t="str">
        <f>GN!CK81</f>
        <v/>
      </c>
      <c r="R1001">
        <f t="shared" si="15"/>
        <v>1000</v>
      </c>
    </row>
    <row r="1002" spans="5:18">
      <c r="E1002" s="147" t="s">
        <v>61</v>
      </c>
      <c r="F1002" t="str">
        <f>GN!CA82</f>
        <v>HPS</v>
      </c>
      <c r="G1002" t="str">
        <f>GN!CB82</f>
        <v>AC</v>
      </c>
      <c r="H1002" t="str">
        <f>GN!CC82</f>
        <v>Vessel</v>
      </c>
      <c r="I1002">
        <f>GN!CD82</f>
        <v>0</v>
      </c>
      <c r="J1002" t="str">
        <f>GN!CE82</f>
        <v/>
      </c>
      <c r="K1002" t="str">
        <f>GN!CF82</f>
        <v/>
      </c>
      <c r="L1002">
        <f>GN!CG82</f>
        <v>0</v>
      </c>
      <c r="M1002">
        <f>GN!CH82</f>
        <v>0</v>
      </c>
      <c r="N1002">
        <f>GN!CI82</f>
        <v>0</v>
      </c>
      <c r="O1002">
        <f>GN!CJ82</f>
        <v>0</v>
      </c>
      <c r="P1002" s="143" t="str">
        <f>GN!CK82</f>
        <v/>
      </c>
      <c r="R1002">
        <f t="shared" si="15"/>
        <v>1001</v>
      </c>
    </row>
    <row r="1003" spans="5:18">
      <c r="E1003" s="147" t="s">
        <v>61</v>
      </c>
      <c r="F1003" t="str">
        <f>GN!CA83</f>
        <v>HPS</v>
      </c>
      <c r="G1003" t="str">
        <f>GN!CB83</f>
        <v>AC</v>
      </c>
      <c r="H1003" t="str">
        <f>GN!CC83</f>
        <v>Vessel</v>
      </c>
      <c r="I1003">
        <f>GN!CD83</f>
        <v>0</v>
      </c>
      <c r="J1003" t="str">
        <f>GN!CE83</f>
        <v/>
      </c>
      <c r="K1003" t="str">
        <f>GN!CF83</f>
        <v/>
      </c>
      <c r="L1003">
        <f>GN!CG83</f>
        <v>0</v>
      </c>
      <c r="M1003">
        <f>GN!CH83</f>
        <v>0</v>
      </c>
      <c r="N1003">
        <f>GN!CI83</f>
        <v>0</v>
      </c>
      <c r="O1003">
        <f>GN!CJ83</f>
        <v>0</v>
      </c>
      <c r="P1003" s="143" t="str">
        <f>GN!CK83</f>
        <v/>
      </c>
      <c r="R1003">
        <f t="shared" si="15"/>
        <v>1002</v>
      </c>
    </row>
    <row r="1004" spans="5:18">
      <c r="E1004" s="147" t="s">
        <v>61</v>
      </c>
      <c r="F1004" t="str">
        <f>GN!CA84</f>
        <v>HPS</v>
      </c>
      <c r="G1004" t="str">
        <f>GN!CB84</f>
        <v>AC</v>
      </c>
      <c r="H1004" t="str">
        <f>GN!CC84</f>
        <v>Vessel</v>
      </c>
      <c r="I1004">
        <f>GN!CD84</f>
        <v>0</v>
      </c>
      <c r="J1004" t="str">
        <f>GN!CE84</f>
        <v/>
      </c>
      <c r="K1004" t="str">
        <f>GN!CF84</f>
        <v/>
      </c>
      <c r="L1004">
        <f>GN!CG84</f>
        <v>0</v>
      </c>
      <c r="M1004">
        <f>GN!CH84</f>
        <v>0</v>
      </c>
      <c r="N1004">
        <f>GN!CI84</f>
        <v>0</v>
      </c>
      <c r="O1004">
        <f>GN!CJ84</f>
        <v>0</v>
      </c>
      <c r="P1004" s="143" t="str">
        <f>GN!CK84</f>
        <v/>
      </c>
      <c r="R1004">
        <f t="shared" si="15"/>
        <v>1003</v>
      </c>
    </row>
    <row r="1005" spans="5:18">
      <c r="E1005" s="147" t="s">
        <v>61</v>
      </c>
      <c r="F1005" t="str">
        <f>GN!CA85</f>
        <v>HPS</v>
      </c>
      <c r="G1005" t="str">
        <f>GN!CB85</f>
        <v>AC</v>
      </c>
      <c r="H1005" t="str">
        <f>GN!CC85</f>
        <v>Vessel</v>
      </c>
      <c r="I1005">
        <f>GN!CD85</f>
        <v>0</v>
      </c>
      <c r="J1005" t="str">
        <f>GN!CE85</f>
        <v/>
      </c>
      <c r="K1005" t="str">
        <f>GN!CF85</f>
        <v/>
      </c>
      <c r="L1005">
        <f>GN!CG85</f>
        <v>0</v>
      </c>
      <c r="M1005">
        <f>GN!CH85</f>
        <v>0</v>
      </c>
      <c r="N1005">
        <f>GN!CI85</f>
        <v>0</v>
      </c>
      <c r="O1005">
        <f>GN!CJ85</f>
        <v>0</v>
      </c>
      <c r="P1005" s="143" t="str">
        <f>GN!CK85</f>
        <v/>
      </c>
      <c r="R1005">
        <f t="shared" si="15"/>
        <v>1004</v>
      </c>
    </row>
    <row r="1006" spans="5:18">
      <c r="E1006" s="147" t="s">
        <v>61</v>
      </c>
      <c r="F1006" t="str">
        <f>GN!CA86</f>
        <v>HPS</v>
      </c>
      <c r="G1006" t="str">
        <f>GN!CB86</f>
        <v>AC</v>
      </c>
      <c r="H1006" t="str">
        <f>GN!CC86</f>
        <v>Vessel</v>
      </c>
      <c r="I1006">
        <f>GN!CD86</f>
        <v>0</v>
      </c>
      <c r="J1006" t="str">
        <f>GN!CE86</f>
        <v/>
      </c>
      <c r="K1006" t="str">
        <f>GN!CF86</f>
        <v/>
      </c>
      <c r="L1006">
        <f>GN!CG86</f>
        <v>0</v>
      </c>
      <c r="M1006">
        <f>GN!CH86</f>
        <v>0</v>
      </c>
      <c r="N1006">
        <f>GN!CI86</f>
        <v>0</v>
      </c>
      <c r="O1006">
        <f>GN!CJ86</f>
        <v>0</v>
      </c>
      <c r="P1006" s="143" t="str">
        <f>GN!CK86</f>
        <v/>
      </c>
      <c r="R1006">
        <f t="shared" si="15"/>
        <v>1005</v>
      </c>
    </row>
    <row r="1007" spans="5:18">
      <c r="E1007" s="147" t="s">
        <v>61</v>
      </c>
      <c r="F1007" t="str">
        <f>GN!CA87</f>
        <v>HPS</v>
      </c>
      <c r="G1007" t="str">
        <f>GN!CB87</f>
        <v>AC</v>
      </c>
      <c r="H1007" t="str">
        <f>GN!CC87</f>
        <v>Vessel</v>
      </c>
      <c r="I1007">
        <f>GN!CD87</f>
        <v>0</v>
      </c>
      <c r="J1007" t="str">
        <f>GN!CE87</f>
        <v/>
      </c>
      <c r="K1007" t="str">
        <f>GN!CF87</f>
        <v/>
      </c>
      <c r="L1007">
        <f>GN!CG87</f>
        <v>0</v>
      </c>
      <c r="M1007">
        <f>GN!CH87</f>
        <v>0</v>
      </c>
      <c r="N1007">
        <f>GN!CI87</f>
        <v>0</v>
      </c>
      <c r="O1007">
        <f>GN!CJ87</f>
        <v>0</v>
      </c>
      <c r="P1007" s="143" t="str">
        <f>GN!CK87</f>
        <v/>
      </c>
      <c r="R1007">
        <f t="shared" si="15"/>
        <v>1006</v>
      </c>
    </row>
    <row r="1008" spans="5:18">
      <c r="E1008" s="147" t="s">
        <v>61</v>
      </c>
      <c r="F1008" t="str">
        <f>GN!CA88</f>
        <v>HPS</v>
      </c>
      <c r="G1008" t="str">
        <f>GN!CB88</f>
        <v>AC</v>
      </c>
      <c r="H1008" t="str">
        <f>GN!CC88</f>
        <v>Vessel</v>
      </c>
      <c r="I1008">
        <f>GN!CD88</f>
        <v>0</v>
      </c>
      <c r="J1008" t="str">
        <f>GN!CE88</f>
        <v/>
      </c>
      <c r="K1008" t="str">
        <f>GN!CF88</f>
        <v/>
      </c>
      <c r="L1008">
        <f>GN!CG88</f>
        <v>0</v>
      </c>
      <c r="M1008">
        <f>GN!CH88</f>
        <v>0</v>
      </c>
      <c r="N1008">
        <f>GN!CI88</f>
        <v>0</v>
      </c>
      <c r="O1008">
        <f>GN!CJ88</f>
        <v>0</v>
      </c>
      <c r="P1008" s="143" t="str">
        <f>GN!CK88</f>
        <v/>
      </c>
      <c r="R1008">
        <f t="shared" si="15"/>
        <v>1007</v>
      </c>
    </row>
    <row r="1009" spans="5:18">
      <c r="E1009" s="147" t="s">
        <v>61</v>
      </c>
      <c r="F1009" t="str">
        <f>GN!CA89</f>
        <v>HPS</v>
      </c>
      <c r="G1009" t="str">
        <f>GN!CB89</f>
        <v>AC</v>
      </c>
      <c r="H1009" t="str">
        <f>GN!CC89</f>
        <v>Vessel</v>
      </c>
      <c r="I1009">
        <f>GN!CD89</f>
        <v>0</v>
      </c>
      <c r="J1009" t="str">
        <f>GN!CE89</f>
        <v/>
      </c>
      <c r="K1009" t="str">
        <f>GN!CF89</f>
        <v/>
      </c>
      <c r="L1009">
        <f>GN!CG89</f>
        <v>0</v>
      </c>
      <c r="M1009">
        <f>GN!CH89</f>
        <v>0</v>
      </c>
      <c r="N1009">
        <f>GN!CI89</f>
        <v>0</v>
      </c>
      <c r="O1009">
        <f>GN!CJ89</f>
        <v>0</v>
      </c>
      <c r="P1009" s="143" t="str">
        <f>GN!CK89</f>
        <v/>
      </c>
      <c r="R1009">
        <f t="shared" si="15"/>
        <v>1008</v>
      </c>
    </row>
    <row r="1010" spans="5:18">
      <c r="E1010" s="147" t="s">
        <v>61</v>
      </c>
      <c r="F1010" t="str">
        <f>GN!CA90</f>
        <v>HPS</v>
      </c>
      <c r="G1010" t="str">
        <f>GN!CB90</f>
        <v>AC</v>
      </c>
      <c r="H1010" t="str">
        <f>GN!CC90</f>
        <v>Vessel</v>
      </c>
      <c r="I1010">
        <f>GN!CD90</f>
        <v>0</v>
      </c>
      <c r="J1010" t="str">
        <f>GN!CE90</f>
        <v/>
      </c>
      <c r="K1010" t="str">
        <f>GN!CF90</f>
        <v/>
      </c>
      <c r="L1010">
        <f>GN!CG90</f>
        <v>0</v>
      </c>
      <c r="M1010">
        <f>GN!CH90</f>
        <v>0</v>
      </c>
      <c r="N1010">
        <f>GN!CI90</f>
        <v>0</v>
      </c>
      <c r="O1010">
        <f>GN!CJ90</f>
        <v>0</v>
      </c>
      <c r="P1010" s="143" t="str">
        <f>GN!CK90</f>
        <v/>
      </c>
      <c r="R1010">
        <f t="shared" si="15"/>
        <v>1009</v>
      </c>
    </row>
    <row r="1011" spans="5:18">
      <c r="E1011" s="147" t="s">
        <v>61</v>
      </c>
      <c r="F1011" t="str">
        <f>GN!CA91</f>
        <v>HPS</v>
      </c>
      <c r="G1011" t="str">
        <f>GN!CB91</f>
        <v>AC</v>
      </c>
      <c r="H1011" t="str">
        <f>GN!CC91</f>
        <v>Vessel</v>
      </c>
      <c r="I1011">
        <f>GN!CD91</f>
        <v>0</v>
      </c>
      <c r="J1011" t="str">
        <f>GN!CE91</f>
        <v/>
      </c>
      <c r="K1011" t="str">
        <f>GN!CF91</f>
        <v/>
      </c>
      <c r="L1011">
        <f>GN!CG91</f>
        <v>0</v>
      </c>
      <c r="M1011">
        <f>GN!CH91</f>
        <v>0</v>
      </c>
      <c r="N1011">
        <f>GN!CI91</f>
        <v>0</v>
      </c>
      <c r="O1011">
        <f>GN!CJ91</f>
        <v>0</v>
      </c>
      <c r="P1011" s="143" t="str">
        <f>GN!CK91</f>
        <v/>
      </c>
      <c r="R1011">
        <f t="shared" si="15"/>
        <v>1010</v>
      </c>
    </row>
    <row r="1012" spans="5:18">
      <c r="E1012" s="147" t="s">
        <v>61</v>
      </c>
      <c r="F1012" t="str">
        <f>GN!CA92</f>
        <v>HPS</v>
      </c>
      <c r="G1012" t="str">
        <f>GN!CB92</f>
        <v>AC</v>
      </c>
      <c r="H1012" t="str">
        <f>GN!CC92</f>
        <v>Vessel</v>
      </c>
      <c r="I1012">
        <f>GN!CD92</f>
        <v>0</v>
      </c>
      <c r="J1012" t="str">
        <f>GN!CE92</f>
        <v/>
      </c>
      <c r="K1012" t="str">
        <f>GN!CF92</f>
        <v/>
      </c>
      <c r="L1012">
        <f>GN!CG92</f>
        <v>0</v>
      </c>
      <c r="M1012">
        <f>GN!CH92</f>
        <v>0</v>
      </c>
      <c r="N1012">
        <f>GN!CI92</f>
        <v>0</v>
      </c>
      <c r="O1012">
        <f>GN!CJ92</f>
        <v>0</v>
      </c>
      <c r="P1012" s="143" t="str">
        <f>GN!CK92</f>
        <v/>
      </c>
      <c r="R1012">
        <f t="shared" si="15"/>
        <v>1011</v>
      </c>
    </row>
    <row r="1013" spans="5:18">
      <c r="E1013" s="147" t="s">
        <v>61</v>
      </c>
      <c r="F1013" t="str">
        <f>GN!CA93</f>
        <v>HPS</v>
      </c>
      <c r="G1013" t="str">
        <f>GN!CB93</f>
        <v>AC</v>
      </c>
      <c r="H1013" t="str">
        <f>GN!CC93</f>
        <v>Vessel</v>
      </c>
      <c r="I1013">
        <f>GN!CD93</f>
        <v>0</v>
      </c>
      <c r="J1013" t="str">
        <f>GN!CE93</f>
        <v/>
      </c>
      <c r="K1013" t="str">
        <f>GN!CF93</f>
        <v/>
      </c>
      <c r="L1013">
        <f>GN!CG93</f>
        <v>0</v>
      </c>
      <c r="M1013">
        <f>GN!CH93</f>
        <v>0</v>
      </c>
      <c r="N1013">
        <f>GN!CI93</f>
        <v>0</v>
      </c>
      <c r="O1013">
        <f>GN!CJ93</f>
        <v>0</v>
      </c>
      <c r="P1013" s="143" t="str">
        <f>GN!CK93</f>
        <v/>
      </c>
      <c r="R1013">
        <f t="shared" si="15"/>
        <v>1012</v>
      </c>
    </row>
    <row r="1014" spans="5:18">
      <c r="E1014" s="147" t="s">
        <v>61</v>
      </c>
      <c r="F1014" t="str">
        <f>GN!CA94</f>
        <v>HPS</v>
      </c>
      <c r="G1014" t="str">
        <f>GN!CB94</f>
        <v>AC</v>
      </c>
      <c r="H1014" t="str">
        <f>GN!CC94</f>
        <v>Vessel</v>
      </c>
      <c r="I1014">
        <f>GN!CD94</f>
        <v>0</v>
      </c>
      <c r="J1014" t="str">
        <f>GN!CE94</f>
        <v/>
      </c>
      <c r="K1014" t="str">
        <f>GN!CF94</f>
        <v/>
      </c>
      <c r="L1014">
        <f>GN!CG94</f>
        <v>0</v>
      </c>
      <c r="M1014">
        <f>GN!CH94</f>
        <v>0</v>
      </c>
      <c r="N1014">
        <f>GN!CI94</f>
        <v>0</v>
      </c>
      <c r="O1014">
        <f>GN!CJ94</f>
        <v>0</v>
      </c>
      <c r="P1014" s="143" t="str">
        <f>GN!CK94</f>
        <v/>
      </c>
      <c r="R1014">
        <f t="shared" si="15"/>
        <v>1013</v>
      </c>
    </row>
    <row r="1015" spans="5:18">
      <c r="E1015" s="147" t="s">
        <v>61</v>
      </c>
      <c r="F1015" t="str">
        <f>GN!CA95</f>
        <v>HPS</v>
      </c>
      <c r="G1015" t="str">
        <f>GN!CB95</f>
        <v>AC</v>
      </c>
      <c r="H1015" t="str">
        <f>GN!CC95</f>
        <v>Vessel</v>
      </c>
      <c r="I1015">
        <f>GN!CD95</f>
        <v>0</v>
      </c>
      <c r="J1015" t="str">
        <f>GN!CE95</f>
        <v/>
      </c>
      <c r="K1015" t="str">
        <f>GN!CF95</f>
        <v/>
      </c>
      <c r="L1015">
        <f>GN!CG95</f>
        <v>0</v>
      </c>
      <c r="M1015">
        <f>GN!CH95</f>
        <v>0</v>
      </c>
      <c r="N1015">
        <f>GN!CI95</f>
        <v>0</v>
      </c>
      <c r="O1015">
        <f>GN!CJ95</f>
        <v>0</v>
      </c>
      <c r="P1015" s="143" t="str">
        <f>GN!CK95</f>
        <v/>
      </c>
      <c r="R1015">
        <f t="shared" si="15"/>
        <v>1014</v>
      </c>
    </row>
    <row r="1016" spans="5:18">
      <c r="E1016" s="147" t="s">
        <v>61</v>
      </c>
      <c r="F1016" t="str">
        <f>GN!CA96</f>
        <v>HPS</v>
      </c>
      <c r="G1016" t="str">
        <f>GN!CB96</f>
        <v>AC</v>
      </c>
      <c r="H1016" t="str">
        <f>GN!CC96</f>
        <v>Vessel</v>
      </c>
      <c r="I1016">
        <f>GN!CD96</f>
        <v>0</v>
      </c>
      <c r="J1016" t="str">
        <f>GN!CE96</f>
        <v/>
      </c>
      <c r="K1016" t="str">
        <f>GN!CF96</f>
        <v/>
      </c>
      <c r="L1016">
        <f>GN!CG96</f>
        <v>0</v>
      </c>
      <c r="M1016">
        <f>GN!CH96</f>
        <v>0</v>
      </c>
      <c r="N1016">
        <f>GN!CI96</f>
        <v>0</v>
      </c>
      <c r="O1016">
        <f>GN!CJ96</f>
        <v>0</v>
      </c>
      <c r="P1016" s="143" t="str">
        <f>GN!CK96</f>
        <v/>
      </c>
      <c r="R1016">
        <f t="shared" si="15"/>
        <v>1015</v>
      </c>
    </row>
    <row r="1017" spans="5:18">
      <c r="E1017" s="147" t="s">
        <v>61</v>
      </c>
      <c r="F1017" t="str">
        <f>GN!CA97</f>
        <v>HPS</v>
      </c>
      <c r="G1017" t="str">
        <f>GN!CB97</f>
        <v>AC</v>
      </c>
      <c r="H1017" t="str">
        <f>GN!CC97</f>
        <v>Vessel</v>
      </c>
      <c r="I1017">
        <f>GN!CD97</f>
        <v>0</v>
      </c>
      <c r="J1017" t="str">
        <f>GN!CE97</f>
        <v/>
      </c>
      <c r="K1017" t="str">
        <f>GN!CF97</f>
        <v/>
      </c>
      <c r="L1017">
        <f>GN!CG97</f>
        <v>0</v>
      </c>
      <c r="M1017">
        <f>GN!CH97</f>
        <v>0</v>
      </c>
      <c r="N1017">
        <f>GN!CI97</f>
        <v>0</v>
      </c>
      <c r="O1017">
        <f>GN!CJ97</f>
        <v>0</v>
      </c>
      <c r="P1017" s="143" t="str">
        <f>GN!CK97</f>
        <v/>
      </c>
      <c r="R1017">
        <f t="shared" si="15"/>
        <v>1016</v>
      </c>
    </row>
    <row r="1018" spans="5:18">
      <c r="E1018" s="147" t="s">
        <v>61</v>
      </c>
      <c r="F1018" t="str">
        <f>GN!CA98</f>
        <v>HPS</v>
      </c>
      <c r="G1018" t="str">
        <f>GN!CB98</f>
        <v>AC</v>
      </c>
      <c r="H1018" t="str">
        <f>GN!CC98</f>
        <v>Vessel</v>
      </c>
      <c r="I1018">
        <f>GN!CD98</f>
        <v>0</v>
      </c>
      <c r="J1018" t="str">
        <f>GN!CE98</f>
        <v/>
      </c>
      <c r="K1018" t="str">
        <f>GN!CF98</f>
        <v/>
      </c>
      <c r="L1018">
        <f>GN!CG98</f>
        <v>0</v>
      </c>
      <c r="M1018">
        <f>GN!CH98</f>
        <v>0</v>
      </c>
      <c r="N1018">
        <f>GN!CI98</f>
        <v>0</v>
      </c>
      <c r="O1018">
        <f>GN!CJ98</f>
        <v>0</v>
      </c>
      <c r="P1018" s="143" t="str">
        <f>GN!CK98</f>
        <v/>
      </c>
      <c r="R1018">
        <f t="shared" si="15"/>
        <v>1017</v>
      </c>
    </row>
    <row r="1019" spans="5:18">
      <c r="E1019" s="147" t="s">
        <v>61</v>
      </c>
      <c r="F1019" t="str">
        <f>GN!CA99</f>
        <v>HPS</v>
      </c>
      <c r="G1019" t="str">
        <f>GN!CB99</f>
        <v>AC</v>
      </c>
      <c r="H1019" t="str">
        <f>GN!CC99</f>
        <v>Vessel</v>
      </c>
      <c r="I1019">
        <f>GN!CD99</f>
        <v>0</v>
      </c>
      <c r="J1019" t="str">
        <f>GN!CE99</f>
        <v/>
      </c>
      <c r="K1019" t="str">
        <f>GN!CF99</f>
        <v/>
      </c>
      <c r="L1019">
        <f>GN!CG99</f>
        <v>0</v>
      </c>
      <c r="M1019">
        <f>GN!CH99</f>
        <v>0</v>
      </c>
      <c r="N1019">
        <f>GN!CI99</f>
        <v>0</v>
      </c>
      <c r="O1019">
        <f>GN!CJ99</f>
        <v>0</v>
      </c>
      <c r="P1019" s="143" t="str">
        <f>GN!CK99</f>
        <v/>
      </c>
      <c r="R1019">
        <f t="shared" si="15"/>
        <v>1018</v>
      </c>
    </row>
    <row r="1020" spans="5:18">
      <c r="E1020" s="147" t="s">
        <v>61</v>
      </c>
      <c r="F1020" t="str">
        <f>GN!CA100</f>
        <v>HPS</v>
      </c>
      <c r="G1020" t="str">
        <f>GN!CB100</f>
        <v>AC</v>
      </c>
      <c r="H1020" t="str">
        <f>GN!CC100</f>
        <v>Vessel</v>
      </c>
      <c r="I1020">
        <f>GN!CD100</f>
        <v>0</v>
      </c>
      <c r="J1020" t="str">
        <f>GN!CE100</f>
        <v/>
      </c>
      <c r="K1020" t="str">
        <f>GN!CF100</f>
        <v/>
      </c>
      <c r="L1020">
        <f>GN!CG100</f>
        <v>0</v>
      </c>
      <c r="M1020">
        <f>GN!CH100</f>
        <v>0</v>
      </c>
      <c r="N1020">
        <f>GN!CI100</f>
        <v>0</v>
      </c>
      <c r="O1020">
        <f>GN!CJ100</f>
        <v>0</v>
      </c>
      <c r="P1020" s="143" t="str">
        <f>GN!CK100</f>
        <v/>
      </c>
      <c r="R1020">
        <f t="shared" si="15"/>
        <v>1019</v>
      </c>
    </row>
    <row r="1021" spans="5:18" ht="17.100000000000001" thickBot="1">
      <c r="E1021" s="148" t="s">
        <v>61</v>
      </c>
      <c r="F1021" s="144" t="str">
        <f>GN!CA101</f>
        <v>HPS</v>
      </c>
      <c r="G1021" s="144" t="str">
        <f>GN!CB101</f>
        <v>AC</v>
      </c>
      <c r="H1021" s="144" t="str">
        <f>GN!CC101</f>
        <v>Vessel</v>
      </c>
      <c r="I1021" s="144">
        <f>GN!CD101</f>
        <v>0</v>
      </c>
      <c r="J1021" s="144" t="str">
        <f>GN!CE101</f>
        <v/>
      </c>
      <c r="K1021" s="144" t="str">
        <f>GN!CF101</f>
        <v/>
      </c>
      <c r="L1021" s="144">
        <f>GN!CG101</f>
        <v>0</v>
      </c>
      <c r="M1021" s="144">
        <f>GN!CH101</f>
        <v>0</v>
      </c>
      <c r="N1021" s="144">
        <f>GN!CI101</f>
        <v>0</v>
      </c>
      <c r="O1021" s="144">
        <f>GN!CJ101</f>
        <v>0</v>
      </c>
      <c r="P1021" s="145" t="str">
        <f>GN!CK101</f>
        <v/>
      </c>
      <c r="R1021">
        <f t="shared" si="15"/>
        <v>1020</v>
      </c>
    </row>
    <row r="1022" spans="5:18">
      <c r="E1022" s="146" t="s">
        <v>62</v>
      </c>
      <c r="F1022" s="141" t="str">
        <f>NUT!CB2</f>
        <v>HPS</v>
      </c>
      <c r="G1022" s="141" t="str">
        <f>NUT!CC2</f>
        <v>AC</v>
      </c>
      <c r="H1022" s="141" t="str">
        <f>NUT!CD2</f>
        <v>Vessel</v>
      </c>
      <c r="I1022" s="141">
        <f>NUT!CE2</f>
        <v>0</v>
      </c>
      <c r="J1022" s="141" t="str">
        <f>NUT!CF2</f>
        <v>Nuts</v>
      </c>
      <c r="K1022" s="141" t="str">
        <f>NUT!CG2</f>
        <v>TZM-1/2"</v>
      </c>
      <c r="L1022" s="141" t="str">
        <f>NUT!CH2</f>
        <v>NUT-TA</v>
      </c>
      <c r="M1022" s="141">
        <f>NUT!CI2</f>
        <v>0</v>
      </c>
      <c r="N1022" s="141">
        <f>NUT!CJ2</f>
        <v>0</v>
      </c>
      <c r="O1022" s="141">
        <f>NUT!CK2</f>
        <v>0</v>
      </c>
      <c r="P1022" s="142" t="str">
        <f>NUT!CL2</f>
        <v>Active</v>
      </c>
      <c r="R1022">
        <f t="shared" si="15"/>
        <v>1021</v>
      </c>
    </row>
    <row r="1023" spans="5:18">
      <c r="E1023" s="147" t="s">
        <v>62</v>
      </c>
      <c r="F1023" t="str">
        <f>NUT!CB3</f>
        <v>HPS</v>
      </c>
      <c r="G1023" t="str">
        <f>NUT!CC3</f>
        <v>AC</v>
      </c>
      <c r="H1023" t="str">
        <f>NUT!CD3</f>
        <v>Vessel</v>
      </c>
      <c r="I1023">
        <f>NUT!CE3</f>
        <v>0</v>
      </c>
      <c r="J1023" t="str">
        <f>NUT!CF3</f>
        <v>Nuts</v>
      </c>
      <c r="K1023" t="str">
        <f>NUT!CG3</f>
        <v>TZM-1/2"</v>
      </c>
      <c r="L1023" t="str">
        <f>NUT!CH3</f>
        <v>NUT-TB</v>
      </c>
      <c r="M1023">
        <f>NUT!CI3</f>
        <v>0</v>
      </c>
      <c r="N1023">
        <f>NUT!CJ3</f>
        <v>0</v>
      </c>
      <c r="O1023">
        <f>NUT!CK3</f>
        <v>0</v>
      </c>
      <c r="P1023" s="143" t="str">
        <f>NUT!CL3</f>
        <v>Active</v>
      </c>
      <c r="R1023">
        <f t="shared" si="15"/>
        <v>1022</v>
      </c>
    </row>
    <row r="1024" spans="5:18">
      <c r="E1024" s="147" t="s">
        <v>62</v>
      </c>
      <c r="F1024" t="str">
        <f>NUT!CB4</f>
        <v>HPS</v>
      </c>
      <c r="G1024" t="str">
        <f>NUT!CC4</f>
        <v>AC</v>
      </c>
      <c r="H1024" t="str">
        <f>NUT!CD4</f>
        <v>Vessel</v>
      </c>
      <c r="I1024">
        <f>NUT!CE4</f>
        <v>0</v>
      </c>
      <c r="J1024" t="str">
        <f>NUT!CF4</f>
        <v>Nuts</v>
      </c>
      <c r="K1024" t="str">
        <f>NUT!CG4</f>
        <v>TZM-1/2"</v>
      </c>
      <c r="L1024" t="str">
        <f>NUT!CH4</f>
        <v>NUT-TC</v>
      </c>
      <c r="M1024">
        <f>NUT!CI4</f>
        <v>0</v>
      </c>
      <c r="N1024">
        <f>NUT!CJ4</f>
        <v>0</v>
      </c>
      <c r="O1024">
        <f>NUT!CK4</f>
        <v>0</v>
      </c>
      <c r="P1024" s="143" t="str">
        <f>NUT!CL4</f>
        <v>Active</v>
      </c>
      <c r="R1024">
        <f t="shared" si="15"/>
        <v>1023</v>
      </c>
    </row>
    <row r="1025" spans="5:18">
      <c r="E1025" s="147" t="s">
        <v>62</v>
      </c>
      <c r="F1025" t="str">
        <f>NUT!CB5</f>
        <v>HPS</v>
      </c>
      <c r="G1025" t="str">
        <f>NUT!CC5</f>
        <v>AC</v>
      </c>
      <c r="H1025" t="str">
        <f>NUT!CD5</f>
        <v>Vessel</v>
      </c>
      <c r="I1025">
        <f>NUT!CE5</f>
        <v>0</v>
      </c>
      <c r="J1025" t="str">
        <f>NUT!CF5</f>
        <v>Nuts</v>
      </c>
      <c r="K1025" t="str">
        <f>NUT!CG5</f>
        <v>TZM-1/2"</v>
      </c>
      <c r="L1025" t="str">
        <f>NUT!CH5</f>
        <v>NUT-TD</v>
      </c>
      <c r="M1025">
        <f>NUT!CI5</f>
        <v>0</v>
      </c>
      <c r="N1025">
        <f>NUT!CJ5</f>
        <v>0</v>
      </c>
      <c r="O1025">
        <f>NUT!CK5</f>
        <v>0</v>
      </c>
      <c r="P1025" s="143" t="str">
        <f>NUT!CL5</f>
        <v>Active</v>
      </c>
      <c r="R1025">
        <f t="shared" si="15"/>
        <v>1024</v>
      </c>
    </row>
    <row r="1026" spans="5:18">
      <c r="E1026" s="147" t="s">
        <v>62</v>
      </c>
      <c r="F1026" t="str">
        <f>NUT!CB6</f>
        <v>HPS</v>
      </c>
      <c r="G1026" t="str">
        <f>NUT!CC6</f>
        <v>AC</v>
      </c>
      <c r="H1026" t="str">
        <f>NUT!CD6</f>
        <v>Vessel</v>
      </c>
      <c r="I1026">
        <f>NUT!CE6</f>
        <v>0</v>
      </c>
      <c r="J1026" t="str">
        <f>NUT!CF6</f>
        <v>Nuts</v>
      </c>
      <c r="K1026" t="str">
        <f>NUT!CG6</f>
        <v>TZM-1/2"</v>
      </c>
      <c r="L1026" t="str">
        <f>NUT!CH6</f>
        <v>NUT-TE</v>
      </c>
      <c r="M1026">
        <f>NUT!CI6</f>
        <v>0</v>
      </c>
      <c r="N1026">
        <f>NUT!CJ6</f>
        <v>0</v>
      </c>
      <c r="O1026">
        <f>NUT!CK6</f>
        <v>0</v>
      </c>
      <c r="P1026" s="143" t="str">
        <f>NUT!CL6</f>
        <v>Active</v>
      </c>
      <c r="R1026">
        <f t="shared" si="15"/>
        <v>1025</v>
      </c>
    </row>
    <row r="1027" spans="5:18">
      <c r="E1027" s="147" t="s">
        <v>62</v>
      </c>
      <c r="F1027" t="str">
        <f>NUT!CB7</f>
        <v>HPS</v>
      </c>
      <c r="G1027" t="str">
        <f>NUT!CC7</f>
        <v>AC</v>
      </c>
      <c r="H1027" t="str">
        <f>NUT!CD7</f>
        <v>Vessel</v>
      </c>
      <c r="I1027">
        <f>NUT!CE7</f>
        <v>0</v>
      </c>
      <c r="J1027" t="str">
        <f>NUT!CF7</f>
        <v>Nuts</v>
      </c>
      <c r="K1027" t="str">
        <f>NUT!CG7</f>
        <v>TZM-1/2"</v>
      </c>
      <c r="L1027" t="str">
        <f>NUT!CH7</f>
        <v>NUT-TF</v>
      </c>
      <c r="M1027">
        <f>NUT!CI7</f>
        <v>0</v>
      </c>
      <c r="N1027">
        <f>NUT!CJ7</f>
        <v>0</v>
      </c>
      <c r="O1027">
        <f>NUT!CK7</f>
        <v>0</v>
      </c>
      <c r="P1027" s="143" t="str">
        <f>NUT!CL7</f>
        <v>Active</v>
      </c>
      <c r="R1027">
        <f t="shared" si="15"/>
        <v>1026</v>
      </c>
    </row>
    <row r="1028" spans="5:18">
      <c r="E1028" s="147" t="s">
        <v>62</v>
      </c>
      <c r="F1028" t="str">
        <f>NUT!CB8</f>
        <v>HPS</v>
      </c>
      <c r="G1028" t="str">
        <f>NUT!CC8</f>
        <v>AC</v>
      </c>
      <c r="H1028" t="str">
        <f>NUT!CD8</f>
        <v>Vessel</v>
      </c>
      <c r="I1028">
        <f>NUT!CE8</f>
        <v>0</v>
      </c>
      <c r="J1028" t="str">
        <f>NUT!CF8</f>
        <v>Nuts</v>
      </c>
      <c r="K1028" t="str">
        <f>NUT!CG8</f>
        <v>TZM-1/2"</v>
      </c>
      <c r="L1028" t="str">
        <f>NUT!CH8</f>
        <v>NUT-TG</v>
      </c>
      <c r="M1028">
        <f>NUT!CI8</f>
        <v>0</v>
      </c>
      <c r="N1028">
        <f>NUT!CJ8</f>
        <v>0</v>
      </c>
      <c r="O1028">
        <f>NUT!CK8</f>
        <v>0</v>
      </c>
      <c r="P1028" s="143" t="str">
        <f>NUT!CL8</f>
        <v>Active</v>
      </c>
      <c r="R1028">
        <f t="shared" ref="R1028:R1091" si="16">R1027+1</f>
        <v>1027</v>
      </c>
    </row>
    <row r="1029" spans="5:18">
      <c r="E1029" s="147" t="s">
        <v>62</v>
      </c>
      <c r="F1029" t="str">
        <f>NUT!CB9</f>
        <v>HPS</v>
      </c>
      <c r="G1029" t="str">
        <f>NUT!CC9</f>
        <v>AC</v>
      </c>
      <c r="H1029" t="str">
        <f>NUT!CD9</f>
        <v>Vessel</v>
      </c>
      <c r="I1029">
        <f>NUT!CE9</f>
        <v>0</v>
      </c>
      <c r="J1029" t="str">
        <f>NUT!CF9</f>
        <v>Nuts</v>
      </c>
      <c r="K1029" t="str">
        <f>NUT!CG9</f>
        <v>TZM-1/2"</v>
      </c>
      <c r="L1029" t="str">
        <f>NUT!CH9</f>
        <v>NUT-TH</v>
      </c>
      <c r="M1029">
        <f>NUT!CI9</f>
        <v>0</v>
      </c>
      <c r="N1029">
        <f>NUT!CJ9</f>
        <v>0</v>
      </c>
      <c r="O1029">
        <f>NUT!CK9</f>
        <v>0</v>
      </c>
      <c r="P1029" s="143" t="str">
        <f>NUT!CL9</f>
        <v>Active</v>
      </c>
      <c r="R1029">
        <f t="shared" si="16"/>
        <v>1028</v>
      </c>
    </row>
    <row r="1030" spans="5:18">
      <c r="E1030" s="147" t="s">
        <v>62</v>
      </c>
      <c r="F1030" t="str">
        <f>NUT!CB10</f>
        <v>HPS</v>
      </c>
      <c r="G1030" t="str">
        <f>NUT!CC10</f>
        <v>AC</v>
      </c>
      <c r="H1030" t="str">
        <f>NUT!CD10</f>
        <v>Vessel</v>
      </c>
      <c r="I1030">
        <f>NUT!CE10</f>
        <v>0</v>
      </c>
      <c r="J1030" t="str">
        <f>NUT!CF10</f>
        <v>Nuts</v>
      </c>
      <c r="K1030" t="str">
        <f>NUT!CG10</f>
        <v>TZM-1/2"</v>
      </c>
      <c r="L1030" t="str">
        <f>NUT!CH10</f>
        <v>NUT-TI</v>
      </c>
      <c r="M1030">
        <f>NUT!CI10</f>
        <v>0</v>
      </c>
      <c r="N1030">
        <f>NUT!CJ10</f>
        <v>0</v>
      </c>
      <c r="O1030">
        <f>NUT!CK10</f>
        <v>0</v>
      </c>
      <c r="P1030" s="143" t="str">
        <f>NUT!CL10</f>
        <v>Active</v>
      </c>
      <c r="R1030">
        <f t="shared" si="16"/>
        <v>1029</v>
      </c>
    </row>
    <row r="1031" spans="5:18">
      <c r="E1031" s="147" t="s">
        <v>62</v>
      </c>
      <c r="F1031" t="str">
        <f>NUT!CB11</f>
        <v>HPS</v>
      </c>
      <c r="G1031" t="str">
        <f>NUT!CC11</f>
        <v>AC</v>
      </c>
      <c r="H1031" t="str">
        <f>NUT!CD11</f>
        <v>Vessel</v>
      </c>
      <c r="I1031">
        <f>NUT!CE11</f>
        <v>0</v>
      </c>
      <c r="J1031" t="str">
        <f>NUT!CF11</f>
        <v>Nuts</v>
      </c>
      <c r="K1031" t="str">
        <f>NUT!CG11</f>
        <v>TZM-1/2"</v>
      </c>
      <c r="L1031" t="str">
        <f>NUT!CH11</f>
        <v>NUT-TJ</v>
      </c>
      <c r="M1031">
        <f>NUT!CI11</f>
        <v>0</v>
      </c>
      <c r="N1031">
        <f>NUT!CJ11</f>
        <v>0</v>
      </c>
      <c r="O1031">
        <f>NUT!CK11</f>
        <v>0</v>
      </c>
      <c r="P1031" s="143" t="str">
        <f>NUT!CL11</f>
        <v>Active</v>
      </c>
      <c r="R1031">
        <f t="shared" si="16"/>
        <v>1030</v>
      </c>
    </row>
    <row r="1032" spans="5:18">
      <c r="E1032" s="147" t="s">
        <v>62</v>
      </c>
      <c r="F1032" t="str">
        <f>NUT!CB12</f>
        <v>HPS</v>
      </c>
      <c r="G1032" t="str">
        <f>NUT!CC12</f>
        <v>AC</v>
      </c>
      <c r="H1032" t="str">
        <f>NUT!CD12</f>
        <v>Vessel</v>
      </c>
      <c r="I1032">
        <f>NUT!CE12</f>
        <v>0</v>
      </c>
      <c r="J1032" t="str">
        <f>NUT!CF12</f>
        <v>Nuts</v>
      </c>
      <c r="K1032" t="str">
        <f>NUT!CG12</f>
        <v>TZM-1/2"</v>
      </c>
      <c r="L1032" t="str">
        <f>NUT!CH12</f>
        <v>NUT-TK</v>
      </c>
      <c r="M1032">
        <f>NUT!CI12</f>
        <v>0</v>
      </c>
      <c r="N1032">
        <f>NUT!CJ12</f>
        <v>0</v>
      </c>
      <c r="O1032">
        <f>NUT!CK12</f>
        <v>0</v>
      </c>
      <c r="P1032" s="143" t="str">
        <f>NUT!CL12</f>
        <v>Active</v>
      </c>
      <c r="R1032">
        <f t="shared" si="16"/>
        <v>1031</v>
      </c>
    </row>
    <row r="1033" spans="5:18">
      <c r="E1033" s="147" t="s">
        <v>62</v>
      </c>
      <c r="F1033" t="str">
        <f>NUT!CB13</f>
        <v>HPS</v>
      </c>
      <c r="G1033" t="str">
        <f>NUT!CC13</f>
        <v>AC</v>
      </c>
      <c r="H1033" t="str">
        <f>NUT!CD13</f>
        <v>Vessel</v>
      </c>
      <c r="I1033">
        <f>NUT!CE13</f>
        <v>0</v>
      </c>
      <c r="J1033" t="str">
        <f>NUT!CF13</f>
        <v>Nuts</v>
      </c>
      <c r="K1033" t="str">
        <f>NUT!CG13</f>
        <v>TZM-1/2"</v>
      </c>
      <c r="L1033" t="str">
        <f>NUT!CH13</f>
        <v>NUT-TL</v>
      </c>
      <c r="M1033">
        <f>NUT!CI13</f>
        <v>0</v>
      </c>
      <c r="N1033">
        <f>NUT!CJ13</f>
        <v>0</v>
      </c>
      <c r="O1033">
        <f>NUT!CK13</f>
        <v>0</v>
      </c>
      <c r="P1033" s="143" t="str">
        <f>NUT!CL13</f>
        <v>Active</v>
      </c>
      <c r="R1033">
        <f t="shared" si="16"/>
        <v>1032</v>
      </c>
    </row>
    <row r="1034" spans="5:18">
      <c r="E1034" s="147" t="s">
        <v>62</v>
      </c>
      <c r="F1034" t="str">
        <f>NUT!CB14</f>
        <v>HPS</v>
      </c>
      <c r="G1034" t="str">
        <f>NUT!CC14</f>
        <v>AC</v>
      </c>
      <c r="H1034" t="str">
        <f>NUT!CD14</f>
        <v>Vessel</v>
      </c>
      <c r="I1034">
        <f>NUT!CE14</f>
        <v>0</v>
      </c>
      <c r="J1034" t="str">
        <f>NUT!CF14</f>
        <v>Nuts</v>
      </c>
      <c r="K1034" t="str">
        <f>NUT!CG14</f>
        <v>TZM-1/2"</v>
      </c>
      <c r="L1034" t="str">
        <f>NUT!CH14</f>
        <v>NUT-TM</v>
      </c>
      <c r="M1034">
        <f>NUT!CI14</f>
        <v>0</v>
      </c>
      <c r="N1034">
        <f>NUT!CJ14</f>
        <v>0</v>
      </c>
      <c r="O1034">
        <f>NUT!CK14</f>
        <v>0</v>
      </c>
      <c r="P1034" s="143" t="str">
        <f>NUT!CL14</f>
        <v>Active</v>
      </c>
      <c r="R1034">
        <f t="shared" si="16"/>
        <v>1033</v>
      </c>
    </row>
    <row r="1035" spans="5:18">
      <c r="E1035" s="147" t="s">
        <v>62</v>
      </c>
      <c r="F1035" t="str">
        <f>NUT!CB15</f>
        <v>HPS</v>
      </c>
      <c r="G1035" t="str">
        <f>NUT!CC15</f>
        <v>AC</v>
      </c>
      <c r="H1035" t="str">
        <f>NUT!CD15</f>
        <v>Vessel</v>
      </c>
      <c r="I1035">
        <f>NUT!CE15</f>
        <v>0</v>
      </c>
      <c r="J1035" t="str">
        <f>NUT!CF15</f>
        <v>Nuts</v>
      </c>
      <c r="K1035" t="str">
        <f>NUT!CG15</f>
        <v>TZM-1/2"</v>
      </c>
      <c r="L1035" t="str">
        <f>NUT!CH15</f>
        <v>NUT-TN</v>
      </c>
      <c r="M1035">
        <f>NUT!CI15</f>
        <v>0</v>
      </c>
      <c r="N1035">
        <f>NUT!CJ15</f>
        <v>0</v>
      </c>
      <c r="O1035">
        <f>NUT!CK15</f>
        <v>0</v>
      </c>
      <c r="P1035" s="143" t="str">
        <f>NUT!CL15</f>
        <v>Active</v>
      </c>
      <c r="R1035">
        <f t="shared" si="16"/>
        <v>1034</v>
      </c>
    </row>
    <row r="1036" spans="5:18">
      <c r="E1036" s="147" t="s">
        <v>62</v>
      </c>
      <c r="F1036" t="str">
        <f>NUT!CB16</f>
        <v>HPS</v>
      </c>
      <c r="G1036" t="str">
        <f>NUT!CC16</f>
        <v>AC</v>
      </c>
      <c r="H1036" t="str">
        <f>NUT!CD16</f>
        <v>Vessel</v>
      </c>
      <c r="I1036">
        <f>NUT!CE16</f>
        <v>0</v>
      </c>
      <c r="J1036" t="str">
        <f>NUT!CF16</f>
        <v>Nuts</v>
      </c>
      <c r="K1036" t="str">
        <f>NUT!CG16</f>
        <v>TZM-1/2"</v>
      </c>
      <c r="L1036" t="str">
        <f>NUT!CH16</f>
        <v>NUT-TO</v>
      </c>
      <c r="M1036">
        <f>NUT!CI16</f>
        <v>0</v>
      </c>
      <c r="N1036">
        <f>NUT!CJ16</f>
        <v>0</v>
      </c>
      <c r="O1036">
        <f>NUT!CK16</f>
        <v>0</v>
      </c>
      <c r="P1036" s="143" t="str">
        <f>NUT!CL16</f>
        <v>Active</v>
      </c>
      <c r="R1036">
        <f t="shared" si="16"/>
        <v>1035</v>
      </c>
    </row>
    <row r="1037" spans="5:18">
      <c r="E1037" s="147" t="s">
        <v>62</v>
      </c>
      <c r="F1037" t="str">
        <f>NUT!CB17</f>
        <v>HPS</v>
      </c>
      <c r="G1037" t="str">
        <f>NUT!CC17</f>
        <v>AC</v>
      </c>
      <c r="H1037" t="str">
        <f>NUT!CD17</f>
        <v>Vessel</v>
      </c>
      <c r="I1037">
        <f>NUT!CE17</f>
        <v>0</v>
      </c>
      <c r="J1037" t="str">
        <f>NUT!CF17</f>
        <v>Nuts</v>
      </c>
      <c r="K1037" t="str">
        <f>NUT!CG17</f>
        <v>TZM-1/2"</v>
      </c>
      <c r="L1037" t="str">
        <f>NUT!CH17</f>
        <v>NUT-TP</v>
      </c>
      <c r="M1037">
        <f>NUT!CI17</f>
        <v>0</v>
      </c>
      <c r="N1037">
        <f>NUT!CJ17</f>
        <v>0</v>
      </c>
      <c r="O1037">
        <f>NUT!CK17</f>
        <v>0</v>
      </c>
      <c r="P1037" s="143" t="str">
        <f>NUT!CL17</f>
        <v>Active</v>
      </c>
      <c r="R1037">
        <f t="shared" si="16"/>
        <v>1036</v>
      </c>
    </row>
    <row r="1038" spans="5:18">
      <c r="E1038" s="147" t="s">
        <v>62</v>
      </c>
      <c r="F1038" t="str">
        <f>NUT!CB18</f>
        <v>HPS</v>
      </c>
      <c r="G1038" t="str">
        <f>NUT!CC18</f>
        <v>AC</v>
      </c>
      <c r="H1038" t="str">
        <f>NUT!CD18</f>
        <v>Vessel</v>
      </c>
      <c r="I1038">
        <f>NUT!CE18</f>
        <v>0</v>
      </c>
      <c r="J1038" t="str">
        <f>NUT!CF18</f>
        <v>Nuts</v>
      </c>
      <c r="K1038" t="str">
        <f>NUT!CG18</f>
        <v>TZM-1/2"</v>
      </c>
      <c r="L1038" t="str">
        <f>NUT!CH18</f>
        <v>NUT-TQ</v>
      </c>
      <c r="M1038">
        <f>NUT!CI18</f>
        <v>0</v>
      </c>
      <c r="N1038">
        <f>NUT!CJ18</f>
        <v>0</v>
      </c>
      <c r="O1038">
        <f>NUT!CK18</f>
        <v>0</v>
      </c>
      <c r="P1038" s="143" t="str">
        <f>NUT!CL18</f>
        <v>Active</v>
      </c>
      <c r="R1038">
        <f t="shared" si="16"/>
        <v>1037</v>
      </c>
    </row>
    <row r="1039" spans="5:18">
      <c r="E1039" s="147" t="s">
        <v>62</v>
      </c>
      <c r="F1039" t="str">
        <f>NUT!CB19</f>
        <v>HPS</v>
      </c>
      <c r="G1039" t="str">
        <f>NUT!CC19</f>
        <v>AC</v>
      </c>
      <c r="H1039" t="str">
        <f>NUT!CD19</f>
        <v>Vessel</v>
      </c>
      <c r="I1039">
        <f>NUT!CE19</f>
        <v>0</v>
      </c>
      <c r="J1039" t="str">
        <f>NUT!CF19</f>
        <v>Nuts</v>
      </c>
      <c r="K1039" t="str">
        <f>NUT!CG19</f>
        <v>TZM-1/2"</v>
      </c>
      <c r="L1039" t="str">
        <f>NUT!CH19</f>
        <v>NUT-TR</v>
      </c>
      <c r="M1039">
        <f>NUT!CI19</f>
        <v>0</v>
      </c>
      <c r="N1039">
        <f>NUT!CJ19</f>
        <v>0</v>
      </c>
      <c r="O1039">
        <f>NUT!CK19</f>
        <v>0</v>
      </c>
      <c r="P1039" s="143" t="str">
        <f>NUT!CL19</f>
        <v>Active</v>
      </c>
      <c r="R1039">
        <f t="shared" si="16"/>
        <v>1038</v>
      </c>
    </row>
    <row r="1040" spans="5:18">
      <c r="E1040" s="147" t="s">
        <v>62</v>
      </c>
      <c r="F1040" t="str">
        <f>NUT!CB20</f>
        <v>HPS</v>
      </c>
      <c r="G1040" t="str">
        <f>NUT!CC20</f>
        <v>AC</v>
      </c>
      <c r="H1040" t="str">
        <f>NUT!CD20</f>
        <v>Vessel</v>
      </c>
      <c r="I1040">
        <f>NUT!CE20</f>
        <v>0</v>
      </c>
      <c r="J1040" t="str">
        <f>NUT!CF20</f>
        <v>Nuts</v>
      </c>
      <c r="K1040" t="str">
        <f>NUT!CG20</f>
        <v>TZM-1/2"</v>
      </c>
      <c r="L1040" t="str">
        <f>NUT!CH20</f>
        <v>NUT-TS</v>
      </c>
      <c r="M1040">
        <f>NUT!CI20</f>
        <v>0</v>
      </c>
      <c r="N1040">
        <f>NUT!CJ20</f>
        <v>0</v>
      </c>
      <c r="O1040">
        <f>NUT!CK20</f>
        <v>0</v>
      </c>
      <c r="P1040" s="143" t="str">
        <f>NUT!CL20</f>
        <v>Active</v>
      </c>
      <c r="R1040">
        <f t="shared" si="16"/>
        <v>1039</v>
      </c>
    </row>
    <row r="1041" spans="5:18">
      <c r="E1041" s="147" t="s">
        <v>62</v>
      </c>
      <c r="F1041" t="str">
        <f>NUT!CB21</f>
        <v>HPS</v>
      </c>
      <c r="G1041" t="str">
        <f>NUT!CC21</f>
        <v>AC</v>
      </c>
      <c r="H1041" t="str">
        <f>NUT!CD21</f>
        <v>Vessel</v>
      </c>
      <c r="I1041">
        <f>NUT!CE21</f>
        <v>0</v>
      </c>
      <c r="J1041" t="str">
        <f>NUT!CF21</f>
        <v>Nuts</v>
      </c>
      <c r="K1041" t="str">
        <f>NUT!CG21</f>
        <v>TZM-1/2"</v>
      </c>
      <c r="L1041" t="str">
        <f>NUT!CH21</f>
        <v>NUT-TT</v>
      </c>
      <c r="M1041">
        <f>NUT!CI21</f>
        <v>0</v>
      </c>
      <c r="N1041">
        <f>NUT!CJ21</f>
        <v>0</v>
      </c>
      <c r="O1041">
        <f>NUT!CK21</f>
        <v>0</v>
      </c>
      <c r="P1041" s="143" t="str">
        <f>NUT!CL21</f>
        <v>Active</v>
      </c>
      <c r="R1041">
        <f t="shared" si="16"/>
        <v>1040</v>
      </c>
    </row>
    <row r="1042" spans="5:18">
      <c r="E1042" s="147" t="s">
        <v>62</v>
      </c>
      <c r="F1042" t="str">
        <f>NUT!CB22</f>
        <v>HPS</v>
      </c>
      <c r="G1042" t="str">
        <f>NUT!CC22</f>
        <v>AC</v>
      </c>
      <c r="H1042" t="str">
        <f>NUT!CD22</f>
        <v>Vessel</v>
      </c>
      <c r="I1042">
        <f>NUT!CE22</f>
        <v>0</v>
      </c>
      <c r="J1042" t="str">
        <f>NUT!CF22</f>
        <v>Nuts</v>
      </c>
      <c r="K1042">
        <f>NUT!CG22</f>
        <v>0</v>
      </c>
      <c r="L1042" t="str">
        <f>NUT!CH22</f>
        <v>NUT-TU</v>
      </c>
      <c r="M1042">
        <f>NUT!CI22</f>
        <v>0</v>
      </c>
      <c r="N1042">
        <f>NUT!CJ22</f>
        <v>0</v>
      </c>
      <c r="O1042">
        <f>NUT!CK22</f>
        <v>0</v>
      </c>
      <c r="P1042" s="143" t="str">
        <f>NUT!CL22</f>
        <v>New</v>
      </c>
      <c r="R1042">
        <f t="shared" si="16"/>
        <v>1041</v>
      </c>
    </row>
    <row r="1043" spans="5:18">
      <c r="E1043" s="147" t="s">
        <v>62</v>
      </c>
      <c r="F1043" t="str">
        <f>NUT!CB23</f>
        <v>HPS</v>
      </c>
      <c r="G1043" t="str">
        <f>NUT!CC23</f>
        <v>AC</v>
      </c>
      <c r="H1043" t="str">
        <f>NUT!CD23</f>
        <v>Vessel</v>
      </c>
      <c r="I1043">
        <f>NUT!CE23</f>
        <v>0</v>
      </c>
      <c r="J1043" t="str">
        <f>NUT!CF23</f>
        <v>Nuts</v>
      </c>
      <c r="K1043">
        <f>NUT!CG23</f>
        <v>0</v>
      </c>
      <c r="L1043" t="str">
        <f>NUT!CH23</f>
        <v>NUT-TV</v>
      </c>
      <c r="M1043">
        <f>NUT!CI23</f>
        <v>0</v>
      </c>
      <c r="N1043">
        <f>NUT!CJ23</f>
        <v>0</v>
      </c>
      <c r="O1043">
        <f>NUT!CK23</f>
        <v>0</v>
      </c>
      <c r="P1043" s="143" t="str">
        <f>NUT!CL23</f>
        <v>New</v>
      </c>
      <c r="R1043">
        <f t="shared" si="16"/>
        <v>1042</v>
      </c>
    </row>
    <row r="1044" spans="5:18">
      <c r="E1044" s="147" t="s">
        <v>62</v>
      </c>
      <c r="F1044" t="str">
        <f>NUT!CB24</f>
        <v>HPS</v>
      </c>
      <c r="G1044" t="str">
        <f>NUT!CC24</f>
        <v>AC</v>
      </c>
      <c r="H1044" t="str">
        <f>NUT!CD24</f>
        <v>Vessel</v>
      </c>
      <c r="I1044">
        <f>NUT!CE24</f>
        <v>0</v>
      </c>
      <c r="J1044" t="str">
        <f>NUT!CF24</f>
        <v>Nuts</v>
      </c>
      <c r="K1044">
        <f>NUT!CG24</f>
        <v>0</v>
      </c>
      <c r="L1044" t="str">
        <f>NUT!CH24</f>
        <v>NUT-TW</v>
      </c>
      <c r="M1044">
        <f>NUT!CI24</f>
        <v>0</v>
      </c>
      <c r="N1044">
        <f>NUT!CJ24</f>
        <v>0</v>
      </c>
      <c r="O1044">
        <f>NUT!CK24</f>
        <v>0</v>
      </c>
      <c r="P1044" s="143" t="str">
        <f>NUT!CL24</f>
        <v>New</v>
      </c>
      <c r="R1044">
        <f t="shared" si="16"/>
        <v>1043</v>
      </c>
    </row>
    <row r="1045" spans="5:18">
      <c r="E1045" s="147" t="s">
        <v>62</v>
      </c>
      <c r="F1045" t="str">
        <f>NUT!CB25</f>
        <v>HPS</v>
      </c>
      <c r="G1045" t="str">
        <f>NUT!CC25</f>
        <v>AC</v>
      </c>
      <c r="H1045" t="str">
        <f>NUT!CD25</f>
        <v>Vessel</v>
      </c>
      <c r="I1045">
        <f>NUT!CE25</f>
        <v>0</v>
      </c>
      <c r="J1045" t="str">
        <f>NUT!CF25</f>
        <v>Nuts</v>
      </c>
      <c r="K1045">
        <f>NUT!CG25</f>
        <v>0</v>
      </c>
      <c r="L1045" t="str">
        <f>NUT!CH25</f>
        <v>NUT-TX</v>
      </c>
      <c r="M1045">
        <f>NUT!CI25</f>
        <v>0</v>
      </c>
      <c r="N1045">
        <f>NUT!CJ25</f>
        <v>0</v>
      </c>
      <c r="O1045">
        <f>NUT!CK25</f>
        <v>0</v>
      </c>
      <c r="P1045" s="143" t="str">
        <f>NUT!CL25</f>
        <v>New</v>
      </c>
      <c r="R1045">
        <f t="shared" si="16"/>
        <v>1044</v>
      </c>
    </row>
    <row r="1046" spans="5:18">
      <c r="E1046" s="147" t="s">
        <v>62</v>
      </c>
      <c r="F1046" t="str">
        <f>NUT!CB26</f>
        <v>HPS</v>
      </c>
      <c r="G1046" t="str">
        <f>NUT!CC26</f>
        <v>AC</v>
      </c>
      <c r="H1046" t="str">
        <f>NUT!CD26</f>
        <v>Vessel</v>
      </c>
      <c r="I1046">
        <f>NUT!CE26</f>
        <v>0</v>
      </c>
      <c r="J1046" t="str">
        <f>NUT!CF26</f>
        <v>Nuts</v>
      </c>
      <c r="K1046">
        <f>NUT!CG26</f>
        <v>0</v>
      </c>
      <c r="L1046" t="str">
        <f>NUT!CH26</f>
        <v>NUT-TY</v>
      </c>
      <c r="M1046">
        <f>NUT!CI26</f>
        <v>0</v>
      </c>
      <c r="N1046">
        <f>NUT!CJ26</f>
        <v>0</v>
      </c>
      <c r="O1046">
        <f>NUT!CK26</f>
        <v>0</v>
      </c>
      <c r="P1046" s="143" t="str">
        <f>NUT!CL26</f>
        <v>New</v>
      </c>
      <c r="R1046">
        <f t="shared" si="16"/>
        <v>1045</v>
      </c>
    </row>
    <row r="1047" spans="5:18">
      <c r="E1047" s="147" t="s">
        <v>62</v>
      </c>
      <c r="F1047" t="str">
        <f>NUT!CB27</f>
        <v>HPS</v>
      </c>
      <c r="G1047" t="str">
        <f>NUT!CC27</f>
        <v>AC</v>
      </c>
      <c r="H1047" t="str">
        <f>NUT!CD27</f>
        <v>Vessel</v>
      </c>
      <c r="I1047">
        <f>NUT!CE27</f>
        <v>0</v>
      </c>
      <c r="J1047" t="str">
        <f>NUT!CF27</f>
        <v>Nuts</v>
      </c>
      <c r="K1047">
        <f>NUT!CG27</f>
        <v>0</v>
      </c>
      <c r="L1047" t="str">
        <f>NUT!CH27</f>
        <v>NUT-TZ</v>
      </c>
      <c r="M1047">
        <f>NUT!CI27</f>
        <v>0</v>
      </c>
      <c r="N1047">
        <f>NUT!CJ27</f>
        <v>0</v>
      </c>
      <c r="O1047">
        <f>NUT!CK27</f>
        <v>0</v>
      </c>
      <c r="P1047" s="143" t="str">
        <f>NUT!CL27</f>
        <v>New</v>
      </c>
      <c r="R1047">
        <f t="shared" si="16"/>
        <v>1046</v>
      </c>
    </row>
    <row r="1048" spans="5:18">
      <c r="E1048" s="147" t="s">
        <v>62</v>
      </c>
      <c r="F1048" t="str">
        <f>NUT!CB28</f>
        <v>HPS</v>
      </c>
      <c r="G1048" t="str">
        <f>NUT!CC28</f>
        <v>AC</v>
      </c>
      <c r="H1048" t="str">
        <f>NUT!CD28</f>
        <v>Vessel</v>
      </c>
      <c r="I1048">
        <f>NUT!CE28</f>
        <v>0</v>
      </c>
      <c r="J1048" t="str">
        <f>NUT!CF28</f>
        <v>Nuts</v>
      </c>
      <c r="K1048">
        <f>NUT!CG28</f>
        <v>0</v>
      </c>
      <c r="L1048" t="str">
        <f>NUT!CH28</f>
        <v>NUT-TAA</v>
      </c>
      <c r="M1048">
        <f>NUT!CI28</f>
        <v>0</v>
      </c>
      <c r="N1048">
        <f>NUT!CJ28</f>
        <v>0</v>
      </c>
      <c r="O1048">
        <f>NUT!CK28</f>
        <v>0</v>
      </c>
      <c r="P1048" s="143" t="str">
        <f>NUT!CL28</f>
        <v>New</v>
      </c>
      <c r="R1048">
        <f t="shared" si="16"/>
        <v>1047</v>
      </c>
    </row>
    <row r="1049" spans="5:18">
      <c r="E1049" s="147" t="s">
        <v>62</v>
      </c>
      <c r="F1049" t="str">
        <f>NUT!CB29</f>
        <v>HPS</v>
      </c>
      <c r="G1049" t="str">
        <f>NUT!CC29</f>
        <v>AC</v>
      </c>
      <c r="H1049" t="str">
        <f>NUT!CD29</f>
        <v>Vessel</v>
      </c>
      <c r="I1049">
        <f>NUT!CE29</f>
        <v>0</v>
      </c>
      <c r="J1049" t="str">
        <f>NUT!CF29</f>
        <v>Nuts</v>
      </c>
      <c r="K1049">
        <f>NUT!CG29</f>
        <v>0</v>
      </c>
      <c r="L1049" t="str">
        <f>NUT!CH29</f>
        <v>NUT-TAB</v>
      </c>
      <c r="M1049">
        <f>NUT!CI29</f>
        <v>0</v>
      </c>
      <c r="N1049">
        <f>NUT!CJ29</f>
        <v>0</v>
      </c>
      <c r="O1049">
        <f>NUT!CK29</f>
        <v>0</v>
      </c>
      <c r="P1049" s="143" t="str">
        <f>NUT!CL29</f>
        <v>New</v>
      </c>
      <c r="R1049">
        <f t="shared" si="16"/>
        <v>1048</v>
      </c>
    </row>
    <row r="1050" spans="5:18">
      <c r="E1050" s="147" t="s">
        <v>62</v>
      </c>
      <c r="F1050" t="str">
        <f>NUT!CB30</f>
        <v>HPS</v>
      </c>
      <c r="G1050" t="str">
        <f>NUT!CC30</f>
        <v>AC</v>
      </c>
      <c r="H1050" t="str">
        <f>NUT!CD30</f>
        <v>Vessel</v>
      </c>
      <c r="I1050">
        <f>NUT!CE30</f>
        <v>0</v>
      </c>
      <c r="J1050" t="str">
        <f>NUT!CF30</f>
        <v>Nuts</v>
      </c>
      <c r="K1050">
        <f>NUT!CG30</f>
        <v>0</v>
      </c>
      <c r="L1050" t="str">
        <f>NUT!CH30</f>
        <v>NUT-TAC</v>
      </c>
      <c r="M1050">
        <f>NUT!CI30</f>
        <v>0</v>
      </c>
      <c r="N1050">
        <f>NUT!CJ30</f>
        <v>0</v>
      </c>
      <c r="O1050">
        <f>NUT!CK30</f>
        <v>0</v>
      </c>
      <c r="P1050" s="143" t="str">
        <f>NUT!CL30</f>
        <v>New</v>
      </c>
      <c r="R1050">
        <f t="shared" si="16"/>
        <v>1049</v>
      </c>
    </row>
    <row r="1051" spans="5:18">
      <c r="E1051" s="147" t="s">
        <v>62</v>
      </c>
      <c r="F1051" t="str">
        <f>NUT!CB31</f>
        <v>HPS</v>
      </c>
      <c r="G1051" t="str">
        <f>NUT!CC31</f>
        <v>AC</v>
      </c>
      <c r="H1051" t="str">
        <f>NUT!CD31</f>
        <v>Vessel</v>
      </c>
      <c r="I1051">
        <f>NUT!CE31</f>
        <v>0</v>
      </c>
      <c r="J1051" t="str">
        <f>NUT!CF31</f>
        <v>Nuts</v>
      </c>
      <c r="K1051">
        <f>NUT!CG31</f>
        <v>0</v>
      </c>
      <c r="L1051" t="str">
        <f>NUT!CH31</f>
        <v>NUT-TAD</v>
      </c>
      <c r="M1051">
        <f>NUT!CI31</f>
        <v>0</v>
      </c>
      <c r="N1051">
        <f>NUT!CJ31</f>
        <v>0</v>
      </c>
      <c r="O1051">
        <f>NUT!CK31</f>
        <v>0</v>
      </c>
      <c r="P1051" s="143" t="str">
        <f>NUT!CL31</f>
        <v>New</v>
      </c>
      <c r="R1051">
        <f t="shared" si="16"/>
        <v>1050</v>
      </c>
    </row>
    <row r="1052" spans="5:18">
      <c r="E1052" s="147" t="s">
        <v>62</v>
      </c>
      <c r="F1052" t="str">
        <f>NUT!CB32</f>
        <v>HPS</v>
      </c>
      <c r="G1052" t="str">
        <f>NUT!CC32</f>
        <v>AC</v>
      </c>
      <c r="H1052" t="str">
        <f>NUT!CD32</f>
        <v>Vessel</v>
      </c>
      <c r="I1052">
        <f>NUT!CE32</f>
        <v>0</v>
      </c>
      <c r="J1052" t="str">
        <f>NUT!CF32</f>
        <v>Nuts</v>
      </c>
      <c r="K1052">
        <f>NUT!CG32</f>
        <v>0</v>
      </c>
      <c r="L1052" t="str">
        <f>NUT!CH32</f>
        <v>NUT-TAE</v>
      </c>
      <c r="M1052">
        <f>NUT!CI32</f>
        <v>0</v>
      </c>
      <c r="N1052">
        <f>NUT!CJ32</f>
        <v>0</v>
      </c>
      <c r="O1052">
        <f>NUT!CK32</f>
        <v>0</v>
      </c>
      <c r="P1052" s="143" t="str">
        <f>NUT!CL32</f>
        <v>New</v>
      </c>
      <c r="R1052">
        <f t="shared" si="16"/>
        <v>1051</v>
      </c>
    </row>
    <row r="1053" spans="5:18">
      <c r="E1053" s="147" t="s">
        <v>62</v>
      </c>
      <c r="F1053" t="str">
        <f>NUT!CB33</f>
        <v>HPS</v>
      </c>
      <c r="G1053" t="str">
        <f>NUT!CC33</f>
        <v>AC</v>
      </c>
      <c r="H1053" t="str">
        <f>NUT!CD33</f>
        <v>Vessel</v>
      </c>
      <c r="I1053">
        <f>NUT!CE33</f>
        <v>0</v>
      </c>
      <c r="J1053">
        <f>NUT!CF33</f>
        <v>0</v>
      </c>
      <c r="K1053">
        <f>NUT!CG33</f>
        <v>0</v>
      </c>
      <c r="L1053" t="str">
        <f>NUT!CH33</f>
        <v/>
      </c>
      <c r="M1053">
        <f>NUT!CI33</f>
        <v>0</v>
      </c>
      <c r="N1053">
        <f>NUT!CJ33</f>
        <v>0</v>
      </c>
      <c r="O1053">
        <f>NUT!CK33</f>
        <v>0</v>
      </c>
      <c r="P1053" s="143" t="str">
        <f>NUT!CL33</f>
        <v/>
      </c>
      <c r="R1053">
        <f t="shared" si="16"/>
        <v>1052</v>
      </c>
    </row>
    <row r="1054" spans="5:18">
      <c r="E1054" s="147" t="s">
        <v>62</v>
      </c>
      <c r="F1054" t="str">
        <f>NUT!CB34</f>
        <v>HPS</v>
      </c>
      <c r="G1054" t="str">
        <f>NUT!CC34</f>
        <v>AC</v>
      </c>
      <c r="H1054" t="str">
        <f>NUT!CD34</f>
        <v>Vessel</v>
      </c>
      <c r="I1054">
        <f>NUT!CE34</f>
        <v>0</v>
      </c>
      <c r="J1054">
        <f>NUT!CF34</f>
        <v>0</v>
      </c>
      <c r="K1054">
        <f>NUT!CG34</f>
        <v>0</v>
      </c>
      <c r="L1054" t="str">
        <f>NUT!CH34</f>
        <v/>
      </c>
      <c r="M1054">
        <f>NUT!CI34</f>
        <v>0</v>
      </c>
      <c r="N1054">
        <f>NUT!CJ34</f>
        <v>0</v>
      </c>
      <c r="O1054">
        <f>NUT!CK34</f>
        <v>0</v>
      </c>
      <c r="P1054" s="143" t="str">
        <f>NUT!CL34</f>
        <v/>
      </c>
      <c r="R1054">
        <f t="shared" si="16"/>
        <v>1053</v>
      </c>
    </row>
    <row r="1055" spans="5:18">
      <c r="E1055" s="147" t="s">
        <v>62</v>
      </c>
      <c r="F1055" t="str">
        <f>NUT!CB35</f>
        <v>HPS</v>
      </c>
      <c r="G1055" t="str">
        <f>NUT!CC35</f>
        <v>AC</v>
      </c>
      <c r="H1055" t="str">
        <f>NUT!CD35</f>
        <v>Vessel</v>
      </c>
      <c r="I1055">
        <f>NUT!CE35</f>
        <v>0</v>
      </c>
      <c r="J1055">
        <f>NUT!CF35</f>
        <v>0</v>
      </c>
      <c r="K1055">
        <f>NUT!CG35</f>
        <v>0</v>
      </c>
      <c r="L1055" t="str">
        <f>NUT!CH35</f>
        <v/>
      </c>
      <c r="M1055">
        <f>NUT!CI35</f>
        <v>0</v>
      </c>
      <c r="N1055">
        <f>NUT!CJ35</f>
        <v>0</v>
      </c>
      <c r="O1055">
        <f>NUT!CK35</f>
        <v>0</v>
      </c>
      <c r="P1055" s="143" t="str">
        <f>NUT!CL35</f>
        <v/>
      </c>
      <c r="R1055">
        <f t="shared" si="16"/>
        <v>1054</v>
      </c>
    </row>
    <row r="1056" spans="5:18">
      <c r="E1056" s="147" t="s">
        <v>62</v>
      </c>
      <c r="F1056" t="str">
        <f>NUT!CB36</f>
        <v>HPS</v>
      </c>
      <c r="G1056" t="str">
        <f>NUT!CC36</f>
        <v>AC</v>
      </c>
      <c r="H1056" t="str">
        <f>NUT!CD36</f>
        <v>Vessel</v>
      </c>
      <c r="I1056">
        <f>NUT!CE36</f>
        <v>0</v>
      </c>
      <c r="J1056">
        <f>NUT!CF36</f>
        <v>0</v>
      </c>
      <c r="K1056">
        <f>NUT!CG36</f>
        <v>0</v>
      </c>
      <c r="L1056" t="str">
        <f>NUT!CH36</f>
        <v/>
      </c>
      <c r="M1056">
        <f>NUT!CI36</f>
        <v>0</v>
      </c>
      <c r="N1056">
        <f>NUT!CJ36</f>
        <v>0</v>
      </c>
      <c r="O1056">
        <f>NUT!CK36</f>
        <v>0</v>
      </c>
      <c r="P1056" s="143" t="str">
        <f>NUT!CL36</f>
        <v/>
      </c>
      <c r="R1056">
        <f t="shared" si="16"/>
        <v>1055</v>
      </c>
    </row>
    <row r="1057" spans="5:18">
      <c r="E1057" s="147" t="s">
        <v>62</v>
      </c>
      <c r="F1057" t="str">
        <f>NUT!CB37</f>
        <v>HPS</v>
      </c>
      <c r="G1057" t="str">
        <f>NUT!CC37</f>
        <v>AC</v>
      </c>
      <c r="H1057" t="str">
        <f>NUT!CD37</f>
        <v>Vessel</v>
      </c>
      <c r="I1057">
        <f>NUT!CE37</f>
        <v>0</v>
      </c>
      <c r="J1057">
        <f>NUT!CF37</f>
        <v>0</v>
      </c>
      <c r="K1057">
        <f>NUT!CG37</f>
        <v>0</v>
      </c>
      <c r="L1057" t="str">
        <f>NUT!CH37</f>
        <v/>
      </c>
      <c r="M1057">
        <f>NUT!CI37</f>
        <v>0</v>
      </c>
      <c r="N1057">
        <f>NUT!CJ37</f>
        <v>0</v>
      </c>
      <c r="O1057">
        <f>NUT!CK37</f>
        <v>0</v>
      </c>
      <c r="P1057" s="143" t="str">
        <f>NUT!CL37</f>
        <v/>
      </c>
      <c r="R1057">
        <f t="shared" si="16"/>
        <v>1056</v>
      </c>
    </row>
    <row r="1058" spans="5:18">
      <c r="E1058" s="147" t="s">
        <v>62</v>
      </c>
      <c r="F1058" t="str">
        <f>NUT!CB38</f>
        <v>HPS</v>
      </c>
      <c r="G1058" t="str">
        <f>NUT!CC38</f>
        <v>AC</v>
      </c>
      <c r="H1058" t="str">
        <f>NUT!CD38</f>
        <v>Vessel</v>
      </c>
      <c r="I1058">
        <f>NUT!CE38</f>
        <v>0</v>
      </c>
      <c r="J1058">
        <f>NUT!CF38</f>
        <v>0</v>
      </c>
      <c r="K1058">
        <f>NUT!CG38</f>
        <v>0</v>
      </c>
      <c r="L1058" t="str">
        <f>NUT!CH38</f>
        <v/>
      </c>
      <c r="M1058">
        <f>NUT!CI38</f>
        <v>0</v>
      </c>
      <c r="N1058">
        <f>NUT!CJ38</f>
        <v>0</v>
      </c>
      <c r="O1058">
        <f>NUT!CK38</f>
        <v>0</v>
      </c>
      <c r="P1058" s="143" t="str">
        <f>NUT!CL38</f>
        <v/>
      </c>
      <c r="R1058">
        <f t="shared" si="16"/>
        <v>1057</v>
      </c>
    </row>
    <row r="1059" spans="5:18">
      <c r="E1059" s="147" t="s">
        <v>62</v>
      </c>
      <c r="F1059" t="str">
        <f>NUT!CB39</f>
        <v>HPS</v>
      </c>
      <c r="G1059" t="str">
        <f>NUT!CC39</f>
        <v>AC</v>
      </c>
      <c r="H1059" t="str">
        <f>NUT!CD39</f>
        <v>Vessel</v>
      </c>
      <c r="I1059">
        <f>NUT!CE39</f>
        <v>0</v>
      </c>
      <c r="J1059">
        <f>NUT!CF39</f>
        <v>0</v>
      </c>
      <c r="K1059">
        <f>NUT!CG39</f>
        <v>0</v>
      </c>
      <c r="L1059" t="str">
        <f>NUT!CH39</f>
        <v/>
      </c>
      <c r="M1059">
        <f>NUT!CI39</f>
        <v>0</v>
      </c>
      <c r="N1059">
        <f>NUT!CJ39</f>
        <v>0</v>
      </c>
      <c r="O1059">
        <f>NUT!CK39</f>
        <v>0</v>
      </c>
      <c r="P1059" s="143" t="str">
        <f>NUT!CL39</f>
        <v/>
      </c>
      <c r="R1059">
        <f t="shared" si="16"/>
        <v>1058</v>
      </c>
    </row>
    <row r="1060" spans="5:18">
      <c r="E1060" s="147" t="s">
        <v>62</v>
      </c>
      <c r="F1060" t="str">
        <f>NUT!CB40</f>
        <v>HPS</v>
      </c>
      <c r="G1060" t="str">
        <f>NUT!CC40</f>
        <v>AC</v>
      </c>
      <c r="H1060" t="str">
        <f>NUT!CD40</f>
        <v>Vessel</v>
      </c>
      <c r="I1060">
        <f>NUT!CE40</f>
        <v>0</v>
      </c>
      <c r="J1060">
        <f>NUT!CF40</f>
        <v>0</v>
      </c>
      <c r="K1060">
        <f>NUT!CG40</f>
        <v>0</v>
      </c>
      <c r="L1060" t="str">
        <f>NUT!CH40</f>
        <v/>
      </c>
      <c r="M1060">
        <f>NUT!CI40</f>
        <v>0</v>
      </c>
      <c r="N1060">
        <f>NUT!CJ40</f>
        <v>0</v>
      </c>
      <c r="O1060">
        <f>NUT!CK40</f>
        <v>0</v>
      </c>
      <c r="P1060" s="143" t="str">
        <f>NUT!CL40</f>
        <v/>
      </c>
      <c r="R1060">
        <f t="shared" si="16"/>
        <v>1059</v>
      </c>
    </row>
    <row r="1061" spans="5:18">
      <c r="E1061" s="147" t="s">
        <v>62</v>
      </c>
      <c r="F1061" t="str">
        <f>NUT!CB41</f>
        <v>HPS</v>
      </c>
      <c r="G1061" t="str">
        <f>NUT!CC41</f>
        <v>AC</v>
      </c>
      <c r="H1061" t="str">
        <f>NUT!CD41</f>
        <v>Vessel</v>
      </c>
      <c r="I1061">
        <f>NUT!CE41</f>
        <v>0</v>
      </c>
      <c r="J1061">
        <f>NUT!CF41</f>
        <v>0</v>
      </c>
      <c r="K1061">
        <f>NUT!CG41</f>
        <v>0</v>
      </c>
      <c r="L1061" t="str">
        <f>NUT!CH41</f>
        <v/>
      </c>
      <c r="M1061">
        <f>NUT!CI41</f>
        <v>0</v>
      </c>
      <c r="N1061">
        <f>NUT!CJ41</f>
        <v>0</v>
      </c>
      <c r="O1061">
        <f>NUT!CK41</f>
        <v>0</v>
      </c>
      <c r="P1061" s="143" t="str">
        <f>NUT!CL41</f>
        <v/>
      </c>
      <c r="R1061">
        <f t="shared" si="16"/>
        <v>1060</v>
      </c>
    </row>
    <row r="1062" spans="5:18">
      <c r="E1062" s="147" t="s">
        <v>62</v>
      </c>
      <c r="F1062" t="str">
        <f>NUT!CB42</f>
        <v>HPS</v>
      </c>
      <c r="G1062" t="str">
        <f>NUT!CC42</f>
        <v>AC</v>
      </c>
      <c r="H1062" t="str">
        <f>NUT!CD42</f>
        <v>Vessel</v>
      </c>
      <c r="I1062">
        <f>NUT!CE42</f>
        <v>0</v>
      </c>
      <c r="J1062">
        <f>NUT!CF42</f>
        <v>0</v>
      </c>
      <c r="K1062">
        <f>NUT!CG42</f>
        <v>0</v>
      </c>
      <c r="L1062" t="str">
        <f>NUT!CH42</f>
        <v/>
      </c>
      <c r="M1062">
        <f>NUT!CI42</f>
        <v>0</v>
      </c>
      <c r="N1062">
        <f>NUT!CJ42</f>
        <v>0</v>
      </c>
      <c r="O1062">
        <f>NUT!CK42</f>
        <v>0</v>
      </c>
      <c r="P1062" s="143" t="str">
        <f>NUT!CL42</f>
        <v/>
      </c>
      <c r="R1062">
        <f t="shared" si="16"/>
        <v>1061</v>
      </c>
    </row>
    <row r="1063" spans="5:18">
      <c r="E1063" s="147" t="s">
        <v>62</v>
      </c>
      <c r="F1063" t="str">
        <f>NUT!CB43</f>
        <v>HPS</v>
      </c>
      <c r="G1063" t="str">
        <f>NUT!CC43</f>
        <v>AC</v>
      </c>
      <c r="H1063" t="str">
        <f>NUT!CD43</f>
        <v>Vessel</v>
      </c>
      <c r="I1063">
        <f>NUT!CE43</f>
        <v>0</v>
      </c>
      <c r="J1063">
        <f>NUT!CF43</f>
        <v>0</v>
      </c>
      <c r="K1063">
        <f>NUT!CG43</f>
        <v>0</v>
      </c>
      <c r="L1063" t="str">
        <f>NUT!CH43</f>
        <v/>
      </c>
      <c r="M1063">
        <f>NUT!CI43</f>
        <v>0</v>
      </c>
      <c r="N1063">
        <f>NUT!CJ43</f>
        <v>0</v>
      </c>
      <c r="O1063">
        <f>NUT!CK43</f>
        <v>0</v>
      </c>
      <c r="P1063" s="143" t="str">
        <f>NUT!CL43</f>
        <v/>
      </c>
      <c r="R1063">
        <f t="shared" si="16"/>
        <v>1062</v>
      </c>
    </row>
    <row r="1064" spans="5:18">
      <c r="E1064" s="147" t="s">
        <v>62</v>
      </c>
      <c r="F1064" t="str">
        <f>NUT!CB44</f>
        <v>HPS</v>
      </c>
      <c r="G1064" t="str">
        <f>NUT!CC44</f>
        <v>AC</v>
      </c>
      <c r="H1064" t="str">
        <f>NUT!CD44</f>
        <v>Vessel</v>
      </c>
      <c r="I1064">
        <f>NUT!CE44</f>
        <v>0</v>
      </c>
      <c r="J1064">
        <f>NUT!CF44</f>
        <v>0</v>
      </c>
      <c r="K1064">
        <f>NUT!CG44</f>
        <v>0</v>
      </c>
      <c r="L1064" t="str">
        <f>NUT!CH44</f>
        <v/>
      </c>
      <c r="M1064">
        <f>NUT!CI44</f>
        <v>0</v>
      </c>
      <c r="N1064">
        <f>NUT!CJ44</f>
        <v>0</v>
      </c>
      <c r="O1064">
        <f>NUT!CK44</f>
        <v>0</v>
      </c>
      <c r="P1064" s="143" t="str">
        <f>NUT!CL44</f>
        <v/>
      </c>
      <c r="R1064">
        <f t="shared" si="16"/>
        <v>1063</v>
      </c>
    </row>
    <row r="1065" spans="5:18">
      <c r="E1065" s="147" t="s">
        <v>62</v>
      </c>
      <c r="F1065" t="str">
        <f>NUT!CB45</f>
        <v>HPS</v>
      </c>
      <c r="G1065" t="str">
        <f>NUT!CC45</f>
        <v>AC</v>
      </c>
      <c r="H1065" t="str">
        <f>NUT!CD45</f>
        <v>Vessel</v>
      </c>
      <c r="I1065">
        <f>NUT!CE45</f>
        <v>0</v>
      </c>
      <c r="J1065">
        <f>NUT!CF45</f>
        <v>0</v>
      </c>
      <c r="K1065">
        <f>NUT!CG45</f>
        <v>0</v>
      </c>
      <c r="L1065" t="str">
        <f>NUT!CH45</f>
        <v/>
      </c>
      <c r="M1065">
        <f>NUT!CI45</f>
        <v>0</v>
      </c>
      <c r="N1065">
        <f>NUT!CJ45</f>
        <v>0</v>
      </c>
      <c r="O1065">
        <f>NUT!CK45</f>
        <v>0</v>
      </c>
      <c r="P1065" s="143" t="str">
        <f>NUT!CL45</f>
        <v/>
      </c>
      <c r="R1065">
        <f t="shared" si="16"/>
        <v>1064</v>
      </c>
    </row>
    <row r="1066" spans="5:18">
      <c r="E1066" s="147" t="s">
        <v>62</v>
      </c>
      <c r="F1066" t="str">
        <f>NUT!CB46</f>
        <v>HPS</v>
      </c>
      <c r="G1066" t="str">
        <f>NUT!CC46</f>
        <v>AC</v>
      </c>
      <c r="H1066" t="str">
        <f>NUT!CD46</f>
        <v>Vessel</v>
      </c>
      <c r="I1066">
        <f>NUT!CE46</f>
        <v>0</v>
      </c>
      <c r="J1066">
        <f>NUT!CF46</f>
        <v>0</v>
      </c>
      <c r="K1066">
        <f>NUT!CG46</f>
        <v>0</v>
      </c>
      <c r="L1066" t="str">
        <f>NUT!CH46</f>
        <v/>
      </c>
      <c r="M1066">
        <f>NUT!CI46</f>
        <v>0</v>
      </c>
      <c r="N1066">
        <f>NUT!CJ46</f>
        <v>0</v>
      </c>
      <c r="O1066">
        <f>NUT!CK46</f>
        <v>0</v>
      </c>
      <c r="P1066" s="143" t="str">
        <f>NUT!CL46</f>
        <v/>
      </c>
      <c r="R1066">
        <f t="shared" si="16"/>
        <v>1065</v>
      </c>
    </row>
    <row r="1067" spans="5:18">
      <c r="E1067" s="147" t="s">
        <v>62</v>
      </c>
      <c r="F1067" t="str">
        <f>NUT!CB47</f>
        <v>HPS</v>
      </c>
      <c r="G1067" t="str">
        <f>NUT!CC47</f>
        <v>AC</v>
      </c>
      <c r="H1067" t="str">
        <f>NUT!CD47</f>
        <v>Vessel</v>
      </c>
      <c r="I1067">
        <f>NUT!CE47</f>
        <v>0</v>
      </c>
      <c r="J1067">
        <f>NUT!CF47</f>
        <v>0</v>
      </c>
      <c r="K1067">
        <f>NUT!CG47</f>
        <v>0</v>
      </c>
      <c r="L1067" t="str">
        <f>NUT!CH47</f>
        <v/>
      </c>
      <c r="M1067">
        <f>NUT!CI47</f>
        <v>0</v>
      </c>
      <c r="N1067">
        <f>NUT!CJ47</f>
        <v>0</v>
      </c>
      <c r="O1067">
        <f>NUT!CK47</f>
        <v>0</v>
      </c>
      <c r="P1067" s="143" t="str">
        <f>NUT!CL47</f>
        <v/>
      </c>
      <c r="R1067">
        <f t="shared" si="16"/>
        <v>1066</v>
      </c>
    </row>
    <row r="1068" spans="5:18">
      <c r="E1068" s="147" t="s">
        <v>62</v>
      </c>
      <c r="F1068" t="str">
        <f>NUT!CB48</f>
        <v>HPS</v>
      </c>
      <c r="G1068" t="str">
        <f>NUT!CC48</f>
        <v>AC</v>
      </c>
      <c r="H1068" t="str">
        <f>NUT!CD48</f>
        <v>Vessel</v>
      </c>
      <c r="I1068">
        <f>NUT!CE48</f>
        <v>0</v>
      </c>
      <c r="J1068">
        <f>NUT!CF48</f>
        <v>0</v>
      </c>
      <c r="K1068">
        <f>NUT!CG48</f>
        <v>0</v>
      </c>
      <c r="L1068" t="str">
        <f>NUT!CH48</f>
        <v/>
      </c>
      <c r="M1068">
        <f>NUT!CI48</f>
        <v>0</v>
      </c>
      <c r="N1068">
        <f>NUT!CJ48</f>
        <v>0</v>
      </c>
      <c r="O1068">
        <f>NUT!CK48</f>
        <v>0</v>
      </c>
      <c r="P1068" s="143" t="str">
        <f>NUT!CL48</f>
        <v/>
      </c>
      <c r="R1068">
        <f t="shared" si="16"/>
        <v>1067</v>
      </c>
    </row>
    <row r="1069" spans="5:18">
      <c r="E1069" s="147" t="s">
        <v>62</v>
      </c>
      <c r="F1069" t="str">
        <f>NUT!CB49</f>
        <v>HPS</v>
      </c>
      <c r="G1069" t="str">
        <f>NUT!CC49</f>
        <v>AC</v>
      </c>
      <c r="H1069" t="str">
        <f>NUT!CD49</f>
        <v>Vessel</v>
      </c>
      <c r="I1069">
        <f>NUT!CE49</f>
        <v>0</v>
      </c>
      <c r="J1069">
        <f>NUT!CF49</f>
        <v>0</v>
      </c>
      <c r="K1069">
        <f>NUT!CG49</f>
        <v>0</v>
      </c>
      <c r="L1069" t="str">
        <f>NUT!CH49</f>
        <v/>
      </c>
      <c r="M1069">
        <f>NUT!CI49</f>
        <v>0</v>
      </c>
      <c r="N1069">
        <f>NUT!CJ49</f>
        <v>0</v>
      </c>
      <c r="O1069">
        <f>NUT!CK49</f>
        <v>0</v>
      </c>
      <c r="P1069" s="143" t="str">
        <f>NUT!CL49</f>
        <v/>
      </c>
      <c r="R1069">
        <f t="shared" si="16"/>
        <v>1068</v>
      </c>
    </row>
    <row r="1070" spans="5:18">
      <c r="E1070" s="147" t="s">
        <v>62</v>
      </c>
      <c r="F1070" t="str">
        <f>NUT!CB50</f>
        <v>HPS</v>
      </c>
      <c r="G1070" t="str">
        <f>NUT!CC50</f>
        <v>AC</v>
      </c>
      <c r="H1070" t="str">
        <f>NUT!CD50</f>
        <v>Vessel</v>
      </c>
      <c r="I1070">
        <f>NUT!CE50</f>
        <v>0</v>
      </c>
      <c r="J1070">
        <f>NUT!CF50</f>
        <v>0</v>
      </c>
      <c r="K1070">
        <f>NUT!CG50</f>
        <v>0</v>
      </c>
      <c r="L1070" t="str">
        <f>NUT!CH50</f>
        <v/>
      </c>
      <c r="M1070">
        <f>NUT!CI50</f>
        <v>0</v>
      </c>
      <c r="N1070">
        <f>NUT!CJ50</f>
        <v>0</v>
      </c>
      <c r="O1070">
        <f>NUT!CK50</f>
        <v>0</v>
      </c>
      <c r="P1070" s="143" t="str">
        <f>NUT!CL50</f>
        <v/>
      </c>
      <c r="R1070">
        <f t="shared" si="16"/>
        <v>1069</v>
      </c>
    </row>
    <row r="1071" spans="5:18">
      <c r="E1071" s="147" t="s">
        <v>62</v>
      </c>
      <c r="F1071" t="str">
        <f>NUT!CB51</f>
        <v>HPS</v>
      </c>
      <c r="G1071" t="str">
        <f>NUT!CC51</f>
        <v>AC</v>
      </c>
      <c r="H1071" t="str">
        <f>NUT!CD51</f>
        <v>Vessel</v>
      </c>
      <c r="I1071">
        <f>NUT!CE51</f>
        <v>0</v>
      </c>
      <c r="J1071">
        <f>NUT!CF51</f>
        <v>0</v>
      </c>
      <c r="K1071">
        <f>NUT!CG51</f>
        <v>0</v>
      </c>
      <c r="L1071" t="str">
        <f>NUT!CH51</f>
        <v/>
      </c>
      <c r="M1071">
        <f>NUT!CI51</f>
        <v>0</v>
      </c>
      <c r="N1071">
        <f>NUT!CJ51</f>
        <v>0</v>
      </c>
      <c r="O1071">
        <f>NUT!CK51</f>
        <v>0</v>
      </c>
      <c r="P1071" s="143" t="str">
        <f>NUT!CL51</f>
        <v/>
      </c>
      <c r="R1071">
        <f t="shared" si="16"/>
        <v>1070</v>
      </c>
    </row>
    <row r="1072" spans="5:18">
      <c r="E1072" s="147" t="s">
        <v>62</v>
      </c>
      <c r="F1072" t="str">
        <f>NUT!CB52</f>
        <v>HPS</v>
      </c>
      <c r="G1072" t="str">
        <f>NUT!CC52</f>
        <v>AC</v>
      </c>
      <c r="H1072" t="str">
        <f>NUT!CD52</f>
        <v>Vessel</v>
      </c>
      <c r="I1072">
        <f>NUT!CE52</f>
        <v>0</v>
      </c>
      <c r="J1072">
        <f>NUT!CF52</f>
        <v>0</v>
      </c>
      <c r="K1072">
        <f>NUT!CG52</f>
        <v>0</v>
      </c>
      <c r="L1072" t="str">
        <f>NUT!CH52</f>
        <v/>
      </c>
      <c r="M1072">
        <f>NUT!CI52</f>
        <v>0</v>
      </c>
      <c r="N1072">
        <f>NUT!CJ52</f>
        <v>0</v>
      </c>
      <c r="O1072">
        <f>NUT!CK52</f>
        <v>0</v>
      </c>
      <c r="P1072" s="143" t="str">
        <f>NUT!CL52</f>
        <v/>
      </c>
      <c r="R1072">
        <f t="shared" si="16"/>
        <v>1071</v>
      </c>
    </row>
    <row r="1073" spans="5:18">
      <c r="E1073" s="147" t="s">
        <v>62</v>
      </c>
      <c r="F1073" t="str">
        <f>NUT!CB53</f>
        <v>HPS</v>
      </c>
      <c r="G1073" t="str">
        <f>NUT!CC53</f>
        <v>AC</v>
      </c>
      <c r="H1073" t="str">
        <f>NUT!CD53</f>
        <v>Vessel</v>
      </c>
      <c r="I1073">
        <f>NUT!CE53</f>
        <v>0</v>
      </c>
      <c r="J1073">
        <f>NUT!CF53</f>
        <v>0</v>
      </c>
      <c r="K1073">
        <f>NUT!CG53</f>
        <v>0</v>
      </c>
      <c r="L1073" t="str">
        <f>NUT!CH53</f>
        <v/>
      </c>
      <c r="M1073">
        <f>NUT!CI53</f>
        <v>0</v>
      </c>
      <c r="N1073">
        <f>NUT!CJ53</f>
        <v>0</v>
      </c>
      <c r="O1073">
        <f>NUT!CK53</f>
        <v>0</v>
      </c>
      <c r="P1073" s="143" t="str">
        <f>NUT!CL53</f>
        <v/>
      </c>
      <c r="R1073">
        <f t="shared" si="16"/>
        <v>1072</v>
      </c>
    </row>
    <row r="1074" spans="5:18">
      <c r="E1074" s="147" t="s">
        <v>62</v>
      </c>
      <c r="F1074" t="str">
        <f>NUT!CB54</f>
        <v>HPS</v>
      </c>
      <c r="G1074" t="str">
        <f>NUT!CC54</f>
        <v>AC</v>
      </c>
      <c r="H1074" t="str">
        <f>NUT!CD54</f>
        <v>Vessel</v>
      </c>
      <c r="I1074">
        <f>NUT!CE54</f>
        <v>0</v>
      </c>
      <c r="J1074">
        <f>NUT!CF54</f>
        <v>0</v>
      </c>
      <c r="K1074">
        <f>NUT!CG54</f>
        <v>0</v>
      </c>
      <c r="L1074" t="str">
        <f>NUT!CH54</f>
        <v/>
      </c>
      <c r="M1074">
        <f>NUT!CI54</f>
        <v>0</v>
      </c>
      <c r="N1074">
        <f>NUT!CJ54</f>
        <v>0</v>
      </c>
      <c r="O1074">
        <f>NUT!CK54</f>
        <v>0</v>
      </c>
      <c r="P1074" s="143" t="str">
        <f>NUT!CL54</f>
        <v/>
      </c>
      <c r="R1074">
        <f t="shared" si="16"/>
        <v>1073</v>
      </c>
    </row>
    <row r="1075" spans="5:18">
      <c r="E1075" s="147" t="s">
        <v>62</v>
      </c>
      <c r="F1075" t="str">
        <f>NUT!CB55</f>
        <v>HPS</v>
      </c>
      <c r="G1075" t="str">
        <f>NUT!CC55</f>
        <v>AC</v>
      </c>
      <c r="H1075" t="str">
        <f>NUT!CD55</f>
        <v>Vessel</v>
      </c>
      <c r="I1075">
        <f>NUT!CE55</f>
        <v>0</v>
      </c>
      <c r="J1075">
        <f>NUT!CF55</f>
        <v>0</v>
      </c>
      <c r="K1075">
        <f>NUT!CG55</f>
        <v>0</v>
      </c>
      <c r="L1075" t="str">
        <f>NUT!CH55</f>
        <v/>
      </c>
      <c r="M1075">
        <f>NUT!CI55</f>
        <v>0</v>
      </c>
      <c r="N1075">
        <f>NUT!CJ55</f>
        <v>0</v>
      </c>
      <c r="O1075">
        <f>NUT!CK55</f>
        <v>0</v>
      </c>
      <c r="P1075" s="143" t="str">
        <f>NUT!CL55</f>
        <v/>
      </c>
      <c r="R1075">
        <f t="shared" si="16"/>
        <v>1074</v>
      </c>
    </row>
    <row r="1076" spans="5:18">
      <c r="E1076" s="147" t="s">
        <v>62</v>
      </c>
      <c r="F1076" t="str">
        <f>NUT!CB56</f>
        <v>HPS</v>
      </c>
      <c r="G1076" t="str">
        <f>NUT!CC56</f>
        <v>AC</v>
      </c>
      <c r="H1076" t="str">
        <f>NUT!CD56</f>
        <v>Vessel</v>
      </c>
      <c r="I1076">
        <f>NUT!CE56</f>
        <v>0</v>
      </c>
      <c r="J1076">
        <f>NUT!CF56</f>
        <v>0</v>
      </c>
      <c r="K1076">
        <f>NUT!CG56</f>
        <v>0</v>
      </c>
      <c r="L1076" t="str">
        <f>NUT!CH56</f>
        <v/>
      </c>
      <c r="M1076">
        <f>NUT!CI56</f>
        <v>0</v>
      </c>
      <c r="N1076">
        <f>NUT!CJ56</f>
        <v>0</v>
      </c>
      <c r="O1076">
        <f>NUT!CK56</f>
        <v>0</v>
      </c>
      <c r="P1076" s="143" t="str">
        <f>NUT!CL56</f>
        <v/>
      </c>
      <c r="R1076">
        <f t="shared" si="16"/>
        <v>1075</v>
      </c>
    </row>
    <row r="1077" spans="5:18">
      <c r="E1077" s="147" t="s">
        <v>62</v>
      </c>
      <c r="F1077" t="str">
        <f>NUT!CB57</f>
        <v>HPS</v>
      </c>
      <c r="G1077" t="str">
        <f>NUT!CC57</f>
        <v>AC</v>
      </c>
      <c r="H1077" t="str">
        <f>NUT!CD57</f>
        <v>Vessel</v>
      </c>
      <c r="I1077">
        <f>NUT!CE57</f>
        <v>0</v>
      </c>
      <c r="J1077">
        <f>NUT!CF57</f>
        <v>0</v>
      </c>
      <c r="K1077">
        <f>NUT!CG57</f>
        <v>0</v>
      </c>
      <c r="L1077" t="str">
        <f>NUT!CH57</f>
        <v/>
      </c>
      <c r="M1077">
        <f>NUT!CI57</f>
        <v>0</v>
      </c>
      <c r="N1077">
        <f>NUT!CJ57</f>
        <v>0</v>
      </c>
      <c r="O1077">
        <f>NUT!CK57</f>
        <v>0</v>
      </c>
      <c r="P1077" s="143" t="str">
        <f>NUT!CL57</f>
        <v/>
      </c>
      <c r="R1077">
        <f t="shared" si="16"/>
        <v>1076</v>
      </c>
    </row>
    <row r="1078" spans="5:18">
      <c r="E1078" s="147" t="s">
        <v>62</v>
      </c>
      <c r="F1078" t="str">
        <f>NUT!CB58</f>
        <v>HPS</v>
      </c>
      <c r="G1078" t="str">
        <f>NUT!CC58</f>
        <v>AC</v>
      </c>
      <c r="H1078" t="str">
        <f>NUT!CD58</f>
        <v>Vessel</v>
      </c>
      <c r="I1078">
        <f>NUT!CE58</f>
        <v>0</v>
      </c>
      <c r="J1078">
        <f>NUT!CF58</f>
        <v>0</v>
      </c>
      <c r="K1078">
        <f>NUT!CG58</f>
        <v>0</v>
      </c>
      <c r="L1078" t="str">
        <f>NUT!CH58</f>
        <v/>
      </c>
      <c r="M1078">
        <f>NUT!CI58</f>
        <v>0</v>
      </c>
      <c r="N1078">
        <f>NUT!CJ58</f>
        <v>0</v>
      </c>
      <c r="O1078">
        <f>NUT!CK58</f>
        <v>0</v>
      </c>
      <c r="P1078" s="143" t="str">
        <f>NUT!CL58</f>
        <v/>
      </c>
      <c r="R1078">
        <f t="shared" si="16"/>
        <v>1077</v>
      </c>
    </row>
    <row r="1079" spans="5:18">
      <c r="E1079" s="147" t="s">
        <v>62</v>
      </c>
      <c r="F1079" t="str">
        <f>NUT!CB59</f>
        <v>HPS</v>
      </c>
      <c r="G1079" t="str">
        <f>NUT!CC59</f>
        <v>AC</v>
      </c>
      <c r="H1079" t="str">
        <f>NUT!CD59</f>
        <v>Vessel</v>
      </c>
      <c r="I1079">
        <f>NUT!CE59</f>
        <v>0</v>
      </c>
      <c r="J1079">
        <f>NUT!CF59</f>
        <v>0</v>
      </c>
      <c r="K1079">
        <f>NUT!CG59</f>
        <v>0</v>
      </c>
      <c r="L1079" t="str">
        <f>NUT!CH59</f>
        <v/>
      </c>
      <c r="M1079">
        <f>NUT!CI59</f>
        <v>0</v>
      </c>
      <c r="N1079">
        <f>NUT!CJ59</f>
        <v>0</v>
      </c>
      <c r="O1079">
        <f>NUT!CK59</f>
        <v>0</v>
      </c>
      <c r="P1079" s="143" t="str">
        <f>NUT!CL59</f>
        <v/>
      </c>
      <c r="R1079">
        <f t="shared" si="16"/>
        <v>1078</v>
      </c>
    </row>
    <row r="1080" spans="5:18">
      <c r="E1080" s="147" t="s">
        <v>62</v>
      </c>
      <c r="F1080" t="str">
        <f>NUT!CB60</f>
        <v>HPS</v>
      </c>
      <c r="G1080" t="str">
        <f>NUT!CC60</f>
        <v>AC</v>
      </c>
      <c r="H1080" t="str">
        <f>NUT!CD60</f>
        <v>Vessel</v>
      </c>
      <c r="I1080">
        <f>NUT!CE60</f>
        <v>0</v>
      </c>
      <c r="J1080">
        <f>NUT!CF60</f>
        <v>0</v>
      </c>
      <c r="K1080">
        <f>NUT!CG60</f>
        <v>0</v>
      </c>
      <c r="L1080" t="str">
        <f>NUT!CH60</f>
        <v/>
      </c>
      <c r="M1080">
        <f>NUT!CI60</f>
        <v>0</v>
      </c>
      <c r="N1080">
        <f>NUT!CJ60</f>
        <v>0</v>
      </c>
      <c r="O1080">
        <f>NUT!CK60</f>
        <v>0</v>
      </c>
      <c r="P1080" s="143" t="str">
        <f>NUT!CL60</f>
        <v/>
      </c>
      <c r="R1080">
        <f t="shared" si="16"/>
        <v>1079</v>
      </c>
    </row>
    <row r="1081" spans="5:18">
      <c r="E1081" s="147" t="s">
        <v>62</v>
      </c>
      <c r="F1081" t="str">
        <f>NUT!CB61</f>
        <v>HPS</v>
      </c>
      <c r="G1081" t="str">
        <f>NUT!CC61</f>
        <v>AC</v>
      </c>
      <c r="H1081" t="str">
        <f>NUT!CD61</f>
        <v>Vessel</v>
      </c>
      <c r="I1081">
        <f>NUT!CE61</f>
        <v>0</v>
      </c>
      <c r="J1081">
        <f>NUT!CF61</f>
        <v>0</v>
      </c>
      <c r="K1081">
        <f>NUT!CG61</f>
        <v>0</v>
      </c>
      <c r="L1081" t="str">
        <f>NUT!CH61</f>
        <v/>
      </c>
      <c r="M1081">
        <f>NUT!CI61</f>
        <v>0</v>
      </c>
      <c r="N1081">
        <f>NUT!CJ61</f>
        <v>0</v>
      </c>
      <c r="O1081">
        <f>NUT!CK61</f>
        <v>0</v>
      </c>
      <c r="P1081" s="143" t="str">
        <f>NUT!CL61</f>
        <v/>
      </c>
      <c r="R1081">
        <f t="shared" si="16"/>
        <v>1080</v>
      </c>
    </row>
    <row r="1082" spans="5:18">
      <c r="E1082" s="147" t="s">
        <v>62</v>
      </c>
      <c r="F1082" t="str">
        <f>NUT!CB62</f>
        <v>HPS</v>
      </c>
      <c r="G1082" t="str">
        <f>NUT!CC62</f>
        <v>AC</v>
      </c>
      <c r="H1082" t="str">
        <f>NUT!CD62</f>
        <v>Vessel</v>
      </c>
      <c r="I1082">
        <f>NUT!CE62</f>
        <v>0</v>
      </c>
      <c r="J1082">
        <f>NUT!CF62</f>
        <v>0</v>
      </c>
      <c r="K1082">
        <f>NUT!CG62</f>
        <v>0</v>
      </c>
      <c r="L1082" t="str">
        <f>NUT!CH62</f>
        <v/>
      </c>
      <c r="M1082">
        <f>NUT!CI62</f>
        <v>0</v>
      </c>
      <c r="N1082">
        <f>NUT!CJ62</f>
        <v>0</v>
      </c>
      <c r="O1082">
        <f>NUT!CK62</f>
        <v>0</v>
      </c>
      <c r="P1082" s="143" t="str">
        <f>NUT!CL62</f>
        <v/>
      </c>
      <c r="R1082">
        <f t="shared" si="16"/>
        <v>1081</v>
      </c>
    </row>
    <row r="1083" spans="5:18">
      <c r="E1083" s="147" t="s">
        <v>62</v>
      </c>
      <c r="F1083" t="str">
        <f>NUT!CB63</f>
        <v>HPS</v>
      </c>
      <c r="G1083" t="str">
        <f>NUT!CC63</f>
        <v>AC</v>
      </c>
      <c r="H1083" t="str">
        <f>NUT!CD63</f>
        <v>Vessel</v>
      </c>
      <c r="I1083">
        <f>NUT!CE63</f>
        <v>0</v>
      </c>
      <c r="J1083">
        <f>NUT!CF63</f>
        <v>0</v>
      </c>
      <c r="K1083">
        <f>NUT!CG63</f>
        <v>0</v>
      </c>
      <c r="L1083" t="str">
        <f>NUT!CH63</f>
        <v/>
      </c>
      <c r="M1083">
        <f>NUT!CI63</f>
        <v>0</v>
      </c>
      <c r="N1083">
        <f>NUT!CJ63</f>
        <v>0</v>
      </c>
      <c r="O1083">
        <f>NUT!CK63</f>
        <v>0</v>
      </c>
      <c r="P1083" s="143" t="str">
        <f>NUT!CL63</f>
        <v/>
      </c>
      <c r="R1083">
        <f t="shared" si="16"/>
        <v>1082</v>
      </c>
    </row>
    <row r="1084" spans="5:18">
      <c r="E1084" s="147" t="s">
        <v>62</v>
      </c>
      <c r="F1084" t="str">
        <f>NUT!CB64</f>
        <v>HPS</v>
      </c>
      <c r="G1084" t="str">
        <f>NUT!CC64</f>
        <v>AC</v>
      </c>
      <c r="H1084" t="str">
        <f>NUT!CD64</f>
        <v>Vessel</v>
      </c>
      <c r="I1084">
        <f>NUT!CE64</f>
        <v>0</v>
      </c>
      <c r="J1084">
        <f>NUT!CF64</f>
        <v>0</v>
      </c>
      <c r="K1084">
        <f>NUT!CG64</f>
        <v>0</v>
      </c>
      <c r="L1084" t="str">
        <f>NUT!CH64</f>
        <v/>
      </c>
      <c r="M1084">
        <f>NUT!CI64</f>
        <v>0</v>
      </c>
      <c r="N1084">
        <f>NUT!CJ64</f>
        <v>0</v>
      </c>
      <c r="O1084">
        <f>NUT!CK64</f>
        <v>0</v>
      </c>
      <c r="P1084" s="143" t="str">
        <f>NUT!CL64</f>
        <v/>
      </c>
      <c r="R1084">
        <f t="shared" si="16"/>
        <v>1083</v>
      </c>
    </row>
    <row r="1085" spans="5:18">
      <c r="E1085" s="147" t="s">
        <v>62</v>
      </c>
      <c r="F1085" t="str">
        <f>NUT!CB65</f>
        <v>HPS</v>
      </c>
      <c r="G1085" t="str">
        <f>NUT!CC65</f>
        <v>AC</v>
      </c>
      <c r="H1085" t="str">
        <f>NUT!CD65</f>
        <v>Vessel</v>
      </c>
      <c r="I1085">
        <f>NUT!CE65</f>
        <v>0</v>
      </c>
      <c r="J1085">
        <f>NUT!CF65</f>
        <v>0</v>
      </c>
      <c r="K1085">
        <f>NUT!CG65</f>
        <v>0</v>
      </c>
      <c r="L1085" t="str">
        <f>NUT!CH65</f>
        <v/>
      </c>
      <c r="M1085">
        <f>NUT!CI65</f>
        <v>0</v>
      </c>
      <c r="N1085">
        <f>NUT!CJ65</f>
        <v>0</v>
      </c>
      <c r="O1085">
        <f>NUT!CK65</f>
        <v>0</v>
      </c>
      <c r="P1085" s="143" t="str">
        <f>NUT!CL65</f>
        <v/>
      </c>
      <c r="R1085">
        <f t="shared" si="16"/>
        <v>1084</v>
      </c>
    </row>
    <row r="1086" spans="5:18">
      <c r="E1086" s="147" t="s">
        <v>62</v>
      </c>
      <c r="F1086" t="str">
        <f>NUT!CB66</f>
        <v>HPS</v>
      </c>
      <c r="G1086" t="str">
        <f>NUT!CC66</f>
        <v>AC</v>
      </c>
      <c r="H1086" t="str">
        <f>NUT!CD66</f>
        <v>Vessel</v>
      </c>
      <c r="I1086">
        <f>NUT!CE66</f>
        <v>0</v>
      </c>
      <c r="J1086">
        <f>NUT!CF66</f>
        <v>0</v>
      </c>
      <c r="K1086">
        <f>NUT!CG66</f>
        <v>0</v>
      </c>
      <c r="L1086" t="str">
        <f>NUT!CH66</f>
        <v/>
      </c>
      <c r="M1086">
        <f>NUT!CI66</f>
        <v>0</v>
      </c>
      <c r="N1086">
        <f>NUT!CJ66</f>
        <v>0</v>
      </c>
      <c r="O1086">
        <f>NUT!CK66</f>
        <v>0</v>
      </c>
      <c r="P1086" s="143" t="str">
        <f>NUT!CL66</f>
        <v/>
      </c>
      <c r="R1086">
        <f t="shared" si="16"/>
        <v>1085</v>
      </c>
    </row>
    <row r="1087" spans="5:18">
      <c r="E1087" s="147" t="s">
        <v>62</v>
      </c>
      <c r="F1087" t="str">
        <f>NUT!CB67</f>
        <v>HPS</v>
      </c>
      <c r="G1087" t="str">
        <f>NUT!CC67</f>
        <v>AC</v>
      </c>
      <c r="H1087" t="str">
        <f>NUT!CD67</f>
        <v>Vessel</v>
      </c>
      <c r="I1087">
        <f>NUT!CE67</f>
        <v>0</v>
      </c>
      <c r="J1087">
        <f>NUT!CF67</f>
        <v>0</v>
      </c>
      <c r="K1087">
        <f>NUT!CG67</f>
        <v>0</v>
      </c>
      <c r="L1087" t="str">
        <f>NUT!CH67</f>
        <v/>
      </c>
      <c r="M1087">
        <f>NUT!CI67</f>
        <v>0</v>
      </c>
      <c r="N1087">
        <f>NUT!CJ67</f>
        <v>0</v>
      </c>
      <c r="O1087">
        <f>NUT!CK67</f>
        <v>0</v>
      </c>
      <c r="P1087" s="143" t="str">
        <f>NUT!CL67</f>
        <v/>
      </c>
      <c r="R1087">
        <f t="shared" si="16"/>
        <v>1086</v>
      </c>
    </row>
    <row r="1088" spans="5:18">
      <c r="E1088" s="147" t="s">
        <v>62</v>
      </c>
      <c r="F1088" t="str">
        <f>NUT!CB68</f>
        <v>HPS</v>
      </c>
      <c r="G1088" t="str">
        <f>NUT!CC68</f>
        <v>AC</v>
      </c>
      <c r="H1088" t="str">
        <f>NUT!CD68</f>
        <v>Vessel</v>
      </c>
      <c r="I1088">
        <f>NUT!CE68</f>
        <v>0</v>
      </c>
      <c r="J1088">
        <f>NUT!CF68</f>
        <v>0</v>
      </c>
      <c r="K1088">
        <f>NUT!CG68</f>
        <v>0</v>
      </c>
      <c r="L1088" t="str">
        <f>NUT!CH68</f>
        <v/>
      </c>
      <c r="M1088">
        <f>NUT!CI68</f>
        <v>0</v>
      </c>
      <c r="N1088">
        <f>NUT!CJ68</f>
        <v>0</v>
      </c>
      <c r="O1088">
        <f>NUT!CK68</f>
        <v>0</v>
      </c>
      <c r="P1088" s="143" t="str">
        <f>NUT!CL68</f>
        <v/>
      </c>
      <c r="R1088">
        <f t="shared" si="16"/>
        <v>1087</v>
      </c>
    </row>
    <row r="1089" spans="5:18">
      <c r="E1089" s="147" t="s">
        <v>62</v>
      </c>
      <c r="F1089" t="str">
        <f>NUT!CB69</f>
        <v>HPS</v>
      </c>
      <c r="G1089" t="str">
        <f>NUT!CC69</f>
        <v>AC</v>
      </c>
      <c r="H1089" t="str">
        <f>NUT!CD69</f>
        <v>Vessel</v>
      </c>
      <c r="I1089">
        <f>NUT!CE69</f>
        <v>0</v>
      </c>
      <c r="J1089">
        <f>NUT!CF69</f>
        <v>0</v>
      </c>
      <c r="K1089">
        <f>NUT!CG69</f>
        <v>0</v>
      </c>
      <c r="L1089" t="str">
        <f>NUT!CH69</f>
        <v/>
      </c>
      <c r="M1089">
        <f>NUT!CI69</f>
        <v>0</v>
      </c>
      <c r="N1089">
        <f>NUT!CJ69</f>
        <v>0</v>
      </c>
      <c r="O1089">
        <f>NUT!CK69</f>
        <v>0</v>
      </c>
      <c r="P1089" s="143" t="str">
        <f>NUT!CL69</f>
        <v/>
      </c>
      <c r="R1089">
        <f t="shared" si="16"/>
        <v>1088</v>
      </c>
    </row>
    <row r="1090" spans="5:18">
      <c r="E1090" s="147" t="s">
        <v>62</v>
      </c>
      <c r="F1090" t="str">
        <f>NUT!CB70</f>
        <v>HPS</v>
      </c>
      <c r="G1090" t="str">
        <f>NUT!CC70</f>
        <v>AC</v>
      </c>
      <c r="H1090" t="str">
        <f>NUT!CD70</f>
        <v>Vessel</v>
      </c>
      <c r="I1090">
        <f>NUT!CE70</f>
        <v>0</v>
      </c>
      <c r="J1090">
        <f>NUT!CF70</f>
        <v>0</v>
      </c>
      <c r="K1090">
        <f>NUT!CG70</f>
        <v>0</v>
      </c>
      <c r="L1090" t="str">
        <f>NUT!CH70</f>
        <v/>
      </c>
      <c r="M1090">
        <f>NUT!CI70</f>
        <v>0</v>
      </c>
      <c r="N1090">
        <f>NUT!CJ70</f>
        <v>0</v>
      </c>
      <c r="O1090">
        <f>NUT!CK70</f>
        <v>0</v>
      </c>
      <c r="P1090" s="143" t="str">
        <f>NUT!CL70</f>
        <v/>
      </c>
      <c r="R1090">
        <f t="shared" si="16"/>
        <v>1089</v>
      </c>
    </row>
    <row r="1091" spans="5:18">
      <c r="E1091" s="147" t="s">
        <v>62</v>
      </c>
      <c r="F1091" t="str">
        <f>NUT!CB71</f>
        <v>HPS</v>
      </c>
      <c r="G1091" t="str">
        <f>NUT!CC71</f>
        <v>AC</v>
      </c>
      <c r="H1091" t="str">
        <f>NUT!CD71</f>
        <v>Vessel</v>
      </c>
      <c r="I1091">
        <f>NUT!CE71</f>
        <v>0</v>
      </c>
      <c r="J1091">
        <f>NUT!CF71</f>
        <v>0</v>
      </c>
      <c r="K1091">
        <f>NUT!CG71</f>
        <v>0</v>
      </c>
      <c r="L1091" t="str">
        <f>NUT!CH71</f>
        <v/>
      </c>
      <c r="M1091">
        <f>NUT!CI71</f>
        <v>0</v>
      </c>
      <c r="N1091">
        <f>NUT!CJ71</f>
        <v>0</v>
      </c>
      <c r="O1091">
        <f>NUT!CK71</f>
        <v>0</v>
      </c>
      <c r="P1091" s="143" t="str">
        <f>NUT!CL71</f>
        <v/>
      </c>
      <c r="R1091">
        <f t="shared" si="16"/>
        <v>1090</v>
      </c>
    </row>
    <row r="1092" spans="5:18">
      <c r="E1092" s="147" t="s">
        <v>62</v>
      </c>
      <c r="F1092" t="str">
        <f>NUT!CB72</f>
        <v>HPS</v>
      </c>
      <c r="G1092" t="str">
        <f>NUT!CC72</f>
        <v>AC</v>
      </c>
      <c r="H1092" t="str">
        <f>NUT!CD72</f>
        <v>Vessel</v>
      </c>
      <c r="I1092">
        <f>NUT!CE72</f>
        <v>0</v>
      </c>
      <c r="J1092">
        <f>NUT!CF72</f>
        <v>0</v>
      </c>
      <c r="K1092">
        <f>NUT!CG72</f>
        <v>0</v>
      </c>
      <c r="L1092" t="str">
        <f>NUT!CH72</f>
        <v/>
      </c>
      <c r="M1092">
        <f>NUT!CI72</f>
        <v>0</v>
      </c>
      <c r="N1092">
        <f>NUT!CJ72</f>
        <v>0</v>
      </c>
      <c r="O1092">
        <f>NUT!CK72</f>
        <v>0</v>
      </c>
      <c r="P1092" s="143" t="str">
        <f>NUT!CL72</f>
        <v/>
      </c>
      <c r="R1092">
        <f t="shared" ref="R1092:R1155" si="17">R1091+1</f>
        <v>1091</v>
      </c>
    </row>
    <row r="1093" spans="5:18">
      <c r="E1093" s="147" t="s">
        <v>62</v>
      </c>
      <c r="F1093" t="str">
        <f>NUT!CB73</f>
        <v>HPS</v>
      </c>
      <c r="G1093" t="str">
        <f>NUT!CC73</f>
        <v>AC</v>
      </c>
      <c r="H1093" t="str">
        <f>NUT!CD73</f>
        <v>Vessel</v>
      </c>
      <c r="I1093">
        <f>NUT!CE73</f>
        <v>0</v>
      </c>
      <c r="J1093">
        <f>NUT!CF73</f>
        <v>0</v>
      </c>
      <c r="K1093">
        <f>NUT!CG73</f>
        <v>0</v>
      </c>
      <c r="L1093" t="str">
        <f>NUT!CH73</f>
        <v/>
      </c>
      <c r="M1093">
        <f>NUT!CI73</f>
        <v>0</v>
      </c>
      <c r="N1093">
        <f>NUT!CJ73</f>
        <v>0</v>
      </c>
      <c r="O1093">
        <f>NUT!CK73</f>
        <v>0</v>
      </c>
      <c r="P1093" s="143" t="str">
        <f>NUT!CL73</f>
        <v/>
      </c>
      <c r="R1093">
        <f t="shared" si="17"/>
        <v>1092</v>
      </c>
    </row>
    <row r="1094" spans="5:18">
      <c r="E1094" s="147" t="s">
        <v>62</v>
      </c>
      <c r="F1094" t="str">
        <f>NUT!CB74</f>
        <v>HPS</v>
      </c>
      <c r="G1094" t="str">
        <f>NUT!CC74</f>
        <v>AC</v>
      </c>
      <c r="H1094" t="str">
        <f>NUT!CD74</f>
        <v>Vessel</v>
      </c>
      <c r="I1094">
        <f>NUT!CE74</f>
        <v>0</v>
      </c>
      <c r="J1094">
        <f>NUT!CF74</f>
        <v>0</v>
      </c>
      <c r="K1094">
        <f>NUT!CG74</f>
        <v>0</v>
      </c>
      <c r="L1094" t="str">
        <f>NUT!CH74</f>
        <v/>
      </c>
      <c r="M1094">
        <f>NUT!CI74</f>
        <v>0</v>
      </c>
      <c r="N1094">
        <f>NUT!CJ74</f>
        <v>0</v>
      </c>
      <c r="O1094">
        <f>NUT!CK74</f>
        <v>0</v>
      </c>
      <c r="P1094" s="143" t="str">
        <f>NUT!CL74</f>
        <v/>
      </c>
      <c r="R1094">
        <f t="shared" si="17"/>
        <v>1093</v>
      </c>
    </row>
    <row r="1095" spans="5:18">
      <c r="E1095" s="147" t="s">
        <v>62</v>
      </c>
      <c r="F1095" t="str">
        <f>NUT!CB75</f>
        <v>HPS</v>
      </c>
      <c r="G1095" t="str">
        <f>NUT!CC75</f>
        <v>AC</v>
      </c>
      <c r="H1095" t="str">
        <f>NUT!CD75</f>
        <v>Vessel</v>
      </c>
      <c r="I1095">
        <f>NUT!CE75</f>
        <v>0</v>
      </c>
      <c r="J1095">
        <f>NUT!CF75</f>
        <v>0</v>
      </c>
      <c r="K1095">
        <f>NUT!CG75</f>
        <v>0</v>
      </c>
      <c r="L1095" t="str">
        <f>NUT!CH75</f>
        <v/>
      </c>
      <c r="M1095">
        <f>NUT!CI75</f>
        <v>0</v>
      </c>
      <c r="N1095">
        <f>NUT!CJ75</f>
        <v>0</v>
      </c>
      <c r="O1095">
        <f>NUT!CK75</f>
        <v>0</v>
      </c>
      <c r="P1095" s="143" t="str">
        <f>NUT!CL75</f>
        <v/>
      </c>
      <c r="R1095">
        <f t="shared" si="17"/>
        <v>1094</v>
      </c>
    </row>
    <row r="1096" spans="5:18">
      <c r="E1096" s="147" t="s">
        <v>62</v>
      </c>
      <c r="F1096" t="str">
        <f>NUT!CB76</f>
        <v>HPS</v>
      </c>
      <c r="G1096" t="str">
        <f>NUT!CC76</f>
        <v>AC</v>
      </c>
      <c r="H1096" t="str">
        <f>NUT!CD76</f>
        <v>Vessel</v>
      </c>
      <c r="I1096">
        <f>NUT!CE76</f>
        <v>0</v>
      </c>
      <c r="J1096">
        <f>NUT!CF76</f>
        <v>0</v>
      </c>
      <c r="K1096">
        <f>NUT!CG76</f>
        <v>0</v>
      </c>
      <c r="L1096" t="str">
        <f>NUT!CH76</f>
        <v/>
      </c>
      <c r="M1096">
        <f>NUT!CI76</f>
        <v>0</v>
      </c>
      <c r="N1096">
        <f>NUT!CJ76</f>
        <v>0</v>
      </c>
      <c r="O1096">
        <f>NUT!CK76</f>
        <v>0</v>
      </c>
      <c r="P1096" s="143" t="str">
        <f>NUT!CL76</f>
        <v/>
      </c>
      <c r="R1096">
        <f t="shared" si="17"/>
        <v>1095</v>
      </c>
    </row>
    <row r="1097" spans="5:18">
      <c r="E1097" s="147" t="s">
        <v>62</v>
      </c>
      <c r="F1097" t="str">
        <f>NUT!CB77</f>
        <v>HPS</v>
      </c>
      <c r="G1097" t="str">
        <f>NUT!CC77</f>
        <v>AC</v>
      </c>
      <c r="H1097" t="str">
        <f>NUT!CD77</f>
        <v>Vessel</v>
      </c>
      <c r="I1097">
        <f>NUT!CE77</f>
        <v>0</v>
      </c>
      <c r="J1097">
        <f>NUT!CF77</f>
        <v>0</v>
      </c>
      <c r="K1097">
        <f>NUT!CG77</f>
        <v>0</v>
      </c>
      <c r="L1097" t="str">
        <f>NUT!CH77</f>
        <v/>
      </c>
      <c r="M1097">
        <f>NUT!CI77</f>
        <v>0</v>
      </c>
      <c r="N1097">
        <f>NUT!CJ77</f>
        <v>0</v>
      </c>
      <c r="O1097">
        <f>NUT!CK77</f>
        <v>0</v>
      </c>
      <c r="P1097" s="143" t="str">
        <f>NUT!CL77</f>
        <v/>
      </c>
      <c r="R1097">
        <f t="shared" si="17"/>
        <v>1096</v>
      </c>
    </row>
    <row r="1098" spans="5:18">
      <c r="E1098" s="147" t="s">
        <v>62</v>
      </c>
      <c r="F1098" t="str">
        <f>NUT!CB78</f>
        <v>HPS</v>
      </c>
      <c r="G1098" t="str">
        <f>NUT!CC78</f>
        <v>AC</v>
      </c>
      <c r="H1098" t="str">
        <f>NUT!CD78</f>
        <v>Vessel</v>
      </c>
      <c r="I1098">
        <f>NUT!CE78</f>
        <v>0</v>
      </c>
      <c r="J1098">
        <f>NUT!CF78</f>
        <v>0</v>
      </c>
      <c r="K1098">
        <f>NUT!CG78</f>
        <v>0</v>
      </c>
      <c r="L1098" t="str">
        <f>NUT!CH78</f>
        <v/>
      </c>
      <c r="M1098">
        <f>NUT!CI78</f>
        <v>0</v>
      </c>
      <c r="N1098">
        <f>NUT!CJ78</f>
        <v>0</v>
      </c>
      <c r="O1098">
        <f>NUT!CK78</f>
        <v>0</v>
      </c>
      <c r="P1098" s="143" t="str">
        <f>NUT!CL78</f>
        <v/>
      </c>
      <c r="R1098">
        <f t="shared" si="17"/>
        <v>1097</v>
      </c>
    </row>
    <row r="1099" spans="5:18">
      <c r="E1099" s="147" t="s">
        <v>62</v>
      </c>
      <c r="F1099" t="str">
        <f>NUT!CB79</f>
        <v>HPS</v>
      </c>
      <c r="G1099" t="str">
        <f>NUT!CC79</f>
        <v>AC</v>
      </c>
      <c r="H1099" t="str">
        <f>NUT!CD79</f>
        <v>Vessel</v>
      </c>
      <c r="I1099">
        <f>NUT!CE79</f>
        <v>0</v>
      </c>
      <c r="J1099">
        <f>NUT!CF79</f>
        <v>0</v>
      </c>
      <c r="K1099">
        <f>NUT!CG79</f>
        <v>0</v>
      </c>
      <c r="L1099" t="str">
        <f>NUT!CH79</f>
        <v/>
      </c>
      <c r="M1099">
        <f>NUT!CI79</f>
        <v>0</v>
      </c>
      <c r="N1099">
        <f>NUT!CJ79</f>
        <v>0</v>
      </c>
      <c r="O1099">
        <f>NUT!CK79</f>
        <v>0</v>
      </c>
      <c r="P1099" s="143" t="str">
        <f>NUT!CL79</f>
        <v/>
      </c>
      <c r="R1099">
        <f t="shared" si="17"/>
        <v>1098</v>
      </c>
    </row>
    <row r="1100" spans="5:18">
      <c r="E1100" s="147" t="s">
        <v>62</v>
      </c>
      <c r="F1100" t="str">
        <f>NUT!CB80</f>
        <v>HPS</v>
      </c>
      <c r="G1100" t="str">
        <f>NUT!CC80</f>
        <v>AC</v>
      </c>
      <c r="H1100" t="str">
        <f>NUT!CD80</f>
        <v>Vessel</v>
      </c>
      <c r="I1100">
        <f>NUT!CE80</f>
        <v>0</v>
      </c>
      <c r="J1100">
        <f>NUT!CF80</f>
        <v>0</v>
      </c>
      <c r="K1100">
        <f>NUT!CG80</f>
        <v>0</v>
      </c>
      <c r="L1100" t="str">
        <f>NUT!CH80</f>
        <v/>
      </c>
      <c r="M1100">
        <f>NUT!CI80</f>
        <v>0</v>
      </c>
      <c r="N1100">
        <f>NUT!CJ80</f>
        <v>0</v>
      </c>
      <c r="O1100">
        <f>NUT!CK80</f>
        <v>0</v>
      </c>
      <c r="P1100" s="143" t="str">
        <f>NUT!CL80</f>
        <v/>
      </c>
      <c r="R1100">
        <f t="shared" si="17"/>
        <v>1099</v>
      </c>
    </row>
    <row r="1101" spans="5:18">
      <c r="E1101" s="147" t="s">
        <v>62</v>
      </c>
      <c r="F1101" t="str">
        <f>NUT!CB81</f>
        <v>HPS</v>
      </c>
      <c r="G1101" t="str">
        <f>NUT!CC81</f>
        <v>AC</v>
      </c>
      <c r="H1101" t="str">
        <f>NUT!CD81</f>
        <v>Vessel</v>
      </c>
      <c r="I1101">
        <f>NUT!CE81</f>
        <v>0</v>
      </c>
      <c r="J1101">
        <f>NUT!CF81</f>
        <v>0</v>
      </c>
      <c r="K1101">
        <f>NUT!CG81</f>
        <v>0</v>
      </c>
      <c r="L1101" t="str">
        <f>NUT!CH81</f>
        <v/>
      </c>
      <c r="M1101">
        <f>NUT!CI81</f>
        <v>0</v>
      </c>
      <c r="N1101">
        <f>NUT!CJ81</f>
        <v>0</v>
      </c>
      <c r="O1101">
        <f>NUT!CK81</f>
        <v>0</v>
      </c>
      <c r="P1101" s="143" t="str">
        <f>NUT!CL81</f>
        <v/>
      </c>
      <c r="R1101">
        <f t="shared" si="17"/>
        <v>1100</v>
      </c>
    </row>
    <row r="1102" spans="5:18">
      <c r="E1102" s="147" t="s">
        <v>62</v>
      </c>
      <c r="F1102" t="str">
        <f>NUT!CB82</f>
        <v>HPS</v>
      </c>
      <c r="G1102" t="str">
        <f>NUT!CC82</f>
        <v>AC</v>
      </c>
      <c r="H1102" t="str">
        <f>NUT!CD82</f>
        <v>Vessel</v>
      </c>
      <c r="I1102">
        <f>NUT!CE82</f>
        <v>0</v>
      </c>
      <c r="J1102">
        <f>NUT!CF82</f>
        <v>0</v>
      </c>
      <c r="K1102">
        <f>NUT!CG82</f>
        <v>0</v>
      </c>
      <c r="L1102" t="str">
        <f>NUT!CH82</f>
        <v/>
      </c>
      <c r="M1102">
        <f>NUT!CI82</f>
        <v>0</v>
      </c>
      <c r="N1102">
        <f>NUT!CJ82</f>
        <v>0</v>
      </c>
      <c r="O1102">
        <f>NUT!CK82</f>
        <v>0</v>
      </c>
      <c r="P1102" s="143" t="str">
        <f>NUT!CL82</f>
        <v/>
      </c>
      <c r="R1102">
        <f t="shared" si="17"/>
        <v>1101</v>
      </c>
    </row>
    <row r="1103" spans="5:18">
      <c r="E1103" s="147" t="s">
        <v>62</v>
      </c>
      <c r="F1103" t="str">
        <f>NUT!CB83</f>
        <v>HPS</v>
      </c>
      <c r="G1103" t="str">
        <f>NUT!CC83</f>
        <v>AC</v>
      </c>
      <c r="H1103" t="str">
        <f>NUT!CD83</f>
        <v>Vessel</v>
      </c>
      <c r="I1103">
        <f>NUT!CE83</f>
        <v>0</v>
      </c>
      <c r="J1103">
        <f>NUT!CF83</f>
        <v>0</v>
      </c>
      <c r="K1103">
        <f>NUT!CG83</f>
        <v>0</v>
      </c>
      <c r="L1103" t="str">
        <f>NUT!CH83</f>
        <v/>
      </c>
      <c r="M1103">
        <f>NUT!CI83</f>
        <v>0</v>
      </c>
      <c r="N1103">
        <f>NUT!CJ83</f>
        <v>0</v>
      </c>
      <c r="O1103">
        <f>NUT!CK83</f>
        <v>0</v>
      </c>
      <c r="P1103" s="143" t="str">
        <f>NUT!CL83</f>
        <v/>
      </c>
      <c r="R1103">
        <f t="shared" si="17"/>
        <v>1102</v>
      </c>
    </row>
    <row r="1104" spans="5:18">
      <c r="E1104" s="147" t="s">
        <v>62</v>
      </c>
      <c r="F1104" t="str">
        <f>NUT!CB84</f>
        <v>HPS</v>
      </c>
      <c r="G1104" t="str">
        <f>NUT!CC84</f>
        <v>AC</v>
      </c>
      <c r="H1104" t="str">
        <f>NUT!CD84</f>
        <v>Vessel</v>
      </c>
      <c r="I1104">
        <f>NUT!CE84</f>
        <v>0</v>
      </c>
      <c r="J1104">
        <f>NUT!CF84</f>
        <v>0</v>
      </c>
      <c r="K1104">
        <f>NUT!CG84</f>
        <v>0</v>
      </c>
      <c r="L1104" t="str">
        <f>NUT!CH84</f>
        <v/>
      </c>
      <c r="M1104">
        <f>NUT!CI84</f>
        <v>0</v>
      </c>
      <c r="N1104">
        <f>NUT!CJ84</f>
        <v>0</v>
      </c>
      <c r="O1104">
        <f>NUT!CK84</f>
        <v>0</v>
      </c>
      <c r="P1104" s="143" t="str">
        <f>NUT!CL84</f>
        <v/>
      </c>
      <c r="R1104">
        <f t="shared" si="17"/>
        <v>1103</v>
      </c>
    </row>
    <row r="1105" spans="5:18">
      <c r="E1105" s="147" t="s">
        <v>62</v>
      </c>
      <c r="F1105" t="str">
        <f>NUT!CB85</f>
        <v>HPS</v>
      </c>
      <c r="G1105" t="str">
        <f>NUT!CC85</f>
        <v>AC</v>
      </c>
      <c r="H1105" t="str">
        <f>NUT!CD85</f>
        <v>Vessel</v>
      </c>
      <c r="I1105">
        <f>NUT!CE85</f>
        <v>0</v>
      </c>
      <c r="J1105">
        <f>NUT!CF85</f>
        <v>0</v>
      </c>
      <c r="K1105">
        <f>NUT!CG85</f>
        <v>0</v>
      </c>
      <c r="L1105" t="str">
        <f>NUT!CH85</f>
        <v/>
      </c>
      <c r="M1105">
        <f>NUT!CI85</f>
        <v>0</v>
      </c>
      <c r="N1105">
        <f>NUT!CJ85</f>
        <v>0</v>
      </c>
      <c r="O1105">
        <f>NUT!CK85</f>
        <v>0</v>
      </c>
      <c r="P1105" s="143" t="str">
        <f>NUT!CL85</f>
        <v/>
      </c>
      <c r="R1105">
        <f t="shared" si="17"/>
        <v>1104</v>
      </c>
    </row>
    <row r="1106" spans="5:18">
      <c r="E1106" s="147" t="s">
        <v>62</v>
      </c>
      <c r="F1106" t="str">
        <f>NUT!CB86</f>
        <v>HPS</v>
      </c>
      <c r="G1106" t="str">
        <f>NUT!CC86</f>
        <v>AC</v>
      </c>
      <c r="H1106" t="str">
        <f>NUT!CD86</f>
        <v>Vessel</v>
      </c>
      <c r="I1106">
        <f>NUT!CE86</f>
        <v>0</v>
      </c>
      <c r="J1106">
        <f>NUT!CF86</f>
        <v>0</v>
      </c>
      <c r="K1106">
        <f>NUT!CG86</f>
        <v>0</v>
      </c>
      <c r="L1106" t="str">
        <f>NUT!CH86</f>
        <v/>
      </c>
      <c r="M1106">
        <f>NUT!CI86</f>
        <v>0</v>
      </c>
      <c r="N1106">
        <f>NUT!CJ86</f>
        <v>0</v>
      </c>
      <c r="O1106">
        <f>NUT!CK86</f>
        <v>0</v>
      </c>
      <c r="P1106" s="143" t="str">
        <f>NUT!CL86</f>
        <v/>
      </c>
      <c r="R1106">
        <f t="shared" si="17"/>
        <v>1105</v>
      </c>
    </row>
    <row r="1107" spans="5:18">
      <c r="E1107" s="147" t="s">
        <v>62</v>
      </c>
      <c r="F1107" t="str">
        <f>NUT!CB87</f>
        <v>HPS</v>
      </c>
      <c r="G1107" t="str">
        <f>NUT!CC87</f>
        <v>AC</v>
      </c>
      <c r="H1107" t="str">
        <f>NUT!CD87</f>
        <v>Vessel</v>
      </c>
      <c r="I1107">
        <f>NUT!CE87</f>
        <v>0</v>
      </c>
      <c r="J1107">
        <f>NUT!CF87</f>
        <v>0</v>
      </c>
      <c r="K1107">
        <f>NUT!CG87</f>
        <v>0</v>
      </c>
      <c r="L1107" t="str">
        <f>NUT!CH87</f>
        <v/>
      </c>
      <c r="M1107">
        <f>NUT!CI87</f>
        <v>0</v>
      </c>
      <c r="N1107">
        <f>NUT!CJ87</f>
        <v>0</v>
      </c>
      <c r="O1107">
        <f>NUT!CK87</f>
        <v>0</v>
      </c>
      <c r="P1107" s="143" t="str">
        <f>NUT!CL87</f>
        <v/>
      </c>
      <c r="R1107">
        <f t="shared" si="17"/>
        <v>1106</v>
      </c>
    </row>
    <row r="1108" spans="5:18">
      <c r="E1108" s="147" t="s">
        <v>62</v>
      </c>
      <c r="F1108" t="str">
        <f>NUT!CB88</f>
        <v>HPS</v>
      </c>
      <c r="G1108" t="str">
        <f>NUT!CC88</f>
        <v>AC</v>
      </c>
      <c r="H1108" t="str">
        <f>NUT!CD88</f>
        <v>Vessel</v>
      </c>
      <c r="I1108">
        <f>NUT!CE88</f>
        <v>0</v>
      </c>
      <c r="J1108">
        <f>NUT!CF88</f>
        <v>0</v>
      </c>
      <c r="K1108">
        <f>NUT!CG88</f>
        <v>0</v>
      </c>
      <c r="L1108" t="str">
        <f>NUT!CH88</f>
        <v/>
      </c>
      <c r="M1108">
        <f>NUT!CI88</f>
        <v>0</v>
      </c>
      <c r="N1108">
        <f>NUT!CJ88</f>
        <v>0</v>
      </c>
      <c r="O1108">
        <f>NUT!CK88</f>
        <v>0</v>
      </c>
      <c r="P1108" s="143" t="str">
        <f>NUT!CL88</f>
        <v/>
      </c>
      <c r="R1108">
        <f t="shared" si="17"/>
        <v>1107</v>
      </c>
    </row>
    <row r="1109" spans="5:18">
      <c r="E1109" s="147" t="s">
        <v>62</v>
      </c>
      <c r="F1109" t="str">
        <f>NUT!CB89</f>
        <v>HPS</v>
      </c>
      <c r="G1109" t="str">
        <f>NUT!CC89</f>
        <v>AC</v>
      </c>
      <c r="H1109" t="str">
        <f>NUT!CD89</f>
        <v>Vessel</v>
      </c>
      <c r="I1109">
        <f>NUT!CE89</f>
        <v>0</v>
      </c>
      <c r="J1109">
        <f>NUT!CF89</f>
        <v>0</v>
      </c>
      <c r="K1109">
        <f>NUT!CG89</f>
        <v>0</v>
      </c>
      <c r="L1109" t="str">
        <f>NUT!CH89</f>
        <v/>
      </c>
      <c r="M1109">
        <f>NUT!CI89</f>
        <v>0</v>
      </c>
      <c r="N1109">
        <f>NUT!CJ89</f>
        <v>0</v>
      </c>
      <c r="O1109">
        <f>NUT!CK89</f>
        <v>0</v>
      </c>
      <c r="P1109" s="143" t="str">
        <f>NUT!CL89</f>
        <v/>
      </c>
      <c r="R1109">
        <f t="shared" si="17"/>
        <v>1108</v>
      </c>
    </row>
    <row r="1110" spans="5:18">
      <c r="E1110" s="147" t="s">
        <v>62</v>
      </c>
      <c r="F1110" t="str">
        <f>NUT!CB90</f>
        <v>HPS</v>
      </c>
      <c r="G1110" t="str">
        <f>NUT!CC90</f>
        <v>AC</v>
      </c>
      <c r="H1110" t="str">
        <f>NUT!CD90</f>
        <v>Vessel</v>
      </c>
      <c r="I1110">
        <f>NUT!CE90</f>
        <v>0</v>
      </c>
      <c r="J1110">
        <f>NUT!CF90</f>
        <v>0</v>
      </c>
      <c r="K1110">
        <f>NUT!CG90</f>
        <v>0</v>
      </c>
      <c r="L1110" t="str">
        <f>NUT!CH90</f>
        <v/>
      </c>
      <c r="M1110">
        <f>NUT!CI90</f>
        <v>0</v>
      </c>
      <c r="N1110">
        <f>NUT!CJ90</f>
        <v>0</v>
      </c>
      <c r="O1110">
        <f>NUT!CK90</f>
        <v>0</v>
      </c>
      <c r="P1110" s="143" t="str">
        <f>NUT!CL90</f>
        <v/>
      </c>
      <c r="R1110">
        <f t="shared" si="17"/>
        <v>1109</v>
      </c>
    </row>
    <row r="1111" spans="5:18">
      <c r="E1111" s="147" t="s">
        <v>62</v>
      </c>
      <c r="F1111" t="str">
        <f>NUT!CB91</f>
        <v>HPS</v>
      </c>
      <c r="G1111" t="str">
        <f>NUT!CC91</f>
        <v>AC</v>
      </c>
      <c r="H1111" t="str">
        <f>NUT!CD91</f>
        <v>Vessel</v>
      </c>
      <c r="I1111">
        <f>NUT!CE91</f>
        <v>0</v>
      </c>
      <c r="J1111">
        <f>NUT!CF91</f>
        <v>0</v>
      </c>
      <c r="K1111">
        <f>NUT!CG91</f>
        <v>0</v>
      </c>
      <c r="L1111" t="str">
        <f>NUT!CH91</f>
        <v/>
      </c>
      <c r="M1111">
        <f>NUT!CI91</f>
        <v>0</v>
      </c>
      <c r="N1111">
        <f>NUT!CJ91</f>
        <v>0</v>
      </c>
      <c r="O1111">
        <f>NUT!CK91</f>
        <v>0</v>
      </c>
      <c r="P1111" s="143" t="str">
        <f>NUT!CL91</f>
        <v/>
      </c>
      <c r="R1111">
        <f t="shared" si="17"/>
        <v>1110</v>
      </c>
    </row>
    <row r="1112" spans="5:18">
      <c r="E1112" s="147" t="s">
        <v>62</v>
      </c>
      <c r="F1112" t="str">
        <f>NUT!CB92</f>
        <v>HPS</v>
      </c>
      <c r="G1112" t="str">
        <f>NUT!CC92</f>
        <v>AC</v>
      </c>
      <c r="H1112" t="str">
        <f>NUT!CD92</f>
        <v>Vessel</v>
      </c>
      <c r="I1112">
        <f>NUT!CE92</f>
        <v>0</v>
      </c>
      <c r="J1112">
        <f>NUT!CF92</f>
        <v>0</v>
      </c>
      <c r="K1112">
        <f>NUT!CG92</f>
        <v>0</v>
      </c>
      <c r="L1112" t="str">
        <f>NUT!CH92</f>
        <v/>
      </c>
      <c r="M1112">
        <f>NUT!CI92</f>
        <v>0</v>
      </c>
      <c r="N1112">
        <f>NUT!CJ92</f>
        <v>0</v>
      </c>
      <c r="O1112">
        <f>NUT!CK92</f>
        <v>0</v>
      </c>
      <c r="P1112" s="143" t="str">
        <f>NUT!CL92</f>
        <v/>
      </c>
      <c r="R1112">
        <f t="shared" si="17"/>
        <v>1111</v>
      </c>
    </row>
    <row r="1113" spans="5:18">
      <c r="E1113" s="147" t="s">
        <v>62</v>
      </c>
      <c r="F1113" t="str">
        <f>NUT!CB93</f>
        <v>HPS</v>
      </c>
      <c r="G1113" t="str">
        <f>NUT!CC93</f>
        <v>AC</v>
      </c>
      <c r="H1113" t="str">
        <f>NUT!CD93</f>
        <v>Vessel</v>
      </c>
      <c r="I1113">
        <f>NUT!CE93</f>
        <v>0</v>
      </c>
      <c r="J1113">
        <f>NUT!CF93</f>
        <v>0</v>
      </c>
      <c r="K1113">
        <f>NUT!CG93</f>
        <v>0</v>
      </c>
      <c r="L1113" t="str">
        <f>NUT!CH93</f>
        <v/>
      </c>
      <c r="M1113">
        <f>NUT!CI93</f>
        <v>0</v>
      </c>
      <c r="N1113">
        <f>NUT!CJ93</f>
        <v>0</v>
      </c>
      <c r="O1113">
        <f>NUT!CK93</f>
        <v>0</v>
      </c>
      <c r="P1113" s="143" t="str">
        <f>NUT!CL93</f>
        <v/>
      </c>
      <c r="R1113">
        <f t="shared" si="17"/>
        <v>1112</v>
      </c>
    </row>
    <row r="1114" spans="5:18">
      <c r="E1114" s="147" t="s">
        <v>62</v>
      </c>
      <c r="F1114" t="str">
        <f>NUT!CB94</f>
        <v>HPS</v>
      </c>
      <c r="G1114" t="str">
        <f>NUT!CC94</f>
        <v>AC</v>
      </c>
      <c r="H1114" t="str">
        <f>NUT!CD94</f>
        <v>Vessel</v>
      </c>
      <c r="I1114">
        <f>NUT!CE94</f>
        <v>0</v>
      </c>
      <c r="J1114">
        <f>NUT!CF94</f>
        <v>0</v>
      </c>
      <c r="K1114">
        <f>NUT!CG94</f>
        <v>0</v>
      </c>
      <c r="L1114" t="str">
        <f>NUT!CH94</f>
        <v/>
      </c>
      <c r="M1114">
        <f>NUT!CI94</f>
        <v>0</v>
      </c>
      <c r="N1114">
        <f>NUT!CJ94</f>
        <v>0</v>
      </c>
      <c r="O1114">
        <f>NUT!CK94</f>
        <v>0</v>
      </c>
      <c r="P1114" s="143" t="str">
        <f>NUT!CL94</f>
        <v/>
      </c>
      <c r="R1114">
        <f t="shared" si="17"/>
        <v>1113</v>
      </c>
    </row>
    <row r="1115" spans="5:18">
      <c r="E1115" s="147" t="s">
        <v>62</v>
      </c>
      <c r="F1115" t="str">
        <f>NUT!CB95</f>
        <v>HPS</v>
      </c>
      <c r="G1115" t="str">
        <f>NUT!CC95</f>
        <v>AC</v>
      </c>
      <c r="H1115" t="str">
        <f>NUT!CD95</f>
        <v>Vessel</v>
      </c>
      <c r="I1115">
        <f>NUT!CE95</f>
        <v>0</v>
      </c>
      <c r="J1115">
        <f>NUT!CF95</f>
        <v>0</v>
      </c>
      <c r="K1115">
        <f>NUT!CG95</f>
        <v>0</v>
      </c>
      <c r="L1115" t="str">
        <f>NUT!CH95</f>
        <v/>
      </c>
      <c r="M1115">
        <f>NUT!CI95</f>
        <v>0</v>
      </c>
      <c r="N1115">
        <f>NUT!CJ95</f>
        <v>0</v>
      </c>
      <c r="O1115">
        <f>NUT!CK95</f>
        <v>0</v>
      </c>
      <c r="P1115" s="143" t="str">
        <f>NUT!CL95</f>
        <v/>
      </c>
      <c r="R1115">
        <f t="shared" si="17"/>
        <v>1114</v>
      </c>
    </row>
    <row r="1116" spans="5:18">
      <c r="E1116" s="147" t="s">
        <v>62</v>
      </c>
      <c r="F1116" t="str">
        <f>NUT!CB96</f>
        <v>HPS</v>
      </c>
      <c r="G1116" t="str">
        <f>NUT!CC96</f>
        <v>AC</v>
      </c>
      <c r="H1116" t="str">
        <f>NUT!CD96</f>
        <v>Vessel</v>
      </c>
      <c r="I1116">
        <f>NUT!CE96</f>
        <v>0</v>
      </c>
      <c r="J1116">
        <f>NUT!CF96</f>
        <v>0</v>
      </c>
      <c r="K1116">
        <f>NUT!CG96</f>
        <v>0</v>
      </c>
      <c r="L1116" t="str">
        <f>NUT!CH96</f>
        <v/>
      </c>
      <c r="M1116">
        <f>NUT!CI96</f>
        <v>0</v>
      </c>
      <c r="N1116">
        <f>NUT!CJ96</f>
        <v>0</v>
      </c>
      <c r="O1116">
        <f>NUT!CK96</f>
        <v>0</v>
      </c>
      <c r="P1116" s="143" t="str">
        <f>NUT!CL96</f>
        <v/>
      </c>
      <c r="R1116">
        <f t="shared" si="17"/>
        <v>1115</v>
      </c>
    </row>
    <row r="1117" spans="5:18">
      <c r="E1117" s="147" t="s">
        <v>62</v>
      </c>
      <c r="F1117" t="str">
        <f>NUT!CB97</f>
        <v>HPS</v>
      </c>
      <c r="G1117" t="str">
        <f>NUT!CC97</f>
        <v>AC</v>
      </c>
      <c r="H1117" t="str">
        <f>NUT!CD97</f>
        <v>Vessel</v>
      </c>
      <c r="I1117">
        <f>NUT!CE97</f>
        <v>0</v>
      </c>
      <c r="J1117">
        <f>NUT!CF97</f>
        <v>0</v>
      </c>
      <c r="K1117">
        <f>NUT!CG97</f>
        <v>0</v>
      </c>
      <c r="L1117" t="str">
        <f>NUT!CH97</f>
        <v/>
      </c>
      <c r="M1117">
        <f>NUT!CI97</f>
        <v>0</v>
      </c>
      <c r="N1117">
        <f>NUT!CJ97</f>
        <v>0</v>
      </c>
      <c r="O1117">
        <f>NUT!CK97</f>
        <v>0</v>
      </c>
      <c r="P1117" s="143" t="str">
        <f>NUT!CL97</f>
        <v/>
      </c>
      <c r="R1117">
        <f t="shared" si="17"/>
        <v>1116</v>
      </c>
    </row>
    <row r="1118" spans="5:18">
      <c r="E1118" s="147" t="s">
        <v>62</v>
      </c>
      <c r="F1118" t="str">
        <f>NUT!CB98</f>
        <v>HPS</v>
      </c>
      <c r="G1118" t="str">
        <f>NUT!CC98</f>
        <v>AC</v>
      </c>
      <c r="H1118" t="str">
        <f>NUT!CD98</f>
        <v>Vessel</v>
      </c>
      <c r="I1118">
        <f>NUT!CE98</f>
        <v>0</v>
      </c>
      <c r="J1118">
        <f>NUT!CF98</f>
        <v>0</v>
      </c>
      <c r="K1118">
        <f>NUT!CG98</f>
        <v>0</v>
      </c>
      <c r="L1118" t="str">
        <f>NUT!CH98</f>
        <v/>
      </c>
      <c r="M1118">
        <f>NUT!CI98</f>
        <v>0</v>
      </c>
      <c r="N1118">
        <f>NUT!CJ98</f>
        <v>0</v>
      </c>
      <c r="O1118">
        <f>NUT!CK98</f>
        <v>0</v>
      </c>
      <c r="P1118" s="143" t="str">
        <f>NUT!CL98</f>
        <v/>
      </c>
      <c r="R1118">
        <f t="shared" si="17"/>
        <v>1117</v>
      </c>
    </row>
    <row r="1119" spans="5:18">
      <c r="E1119" s="147" t="s">
        <v>62</v>
      </c>
      <c r="F1119" t="str">
        <f>NUT!CB99</f>
        <v>HPS</v>
      </c>
      <c r="G1119" t="str">
        <f>NUT!CC99</f>
        <v>AC</v>
      </c>
      <c r="H1119" t="str">
        <f>NUT!CD99</f>
        <v>Vessel</v>
      </c>
      <c r="I1119">
        <f>NUT!CE99</f>
        <v>0</v>
      </c>
      <c r="J1119">
        <f>NUT!CF99</f>
        <v>0</v>
      </c>
      <c r="K1119">
        <f>NUT!CG99</f>
        <v>0</v>
      </c>
      <c r="L1119" t="str">
        <f>NUT!CH99</f>
        <v/>
      </c>
      <c r="M1119">
        <f>NUT!CI99</f>
        <v>0</v>
      </c>
      <c r="N1119">
        <f>NUT!CJ99</f>
        <v>0</v>
      </c>
      <c r="O1119">
        <f>NUT!CK99</f>
        <v>0</v>
      </c>
      <c r="P1119" s="143" t="str">
        <f>NUT!CL99</f>
        <v/>
      </c>
      <c r="R1119">
        <f t="shared" si="17"/>
        <v>1118</v>
      </c>
    </row>
    <row r="1120" spans="5:18">
      <c r="E1120" s="147" t="s">
        <v>62</v>
      </c>
      <c r="F1120" t="str">
        <f>NUT!CB100</f>
        <v>HPS</v>
      </c>
      <c r="G1120" t="str">
        <f>NUT!CC100</f>
        <v>AC</v>
      </c>
      <c r="H1120" t="str">
        <f>NUT!CD100</f>
        <v>Vessel</v>
      </c>
      <c r="I1120">
        <f>NUT!CE100</f>
        <v>0</v>
      </c>
      <c r="J1120">
        <f>NUT!CF100</f>
        <v>0</v>
      </c>
      <c r="K1120">
        <f>NUT!CG100</f>
        <v>0</v>
      </c>
      <c r="L1120" t="str">
        <f>NUT!CH100</f>
        <v/>
      </c>
      <c r="M1120">
        <f>NUT!CI100</f>
        <v>0</v>
      </c>
      <c r="N1120">
        <f>NUT!CJ100</f>
        <v>0</v>
      </c>
      <c r="O1120">
        <f>NUT!CK100</f>
        <v>0</v>
      </c>
      <c r="P1120" s="143" t="str">
        <f>NUT!CL100</f>
        <v/>
      </c>
      <c r="R1120">
        <f t="shared" si="17"/>
        <v>1119</v>
      </c>
    </row>
    <row r="1121" spans="5:18" ht="17.100000000000001" thickBot="1">
      <c r="E1121" s="148" t="s">
        <v>62</v>
      </c>
      <c r="F1121" s="144" t="str">
        <f>NUT!CB101</f>
        <v>HPS</v>
      </c>
      <c r="G1121" s="144" t="str">
        <f>NUT!CC101</f>
        <v>AC</v>
      </c>
      <c r="H1121" s="144" t="str">
        <f>NUT!CD101</f>
        <v>Vessel</v>
      </c>
      <c r="I1121" s="144">
        <f>NUT!CE101</f>
        <v>0</v>
      </c>
      <c r="J1121" s="144">
        <f>NUT!CF101</f>
        <v>0</v>
      </c>
      <c r="K1121" s="144">
        <f>NUT!CG101</f>
        <v>0</v>
      </c>
      <c r="L1121" s="144" t="str">
        <f>NUT!CH101</f>
        <v/>
      </c>
      <c r="M1121" s="144">
        <f>NUT!CI101</f>
        <v>0</v>
      </c>
      <c r="N1121" s="144">
        <f>NUT!CJ101</f>
        <v>0</v>
      </c>
      <c r="O1121" s="144">
        <f>NUT!CK101</f>
        <v>0</v>
      </c>
      <c r="P1121" s="145" t="str">
        <f>NUT!CL101</f>
        <v/>
      </c>
      <c r="R1121">
        <f t="shared" si="17"/>
        <v>1120</v>
      </c>
    </row>
    <row r="1122" spans="5:18">
      <c r="E1122" s="146" t="s">
        <v>63</v>
      </c>
      <c r="F1122" s="141" t="str">
        <f>NV!CA2</f>
        <v>HPS</v>
      </c>
      <c r="G1122" s="141" t="str">
        <f>NV!CB2</f>
        <v>AC</v>
      </c>
      <c r="H1122" s="141" t="str">
        <f>NV!CC2</f>
        <v>Head</v>
      </c>
      <c r="I1122" s="141">
        <f>NV!CD2</f>
        <v>0</v>
      </c>
      <c r="J1122" s="141" t="str">
        <f>NV!CE2</f>
        <v>Needle Valve</v>
      </c>
      <c r="K1122" s="141" t="str">
        <f>NV!CF2</f>
        <v>60-12HF4</v>
      </c>
      <c r="L1122" s="141" t="str">
        <f>NV!CG2</f>
        <v>NV-A3</v>
      </c>
      <c r="M1122" s="141">
        <f>NV!CH2</f>
        <v>0</v>
      </c>
      <c r="N1122" s="141">
        <f>NV!CI2</f>
        <v>0</v>
      </c>
      <c r="O1122" s="141">
        <f>NV!CJ2</f>
        <v>0</v>
      </c>
      <c r="P1122" s="142" t="str">
        <f>NV!CK2</f>
        <v>Superseded</v>
      </c>
      <c r="R1122">
        <f t="shared" si="17"/>
        <v>1121</v>
      </c>
    </row>
    <row r="1123" spans="5:18">
      <c r="E1123" s="147" t="s">
        <v>63</v>
      </c>
      <c r="F1123" t="str">
        <f>NV!CA3</f>
        <v>HPS</v>
      </c>
      <c r="G1123" t="str">
        <f>NV!CB3</f>
        <v>AC</v>
      </c>
      <c r="H1123" t="str">
        <f>NV!CC3</f>
        <v>Head</v>
      </c>
      <c r="I1123">
        <f>NV!CD3</f>
        <v>0</v>
      </c>
      <c r="J1123" t="str">
        <f>NV!CE3</f>
        <v>Needle Valve</v>
      </c>
      <c r="K1123" t="str">
        <f>NV!CF3</f>
        <v>60-12HF4</v>
      </c>
      <c r="L1123" t="str">
        <f>NV!CG3</f>
        <v>NV-B1</v>
      </c>
      <c r="M1123">
        <f>NV!CH3</f>
        <v>0</v>
      </c>
      <c r="N1123">
        <f>NV!CI3</f>
        <v>0</v>
      </c>
      <c r="O1123">
        <f>NV!CJ3</f>
        <v>0</v>
      </c>
      <c r="P1123" s="143" t="str">
        <f>NV!CK3</f>
        <v>Superseded</v>
      </c>
      <c r="R1123">
        <f t="shared" si="17"/>
        <v>1122</v>
      </c>
    </row>
    <row r="1124" spans="5:18">
      <c r="E1124" s="147" t="s">
        <v>63</v>
      </c>
      <c r="F1124" t="str">
        <f>NV!CA4</f>
        <v>HPS</v>
      </c>
      <c r="G1124" t="str">
        <f>NV!CB4</f>
        <v>AC</v>
      </c>
      <c r="H1124" t="str">
        <f>NV!CC4</f>
        <v>Head</v>
      </c>
      <c r="I1124">
        <f>NV!CD4</f>
        <v>0</v>
      </c>
      <c r="J1124" t="str">
        <f>NV!CE4</f>
        <v>Needle Valve</v>
      </c>
      <c r="K1124" t="str">
        <f>NV!CF4</f>
        <v>60-12HF4</v>
      </c>
      <c r="L1124" t="str">
        <f>NV!CG4</f>
        <v>NV-B2</v>
      </c>
      <c r="M1124">
        <f>NV!CH4</f>
        <v>0</v>
      </c>
      <c r="N1124">
        <f>NV!CI4</f>
        <v>0</v>
      </c>
      <c r="O1124">
        <f>NV!CJ4</f>
        <v>0</v>
      </c>
      <c r="P1124" s="143" t="str">
        <f>NV!CK4</f>
        <v>Superseded</v>
      </c>
      <c r="R1124">
        <f t="shared" si="17"/>
        <v>1123</v>
      </c>
    </row>
    <row r="1125" spans="5:18">
      <c r="E1125" s="147" t="s">
        <v>63</v>
      </c>
      <c r="F1125" t="str">
        <f>NV!CA5</f>
        <v>HPS</v>
      </c>
      <c r="G1125" t="str">
        <f>NV!CB5</f>
        <v>AC</v>
      </c>
      <c r="H1125" t="str">
        <f>NV!CC5</f>
        <v>Head</v>
      </c>
      <c r="I1125">
        <f>NV!CD5</f>
        <v>0</v>
      </c>
      <c r="J1125" t="str">
        <f>NV!CE5</f>
        <v>Needle Valve</v>
      </c>
      <c r="K1125" t="str">
        <f>NV!CF5</f>
        <v>60-12HF4</v>
      </c>
      <c r="L1125" t="str">
        <f>NV!CG5</f>
        <v>NV-C2</v>
      </c>
      <c r="M1125">
        <f>NV!CH5</f>
        <v>0</v>
      </c>
      <c r="N1125">
        <f>NV!CI5</f>
        <v>0</v>
      </c>
      <c r="O1125">
        <f>NV!CJ5</f>
        <v>0</v>
      </c>
      <c r="P1125" s="143" t="str">
        <f>NV!CK5</f>
        <v>Superseded</v>
      </c>
      <c r="R1125">
        <f t="shared" si="17"/>
        <v>1124</v>
      </c>
    </row>
    <row r="1126" spans="5:18">
      <c r="E1126" s="147" t="s">
        <v>63</v>
      </c>
      <c r="F1126" t="str">
        <f>NV!CA6</f>
        <v>HPS</v>
      </c>
      <c r="G1126" t="str">
        <f>NV!CB6</f>
        <v>AC</v>
      </c>
      <c r="H1126" t="str">
        <f>NV!CC6</f>
        <v>Head</v>
      </c>
      <c r="I1126">
        <f>NV!CD6</f>
        <v>0</v>
      </c>
      <c r="J1126" t="str">
        <f>NV!CE6</f>
        <v>Needle Valve</v>
      </c>
      <c r="K1126" t="str">
        <f>NV!CF6</f>
        <v>60-12HF4</v>
      </c>
      <c r="L1126" t="str">
        <f>NV!CG6</f>
        <v>NV-D2</v>
      </c>
      <c r="M1126">
        <f>NV!CH6</f>
        <v>0</v>
      </c>
      <c r="N1126">
        <f>NV!CI6</f>
        <v>0</v>
      </c>
      <c r="O1126">
        <f>NV!CJ6</f>
        <v>0</v>
      </c>
      <c r="P1126" s="143" t="str">
        <f>NV!CK6</f>
        <v>Superseded</v>
      </c>
      <c r="R1126">
        <f t="shared" si="17"/>
        <v>1125</v>
      </c>
    </row>
    <row r="1127" spans="5:18">
      <c r="E1127" s="147" t="s">
        <v>63</v>
      </c>
      <c r="F1127" t="str">
        <f>NV!CA7</f>
        <v>HPS</v>
      </c>
      <c r="G1127" t="str">
        <f>NV!CB7</f>
        <v>AC</v>
      </c>
      <c r="H1127" t="str">
        <f>NV!CC7</f>
        <v>Head</v>
      </c>
      <c r="I1127">
        <f>NV!CD7</f>
        <v>0</v>
      </c>
      <c r="J1127" t="str">
        <f>NV!CE7</f>
        <v>Needle Valve</v>
      </c>
      <c r="K1127" t="str">
        <f>NV!CF7</f>
        <v>60-12HF4</v>
      </c>
      <c r="L1127" t="str">
        <f>NV!CG7</f>
        <v>NV-F1</v>
      </c>
      <c r="M1127">
        <f>NV!CH7</f>
        <v>0</v>
      </c>
      <c r="N1127">
        <f>NV!CI7</f>
        <v>0</v>
      </c>
      <c r="O1127">
        <f>NV!CJ7</f>
        <v>0</v>
      </c>
      <c r="P1127" s="143" t="str">
        <f>NV!CK7</f>
        <v>Superseded</v>
      </c>
      <c r="R1127">
        <f t="shared" si="17"/>
        <v>1126</v>
      </c>
    </row>
    <row r="1128" spans="5:18">
      <c r="E1128" s="147" t="s">
        <v>63</v>
      </c>
      <c r="F1128" t="str">
        <f>NV!CA8</f>
        <v>HPS</v>
      </c>
      <c r="G1128" t="str">
        <f>NV!CB8</f>
        <v>AC</v>
      </c>
      <c r="H1128" t="str">
        <f>NV!CC8</f>
        <v>Head</v>
      </c>
      <c r="I1128">
        <f>NV!CD8</f>
        <v>0</v>
      </c>
      <c r="J1128" t="str">
        <f>NV!CE8</f>
        <v>Needle Valve</v>
      </c>
      <c r="K1128" t="str">
        <f>NV!CF8</f>
        <v>60-12HF4</v>
      </c>
      <c r="L1128" t="str">
        <f>NV!CG8</f>
        <v>NV-F2</v>
      </c>
      <c r="M1128">
        <f>NV!CH8</f>
        <v>0</v>
      </c>
      <c r="N1128">
        <f>NV!CI8</f>
        <v>0</v>
      </c>
      <c r="O1128">
        <f>NV!CJ8</f>
        <v>0</v>
      </c>
      <c r="P1128" s="143" t="str">
        <f>NV!CK8</f>
        <v>Superseded</v>
      </c>
      <c r="R1128">
        <f t="shared" si="17"/>
        <v>1127</v>
      </c>
    </row>
    <row r="1129" spans="5:18">
      <c r="E1129" s="147" t="s">
        <v>63</v>
      </c>
      <c r="F1129" t="str">
        <f>NV!CA9</f>
        <v>HPS</v>
      </c>
      <c r="G1129" t="str">
        <f>NV!CB9</f>
        <v>AC</v>
      </c>
      <c r="H1129" t="str">
        <f>NV!CC9</f>
        <v>Head</v>
      </c>
      <c r="I1129">
        <f>NV!CD9</f>
        <v>0</v>
      </c>
      <c r="J1129" t="str">
        <f>NV!CE9</f>
        <v>Needle Valve</v>
      </c>
      <c r="K1129" t="str">
        <f>NV!CF9</f>
        <v>60-12HF4</v>
      </c>
      <c r="L1129" t="str">
        <f>NV!CG9</f>
        <v>NV-G1</v>
      </c>
      <c r="M1129">
        <f>NV!CH9</f>
        <v>0</v>
      </c>
      <c r="N1129">
        <f>NV!CI9</f>
        <v>0</v>
      </c>
      <c r="O1129">
        <f>NV!CJ9</f>
        <v>0</v>
      </c>
      <c r="P1129" s="143" t="str">
        <f>NV!CK9</f>
        <v>Superseded</v>
      </c>
      <c r="R1129">
        <f t="shared" si="17"/>
        <v>1128</v>
      </c>
    </row>
    <row r="1130" spans="5:18">
      <c r="E1130" s="147" t="s">
        <v>63</v>
      </c>
      <c r="F1130" t="str">
        <f>NV!CA10</f>
        <v>HPS</v>
      </c>
      <c r="G1130" t="str">
        <f>NV!CB10</f>
        <v>AC</v>
      </c>
      <c r="H1130" t="str">
        <f>NV!CC10</f>
        <v>Head</v>
      </c>
      <c r="I1130">
        <f>NV!CD10</f>
        <v>0</v>
      </c>
      <c r="J1130" t="str">
        <f>NV!CE10</f>
        <v>Needle Valve</v>
      </c>
      <c r="K1130" t="str">
        <f>NV!CF10</f>
        <v>60-12HF4</v>
      </c>
      <c r="L1130" t="str">
        <f>NV!CG10</f>
        <v>NV-G2</v>
      </c>
      <c r="M1130">
        <f>NV!CH10</f>
        <v>0</v>
      </c>
      <c r="N1130">
        <f>NV!CI10</f>
        <v>0</v>
      </c>
      <c r="O1130">
        <f>NV!CJ10</f>
        <v>0</v>
      </c>
      <c r="P1130" s="143" t="str">
        <f>NV!CK10</f>
        <v>Superseded</v>
      </c>
      <c r="R1130">
        <f t="shared" si="17"/>
        <v>1129</v>
      </c>
    </row>
    <row r="1131" spans="5:18">
      <c r="E1131" s="147" t="s">
        <v>63</v>
      </c>
      <c r="F1131" t="str">
        <f>NV!CA11</f>
        <v>HPS</v>
      </c>
      <c r="G1131" t="str">
        <f>NV!CB11</f>
        <v>AC</v>
      </c>
      <c r="H1131" t="str">
        <f>NV!CC11</f>
        <v>Head</v>
      </c>
      <c r="I1131">
        <f>NV!CD11</f>
        <v>0</v>
      </c>
      <c r="J1131" t="str">
        <f>NV!CE11</f>
        <v>Needle Valve</v>
      </c>
      <c r="K1131" t="str">
        <f>NV!CF11</f>
        <v>60-12HF4</v>
      </c>
      <c r="L1131" t="str">
        <f>NV!CG11</f>
        <v>NV-H1</v>
      </c>
      <c r="M1131">
        <f>NV!CH11</f>
        <v>0</v>
      </c>
      <c r="N1131">
        <f>NV!CI11</f>
        <v>0</v>
      </c>
      <c r="O1131">
        <f>NV!CJ11</f>
        <v>0</v>
      </c>
      <c r="P1131" s="143" t="str">
        <f>NV!CK11</f>
        <v>Superseded</v>
      </c>
      <c r="R1131">
        <f t="shared" si="17"/>
        <v>1130</v>
      </c>
    </row>
    <row r="1132" spans="5:18">
      <c r="E1132" s="147" t="s">
        <v>63</v>
      </c>
      <c r="F1132" t="str">
        <f>NV!CA12</f>
        <v>HPS</v>
      </c>
      <c r="G1132" t="str">
        <f>NV!CB12</f>
        <v>AC</v>
      </c>
      <c r="H1132" t="str">
        <f>NV!CC12</f>
        <v>Head</v>
      </c>
      <c r="I1132">
        <f>NV!CD12</f>
        <v>0</v>
      </c>
      <c r="J1132" t="str">
        <f>NV!CE12</f>
        <v>Needle Valve</v>
      </c>
      <c r="K1132" t="str">
        <f>NV!CF12</f>
        <v>60-12HF4</v>
      </c>
      <c r="L1132" t="str">
        <f>NV!CG12</f>
        <v>NV-H2</v>
      </c>
      <c r="M1132">
        <f>NV!CH12</f>
        <v>0</v>
      </c>
      <c r="N1132">
        <f>NV!CI12</f>
        <v>0</v>
      </c>
      <c r="O1132">
        <f>NV!CJ12</f>
        <v>0</v>
      </c>
      <c r="P1132" s="143" t="str">
        <f>NV!CK12</f>
        <v>Superseded</v>
      </c>
      <c r="R1132">
        <f t="shared" si="17"/>
        <v>1131</v>
      </c>
    </row>
    <row r="1133" spans="5:18">
      <c r="E1133" s="147" t="s">
        <v>63</v>
      </c>
      <c r="F1133" t="str">
        <f>NV!CA13</f>
        <v>HPS</v>
      </c>
      <c r="G1133" t="str">
        <f>NV!CB13</f>
        <v>AC</v>
      </c>
      <c r="H1133" t="str">
        <f>NV!CC13</f>
        <v>Head</v>
      </c>
      <c r="I1133">
        <f>NV!CD13</f>
        <v>0</v>
      </c>
      <c r="J1133" t="str">
        <f>NV!CE13</f>
        <v>Needle Valve</v>
      </c>
      <c r="K1133" t="str">
        <f>NV!CF13</f>
        <v>60-12HF4</v>
      </c>
      <c r="L1133" t="str">
        <f>NV!CG13</f>
        <v>NV-K1</v>
      </c>
      <c r="M1133">
        <f>NV!CH13</f>
        <v>0</v>
      </c>
      <c r="N1133">
        <f>NV!CI13</f>
        <v>0</v>
      </c>
      <c r="O1133">
        <f>NV!CJ13</f>
        <v>0</v>
      </c>
      <c r="P1133" s="143" t="str">
        <f>NV!CK13</f>
        <v>Superseded</v>
      </c>
      <c r="R1133">
        <f t="shared" si="17"/>
        <v>1132</v>
      </c>
    </row>
    <row r="1134" spans="5:18">
      <c r="E1134" s="147" t="s">
        <v>63</v>
      </c>
      <c r="F1134" t="str">
        <f>NV!CA14</f>
        <v>HPS</v>
      </c>
      <c r="G1134" t="str">
        <f>NV!CB14</f>
        <v>AC</v>
      </c>
      <c r="H1134" t="str">
        <f>NV!CC14</f>
        <v>Head</v>
      </c>
      <c r="I1134">
        <f>NV!CD14</f>
        <v>0</v>
      </c>
      <c r="J1134" t="str">
        <f>NV!CE14</f>
        <v>Needle Valve</v>
      </c>
      <c r="K1134" t="str">
        <f>NV!CF14</f>
        <v>60-12HF4</v>
      </c>
      <c r="L1134" t="str">
        <f>NV!CG14</f>
        <v>NV-K2</v>
      </c>
      <c r="M1134">
        <f>NV!CH14</f>
        <v>0</v>
      </c>
      <c r="N1134">
        <f>NV!CI14</f>
        <v>0</v>
      </c>
      <c r="O1134">
        <f>NV!CJ14</f>
        <v>0</v>
      </c>
      <c r="P1134" s="143" t="str">
        <f>NV!CK14</f>
        <v>Superseded</v>
      </c>
      <c r="R1134">
        <f t="shared" si="17"/>
        <v>1133</v>
      </c>
    </row>
    <row r="1135" spans="5:18">
      <c r="E1135" s="147" t="s">
        <v>63</v>
      </c>
      <c r="F1135" t="str">
        <f>NV!CA15</f>
        <v>HPS</v>
      </c>
      <c r="G1135" t="str">
        <f>NV!CB15</f>
        <v>AC</v>
      </c>
      <c r="H1135" t="str">
        <f>NV!CC15</f>
        <v>Head</v>
      </c>
      <c r="I1135">
        <f>NV!CD15</f>
        <v>0</v>
      </c>
      <c r="J1135" t="str">
        <f>NV!CE15</f>
        <v>Needle Valve</v>
      </c>
      <c r="K1135" t="str">
        <f>NV!CF15</f>
        <v>60-12HF4</v>
      </c>
      <c r="L1135" t="str">
        <f>NV!CG15</f>
        <v>NV-L1</v>
      </c>
      <c r="M1135">
        <f>NV!CH15</f>
        <v>0</v>
      </c>
      <c r="N1135">
        <f>NV!CI15</f>
        <v>0</v>
      </c>
      <c r="O1135">
        <f>NV!CJ15</f>
        <v>0</v>
      </c>
      <c r="P1135" s="143" t="str">
        <f>NV!CK15</f>
        <v>Superseded</v>
      </c>
      <c r="R1135">
        <f t="shared" si="17"/>
        <v>1134</v>
      </c>
    </row>
    <row r="1136" spans="5:18">
      <c r="E1136" s="147" t="s">
        <v>63</v>
      </c>
      <c r="F1136" t="str">
        <f>NV!CA16</f>
        <v>HPS</v>
      </c>
      <c r="G1136" t="str">
        <f>NV!CB16</f>
        <v>AC</v>
      </c>
      <c r="H1136" t="str">
        <f>NV!CC16</f>
        <v>Head</v>
      </c>
      <c r="I1136">
        <f>NV!CD16</f>
        <v>0</v>
      </c>
      <c r="J1136" t="str">
        <f>NV!CE16</f>
        <v>Needle Valve</v>
      </c>
      <c r="K1136" t="str">
        <f>NV!CF16</f>
        <v>60-12HF4</v>
      </c>
      <c r="L1136" t="str">
        <f>NV!CG16</f>
        <v>NV-L2</v>
      </c>
      <c r="M1136">
        <f>NV!CH16</f>
        <v>0</v>
      </c>
      <c r="N1136">
        <f>NV!CI16</f>
        <v>0</v>
      </c>
      <c r="O1136">
        <f>NV!CJ16</f>
        <v>0</v>
      </c>
      <c r="P1136" s="143" t="str">
        <f>NV!CK16</f>
        <v>Superseded</v>
      </c>
      <c r="R1136">
        <f t="shared" si="17"/>
        <v>1135</v>
      </c>
    </row>
    <row r="1137" spans="5:18">
      <c r="E1137" s="147" t="s">
        <v>63</v>
      </c>
      <c r="F1137" t="str">
        <f>NV!CA17</f>
        <v>HPS</v>
      </c>
      <c r="G1137" t="str">
        <f>NV!CB17</f>
        <v>AC</v>
      </c>
      <c r="H1137" t="str">
        <f>NV!CC17</f>
        <v>Head</v>
      </c>
      <c r="I1137">
        <f>NV!CD17</f>
        <v>0</v>
      </c>
      <c r="J1137" t="str">
        <f>NV!CE17</f>
        <v>Needle Valve</v>
      </c>
      <c r="K1137" t="str">
        <f>NV!CF17</f>
        <v>60-12HF4</v>
      </c>
      <c r="L1137" t="str">
        <f>NV!CG17</f>
        <v>NV-M1</v>
      </c>
      <c r="M1137">
        <f>NV!CH17</f>
        <v>0</v>
      </c>
      <c r="N1137">
        <f>NV!CI17</f>
        <v>0</v>
      </c>
      <c r="O1137">
        <f>NV!CJ17</f>
        <v>0</v>
      </c>
      <c r="P1137" s="143" t="str">
        <f>NV!CK17</f>
        <v>Superseded</v>
      </c>
      <c r="R1137">
        <f t="shared" si="17"/>
        <v>1136</v>
      </c>
    </row>
    <row r="1138" spans="5:18">
      <c r="E1138" s="147" t="s">
        <v>63</v>
      </c>
      <c r="F1138" t="str">
        <f>NV!CA18</f>
        <v>HPS</v>
      </c>
      <c r="G1138" t="str">
        <f>NV!CB18</f>
        <v>AC</v>
      </c>
      <c r="H1138" t="str">
        <f>NV!CC18</f>
        <v>Head</v>
      </c>
      <c r="I1138">
        <f>NV!CD18</f>
        <v>0</v>
      </c>
      <c r="J1138" t="str">
        <f>NV!CE18</f>
        <v>Needle Valve</v>
      </c>
      <c r="K1138" t="str">
        <f>NV!CF18</f>
        <v>60-12HF4</v>
      </c>
      <c r="L1138" t="str">
        <f>NV!CG18</f>
        <v>NV-M2</v>
      </c>
      <c r="M1138">
        <f>NV!CH18</f>
        <v>0</v>
      </c>
      <c r="N1138">
        <f>NV!CI18</f>
        <v>0</v>
      </c>
      <c r="O1138">
        <f>NV!CJ18</f>
        <v>0</v>
      </c>
      <c r="P1138" s="143" t="str">
        <f>NV!CK18</f>
        <v>Superseded</v>
      </c>
      <c r="R1138">
        <f t="shared" si="17"/>
        <v>1137</v>
      </c>
    </row>
    <row r="1139" spans="5:18">
      <c r="E1139" s="147" t="s">
        <v>63</v>
      </c>
      <c r="F1139" t="str">
        <f>NV!CA19</f>
        <v>HPS</v>
      </c>
      <c r="G1139" t="str">
        <f>NV!CB19</f>
        <v>AC</v>
      </c>
      <c r="H1139" t="str">
        <f>NV!CC19</f>
        <v>Head</v>
      </c>
      <c r="I1139">
        <f>NV!CD19</f>
        <v>0</v>
      </c>
      <c r="J1139" t="str">
        <f>NV!CE19</f>
        <v>Needle Valve</v>
      </c>
      <c r="K1139" t="str">
        <f>NV!CF19</f>
        <v>60-12HF4</v>
      </c>
      <c r="L1139" t="str">
        <f>NV!CG19</f>
        <v>NV-N2</v>
      </c>
      <c r="M1139">
        <f>NV!CH19</f>
        <v>0</v>
      </c>
      <c r="N1139">
        <f>NV!CI19</f>
        <v>0</v>
      </c>
      <c r="O1139">
        <f>NV!CJ19</f>
        <v>0</v>
      </c>
      <c r="P1139" s="143" t="str">
        <f>NV!CK19</f>
        <v>Superseded</v>
      </c>
      <c r="R1139">
        <f t="shared" si="17"/>
        <v>1138</v>
      </c>
    </row>
    <row r="1140" spans="5:18">
      <c r="E1140" s="147" t="s">
        <v>63</v>
      </c>
      <c r="F1140" t="str">
        <f>NV!CA20</f>
        <v>HPS</v>
      </c>
      <c r="G1140" t="str">
        <f>NV!CB20</f>
        <v>AC</v>
      </c>
      <c r="H1140" t="str">
        <f>NV!CC20</f>
        <v>Head</v>
      </c>
      <c r="I1140">
        <f>NV!CD20</f>
        <v>0</v>
      </c>
      <c r="J1140" t="str">
        <f>NV!CE20</f>
        <v>Needle Valve</v>
      </c>
      <c r="K1140" t="str">
        <f>NV!CF20</f>
        <v>60-12HF4</v>
      </c>
      <c r="L1140" t="str">
        <f>NV!CG20</f>
        <v>NV-P1</v>
      </c>
      <c r="M1140">
        <f>NV!CH20</f>
        <v>0</v>
      </c>
      <c r="N1140">
        <f>NV!CI20</f>
        <v>0</v>
      </c>
      <c r="O1140">
        <f>NV!CJ20</f>
        <v>0</v>
      </c>
      <c r="P1140" s="143" t="str">
        <f>NV!CK20</f>
        <v>Superseded</v>
      </c>
      <c r="R1140">
        <f t="shared" si="17"/>
        <v>1139</v>
      </c>
    </row>
    <row r="1141" spans="5:18">
      <c r="E1141" s="147" t="s">
        <v>63</v>
      </c>
      <c r="F1141" t="str">
        <f>NV!CA21</f>
        <v>HPS</v>
      </c>
      <c r="G1141" t="str">
        <f>NV!CB21</f>
        <v>AC</v>
      </c>
      <c r="H1141" t="str">
        <f>NV!CC21</f>
        <v>Head</v>
      </c>
      <c r="I1141">
        <f>NV!CD21</f>
        <v>0</v>
      </c>
      <c r="J1141" t="str">
        <f>NV!CE21</f>
        <v>Needle Valve</v>
      </c>
      <c r="K1141" t="str">
        <f>NV!CF21</f>
        <v>60-12HF4</v>
      </c>
      <c r="L1141" t="str">
        <f>NV!CG21</f>
        <v>NV-Q1</v>
      </c>
      <c r="M1141">
        <f>NV!CH21</f>
        <v>0</v>
      </c>
      <c r="N1141">
        <f>NV!CI21</f>
        <v>0</v>
      </c>
      <c r="O1141">
        <f>NV!CJ21</f>
        <v>0</v>
      </c>
      <c r="P1141" s="143" t="str">
        <f>NV!CK21</f>
        <v>Superseded</v>
      </c>
      <c r="R1141">
        <f t="shared" si="17"/>
        <v>1140</v>
      </c>
    </row>
    <row r="1142" spans="5:18">
      <c r="E1142" s="147" t="s">
        <v>63</v>
      </c>
      <c r="F1142" t="str">
        <f>NV!CA22</f>
        <v>HPS</v>
      </c>
      <c r="G1142" t="str">
        <f>NV!CB22</f>
        <v>AC</v>
      </c>
      <c r="H1142" t="str">
        <f>NV!CC22</f>
        <v>Head</v>
      </c>
      <c r="I1142">
        <f>NV!CD22</f>
        <v>0</v>
      </c>
      <c r="J1142" t="str">
        <f>NV!CE22</f>
        <v>Needle Valve</v>
      </c>
      <c r="K1142" t="str">
        <f>NV!CF22</f>
        <v>60-12HF4</v>
      </c>
      <c r="L1142" t="str">
        <f>NV!CG22</f>
        <v>NV-R1</v>
      </c>
      <c r="M1142">
        <f>NV!CH22</f>
        <v>0</v>
      </c>
      <c r="N1142">
        <f>NV!CI22</f>
        <v>0</v>
      </c>
      <c r="O1142">
        <f>NV!CJ22</f>
        <v>0</v>
      </c>
      <c r="P1142" s="143" t="str">
        <f>NV!CK22</f>
        <v>Superseded</v>
      </c>
      <c r="R1142">
        <f t="shared" si="17"/>
        <v>1141</v>
      </c>
    </row>
    <row r="1143" spans="5:18">
      <c r="E1143" s="147" t="s">
        <v>63</v>
      </c>
      <c r="F1143" t="str">
        <f>NV!CA23</f>
        <v>HPS</v>
      </c>
      <c r="G1143" t="str">
        <f>NV!CB23</f>
        <v>AC</v>
      </c>
      <c r="H1143" t="str">
        <f>NV!CC23</f>
        <v>Head</v>
      </c>
      <c r="I1143">
        <f>NV!CD23</f>
        <v>0</v>
      </c>
      <c r="J1143" t="str">
        <f>NV!CE23</f>
        <v>Needle Valve</v>
      </c>
      <c r="K1143" t="str">
        <f>NV!CF23</f>
        <v>60-12HF4</v>
      </c>
      <c r="L1143" t="str">
        <f>NV!CG23</f>
        <v>NV-Z1</v>
      </c>
      <c r="M1143">
        <f>NV!CH23</f>
        <v>0</v>
      </c>
      <c r="N1143">
        <f>NV!CI23</f>
        <v>0</v>
      </c>
      <c r="O1143">
        <f>NV!CJ23</f>
        <v>0</v>
      </c>
      <c r="P1143" s="143" t="str">
        <f>NV!CK23</f>
        <v>Superseded</v>
      </c>
      <c r="R1143">
        <f t="shared" si="17"/>
        <v>1142</v>
      </c>
    </row>
    <row r="1144" spans="5:18">
      <c r="E1144" s="147" t="s">
        <v>63</v>
      </c>
      <c r="F1144" t="str">
        <f>NV!CA24</f>
        <v>HPS</v>
      </c>
      <c r="G1144" t="str">
        <f>NV!CB24</f>
        <v>AC</v>
      </c>
      <c r="H1144" t="str">
        <f>NV!CC24</f>
        <v>Head</v>
      </c>
      <c r="I1144">
        <f>NV!CD24</f>
        <v>0</v>
      </c>
      <c r="J1144" t="str">
        <f>NV!CE24</f>
        <v>Needle Valve</v>
      </c>
      <c r="K1144" t="str">
        <f>NV!CF24</f>
        <v>60-12HF4</v>
      </c>
      <c r="L1144" t="str">
        <f>NV!CG24</f>
        <v>NV-Z2</v>
      </c>
      <c r="M1144">
        <f>NV!CH24</f>
        <v>0</v>
      </c>
      <c r="N1144">
        <f>NV!CI24</f>
        <v>0</v>
      </c>
      <c r="O1144">
        <f>NV!CJ24</f>
        <v>0</v>
      </c>
      <c r="P1144" s="143" t="str">
        <f>NV!CK24</f>
        <v>Superseded</v>
      </c>
      <c r="R1144">
        <f t="shared" si="17"/>
        <v>1143</v>
      </c>
    </row>
    <row r="1145" spans="5:18">
      <c r="E1145" s="147" t="s">
        <v>63</v>
      </c>
      <c r="F1145" t="str">
        <f>NV!CA25</f>
        <v>HPS</v>
      </c>
      <c r="G1145" t="str">
        <f>NV!CB25</f>
        <v>AC</v>
      </c>
      <c r="H1145" t="str">
        <f>NV!CC25</f>
        <v>Head</v>
      </c>
      <c r="I1145">
        <f>NV!CD25</f>
        <v>0</v>
      </c>
      <c r="J1145" t="str">
        <f>NV!CE25</f>
        <v>Needle Valve</v>
      </c>
      <c r="K1145" t="str">
        <f>NV!CF25</f>
        <v>60-12HF4</v>
      </c>
      <c r="L1145" t="str">
        <f>NV!CG25</f>
        <v>NV-1</v>
      </c>
      <c r="M1145">
        <f>NV!CH25</f>
        <v>0</v>
      </c>
      <c r="N1145">
        <f>NV!CI25</f>
        <v>0</v>
      </c>
      <c r="O1145">
        <f>NV!CJ25</f>
        <v>0</v>
      </c>
      <c r="P1145" s="143" t="str">
        <f>NV!CK25</f>
        <v>Active</v>
      </c>
      <c r="R1145">
        <f t="shared" si="17"/>
        <v>1144</v>
      </c>
    </row>
    <row r="1146" spans="5:18">
      <c r="E1146" s="147" t="s">
        <v>63</v>
      </c>
      <c r="F1146" t="str">
        <f>NV!CA26</f>
        <v>HPS</v>
      </c>
      <c r="G1146" t="str">
        <f>NV!CB26</f>
        <v>AC</v>
      </c>
      <c r="H1146" t="str">
        <f>NV!CC26</f>
        <v>Head</v>
      </c>
      <c r="I1146">
        <f>NV!CD26</f>
        <v>0</v>
      </c>
      <c r="J1146" t="str">
        <f>NV!CE26</f>
        <v>Needle Valve</v>
      </c>
      <c r="K1146" t="str">
        <f>NV!CF26</f>
        <v>60-12HF4</v>
      </c>
      <c r="L1146" t="str">
        <f>NV!CG26</f>
        <v>NV-2</v>
      </c>
      <c r="M1146">
        <f>NV!CH26</f>
        <v>0</v>
      </c>
      <c r="N1146">
        <f>NV!CI26</f>
        <v>0</v>
      </c>
      <c r="O1146">
        <f>NV!CJ26</f>
        <v>0</v>
      </c>
      <c r="P1146" s="143" t="str">
        <f>NV!CK26</f>
        <v>Active</v>
      </c>
      <c r="R1146">
        <f t="shared" si="17"/>
        <v>1145</v>
      </c>
    </row>
    <row r="1147" spans="5:18">
      <c r="E1147" s="147" t="s">
        <v>63</v>
      </c>
      <c r="F1147" t="str">
        <f>NV!CA27</f>
        <v>HPS</v>
      </c>
      <c r="G1147" t="str">
        <f>NV!CB27</f>
        <v>AC</v>
      </c>
      <c r="H1147" t="str">
        <f>NV!CC27</f>
        <v>Head</v>
      </c>
      <c r="I1147">
        <f>NV!CD27</f>
        <v>0</v>
      </c>
      <c r="J1147" t="str">
        <f>NV!CE27</f>
        <v>Needle Valve</v>
      </c>
      <c r="K1147" t="str">
        <f>NV!CF27</f>
        <v>60-12HF4</v>
      </c>
      <c r="L1147" t="str">
        <f>NV!CG27</f>
        <v>NV-3</v>
      </c>
      <c r="M1147">
        <f>NV!CH27</f>
        <v>0</v>
      </c>
      <c r="N1147">
        <f>NV!CI27</f>
        <v>0</v>
      </c>
      <c r="O1147">
        <f>NV!CJ27</f>
        <v>0</v>
      </c>
      <c r="P1147" s="143" t="str">
        <f>NV!CK27</f>
        <v>Active</v>
      </c>
      <c r="R1147">
        <f t="shared" si="17"/>
        <v>1146</v>
      </c>
    </row>
    <row r="1148" spans="5:18">
      <c r="E1148" s="147" t="s">
        <v>63</v>
      </c>
      <c r="F1148" t="str">
        <f>NV!CA28</f>
        <v>HPS</v>
      </c>
      <c r="G1148" t="str">
        <f>NV!CB28</f>
        <v>AC</v>
      </c>
      <c r="H1148" t="str">
        <f>NV!CC28</f>
        <v>Head</v>
      </c>
      <c r="I1148">
        <f>NV!CD28</f>
        <v>0</v>
      </c>
      <c r="J1148" t="str">
        <f>NV!CE28</f>
        <v>Needle Valve</v>
      </c>
      <c r="K1148" t="str">
        <f>NV!CF28</f>
        <v>60-12HF4</v>
      </c>
      <c r="L1148" t="str">
        <f>NV!CG28</f>
        <v>NV-4</v>
      </c>
      <c r="M1148">
        <f>NV!CH28</f>
        <v>0</v>
      </c>
      <c r="N1148">
        <f>NV!CI28</f>
        <v>0</v>
      </c>
      <c r="O1148">
        <f>NV!CJ28</f>
        <v>0</v>
      </c>
      <c r="P1148" s="143" t="str">
        <f>NV!CK28</f>
        <v>Active</v>
      </c>
      <c r="R1148">
        <f t="shared" si="17"/>
        <v>1147</v>
      </c>
    </row>
    <row r="1149" spans="5:18">
      <c r="E1149" s="147" t="s">
        <v>63</v>
      </c>
      <c r="F1149" t="str">
        <f>NV!CA29</f>
        <v>HPS</v>
      </c>
      <c r="G1149" t="str">
        <f>NV!CB29</f>
        <v>AC</v>
      </c>
      <c r="H1149" t="str">
        <f>NV!CC29</f>
        <v>Head</v>
      </c>
      <c r="I1149">
        <f>NV!CD29</f>
        <v>0</v>
      </c>
      <c r="J1149" t="str">
        <f>NV!CE29</f>
        <v>Needle Valve</v>
      </c>
      <c r="K1149" t="str">
        <f>NV!CF29</f>
        <v>60-12HF4</v>
      </c>
      <c r="L1149" t="str">
        <f>NV!CG29</f>
        <v>NV-5</v>
      </c>
      <c r="M1149">
        <f>NV!CH29</f>
        <v>0</v>
      </c>
      <c r="N1149">
        <f>NV!CI29</f>
        <v>0</v>
      </c>
      <c r="O1149">
        <f>NV!CJ29</f>
        <v>0</v>
      </c>
      <c r="P1149" s="143" t="str">
        <f>NV!CK29</f>
        <v>Active</v>
      </c>
      <c r="R1149">
        <f t="shared" si="17"/>
        <v>1148</v>
      </c>
    </row>
    <row r="1150" spans="5:18">
      <c r="E1150" s="147" t="s">
        <v>63</v>
      </c>
      <c r="F1150" t="str">
        <f>NV!CA30</f>
        <v>HPS</v>
      </c>
      <c r="G1150" t="str">
        <f>NV!CB30</f>
        <v>AC</v>
      </c>
      <c r="H1150" t="str">
        <f>NV!CC30</f>
        <v>Head</v>
      </c>
      <c r="I1150">
        <f>NV!CD30</f>
        <v>0</v>
      </c>
      <c r="J1150" t="str">
        <f>NV!CE30</f>
        <v>Needle Valve</v>
      </c>
      <c r="K1150" t="str">
        <f>NV!CF30</f>
        <v>60-12HF4</v>
      </c>
      <c r="L1150" t="str">
        <f>NV!CG30</f>
        <v>NV-6</v>
      </c>
      <c r="M1150">
        <f>NV!CH30</f>
        <v>0</v>
      </c>
      <c r="N1150">
        <f>NV!CI30</f>
        <v>0</v>
      </c>
      <c r="O1150">
        <f>NV!CJ30</f>
        <v>0</v>
      </c>
      <c r="P1150" s="143" t="str">
        <f>NV!CK30</f>
        <v>Active</v>
      </c>
      <c r="R1150">
        <f t="shared" si="17"/>
        <v>1149</v>
      </c>
    </row>
    <row r="1151" spans="5:18">
      <c r="E1151" s="147" t="s">
        <v>63</v>
      </c>
      <c r="F1151" t="str">
        <f>NV!CA31</f>
        <v>HPS</v>
      </c>
      <c r="G1151" t="str">
        <f>NV!CB31</f>
        <v>AC</v>
      </c>
      <c r="H1151" t="str">
        <f>NV!CC31</f>
        <v>Head</v>
      </c>
      <c r="I1151">
        <f>NV!CD31</f>
        <v>0</v>
      </c>
      <c r="J1151" t="str">
        <f>NV!CE31</f>
        <v>Needle Valve</v>
      </c>
      <c r="K1151" t="str">
        <f>NV!CF31</f>
        <v>60-12HF4</v>
      </c>
      <c r="L1151" t="str">
        <f>NV!CG31</f>
        <v>NV-7</v>
      </c>
      <c r="M1151">
        <f>NV!CH31</f>
        <v>0</v>
      </c>
      <c r="N1151">
        <f>NV!CI31</f>
        <v>0</v>
      </c>
      <c r="O1151">
        <f>NV!CJ31</f>
        <v>0</v>
      </c>
      <c r="P1151" s="143" t="str">
        <f>NV!CK31</f>
        <v>Active</v>
      </c>
      <c r="R1151">
        <f t="shared" si="17"/>
        <v>1150</v>
      </c>
    </row>
    <row r="1152" spans="5:18">
      <c r="E1152" s="147" t="s">
        <v>63</v>
      </c>
      <c r="F1152" t="str">
        <f>NV!CA32</f>
        <v>HPS</v>
      </c>
      <c r="G1152" t="str">
        <f>NV!CB32</f>
        <v>AC</v>
      </c>
      <c r="H1152" t="str">
        <f>NV!CC32</f>
        <v>Head</v>
      </c>
      <c r="I1152">
        <f>NV!CD32</f>
        <v>0</v>
      </c>
      <c r="J1152" t="str">
        <f>NV!CE32</f>
        <v>Needle Valve</v>
      </c>
      <c r="K1152" t="str">
        <f>NV!CF32</f>
        <v>60-12HF4</v>
      </c>
      <c r="L1152" t="str">
        <f>NV!CG32</f>
        <v>NV-8</v>
      </c>
      <c r="M1152">
        <f>NV!CH32</f>
        <v>0</v>
      </c>
      <c r="N1152">
        <f>NV!CI32</f>
        <v>0</v>
      </c>
      <c r="O1152">
        <f>NV!CJ32</f>
        <v>0</v>
      </c>
      <c r="P1152" s="143" t="str">
        <f>NV!CK32</f>
        <v>Active</v>
      </c>
      <c r="R1152">
        <f t="shared" si="17"/>
        <v>1151</v>
      </c>
    </row>
    <row r="1153" spans="5:18">
      <c r="E1153" s="147" t="s">
        <v>63</v>
      </c>
      <c r="F1153" t="str">
        <f>NV!CA33</f>
        <v>HPS</v>
      </c>
      <c r="G1153" t="str">
        <f>NV!CB33</f>
        <v>AC</v>
      </c>
      <c r="H1153" t="str">
        <f>NV!CC33</f>
        <v>Head</v>
      </c>
      <c r="I1153">
        <f>NV!CD33</f>
        <v>0</v>
      </c>
      <c r="J1153" t="str">
        <f>NV!CE33</f>
        <v>Needle Valve</v>
      </c>
      <c r="K1153" t="str">
        <f>NV!CF33</f>
        <v>60-12HF4</v>
      </c>
      <c r="L1153" t="str">
        <f>NV!CG33</f>
        <v>NV-9</v>
      </c>
      <c r="M1153">
        <f>NV!CH33</f>
        <v>0</v>
      </c>
      <c r="N1153">
        <f>NV!CI33</f>
        <v>0</v>
      </c>
      <c r="O1153">
        <f>NV!CJ33</f>
        <v>0</v>
      </c>
      <c r="P1153" s="143" t="str">
        <f>NV!CK33</f>
        <v>Active</v>
      </c>
      <c r="R1153">
        <f t="shared" si="17"/>
        <v>1152</v>
      </c>
    </row>
    <row r="1154" spans="5:18">
      <c r="E1154" s="147" t="s">
        <v>63</v>
      </c>
      <c r="F1154" t="str">
        <f>NV!CA34</f>
        <v>HPS</v>
      </c>
      <c r="G1154" t="str">
        <f>NV!CB34</f>
        <v>AC</v>
      </c>
      <c r="H1154" t="str">
        <f>NV!CC34</f>
        <v>Head</v>
      </c>
      <c r="I1154">
        <f>NV!CD34</f>
        <v>0</v>
      </c>
      <c r="J1154" t="str">
        <f>NV!CE34</f>
        <v>Needle Valve</v>
      </c>
      <c r="K1154" t="str">
        <f>NV!CF34</f>
        <v>60-12HF4</v>
      </c>
      <c r="L1154" t="str">
        <f>NV!CG34</f>
        <v>NV-10</v>
      </c>
      <c r="M1154">
        <f>NV!CH34</f>
        <v>0</v>
      </c>
      <c r="N1154">
        <f>NV!CI34</f>
        <v>0</v>
      </c>
      <c r="O1154">
        <f>NV!CJ34</f>
        <v>0</v>
      </c>
      <c r="P1154" s="143" t="str">
        <f>NV!CK34</f>
        <v>Active</v>
      </c>
      <c r="R1154">
        <f t="shared" si="17"/>
        <v>1153</v>
      </c>
    </row>
    <row r="1155" spans="5:18">
      <c r="E1155" s="147" t="s">
        <v>63</v>
      </c>
      <c r="F1155" t="str">
        <f>NV!CA35</f>
        <v>HPS</v>
      </c>
      <c r="G1155" t="str">
        <f>NV!CB35</f>
        <v>AC</v>
      </c>
      <c r="H1155" t="str">
        <f>NV!CC35</f>
        <v>Head</v>
      </c>
      <c r="I1155">
        <f>NV!CD35</f>
        <v>0</v>
      </c>
      <c r="J1155" t="str">
        <f>NV!CE35</f>
        <v>Needle Valve</v>
      </c>
      <c r="K1155" t="str">
        <f>NV!CF35</f>
        <v>60-12HF4</v>
      </c>
      <c r="L1155" t="str">
        <f>NV!CG35</f>
        <v>NV-11</v>
      </c>
      <c r="M1155">
        <f>NV!CH35</f>
        <v>0</v>
      </c>
      <c r="N1155">
        <f>NV!CI35</f>
        <v>0</v>
      </c>
      <c r="O1155">
        <f>NV!CJ35</f>
        <v>0</v>
      </c>
      <c r="P1155" s="143" t="str">
        <f>NV!CK35</f>
        <v>Active</v>
      </c>
      <c r="R1155">
        <f t="shared" si="17"/>
        <v>1154</v>
      </c>
    </row>
    <row r="1156" spans="5:18">
      <c r="E1156" s="147" t="s">
        <v>63</v>
      </c>
      <c r="F1156" t="str">
        <f>NV!CA36</f>
        <v>HPS</v>
      </c>
      <c r="G1156" t="str">
        <f>NV!CB36</f>
        <v>AC</v>
      </c>
      <c r="H1156" t="str">
        <f>NV!CC36</f>
        <v>Head</v>
      </c>
      <c r="I1156">
        <f>NV!CD36</f>
        <v>0</v>
      </c>
      <c r="J1156" t="str">
        <f>NV!CE36</f>
        <v>Needle Valve</v>
      </c>
      <c r="K1156" t="str">
        <f>NV!CF36</f>
        <v>60-12HF4</v>
      </c>
      <c r="L1156" t="str">
        <f>NV!CG36</f>
        <v>NV-12</v>
      </c>
      <c r="M1156">
        <f>NV!CH36</f>
        <v>0</v>
      </c>
      <c r="N1156">
        <f>NV!CI36</f>
        <v>0</v>
      </c>
      <c r="O1156">
        <f>NV!CJ36</f>
        <v>0</v>
      </c>
      <c r="P1156" s="143" t="str">
        <f>NV!CK36</f>
        <v>Active</v>
      </c>
      <c r="R1156">
        <f t="shared" ref="R1156:R1219" si="18">R1155+1</f>
        <v>1155</v>
      </c>
    </row>
    <row r="1157" spans="5:18">
      <c r="E1157" s="147" t="s">
        <v>63</v>
      </c>
      <c r="F1157" t="str">
        <f>NV!CA37</f>
        <v>HPS</v>
      </c>
      <c r="G1157" t="str">
        <f>NV!CB37</f>
        <v>AC</v>
      </c>
      <c r="H1157" t="str">
        <f>NV!CC37</f>
        <v>Head</v>
      </c>
      <c r="I1157">
        <f>NV!CD37</f>
        <v>0</v>
      </c>
      <c r="J1157" t="str">
        <f>NV!CE37</f>
        <v>Needle Valve</v>
      </c>
      <c r="K1157" t="str">
        <f>NV!CF37</f>
        <v>60-12HF4</v>
      </c>
      <c r="L1157" t="str">
        <f>NV!CG37</f>
        <v>NV-13</v>
      </c>
      <c r="M1157">
        <f>NV!CH37</f>
        <v>0</v>
      </c>
      <c r="N1157">
        <f>NV!CI37</f>
        <v>0</v>
      </c>
      <c r="O1157">
        <f>NV!CJ37</f>
        <v>0</v>
      </c>
      <c r="P1157" s="143" t="str">
        <f>NV!CK37</f>
        <v>Active</v>
      </c>
      <c r="R1157">
        <f t="shared" si="18"/>
        <v>1156</v>
      </c>
    </row>
    <row r="1158" spans="5:18">
      <c r="E1158" s="147" t="s">
        <v>63</v>
      </c>
      <c r="F1158" t="str">
        <f>NV!CA38</f>
        <v>HPS</v>
      </c>
      <c r="G1158" t="str">
        <f>NV!CB38</f>
        <v>AC</v>
      </c>
      <c r="H1158" t="str">
        <f>NV!CC38</f>
        <v>Head</v>
      </c>
      <c r="I1158">
        <f>NV!CD38</f>
        <v>0</v>
      </c>
      <c r="J1158" t="str">
        <f>NV!CE38</f>
        <v>Needle Valve</v>
      </c>
      <c r="K1158" t="str">
        <f>NV!CF38</f>
        <v>60-12HF4</v>
      </c>
      <c r="L1158" t="str">
        <f>NV!CG38</f>
        <v>NV-14</v>
      </c>
      <c r="M1158">
        <f>NV!CH38</f>
        <v>0</v>
      </c>
      <c r="N1158">
        <f>NV!CI38</f>
        <v>0</v>
      </c>
      <c r="O1158">
        <f>NV!CJ38</f>
        <v>0</v>
      </c>
      <c r="P1158" s="143" t="str">
        <f>NV!CK38</f>
        <v>Active</v>
      </c>
      <c r="R1158">
        <f t="shared" si="18"/>
        <v>1157</v>
      </c>
    </row>
    <row r="1159" spans="5:18">
      <c r="E1159" s="147" t="s">
        <v>63</v>
      </c>
      <c r="F1159" t="str">
        <f>NV!CA39</f>
        <v>HPS</v>
      </c>
      <c r="G1159" t="str">
        <f>NV!CB39</f>
        <v>AC</v>
      </c>
      <c r="H1159" t="str">
        <f>NV!CC39</f>
        <v>Head</v>
      </c>
      <c r="I1159">
        <f>NV!CD39</f>
        <v>0</v>
      </c>
      <c r="J1159" t="str">
        <f>NV!CE39</f>
        <v>Needle Valve</v>
      </c>
      <c r="K1159" t="str">
        <f>NV!CF39</f>
        <v>60-12HF4</v>
      </c>
      <c r="L1159" t="str">
        <f>NV!CG39</f>
        <v>NV-15</v>
      </c>
      <c r="M1159">
        <f>NV!CH39</f>
        <v>0</v>
      </c>
      <c r="N1159">
        <f>NV!CI39</f>
        <v>0</v>
      </c>
      <c r="O1159">
        <f>NV!CJ39</f>
        <v>0</v>
      </c>
      <c r="P1159" s="143" t="str">
        <f>NV!CK39</f>
        <v>Active</v>
      </c>
      <c r="R1159">
        <f t="shared" si="18"/>
        <v>1158</v>
      </c>
    </row>
    <row r="1160" spans="5:18">
      <c r="E1160" s="147" t="s">
        <v>63</v>
      </c>
      <c r="F1160" t="str">
        <f>NV!CA40</f>
        <v>HPS</v>
      </c>
      <c r="G1160" t="str">
        <f>NV!CB40</f>
        <v>AC</v>
      </c>
      <c r="H1160" t="str">
        <f>NV!CC40</f>
        <v>Head</v>
      </c>
      <c r="I1160">
        <f>NV!CD40</f>
        <v>0</v>
      </c>
      <c r="J1160" t="str">
        <f>NV!CE40</f>
        <v>Needle Valve</v>
      </c>
      <c r="K1160" t="str">
        <f>NV!CF40</f>
        <v>60-12HF4</v>
      </c>
      <c r="L1160" t="str">
        <f>NV!CG40</f>
        <v>NV-16</v>
      </c>
      <c r="M1160">
        <f>NV!CH40</f>
        <v>0</v>
      </c>
      <c r="N1160">
        <f>NV!CI40</f>
        <v>0</v>
      </c>
      <c r="O1160">
        <f>NV!CJ40</f>
        <v>0</v>
      </c>
      <c r="P1160" s="143" t="str">
        <f>NV!CK40</f>
        <v>Active</v>
      </c>
      <c r="R1160">
        <f t="shared" si="18"/>
        <v>1159</v>
      </c>
    </row>
    <row r="1161" spans="5:18">
      <c r="E1161" s="147" t="s">
        <v>63</v>
      </c>
      <c r="F1161" t="str">
        <f>NV!CA41</f>
        <v>HPS</v>
      </c>
      <c r="G1161" t="str">
        <f>NV!CB41</f>
        <v>AC</v>
      </c>
      <c r="H1161" t="str">
        <f>NV!CC41</f>
        <v>Head</v>
      </c>
      <c r="I1161">
        <f>NV!CD41</f>
        <v>0</v>
      </c>
      <c r="J1161" t="str">
        <f>NV!CE41</f>
        <v>Needle Valve</v>
      </c>
      <c r="K1161" t="str">
        <f>NV!CF41</f>
        <v>60-12HF4</v>
      </c>
      <c r="L1161" t="str">
        <f>NV!CG41</f>
        <v>NV-17</v>
      </c>
      <c r="M1161">
        <f>NV!CH41</f>
        <v>0</v>
      </c>
      <c r="N1161">
        <f>NV!CI41</f>
        <v>0</v>
      </c>
      <c r="O1161">
        <f>NV!CJ41</f>
        <v>0</v>
      </c>
      <c r="P1161" s="143" t="str">
        <f>NV!CK41</f>
        <v>Active</v>
      </c>
      <c r="R1161">
        <f t="shared" si="18"/>
        <v>1160</v>
      </c>
    </row>
    <row r="1162" spans="5:18">
      <c r="E1162" s="147" t="s">
        <v>63</v>
      </c>
      <c r="F1162" t="str">
        <f>NV!CA42</f>
        <v>HPS</v>
      </c>
      <c r="G1162" t="str">
        <f>NV!CB42</f>
        <v>AC</v>
      </c>
      <c r="H1162" t="str">
        <f>NV!CC42</f>
        <v>Head</v>
      </c>
      <c r="I1162">
        <f>NV!CD42</f>
        <v>0</v>
      </c>
      <c r="J1162" t="str">
        <f>NV!CE42</f>
        <v>Needle Valve</v>
      </c>
      <c r="K1162" t="str">
        <f>NV!CF42</f>
        <v>60-12HF4</v>
      </c>
      <c r="L1162" t="str">
        <f>NV!CG42</f>
        <v>NV-18</v>
      </c>
      <c r="M1162">
        <f>NV!CH42</f>
        <v>0</v>
      </c>
      <c r="N1162">
        <f>NV!CI42</f>
        <v>0</v>
      </c>
      <c r="O1162">
        <f>NV!CJ42</f>
        <v>0</v>
      </c>
      <c r="P1162" s="143" t="str">
        <f>NV!CK42</f>
        <v>Active</v>
      </c>
      <c r="R1162">
        <f t="shared" si="18"/>
        <v>1161</v>
      </c>
    </row>
    <row r="1163" spans="5:18">
      <c r="E1163" s="147" t="s">
        <v>63</v>
      </c>
      <c r="F1163" t="str">
        <f>NV!CA43</f>
        <v>HPS</v>
      </c>
      <c r="G1163" t="str">
        <f>NV!CB43</f>
        <v>AC</v>
      </c>
      <c r="H1163" t="str">
        <f>NV!CC43</f>
        <v>Head</v>
      </c>
      <c r="I1163">
        <f>NV!CD43</f>
        <v>0</v>
      </c>
      <c r="J1163" t="str">
        <f>NV!CE43</f>
        <v>Needle Valve</v>
      </c>
      <c r="K1163" t="str">
        <f>NV!CF43</f>
        <v>60-12HF4</v>
      </c>
      <c r="L1163" t="str">
        <f>NV!CG43</f>
        <v>NV-19</v>
      </c>
      <c r="M1163">
        <f>NV!CH43</f>
        <v>0</v>
      </c>
      <c r="N1163">
        <f>NV!CI43</f>
        <v>0</v>
      </c>
      <c r="O1163">
        <f>NV!CJ43</f>
        <v>0</v>
      </c>
      <c r="P1163" s="143" t="str">
        <f>NV!CK43</f>
        <v>Active</v>
      </c>
      <c r="R1163">
        <f t="shared" si="18"/>
        <v>1162</v>
      </c>
    </row>
    <row r="1164" spans="5:18">
      <c r="E1164" s="147" t="s">
        <v>63</v>
      </c>
      <c r="F1164" t="str">
        <f>NV!CA44</f>
        <v>HPS</v>
      </c>
      <c r="G1164" t="str">
        <f>NV!CB44</f>
        <v>AC</v>
      </c>
      <c r="H1164" t="str">
        <f>NV!CC44</f>
        <v>Head</v>
      </c>
      <c r="I1164">
        <f>NV!CD44</f>
        <v>0</v>
      </c>
      <c r="J1164" t="str">
        <f>NV!CE44</f>
        <v>Needle Valve</v>
      </c>
      <c r="K1164" t="str">
        <f>NV!CF44</f>
        <v>60-12HF4</v>
      </c>
      <c r="L1164" t="str">
        <f>NV!CG44</f>
        <v>NV-20</v>
      </c>
      <c r="M1164">
        <f>NV!CH44</f>
        <v>0</v>
      </c>
      <c r="N1164">
        <f>NV!CI44</f>
        <v>0</v>
      </c>
      <c r="O1164">
        <f>NV!CJ44</f>
        <v>0</v>
      </c>
      <c r="P1164" s="143" t="str">
        <f>NV!CK44</f>
        <v>Active</v>
      </c>
      <c r="R1164">
        <f t="shared" si="18"/>
        <v>1163</v>
      </c>
    </row>
    <row r="1165" spans="5:18">
      <c r="E1165" s="147" t="s">
        <v>63</v>
      </c>
      <c r="F1165" t="str">
        <f>NV!CA45</f>
        <v>HPS</v>
      </c>
      <c r="G1165" t="str">
        <f>NV!CB45</f>
        <v>AC</v>
      </c>
      <c r="H1165" t="str">
        <f>NV!CC45</f>
        <v>Head</v>
      </c>
      <c r="I1165">
        <f>NV!CD45</f>
        <v>0</v>
      </c>
      <c r="J1165" t="str">
        <f>NV!CE45</f>
        <v>Needle Valve</v>
      </c>
      <c r="K1165" t="str">
        <f>NV!CF45</f>
        <v>60-12HF4</v>
      </c>
      <c r="L1165" t="str">
        <f>NV!CG45</f>
        <v>NV-21</v>
      </c>
      <c r="M1165">
        <f>NV!CH45</f>
        <v>0</v>
      </c>
      <c r="N1165">
        <f>NV!CI45</f>
        <v>0</v>
      </c>
      <c r="O1165">
        <f>NV!CJ45</f>
        <v>0</v>
      </c>
      <c r="P1165" s="143" t="str">
        <f>NV!CK45</f>
        <v>Active</v>
      </c>
      <c r="R1165">
        <f t="shared" si="18"/>
        <v>1164</v>
      </c>
    </row>
    <row r="1166" spans="5:18">
      <c r="E1166" s="147" t="s">
        <v>63</v>
      </c>
      <c r="F1166" t="str">
        <f>NV!CA46</f>
        <v>HPS</v>
      </c>
      <c r="G1166" t="str">
        <f>NV!CB46</f>
        <v>AC</v>
      </c>
      <c r="H1166" t="str">
        <f>NV!CC46</f>
        <v>Head</v>
      </c>
      <c r="I1166">
        <f>NV!CD46</f>
        <v>0</v>
      </c>
      <c r="J1166" t="str">
        <f>NV!CE46</f>
        <v>Needle Valve</v>
      </c>
      <c r="K1166" t="str">
        <f>NV!CF46</f>
        <v>60-12HF4</v>
      </c>
      <c r="L1166" t="str">
        <f>NV!CG46</f>
        <v>NV-22</v>
      </c>
      <c r="M1166">
        <f>NV!CH46</f>
        <v>0</v>
      </c>
      <c r="N1166">
        <f>NV!CI46</f>
        <v>0</v>
      </c>
      <c r="O1166">
        <f>NV!CJ46</f>
        <v>0</v>
      </c>
      <c r="P1166" s="143" t="str">
        <f>NV!CK46</f>
        <v>Active</v>
      </c>
      <c r="R1166">
        <f t="shared" si="18"/>
        <v>1165</v>
      </c>
    </row>
    <row r="1167" spans="5:18">
      <c r="E1167" s="147" t="s">
        <v>63</v>
      </c>
      <c r="F1167" t="str">
        <f>NV!CA47</f>
        <v>HPS</v>
      </c>
      <c r="G1167" t="str">
        <f>NV!CB47</f>
        <v>AC</v>
      </c>
      <c r="H1167" t="str">
        <f>NV!CC47</f>
        <v>Head</v>
      </c>
      <c r="I1167">
        <f>NV!CD47</f>
        <v>0</v>
      </c>
      <c r="J1167" t="str">
        <f>NV!CE47</f>
        <v>Needle Valve</v>
      </c>
      <c r="K1167" t="str">
        <f>NV!CF47</f>
        <v>60-12HF4</v>
      </c>
      <c r="L1167" t="str">
        <f>NV!CG47</f>
        <v>NV-23</v>
      </c>
      <c r="M1167">
        <f>NV!CH47</f>
        <v>0</v>
      </c>
      <c r="N1167">
        <f>NV!CI47</f>
        <v>0</v>
      </c>
      <c r="O1167">
        <f>NV!CJ47</f>
        <v>0</v>
      </c>
      <c r="P1167" s="143" t="str">
        <f>NV!CK47</f>
        <v>New</v>
      </c>
      <c r="R1167">
        <f t="shared" si="18"/>
        <v>1166</v>
      </c>
    </row>
    <row r="1168" spans="5:18">
      <c r="E1168" s="147" t="s">
        <v>63</v>
      </c>
      <c r="F1168" t="str">
        <f>NV!CA48</f>
        <v>HPS</v>
      </c>
      <c r="G1168" t="str">
        <f>NV!CB48</f>
        <v>AC</v>
      </c>
      <c r="H1168" t="str">
        <f>NV!CC48</f>
        <v>Head</v>
      </c>
      <c r="I1168">
        <f>NV!CD48</f>
        <v>0</v>
      </c>
      <c r="J1168" t="str">
        <f>NV!CE48</f>
        <v>Needle Valve</v>
      </c>
      <c r="K1168" t="str">
        <f>NV!CF48</f>
        <v>60-12HF4</v>
      </c>
      <c r="L1168" t="str">
        <f>NV!CG48</f>
        <v>NV-24</v>
      </c>
      <c r="M1168">
        <f>NV!CH48</f>
        <v>0</v>
      </c>
      <c r="N1168">
        <f>NV!CI48</f>
        <v>0</v>
      </c>
      <c r="O1168">
        <f>NV!CJ48</f>
        <v>0</v>
      </c>
      <c r="P1168" s="143" t="str">
        <f>NV!CK48</f>
        <v>Active</v>
      </c>
      <c r="R1168">
        <f t="shared" si="18"/>
        <v>1167</v>
      </c>
    </row>
    <row r="1169" spans="5:18">
      <c r="E1169" s="147" t="s">
        <v>63</v>
      </c>
      <c r="F1169" t="str">
        <f>NV!CA49</f>
        <v>HPS</v>
      </c>
      <c r="G1169" t="str">
        <f>NV!CB49</f>
        <v>AC</v>
      </c>
      <c r="H1169" t="str">
        <f>NV!CC49</f>
        <v>Head</v>
      </c>
      <c r="I1169">
        <f>NV!CD49</f>
        <v>0</v>
      </c>
      <c r="J1169" t="str">
        <f>NV!CE49</f>
        <v>Needle Valve</v>
      </c>
      <c r="K1169" t="str">
        <f>NV!CF49</f>
        <v>60-12HF4</v>
      </c>
      <c r="L1169" t="str">
        <f>NV!CG49</f>
        <v>NV-25</v>
      </c>
      <c r="M1169">
        <f>NV!CH49</f>
        <v>0</v>
      </c>
      <c r="N1169">
        <f>NV!CI49</f>
        <v>0</v>
      </c>
      <c r="O1169">
        <f>NV!CJ49</f>
        <v>0</v>
      </c>
      <c r="P1169" s="143" t="str">
        <f>NV!CK49</f>
        <v>New</v>
      </c>
      <c r="R1169">
        <f t="shared" si="18"/>
        <v>1168</v>
      </c>
    </row>
    <row r="1170" spans="5:18">
      <c r="E1170" s="147" t="s">
        <v>63</v>
      </c>
      <c r="F1170" t="str">
        <f>NV!CA50</f>
        <v>HPS</v>
      </c>
      <c r="G1170" t="str">
        <f>NV!CB50</f>
        <v>AC</v>
      </c>
      <c r="H1170" t="str">
        <f>NV!CC50</f>
        <v>Head</v>
      </c>
      <c r="I1170">
        <f>NV!CD50</f>
        <v>0</v>
      </c>
      <c r="J1170" t="str">
        <f>NV!CE50</f>
        <v>Needle Valve</v>
      </c>
      <c r="K1170" t="str">
        <f>NV!CF50</f>
        <v>60-12HF4</v>
      </c>
      <c r="L1170" t="str">
        <f>NV!CG50</f>
        <v>NV-26</v>
      </c>
      <c r="M1170">
        <f>NV!CH50</f>
        <v>0</v>
      </c>
      <c r="N1170">
        <f>NV!CI50</f>
        <v>0</v>
      </c>
      <c r="O1170">
        <f>NV!CJ50</f>
        <v>0</v>
      </c>
      <c r="P1170" s="143" t="str">
        <f>NV!CK50</f>
        <v>New</v>
      </c>
      <c r="R1170">
        <f t="shared" si="18"/>
        <v>1169</v>
      </c>
    </row>
    <row r="1171" spans="5:18">
      <c r="E1171" s="147" t="s">
        <v>63</v>
      </c>
      <c r="F1171" t="str">
        <f>NV!CA51</f>
        <v>HPS</v>
      </c>
      <c r="G1171" t="str">
        <f>NV!CB51</f>
        <v>AC</v>
      </c>
      <c r="H1171" t="str">
        <f>NV!CC51</f>
        <v>Head</v>
      </c>
      <c r="I1171">
        <f>NV!CD51</f>
        <v>0</v>
      </c>
      <c r="J1171" t="str">
        <f>NV!CE51</f>
        <v>Needle Valve</v>
      </c>
      <c r="K1171" t="str">
        <f>NV!CF51</f>
        <v>60-11HF4</v>
      </c>
      <c r="L1171" t="str">
        <f>NV!CG51</f>
        <v>NV-27</v>
      </c>
      <c r="M1171">
        <f>NV!CH51</f>
        <v>0</v>
      </c>
      <c r="N1171">
        <f>NV!CI51</f>
        <v>0</v>
      </c>
      <c r="O1171">
        <f>NV!CJ51</f>
        <v>0</v>
      </c>
      <c r="P1171" s="143" t="str">
        <f>NV!CK51</f>
        <v>New</v>
      </c>
      <c r="R1171">
        <f t="shared" si="18"/>
        <v>1170</v>
      </c>
    </row>
    <row r="1172" spans="5:18">
      <c r="E1172" s="147" t="s">
        <v>63</v>
      </c>
      <c r="F1172" t="str">
        <f>NV!CA52</f>
        <v>HPS</v>
      </c>
      <c r="G1172" t="str">
        <f>NV!CB52</f>
        <v>AC</v>
      </c>
      <c r="H1172" t="str">
        <f>NV!CC52</f>
        <v>Head</v>
      </c>
      <c r="I1172">
        <f>NV!CD52</f>
        <v>0</v>
      </c>
      <c r="J1172" t="str">
        <f>NV!CE52</f>
        <v>Needle Valve</v>
      </c>
      <c r="K1172" t="str">
        <f>NV!CF52</f>
        <v>60-11HF4</v>
      </c>
      <c r="L1172" t="str">
        <f>NV!CG52</f>
        <v>NV-28</v>
      </c>
      <c r="M1172">
        <f>NV!CH52</f>
        <v>0</v>
      </c>
      <c r="N1172">
        <f>NV!CI52</f>
        <v>0</v>
      </c>
      <c r="O1172">
        <f>NV!CJ52</f>
        <v>0</v>
      </c>
      <c r="P1172" s="143" t="str">
        <f>NV!CK52</f>
        <v>New</v>
      </c>
      <c r="R1172">
        <f t="shared" si="18"/>
        <v>1171</v>
      </c>
    </row>
    <row r="1173" spans="5:18">
      <c r="E1173" s="147" t="s">
        <v>63</v>
      </c>
      <c r="F1173" t="str">
        <f>NV!CA53</f>
        <v>HPS</v>
      </c>
      <c r="G1173" t="str">
        <f>NV!CB53</f>
        <v>AC</v>
      </c>
      <c r="H1173" t="str">
        <f>NV!CC53</f>
        <v>Head</v>
      </c>
      <c r="I1173">
        <f>NV!CD53</f>
        <v>0</v>
      </c>
      <c r="J1173" t="str">
        <f>NV!CE53</f>
        <v>Needle Valve</v>
      </c>
      <c r="K1173" t="str">
        <f>NV!CF53</f>
        <v>100-11XF4</v>
      </c>
      <c r="L1173" t="str">
        <f>NV!CG53</f>
        <v>NV-29</v>
      </c>
      <c r="M1173">
        <f>NV!CH53</f>
        <v>0</v>
      </c>
      <c r="N1173">
        <f>NV!CI53</f>
        <v>0</v>
      </c>
      <c r="O1173">
        <f>NV!CJ53</f>
        <v>0</v>
      </c>
      <c r="P1173" s="143" t="str">
        <f>NV!CK53</f>
        <v>New</v>
      </c>
      <c r="R1173">
        <f t="shared" si="18"/>
        <v>1172</v>
      </c>
    </row>
    <row r="1174" spans="5:18">
      <c r="E1174" s="147" t="s">
        <v>63</v>
      </c>
      <c r="F1174" t="str">
        <f>NV!CA54</f>
        <v>HPS</v>
      </c>
      <c r="G1174" t="str">
        <f>NV!CB54</f>
        <v>AC</v>
      </c>
      <c r="H1174" t="str">
        <f>NV!CC54</f>
        <v>Head</v>
      </c>
      <c r="I1174">
        <f>NV!CD54</f>
        <v>0</v>
      </c>
      <c r="J1174" t="str">
        <f>NV!CE54</f>
        <v>Needle Valve</v>
      </c>
      <c r="K1174" t="str">
        <f>NV!CF54</f>
        <v>100-11XF4</v>
      </c>
      <c r="L1174" t="str">
        <f>NV!CG54</f>
        <v>NV-30</v>
      </c>
      <c r="M1174">
        <f>NV!CH54</f>
        <v>0</v>
      </c>
      <c r="N1174">
        <f>NV!CI54</f>
        <v>0</v>
      </c>
      <c r="O1174">
        <f>NV!CJ54</f>
        <v>0</v>
      </c>
      <c r="P1174" s="143" t="str">
        <f>NV!CK54</f>
        <v>Superseded</v>
      </c>
      <c r="R1174">
        <f t="shared" si="18"/>
        <v>1173</v>
      </c>
    </row>
    <row r="1175" spans="5:18">
      <c r="E1175" s="147" t="s">
        <v>63</v>
      </c>
      <c r="F1175" t="str">
        <f>NV!CA55</f>
        <v>HPS</v>
      </c>
      <c r="G1175" t="str">
        <f>NV!CB55</f>
        <v>AC</v>
      </c>
      <c r="H1175" t="str">
        <f>NV!CC55</f>
        <v>Head</v>
      </c>
      <c r="I1175">
        <f>NV!CD55</f>
        <v>0</v>
      </c>
      <c r="J1175" t="str">
        <f>NV!CE55</f>
        <v>Needle Valve</v>
      </c>
      <c r="K1175" t="str">
        <f>NV!CF55</f>
        <v>100-11XF4</v>
      </c>
      <c r="L1175" t="str">
        <f>NV!CG55</f>
        <v>NV-31</v>
      </c>
      <c r="M1175">
        <f>NV!CH55</f>
        <v>0</v>
      </c>
      <c r="N1175">
        <f>NV!CI55</f>
        <v>0</v>
      </c>
      <c r="O1175">
        <f>NV!CJ55</f>
        <v>0</v>
      </c>
      <c r="P1175" s="143" t="str">
        <f>NV!CK55</f>
        <v>Active</v>
      </c>
      <c r="R1175">
        <f t="shared" si="18"/>
        <v>1174</v>
      </c>
    </row>
    <row r="1176" spans="5:18">
      <c r="E1176" s="147" t="s">
        <v>63</v>
      </c>
      <c r="F1176" t="str">
        <f>NV!CA56</f>
        <v>HPS</v>
      </c>
      <c r="G1176" t="str">
        <f>NV!CB56</f>
        <v>AC</v>
      </c>
      <c r="H1176" t="str">
        <f>NV!CC56</f>
        <v>Head</v>
      </c>
      <c r="I1176">
        <f>NV!CD56</f>
        <v>0</v>
      </c>
      <c r="J1176" t="str">
        <f>NV!CE56</f>
        <v>Needle Valve</v>
      </c>
      <c r="K1176" t="str">
        <f>NV!CF56</f>
        <v>60-12-HF6</v>
      </c>
      <c r="L1176" t="str">
        <f>NV!CG56</f>
        <v>NV-32</v>
      </c>
      <c r="M1176">
        <f>NV!CH56</f>
        <v>0</v>
      </c>
      <c r="N1176">
        <f>NV!CI56</f>
        <v>0</v>
      </c>
      <c r="O1176">
        <f>NV!CJ56</f>
        <v>0</v>
      </c>
      <c r="P1176" s="143" t="str">
        <f>NV!CK56</f>
        <v>Active</v>
      </c>
      <c r="R1176">
        <f t="shared" si="18"/>
        <v>1175</v>
      </c>
    </row>
    <row r="1177" spans="5:18">
      <c r="E1177" s="147" t="s">
        <v>63</v>
      </c>
      <c r="F1177" t="str">
        <f>NV!CA57</f>
        <v>HPS</v>
      </c>
      <c r="G1177" t="str">
        <f>NV!CB57</f>
        <v>AC</v>
      </c>
      <c r="H1177" t="str">
        <f>NV!CC57</f>
        <v>Head</v>
      </c>
      <c r="I1177">
        <f>NV!CD57</f>
        <v>0</v>
      </c>
      <c r="J1177" t="str">
        <f>NV!CE57</f>
        <v>Needle Valve</v>
      </c>
      <c r="K1177" t="str">
        <f>NV!CF57</f>
        <v>60-12-HF6</v>
      </c>
      <c r="L1177" t="str">
        <f>NV!CG57</f>
        <v>NV-33</v>
      </c>
      <c r="M1177">
        <f>NV!CH57</f>
        <v>0</v>
      </c>
      <c r="N1177">
        <f>NV!CI57</f>
        <v>0</v>
      </c>
      <c r="O1177">
        <f>NV!CJ57</f>
        <v>0</v>
      </c>
      <c r="P1177" s="143" t="str">
        <f>NV!CK57</f>
        <v>Active</v>
      </c>
      <c r="R1177">
        <f t="shared" si="18"/>
        <v>1176</v>
      </c>
    </row>
    <row r="1178" spans="5:18">
      <c r="E1178" s="147" t="s">
        <v>63</v>
      </c>
      <c r="F1178" t="str">
        <f>NV!CA58</f>
        <v>HPS</v>
      </c>
      <c r="G1178" t="str">
        <f>NV!CB58</f>
        <v>AC</v>
      </c>
      <c r="H1178" t="str">
        <f>NV!CC58</f>
        <v>Head</v>
      </c>
      <c r="I1178">
        <f>NV!CD58</f>
        <v>0</v>
      </c>
      <c r="J1178">
        <f>NV!CE58</f>
        <v>0</v>
      </c>
      <c r="K1178">
        <f>NV!CF58</f>
        <v>0</v>
      </c>
      <c r="L1178" t="str">
        <f>NV!CG58</f>
        <v/>
      </c>
      <c r="M1178">
        <f>NV!CH58</f>
        <v>0</v>
      </c>
      <c r="N1178">
        <f>NV!CI58</f>
        <v>0</v>
      </c>
      <c r="O1178">
        <f>NV!CJ58</f>
        <v>0</v>
      </c>
      <c r="P1178" s="143" t="str">
        <f>NV!CK58</f>
        <v/>
      </c>
      <c r="R1178">
        <f t="shared" si="18"/>
        <v>1177</v>
      </c>
    </row>
    <row r="1179" spans="5:18">
      <c r="E1179" s="147" t="s">
        <v>63</v>
      </c>
      <c r="F1179" t="str">
        <f>NV!CA59</f>
        <v>HPS</v>
      </c>
      <c r="G1179" t="str">
        <f>NV!CB59</f>
        <v>AC</v>
      </c>
      <c r="H1179" t="str">
        <f>NV!CC59</f>
        <v>Head</v>
      </c>
      <c r="I1179">
        <f>NV!CD59</f>
        <v>0</v>
      </c>
      <c r="J1179">
        <f>NV!CE59</f>
        <v>0</v>
      </c>
      <c r="K1179">
        <f>NV!CF59</f>
        <v>0</v>
      </c>
      <c r="L1179" t="str">
        <f>NV!CG59</f>
        <v/>
      </c>
      <c r="M1179">
        <f>NV!CH59</f>
        <v>0</v>
      </c>
      <c r="N1179">
        <f>NV!CI59</f>
        <v>0</v>
      </c>
      <c r="O1179">
        <f>NV!CJ59</f>
        <v>0</v>
      </c>
      <c r="P1179" s="143" t="str">
        <f>NV!CK59</f>
        <v/>
      </c>
      <c r="R1179">
        <f t="shared" si="18"/>
        <v>1178</v>
      </c>
    </row>
    <row r="1180" spans="5:18">
      <c r="E1180" s="147" t="s">
        <v>63</v>
      </c>
      <c r="F1180" t="str">
        <f>NV!CA60</f>
        <v>HPS</v>
      </c>
      <c r="G1180" t="str">
        <f>NV!CB60</f>
        <v>AC</v>
      </c>
      <c r="H1180" t="str">
        <f>NV!CC60</f>
        <v>Head</v>
      </c>
      <c r="I1180">
        <f>NV!CD60</f>
        <v>0</v>
      </c>
      <c r="J1180">
        <f>NV!CE60</f>
        <v>0</v>
      </c>
      <c r="K1180">
        <f>NV!CF60</f>
        <v>0</v>
      </c>
      <c r="L1180" t="str">
        <f>NV!CG60</f>
        <v/>
      </c>
      <c r="M1180">
        <f>NV!CH60</f>
        <v>0</v>
      </c>
      <c r="N1180">
        <f>NV!CI60</f>
        <v>0</v>
      </c>
      <c r="O1180">
        <f>NV!CJ60</f>
        <v>0</v>
      </c>
      <c r="P1180" s="143" t="str">
        <f>NV!CK60</f>
        <v/>
      </c>
      <c r="R1180">
        <f t="shared" si="18"/>
        <v>1179</v>
      </c>
    </row>
    <row r="1181" spans="5:18">
      <c r="E1181" s="147" t="s">
        <v>63</v>
      </c>
      <c r="F1181" t="str">
        <f>NV!CA61</f>
        <v>HPS</v>
      </c>
      <c r="G1181" t="str">
        <f>NV!CB61</f>
        <v>AC</v>
      </c>
      <c r="H1181" t="str">
        <f>NV!CC61</f>
        <v>Head</v>
      </c>
      <c r="I1181">
        <f>NV!CD61</f>
        <v>0</v>
      </c>
      <c r="J1181">
        <f>NV!CE61</f>
        <v>0</v>
      </c>
      <c r="K1181">
        <f>NV!CF61</f>
        <v>0</v>
      </c>
      <c r="L1181" t="str">
        <f>NV!CG61</f>
        <v/>
      </c>
      <c r="M1181">
        <f>NV!CH61</f>
        <v>0</v>
      </c>
      <c r="N1181">
        <f>NV!CI61</f>
        <v>0</v>
      </c>
      <c r="O1181">
        <f>NV!CJ61</f>
        <v>0</v>
      </c>
      <c r="P1181" s="143" t="str">
        <f>NV!CK61</f>
        <v/>
      </c>
      <c r="R1181">
        <f t="shared" si="18"/>
        <v>1180</v>
      </c>
    </row>
    <row r="1182" spans="5:18">
      <c r="E1182" s="147" t="s">
        <v>63</v>
      </c>
      <c r="F1182" t="str">
        <f>NV!CA62</f>
        <v>HPS</v>
      </c>
      <c r="G1182" t="str">
        <f>NV!CB62</f>
        <v>AC</v>
      </c>
      <c r="H1182" t="str">
        <f>NV!CC62</f>
        <v>Head</v>
      </c>
      <c r="I1182">
        <f>NV!CD62</f>
        <v>0</v>
      </c>
      <c r="J1182">
        <f>NV!CE62</f>
        <v>0</v>
      </c>
      <c r="K1182">
        <f>NV!CF62</f>
        <v>0</v>
      </c>
      <c r="L1182" t="str">
        <f>NV!CG62</f>
        <v/>
      </c>
      <c r="M1182">
        <f>NV!CH62</f>
        <v>0</v>
      </c>
      <c r="N1182">
        <f>NV!CI62</f>
        <v>0</v>
      </c>
      <c r="O1182">
        <f>NV!CJ62</f>
        <v>0</v>
      </c>
      <c r="P1182" s="143" t="str">
        <f>NV!CK62</f>
        <v/>
      </c>
      <c r="R1182">
        <f t="shared" si="18"/>
        <v>1181</v>
      </c>
    </row>
    <row r="1183" spans="5:18">
      <c r="E1183" s="147" t="s">
        <v>63</v>
      </c>
      <c r="F1183" t="str">
        <f>NV!CA63</f>
        <v>HPS</v>
      </c>
      <c r="G1183" t="str">
        <f>NV!CB63</f>
        <v>AC</v>
      </c>
      <c r="H1183" t="str">
        <f>NV!CC63</f>
        <v>Head</v>
      </c>
      <c r="I1183">
        <f>NV!CD63</f>
        <v>0</v>
      </c>
      <c r="J1183">
        <f>NV!CE63</f>
        <v>0</v>
      </c>
      <c r="K1183">
        <f>NV!CF63</f>
        <v>0</v>
      </c>
      <c r="L1183" t="str">
        <f>NV!CG63</f>
        <v/>
      </c>
      <c r="M1183">
        <f>NV!CH63</f>
        <v>0</v>
      </c>
      <c r="N1183">
        <f>NV!CI63</f>
        <v>0</v>
      </c>
      <c r="O1183">
        <f>NV!CJ63</f>
        <v>0</v>
      </c>
      <c r="P1183" s="143" t="str">
        <f>NV!CK63</f>
        <v/>
      </c>
      <c r="R1183">
        <f t="shared" si="18"/>
        <v>1182</v>
      </c>
    </row>
    <row r="1184" spans="5:18">
      <c r="E1184" s="147" t="s">
        <v>63</v>
      </c>
      <c r="F1184" t="str">
        <f>NV!CA64</f>
        <v>HPS</v>
      </c>
      <c r="G1184" t="str">
        <f>NV!CB64</f>
        <v>AC</v>
      </c>
      <c r="H1184" t="str">
        <f>NV!CC64</f>
        <v>Head</v>
      </c>
      <c r="I1184">
        <f>NV!CD64</f>
        <v>0</v>
      </c>
      <c r="J1184">
        <f>NV!CE64</f>
        <v>0</v>
      </c>
      <c r="K1184">
        <f>NV!CF64</f>
        <v>0</v>
      </c>
      <c r="L1184" t="str">
        <f>NV!CG64</f>
        <v/>
      </c>
      <c r="M1184">
        <f>NV!CH64</f>
        <v>0</v>
      </c>
      <c r="N1184">
        <f>NV!CI64</f>
        <v>0</v>
      </c>
      <c r="O1184">
        <f>NV!CJ64</f>
        <v>0</v>
      </c>
      <c r="P1184" s="143" t="str">
        <f>NV!CK64</f>
        <v/>
      </c>
      <c r="R1184">
        <f t="shared" si="18"/>
        <v>1183</v>
      </c>
    </row>
    <row r="1185" spans="5:18">
      <c r="E1185" s="147" t="s">
        <v>63</v>
      </c>
      <c r="F1185" t="str">
        <f>NV!CA65</f>
        <v>HPS</v>
      </c>
      <c r="G1185" t="str">
        <f>NV!CB65</f>
        <v>AC</v>
      </c>
      <c r="H1185" t="str">
        <f>NV!CC65</f>
        <v>Head</v>
      </c>
      <c r="I1185">
        <f>NV!CD65</f>
        <v>0</v>
      </c>
      <c r="J1185">
        <f>NV!CE65</f>
        <v>0</v>
      </c>
      <c r="K1185">
        <f>NV!CF65</f>
        <v>0</v>
      </c>
      <c r="L1185" t="str">
        <f>NV!CG65</f>
        <v/>
      </c>
      <c r="M1185">
        <f>NV!CH65</f>
        <v>0</v>
      </c>
      <c r="N1185">
        <f>NV!CI65</f>
        <v>0</v>
      </c>
      <c r="O1185">
        <f>NV!CJ65</f>
        <v>0</v>
      </c>
      <c r="P1185" s="143" t="str">
        <f>NV!CK65</f>
        <v/>
      </c>
      <c r="R1185">
        <f t="shared" si="18"/>
        <v>1184</v>
      </c>
    </row>
    <row r="1186" spans="5:18">
      <c r="E1186" s="147" t="s">
        <v>63</v>
      </c>
      <c r="F1186" t="str">
        <f>NV!CA66</f>
        <v>HPS</v>
      </c>
      <c r="G1186" t="str">
        <f>NV!CB66</f>
        <v>AC</v>
      </c>
      <c r="H1186" t="str">
        <f>NV!CC66</f>
        <v>Head</v>
      </c>
      <c r="I1186">
        <f>NV!CD66</f>
        <v>0</v>
      </c>
      <c r="J1186">
        <f>NV!CE66</f>
        <v>0</v>
      </c>
      <c r="K1186">
        <f>NV!CF66</f>
        <v>0</v>
      </c>
      <c r="L1186" t="str">
        <f>NV!CG66</f>
        <v/>
      </c>
      <c r="M1186">
        <f>NV!CH66</f>
        <v>0</v>
      </c>
      <c r="N1186">
        <f>NV!CI66</f>
        <v>0</v>
      </c>
      <c r="O1186">
        <f>NV!CJ66</f>
        <v>0</v>
      </c>
      <c r="P1186" s="143" t="str">
        <f>NV!CK66</f>
        <v/>
      </c>
      <c r="R1186">
        <f t="shared" si="18"/>
        <v>1185</v>
      </c>
    </row>
    <row r="1187" spans="5:18">
      <c r="E1187" s="147" t="s">
        <v>63</v>
      </c>
      <c r="F1187" t="str">
        <f>NV!CA67</f>
        <v>HPS</v>
      </c>
      <c r="G1187" t="str">
        <f>NV!CB67</f>
        <v>AC</v>
      </c>
      <c r="H1187" t="str">
        <f>NV!CC67</f>
        <v>Head</v>
      </c>
      <c r="I1187">
        <f>NV!CD67</f>
        <v>0</v>
      </c>
      <c r="J1187">
        <f>NV!CE67</f>
        <v>0</v>
      </c>
      <c r="K1187">
        <f>NV!CF67</f>
        <v>0</v>
      </c>
      <c r="L1187" t="str">
        <f>NV!CG67</f>
        <v/>
      </c>
      <c r="M1187">
        <f>NV!CH67</f>
        <v>0</v>
      </c>
      <c r="N1187">
        <f>NV!CI67</f>
        <v>0</v>
      </c>
      <c r="O1187">
        <f>NV!CJ67</f>
        <v>0</v>
      </c>
      <c r="P1187" s="143" t="str">
        <f>NV!CK67</f>
        <v/>
      </c>
      <c r="R1187">
        <f t="shared" si="18"/>
        <v>1186</v>
      </c>
    </row>
    <row r="1188" spans="5:18">
      <c r="E1188" s="147" t="s">
        <v>63</v>
      </c>
      <c r="F1188" t="str">
        <f>NV!CA68</f>
        <v>HPS</v>
      </c>
      <c r="G1188" t="str">
        <f>NV!CB68</f>
        <v>AC</v>
      </c>
      <c r="H1188" t="str">
        <f>NV!CC68</f>
        <v>Head</v>
      </c>
      <c r="I1188">
        <f>NV!CD68</f>
        <v>0</v>
      </c>
      <c r="J1188">
        <f>NV!CE68</f>
        <v>0</v>
      </c>
      <c r="K1188">
        <f>NV!CF68</f>
        <v>0</v>
      </c>
      <c r="L1188" t="str">
        <f>NV!CG68</f>
        <v/>
      </c>
      <c r="M1188">
        <f>NV!CH68</f>
        <v>0</v>
      </c>
      <c r="N1188">
        <f>NV!CI68</f>
        <v>0</v>
      </c>
      <c r="O1188">
        <f>NV!CJ68</f>
        <v>0</v>
      </c>
      <c r="P1188" s="143" t="str">
        <f>NV!CK68</f>
        <v/>
      </c>
      <c r="R1188">
        <f t="shared" si="18"/>
        <v>1187</v>
      </c>
    </row>
    <row r="1189" spans="5:18">
      <c r="E1189" s="147" t="s">
        <v>63</v>
      </c>
      <c r="F1189" t="str">
        <f>NV!CA69</f>
        <v>HPS</v>
      </c>
      <c r="G1189" t="str">
        <f>NV!CB69</f>
        <v>AC</v>
      </c>
      <c r="H1189" t="str">
        <f>NV!CC69</f>
        <v>Head</v>
      </c>
      <c r="I1189">
        <f>NV!CD69</f>
        <v>0</v>
      </c>
      <c r="J1189">
        <f>NV!CE69</f>
        <v>0</v>
      </c>
      <c r="K1189">
        <f>NV!CF69</f>
        <v>0</v>
      </c>
      <c r="L1189" t="str">
        <f>NV!CG69</f>
        <v/>
      </c>
      <c r="M1189">
        <f>NV!CH69</f>
        <v>0</v>
      </c>
      <c r="N1189">
        <f>NV!CI69</f>
        <v>0</v>
      </c>
      <c r="O1189">
        <f>NV!CJ69</f>
        <v>0</v>
      </c>
      <c r="P1189" s="143" t="str">
        <f>NV!CK69</f>
        <v/>
      </c>
      <c r="R1189">
        <f t="shared" si="18"/>
        <v>1188</v>
      </c>
    </row>
    <row r="1190" spans="5:18">
      <c r="E1190" s="147" t="s">
        <v>63</v>
      </c>
      <c r="F1190" t="str">
        <f>NV!CA70</f>
        <v>HPS</v>
      </c>
      <c r="G1190" t="str">
        <f>NV!CB70</f>
        <v>AC</v>
      </c>
      <c r="H1190" t="str">
        <f>NV!CC70</f>
        <v>Head</v>
      </c>
      <c r="I1190">
        <f>NV!CD70</f>
        <v>0</v>
      </c>
      <c r="J1190">
        <f>NV!CE70</f>
        <v>0</v>
      </c>
      <c r="K1190">
        <f>NV!CF70</f>
        <v>0</v>
      </c>
      <c r="L1190" t="str">
        <f>NV!CG70</f>
        <v/>
      </c>
      <c r="M1190">
        <f>NV!CH70</f>
        <v>0</v>
      </c>
      <c r="N1190">
        <f>NV!CI70</f>
        <v>0</v>
      </c>
      <c r="O1190">
        <f>NV!CJ70</f>
        <v>0</v>
      </c>
      <c r="P1190" s="143" t="str">
        <f>NV!CK70</f>
        <v/>
      </c>
      <c r="R1190">
        <f t="shared" si="18"/>
        <v>1189</v>
      </c>
    </row>
    <row r="1191" spans="5:18">
      <c r="E1191" s="147" t="s">
        <v>63</v>
      </c>
      <c r="F1191" t="str">
        <f>NV!CA71</f>
        <v>HPS</v>
      </c>
      <c r="G1191" t="str">
        <f>NV!CB71</f>
        <v>AC</v>
      </c>
      <c r="H1191" t="str">
        <f>NV!CC71</f>
        <v>Head</v>
      </c>
      <c r="I1191">
        <f>NV!CD71</f>
        <v>0</v>
      </c>
      <c r="J1191">
        <f>NV!CE71</f>
        <v>0</v>
      </c>
      <c r="K1191">
        <f>NV!CF71</f>
        <v>0</v>
      </c>
      <c r="L1191" t="str">
        <f>NV!CG71</f>
        <v/>
      </c>
      <c r="M1191">
        <f>NV!CH71</f>
        <v>0</v>
      </c>
      <c r="N1191">
        <f>NV!CI71</f>
        <v>0</v>
      </c>
      <c r="O1191">
        <f>NV!CJ71</f>
        <v>0</v>
      </c>
      <c r="P1191" s="143" t="str">
        <f>NV!CK71</f>
        <v/>
      </c>
      <c r="R1191">
        <f t="shared" si="18"/>
        <v>1190</v>
      </c>
    </row>
    <row r="1192" spans="5:18">
      <c r="E1192" s="147" t="s">
        <v>63</v>
      </c>
      <c r="F1192" t="str">
        <f>NV!CA72</f>
        <v>HPS</v>
      </c>
      <c r="G1192" t="str">
        <f>NV!CB72</f>
        <v>AC</v>
      </c>
      <c r="H1192" t="str">
        <f>NV!CC72</f>
        <v>Head</v>
      </c>
      <c r="I1192">
        <f>NV!CD72</f>
        <v>0</v>
      </c>
      <c r="J1192">
        <f>NV!CE72</f>
        <v>0</v>
      </c>
      <c r="K1192">
        <f>NV!CF72</f>
        <v>0</v>
      </c>
      <c r="L1192" t="str">
        <f>NV!CG72</f>
        <v/>
      </c>
      <c r="M1192">
        <f>NV!CH72</f>
        <v>0</v>
      </c>
      <c r="N1192">
        <f>NV!CI72</f>
        <v>0</v>
      </c>
      <c r="O1192">
        <f>NV!CJ72</f>
        <v>0</v>
      </c>
      <c r="P1192" s="143" t="str">
        <f>NV!CK72</f>
        <v/>
      </c>
      <c r="R1192">
        <f t="shared" si="18"/>
        <v>1191</v>
      </c>
    </row>
    <row r="1193" spans="5:18">
      <c r="E1193" s="147" t="s">
        <v>63</v>
      </c>
      <c r="F1193" t="str">
        <f>NV!CA73</f>
        <v>HPS</v>
      </c>
      <c r="G1193" t="str">
        <f>NV!CB73</f>
        <v>AC</v>
      </c>
      <c r="H1193" t="str">
        <f>NV!CC73</f>
        <v>Head</v>
      </c>
      <c r="I1193">
        <f>NV!CD73</f>
        <v>0</v>
      </c>
      <c r="J1193">
        <f>NV!CE73</f>
        <v>0</v>
      </c>
      <c r="K1193">
        <f>NV!CF73</f>
        <v>0</v>
      </c>
      <c r="L1193" t="str">
        <f>NV!CG73</f>
        <v/>
      </c>
      <c r="M1193">
        <f>NV!CH73</f>
        <v>0</v>
      </c>
      <c r="N1193">
        <f>NV!CI73</f>
        <v>0</v>
      </c>
      <c r="O1193">
        <f>NV!CJ73</f>
        <v>0</v>
      </c>
      <c r="P1193" s="143" t="str">
        <f>NV!CK73</f>
        <v/>
      </c>
      <c r="R1193">
        <f t="shared" si="18"/>
        <v>1192</v>
      </c>
    </row>
    <row r="1194" spans="5:18">
      <c r="E1194" s="147" t="s">
        <v>63</v>
      </c>
      <c r="F1194" t="str">
        <f>NV!CA74</f>
        <v>HPS</v>
      </c>
      <c r="G1194" t="str">
        <f>NV!CB74</f>
        <v>AC</v>
      </c>
      <c r="H1194" t="str">
        <f>NV!CC74</f>
        <v>Head</v>
      </c>
      <c r="I1194">
        <f>NV!CD74</f>
        <v>0</v>
      </c>
      <c r="J1194">
        <f>NV!CE74</f>
        <v>0</v>
      </c>
      <c r="K1194">
        <f>NV!CF74</f>
        <v>0</v>
      </c>
      <c r="L1194" t="str">
        <f>NV!CG74</f>
        <v/>
      </c>
      <c r="M1194">
        <f>NV!CH74</f>
        <v>0</v>
      </c>
      <c r="N1194">
        <f>NV!CI74</f>
        <v>0</v>
      </c>
      <c r="O1194">
        <f>NV!CJ74</f>
        <v>0</v>
      </c>
      <c r="P1194" s="143" t="str">
        <f>NV!CK74</f>
        <v/>
      </c>
      <c r="R1194">
        <f t="shared" si="18"/>
        <v>1193</v>
      </c>
    </row>
    <row r="1195" spans="5:18">
      <c r="E1195" s="147" t="s">
        <v>63</v>
      </c>
      <c r="F1195" t="str">
        <f>NV!CA75</f>
        <v>HPS</v>
      </c>
      <c r="G1195" t="str">
        <f>NV!CB75</f>
        <v>AC</v>
      </c>
      <c r="H1195" t="str">
        <f>NV!CC75</f>
        <v>Head</v>
      </c>
      <c r="I1195">
        <f>NV!CD75</f>
        <v>0</v>
      </c>
      <c r="J1195">
        <f>NV!CE75</f>
        <v>0</v>
      </c>
      <c r="K1195">
        <f>NV!CF75</f>
        <v>0</v>
      </c>
      <c r="L1195" t="str">
        <f>NV!CG75</f>
        <v/>
      </c>
      <c r="M1195">
        <f>NV!CH75</f>
        <v>0</v>
      </c>
      <c r="N1195">
        <f>NV!CI75</f>
        <v>0</v>
      </c>
      <c r="O1195">
        <f>NV!CJ75</f>
        <v>0</v>
      </c>
      <c r="P1195" s="143" t="str">
        <f>NV!CK75</f>
        <v/>
      </c>
      <c r="R1195">
        <f t="shared" si="18"/>
        <v>1194</v>
      </c>
    </row>
    <row r="1196" spans="5:18">
      <c r="E1196" s="147" t="s">
        <v>63</v>
      </c>
      <c r="F1196" t="str">
        <f>NV!CA76</f>
        <v>HPS</v>
      </c>
      <c r="G1196" t="str">
        <f>NV!CB76</f>
        <v>AC</v>
      </c>
      <c r="H1196" t="str">
        <f>NV!CC76</f>
        <v>Head</v>
      </c>
      <c r="I1196">
        <f>NV!CD76</f>
        <v>0</v>
      </c>
      <c r="J1196">
        <f>NV!CE76</f>
        <v>0</v>
      </c>
      <c r="K1196">
        <f>NV!CF76</f>
        <v>0</v>
      </c>
      <c r="L1196" t="str">
        <f>NV!CG76</f>
        <v/>
      </c>
      <c r="M1196">
        <f>NV!CH76</f>
        <v>0</v>
      </c>
      <c r="N1196">
        <f>NV!CI76</f>
        <v>0</v>
      </c>
      <c r="O1196">
        <f>NV!CJ76</f>
        <v>0</v>
      </c>
      <c r="P1196" s="143" t="str">
        <f>NV!CK76</f>
        <v/>
      </c>
      <c r="R1196">
        <f t="shared" si="18"/>
        <v>1195</v>
      </c>
    </row>
    <row r="1197" spans="5:18">
      <c r="E1197" s="147" t="s">
        <v>63</v>
      </c>
      <c r="F1197" t="str">
        <f>NV!CA77</f>
        <v>HPS</v>
      </c>
      <c r="G1197" t="str">
        <f>NV!CB77</f>
        <v>AC</v>
      </c>
      <c r="H1197" t="str">
        <f>NV!CC77</f>
        <v>Head</v>
      </c>
      <c r="I1197">
        <f>NV!CD77</f>
        <v>0</v>
      </c>
      <c r="J1197">
        <f>NV!CE77</f>
        <v>0</v>
      </c>
      <c r="K1197">
        <f>NV!CF77</f>
        <v>0</v>
      </c>
      <c r="L1197" t="str">
        <f>NV!CG77</f>
        <v/>
      </c>
      <c r="M1197">
        <f>NV!CH77</f>
        <v>0</v>
      </c>
      <c r="N1197">
        <f>NV!CI77</f>
        <v>0</v>
      </c>
      <c r="O1197">
        <f>NV!CJ77</f>
        <v>0</v>
      </c>
      <c r="P1197" s="143" t="str">
        <f>NV!CK77</f>
        <v/>
      </c>
      <c r="R1197">
        <f t="shared" si="18"/>
        <v>1196</v>
      </c>
    </row>
    <row r="1198" spans="5:18">
      <c r="E1198" s="147" t="s">
        <v>63</v>
      </c>
      <c r="F1198" t="str">
        <f>NV!CA78</f>
        <v>HPS</v>
      </c>
      <c r="G1198" t="str">
        <f>NV!CB78</f>
        <v>AC</v>
      </c>
      <c r="H1198" t="str">
        <f>NV!CC78</f>
        <v>Head</v>
      </c>
      <c r="I1198">
        <f>NV!CD78</f>
        <v>0</v>
      </c>
      <c r="J1198">
        <f>NV!CE78</f>
        <v>0</v>
      </c>
      <c r="K1198">
        <f>NV!CF78</f>
        <v>0</v>
      </c>
      <c r="L1198" t="str">
        <f>NV!CG78</f>
        <v/>
      </c>
      <c r="M1198">
        <f>NV!CH78</f>
        <v>0</v>
      </c>
      <c r="N1198">
        <f>NV!CI78</f>
        <v>0</v>
      </c>
      <c r="O1198">
        <f>NV!CJ78</f>
        <v>0</v>
      </c>
      <c r="P1198" s="143" t="str">
        <f>NV!CK78</f>
        <v/>
      </c>
      <c r="R1198">
        <f t="shared" si="18"/>
        <v>1197</v>
      </c>
    </row>
    <row r="1199" spans="5:18">
      <c r="E1199" s="147" t="s">
        <v>63</v>
      </c>
      <c r="F1199" t="str">
        <f>NV!CA79</f>
        <v>HPS</v>
      </c>
      <c r="G1199" t="str">
        <f>NV!CB79</f>
        <v>AC</v>
      </c>
      <c r="H1199" t="str">
        <f>NV!CC79</f>
        <v>Head</v>
      </c>
      <c r="I1199">
        <f>NV!CD79</f>
        <v>0</v>
      </c>
      <c r="J1199">
        <f>NV!CE79</f>
        <v>0</v>
      </c>
      <c r="K1199">
        <f>NV!CF79</f>
        <v>0</v>
      </c>
      <c r="L1199" t="str">
        <f>NV!CG79</f>
        <v/>
      </c>
      <c r="M1199">
        <f>NV!CH79</f>
        <v>0</v>
      </c>
      <c r="N1199">
        <f>NV!CI79</f>
        <v>0</v>
      </c>
      <c r="O1199">
        <f>NV!CJ79</f>
        <v>0</v>
      </c>
      <c r="P1199" s="143" t="str">
        <f>NV!CK79</f>
        <v/>
      </c>
      <c r="R1199">
        <f t="shared" si="18"/>
        <v>1198</v>
      </c>
    </row>
    <row r="1200" spans="5:18">
      <c r="E1200" s="147" t="s">
        <v>63</v>
      </c>
      <c r="F1200" t="str">
        <f>NV!CA80</f>
        <v>HPS</v>
      </c>
      <c r="G1200" t="str">
        <f>NV!CB80</f>
        <v>AC</v>
      </c>
      <c r="H1200" t="str">
        <f>NV!CC80</f>
        <v>Head</v>
      </c>
      <c r="I1200">
        <f>NV!CD80</f>
        <v>0</v>
      </c>
      <c r="J1200">
        <f>NV!CE80</f>
        <v>0</v>
      </c>
      <c r="K1200">
        <f>NV!CF80</f>
        <v>0</v>
      </c>
      <c r="L1200" t="str">
        <f>NV!CG80</f>
        <v/>
      </c>
      <c r="M1200">
        <f>NV!CH80</f>
        <v>0</v>
      </c>
      <c r="N1200">
        <f>NV!CI80</f>
        <v>0</v>
      </c>
      <c r="O1200">
        <f>NV!CJ80</f>
        <v>0</v>
      </c>
      <c r="P1200" s="143" t="str">
        <f>NV!CK80</f>
        <v/>
      </c>
      <c r="R1200">
        <f t="shared" si="18"/>
        <v>1199</v>
      </c>
    </row>
    <row r="1201" spans="5:18">
      <c r="E1201" s="147" t="s">
        <v>63</v>
      </c>
      <c r="F1201" t="str">
        <f>NV!CA81</f>
        <v>HPS</v>
      </c>
      <c r="G1201" t="str">
        <f>NV!CB81</f>
        <v>AC</v>
      </c>
      <c r="H1201" t="str">
        <f>NV!CC81</f>
        <v>Head</v>
      </c>
      <c r="I1201">
        <f>NV!CD81</f>
        <v>0</v>
      </c>
      <c r="J1201">
        <f>NV!CE81</f>
        <v>0</v>
      </c>
      <c r="K1201">
        <f>NV!CF81</f>
        <v>0</v>
      </c>
      <c r="L1201" t="str">
        <f>NV!CG81</f>
        <v/>
      </c>
      <c r="M1201">
        <f>NV!CH81</f>
        <v>0</v>
      </c>
      <c r="N1201">
        <f>NV!CI81</f>
        <v>0</v>
      </c>
      <c r="O1201">
        <f>NV!CJ81</f>
        <v>0</v>
      </c>
      <c r="P1201" s="143" t="str">
        <f>NV!CK81</f>
        <v/>
      </c>
      <c r="R1201">
        <f t="shared" si="18"/>
        <v>1200</v>
      </c>
    </row>
    <row r="1202" spans="5:18">
      <c r="E1202" s="147" t="s">
        <v>63</v>
      </c>
      <c r="F1202" t="str">
        <f>NV!CA82</f>
        <v>HPS</v>
      </c>
      <c r="G1202" t="str">
        <f>NV!CB82</f>
        <v>AC</v>
      </c>
      <c r="H1202" t="str">
        <f>NV!CC82</f>
        <v>Head</v>
      </c>
      <c r="I1202">
        <f>NV!CD82</f>
        <v>0</v>
      </c>
      <c r="J1202">
        <f>NV!CE82</f>
        <v>0</v>
      </c>
      <c r="K1202">
        <f>NV!CF82</f>
        <v>0</v>
      </c>
      <c r="L1202" t="str">
        <f>NV!CG82</f>
        <v/>
      </c>
      <c r="M1202">
        <f>NV!CH82</f>
        <v>0</v>
      </c>
      <c r="N1202">
        <f>NV!CI82</f>
        <v>0</v>
      </c>
      <c r="O1202">
        <f>NV!CJ82</f>
        <v>0</v>
      </c>
      <c r="P1202" s="143" t="str">
        <f>NV!CK82</f>
        <v/>
      </c>
      <c r="R1202">
        <f t="shared" si="18"/>
        <v>1201</v>
      </c>
    </row>
    <row r="1203" spans="5:18">
      <c r="E1203" s="147" t="s">
        <v>63</v>
      </c>
      <c r="F1203" t="str">
        <f>NV!CA83</f>
        <v>HPS</v>
      </c>
      <c r="G1203" t="str">
        <f>NV!CB83</f>
        <v>AC</v>
      </c>
      <c r="H1203" t="str">
        <f>NV!CC83</f>
        <v>Head</v>
      </c>
      <c r="I1203">
        <f>NV!CD83</f>
        <v>0</v>
      </c>
      <c r="J1203">
        <f>NV!CE83</f>
        <v>0</v>
      </c>
      <c r="K1203">
        <f>NV!CF83</f>
        <v>0</v>
      </c>
      <c r="L1203" t="str">
        <f>NV!CG83</f>
        <v/>
      </c>
      <c r="M1203">
        <f>NV!CH83</f>
        <v>0</v>
      </c>
      <c r="N1203">
        <f>NV!CI83</f>
        <v>0</v>
      </c>
      <c r="O1203">
        <f>NV!CJ83</f>
        <v>0</v>
      </c>
      <c r="P1203" s="143" t="str">
        <f>NV!CK83</f>
        <v/>
      </c>
      <c r="R1203">
        <f t="shared" si="18"/>
        <v>1202</v>
      </c>
    </row>
    <row r="1204" spans="5:18">
      <c r="E1204" s="147" t="s">
        <v>63</v>
      </c>
      <c r="F1204" t="str">
        <f>NV!CA84</f>
        <v>HPS</v>
      </c>
      <c r="G1204" t="str">
        <f>NV!CB84</f>
        <v>AC</v>
      </c>
      <c r="H1204" t="str">
        <f>NV!CC84</f>
        <v>Head</v>
      </c>
      <c r="I1204">
        <f>NV!CD84</f>
        <v>0</v>
      </c>
      <c r="J1204">
        <f>NV!CE84</f>
        <v>0</v>
      </c>
      <c r="K1204">
        <f>NV!CF84</f>
        <v>0</v>
      </c>
      <c r="L1204" t="str">
        <f>NV!CG84</f>
        <v/>
      </c>
      <c r="M1204">
        <f>NV!CH84</f>
        <v>0</v>
      </c>
      <c r="N1204">
        <f>NV!CI84</f>
        <v>0</v>
      </c>
      <c r="O1204">
        <f>NV!CJ84</f>
        <v>0</v>
      </c>
      <c r="P1204" s="143" t="str">
        <f>NV!CK84</f>
        <v/>
      </c>
      <c r="R1204">
        <f t="shared" si="18"/>
        <v>1203</v>
      </c>
    </row>
    <row r="1205" spans="5:18">
      <c r="E1205" s="147" t="s">
        <v>63</v>
      </c>
      <c r="F1205" t="str">
        <f>NV!CA85</f>
        <v>HPS</v>
      </c>
      <c r="G1205" t="str">
        <f>NV!CB85</f>
        <v>AC</v>
      </c>
      <c r="H1205" t="str">
        <f>NV!CC85</f>
        <v>Head</v>
      </c>
      <c r="I1205">
        <f>NV!CD85</f>
        <v>0</v>
      </c>
      <c r="J1205">
        <f>NV!CE85</f>
        <v>0</v>
      </c>
      <c r="K1205" s="52">
        <f>NV!CF85</f>
        <v>0</v>
      </c>
      <c r="L1205" t="str">
        <f>NV!CG85</f>
        <v/>
      </c>
      <c r="M1205">
        <f>NV!CH85</f>
        <v>0</v>
      </c>
      <c r="N1205">
        <f>NV!CI85</f>
        <v>0</v>
      </c>
      <c r="O1205">
        <f>NV!CJ85</f>
        <v>0</v>
      </c>
      <c r="P1205" s="143" t="str">
        <f>NV!CK85</f>
        <v/>
      </c>
      <c r="R1205">
        <f t="shared" si="18"/>
        <v>1204</v>
      </c>
    </row>
    <row r="1206" spans="5:18">
      <c r="E1206" s="147" t="s">
        <v>63</v>
      </c>
      <c r="F1206" t="str">
        <f>NV!CA86</f>
        <v>HPS</v>
      </c>
      <c r="G1206" t="str">
        <f>NV!CB86</f>
        <v>AC</v>
      </c>
      <c r="H1206" t="str">
        <f>NV!CC86</f>
        <v>Head</v>
      </c>
      <c r="I1206">
        <f>NV!CD86</f>
        <v>0</v>
      </c>
      <c r="J1206">
        <f>NV!CE86</f>
        <v>0</v>
      </c>
      <c r="K1206" s="52">
        <f>NV!CF86</f>
        <v>0</v>
      </c>
      <c r="L1206" t="str">
        <f>NV!CG86</f>
        <v/>
      </c>
      <c r="M1206">
        <f>NV!CH86</f>
        <v>0</v>
      </c>
      <c r="N1206">
        <f>NV!CI86</f>
        <v>0</v>
      </c>
      <c r="O1206">
        <f>NV!CJ86</f>
        <v>0</v>
      </c>
      <c r="P1206" s="143" t="str">
        <f>NV!CK86</f>
        <v/>
      </c>
      <c r="R1206">
        <f t="shared" si="18"/>
        <v>1205</v>
      </c>
    </row>
    <row r="1207" spans="5:18">
      <c r="E1207" s="147" t="s">
        <v>63</v>
      </c>
      <c r="F1207" t="str">
        <f>NV!CA87</f>
        <v>HPS</v>
      </c>
      <c r="G1207" t="str">
        <f>NV!CB87</f>
        <v>AC</v>
      </c>
      <c r="H1207" t="str">
        <f>NV!CC87</f>
        <v>Head</v>
      </c>
      <c r="I1207">
        <f>NV!CD87</f>
        <v>0</v>
      </c>
      <c r="J1207">
        <f>NV!CE87</f>
        <v>0</v>
      </c>
      <c r="K1207" s="52">
        <f>NV!CF87</f>
        <v>0</v>
      </c>
      <c r="L1207" t="str">
        <f>NV!CG87</f>
        <v/>
      </c>
      <c r="M1207">
        <f>NV!CH87</f>
        <v>0</v>
      </c>
      <c r="N1207">
        <f>NV!CI87</f>
        <v>0</v>
      </c>
      <c r="O1207">
        <f>NV!CJ87</f>
        <v>0</v>
      </c>
      <c r="P1207" s="143" t="str">
        <f>NV!CK87</f>
        <v/>
      </c>
      <c r="R1207">
        <f t="shared" si="18"/>
        <v>1206</v>
      </c>
    </row>
    <row r="1208" spans="5:18">
      <c r="E1208" s="147" t="s">
        <v>63</v>
      </c>
      <c r="F1208" t="str">
        <f>NV!CA88</f>
        <v>HPS</v>
      </c>
      <c r="G1208" t="str">
        <f>NV!CB88</f>
        <v>AC</v>
      </c>
      <c r="H1208" t="str">
        <f>NV!CC88</f>
        <v>Head</v>
      </c>
      <c r="I1208">
        <f>NV!CD88</f>
        <v>0</v>
      </c>
      <c r="J1208">
        <f>NV!CE88</f>
        <v>0</v>
      </c>
      <c r="K1208" s="52">
        <f>NV!CF88</f>
        <v>0</v>
      </c>
      <c r="L1208" t="str">
        <f>NV!CG88</f>
        <v/>
      </c>
      <c r="M1208">
        <f>NV!CH88</f>
        <v>0</v>
      </c>
      <c r="N1208">
        <f>NV!CI88</f>
        <v>0</v>
      </c>
      <c r="O1208">
        <f>NV!CJ88</f>
        <v>0</v>
      </c>
      <c r="P1208" s="143" t="str">
        <f>NV!CK88</f>
        <v/>
      </c>
      <c r="R1208">
        <f t="shared" si="18"/>
        <v>1207</v>
      </c>
    </row>
    <row r="1209" spans="5:18">
      <c r="E1209" s="147" t="s">
        <v>63</v>
      </c>
      <c r="F1209" t="str">
        <f>NV!CA89</f>
        <v>HPS</v>
      </c>
      <c r="G1209" t="str">
        <f>NV!CB89</f>
        <v>AC</v>
      </c>
      <c r="H1209" t="str">
        <f>NV!CC89</f>
        <v>Head</v>
      </c>
      <c r="I1209">
        <f>NV!CD89</f>
        <v>0</v>
      </c>
      <c r="J1209">
        <f>NV!CE89</f>
        <v>0</v>
      </c>
      <c r="K1209" s="52">
        <f>NV!CF89</f>
        <v>0</v>
      </c>
      <c r="L1209" t="str">
        <f>NV!CG89</f>
        <v/>
      </c>
      <c r="M1209">
        <f>NV!CH89</f>
        <v>0</v>
      </c>
      <c r="N1209">
        <f>NV!CI89</f>
        <v>0</v>
      </c>
      <c r="O1209">
        <f>NV!CJ89</f>
        <v>0</v>
      </c>
      <c r="P1209" s="143" t="str">
        <f>NV!CK89</f>
        <v/>
      </c>
      <c r="R1209">
        <f t="shared" si="18"/>
        <v>1208</v>
      </c>
    </row>
    <row r="1210" spans="5:18">
      <c r="E1210" s="147" t="s">
        <v>63</v>
      </c>
      <c r="F1210" t="str">
        <f>NV!CA90</f>
        <v>HPS</v>
      </c>
      <c r="G1210" t="str">
        <f>NV!CB90</f>
        <v>AC</v>
      </c>
      <c r="H1210" t="str">
        <f>NV!CC90</f>
        <v>Head</v>
      </c>
      <c r="I1210">
        <f>NV!CD90</f>
        <v>0</v>
      </c>
      <c r="J1210">
        <f>NV!CE90</f>
        <v>0</v>
      </c>
      <c r="K1210" s="52">
        <f>NV!CF90</f>
        <v>0</v>
      </c>
      <c r="L1210" t="str">
        <f>NV!CG90</f>
        <v/>
      </c>
      <c r="M1210">
        <f>NV!CH90</f>
        <v>0</v>
      </c>
      <c r="N1210">
        <f>NV!CI90</f>
        <v>0</v>
      </c>
      <c r="O1210">
        <f>NV!CJ90</f>
        <v>0</v>
      </c>
      <c r="P1210" s="143" t="str">
        <f>NV!CK90</f>
        <v/>
      </c>
      <c r="R1210">
        <f t="shared" si="18"/>
        <v>1209</v>
      </c>
    </row>
    <row r="1211" spans="5:18">
      <c r="E1211" s="147" t="s">
        <v>63</v>
      </c>
      <c r="F1211" t="str">
        <f>NV!CA91</f>
        <v>HPS</v>
      </c>
      <c r="G1211" t="str">
        <f>NV!CB91</f>
        <v>AC</v>
      </c>
      <c r="H1211" t="str">
        <f>NV!CC91</f>
        <v>Head</v>
      </c>
      <c r="I1211">
        <f>NV!CD91</f>
        <v>0</v>
      </c>
      <c r="J1211">
        <f>NV!CE91</f>
        <v>0</v>
      </c>
      <c r="K1211" s="52">
        <f>NV!CF91</f>
        <v>0</v>
      </c>
      <c r="L1211" t="str">
        <f>NV!CG91</f>
        <v/>
      </c>
      <c r="M1211">
        <f>NV!CH91</f>
        <v>0</v>
      </c>
      <c r="N1211">
        <f>NV!CI91</f>
        <v>0</v>
      </c>
      <c r="O1211">
        <f>NV!CJ91</f>
        <v>0</v>
      </c>
      <c r="P1211" s="143" t="str">
        <f>NV!CK91</f>
        <v/>
      </c>
      <c r="R1211">
        <f t="shared" si="18"/>
        <v>1210</v>
      </c>
    </row>
    <row r="1212" spans="5:18">
      <c r="E1212" s="147" t="s">
        <v>63</v>
      </c>
      <c r="F1212" t="str">
        <f>NV!CA92</f>
        <v>HPS</v>
      </c>
      <c r="G1212" t="str">
        <f>NV!CB92</f>
        <v>AC</v>
      </c>
      <c r="H1212" t="str">
        <f>NV!CC92</f>
        <v>Head</v>
      </c>
      <c r="I1212">
        <f>NV!CD92</f>
        <v>0</v>
      </c>
      <c r="J1212">
        <f>NV!CE92</f>
        <v>0</v>
      </c>
      <c r="K1212" s="52">
        <f>NV!CF92</f>
        <v>0</v>
      </c>
      <c r="L1212" t="str">
        <f>NV!CG92</f>
        <v/>
      </c>
      <c r="M1212">
        <f>NV!CH92</f>
        <v>0</v>
      </c>
      <c r="N1212">
        <f>NV!CI92</f>
        <v>0</v>
      </c>
      <c r="O1212">
        <f>NV!CJ92</f>
        <v>0</v>
      </c>
      <c r="P1212" s="143" t="str">
        <f>NV!CK92</f>
        <v/>
      </c>
      <c r="R1212">
        <f t="shared" si="18"/>
        <v>1211</v>
      </c>
    </row>
    <row r="1213" spans="5:18">
      <c r="E1213" s="147" t="s">
        <v>63</v>
      </c>
      <c r="F1213" t="str">
        <f>NV!CA93</f>
        <v>HPS</v>
      </c>
      <c r="G1213" t="str">
        <f>NV!CB93</f>
        <v>AC</v>
      </c>
      <c r="H1213" t="str">
        <f>NV!CC93</f>
        <v>Head</v>
      </c>
      <c r="I1213">
        <f>NV!CD93</f>
        <v>0</v>
      </c>
      <c r="J1213">
        <f>NV!CE93</f>
        <v>0</v>
      </c>
      <c r="K1213" s="52">
        <f>NV!CF93</f>
        <v>0</v>
      </c>
      <c r="L1213" t="str">
        <f>NV!CG93</f>
        <v/>
      </c>
      <c r="M1213">
        <f>NV!CH93</f>
        <v>0</v>
      </c>
      <c r="N1213">
        <f>NV!CI93</f>
        <v>0</v>
      </c>
      <c r="O1213">
        <f>NV!CJ93</f>
        <v>0</v>
      </c>
      <c r="P1213" s="143" t="str">
        <f>NV!CK93</f>
        <v/>
      </c>
      <c r="R1213">
        <f t="shared" si="18"/>
        <v>1212</v>
      </c>
    </row>
    <row r="1214" spans="5:18">
      <c r="E1214" s="147" t="s">
        <v>63</v>
      </c>
      <c r="F1214" t="str">
        <f>NV!CA94</f>
        <v>HPS</v>
      </c>
      <c r="G1214" t="str">
        <f>NV!CB94</f>
        <v>AC</v>
      </c>
      <c r="H1214" t="str">
        <f>NV!CC94</f>
        <v>Head</v>
      </c>
      <c r="I1214">
        <f>NV!CD94</f>
        <v>0</v>
      </c>
      <c r="J1214">
        <f>NV!CE94</f>
        <v>0</v>
      </c>
      <c r="K1214" s="52">
        <f>NV!CF94</f>
        <v>0</v>
      </c>
      <c r="L1214" t="str">
        <f>NV!CG94</f>
        <v/>
      </c>
      <c r="M1214">
        <f>NV!CH94</f>
        <v>0</v>
      </c>
      <c r="N1214">
        <f>NV!CI94</f>
        <v>0</v>
      </c>
      <c r="O1214">
        <f>NV!CJ94</f>
        <v>0</v>
      </c>
      <c r="P1214" s="143" t="str">
        <f>NV!CK94</f>
        <v/>
      </c>
      <c r="R1214">
        <f t="shared" si="18"/>
        <v>1213</v>
      </c>
    </row>
    <row r="1215" spans="5:18">
      <c r="E1215" s="147" t="s">
        <v>63</v>
      </c>
      <c r="F1215" t="str">
        <f>NV!CA95</f>
        <v>HPS</v>
      </c>
      <c r="G1215" t="str">
        <f>NV!CB95</f>
        <v>AC</v>
      </c>
      <c r="H1215" t="str">
        <f>NV!CC95</f>
        <v>Head</v>
      </c>
      <c r="I1215">
        <f>NV!CD95</f>
        <v>0</v>
      </c>
      <c r="J1215">
        <f>NV!CE95</f>
        <v>0</v>
      </c>
      <c r="K1215" s="52">
        <f>NV!CF95</f>
        <v>0</v>
      </c>
      <c r="L1215" t="str">
        <f>NV!CG95</f>
        <v/>
      </c>
      <c r="M1215">
        <f>NV!CH95</f>
        <v>0</v>
      </c>
      <c r="N1215">
        <f>NV!CI95</f>
        <v>0</v>
      </c>
      <c r="O1215">
        <f>NV!CJ95</f>
        <v>0</v>
      </c>
      <c r="P1215" s="143" t="str">
        <f>NV!CK95</f>
        <v/>
      </c>
      <c r="R1215">
        <f t="shared" si="18"/>
        <v>1214</v>
      </c>
    </row>
    <row r="1216" spans="5:18">
      <c r="E1216" s="147" t="s">
        <v>63</v>
      </c>
      <c r="F1216" t="str">
        <f>NV!CA96</f>
        <v>HPS</v>
      </c>
      <c r="G1216" t="str">
        <f>NV!CB96</f>
        <v>AC</v>
      </c>
      <c r="H1216" t="str">
        <f>NV!CC96</f>
        <v>Head</v>
      </c>
      <c r="I1216">
        <f>NV!CD96</f>
        <v>0</v>
      </c>
      <c r="J1216">
        <f>NV!CE96</f>
        <v>0</v>
      </c>
      <c r="K1216" s="52">
        <f>NV!CF96</f>
        <v>0</v>
      </c>
      <c r="L1216" t="str">
        <f>NV!CG96</f>
        <v/>
      </c>
      <c r="M1216">
        <f>NV!CH96</f>
        <v>0</v>
      </c>
      <c r="N1216">
        <f>NV!CI96</f>
        <v>0</v>
      </c>
      <c r="O1216">
        <f>NV!CJ96</f>
        <v>0</v>
      </c>
      <c r="P1216" s="143" t="str">
        <f>NV!CK96</f>
        <v/>
      </c>
      <c r="R1216">
        <f t="shared" si="18"/>
        <v>1215</v>
      </c>
    </row>
    <row r="1217" spans="5:18">
      <c r="E1217" s="147" t="s">
        <v>63</v>
      </c>
      <c r="F1217" t="str">
        <f>NV!CA97</f>
        <v>HPS</v>
      </c>
      <c r="G1217" t="str">
        <f>NV!CB97</f>
        <v>AC</v>
      </c>
      <c r="H1217" t="str">
        <f>NV!CC97</f>
        <v>Head</v>
      </c>
      <c r="I1217">
        <f>NV!CD97</f>
        <v>0</v>
      </c>
      <c r="J1217">
        <f>NV!CE97</f>
        <v>0</v>
      </c>
      <c r="K1217" s="52">
        <f>NV!CF97</f>
        <v>0</v>
      </c>
      <c r="L1217" t="str">
        <f>NV!CG97</f>
        <v/>
      </c>
      <c r="M1217">
        <f>NV!CH97</f>
        <v>0</v>
      </c>
      <c r="N1217">
        <f>NV!CI97</f>
        <v>0</v>
      </c>
      <c r="O1217">
        <f>NV!CJ97</f>
        <v>0</v>
      </c>
      <c r="P1217" s="143" t="str">
        <f>NV!CK97</f>
        <v/>
      </c>
      <c r="R1217">
        <f t="shared" si="18"/>
        <v>1216</v>
      </c>
    </row>
    <row r="1218" spans="5:18">
      <c r="E1218" s="147" t="s">
        <v>63</v>
      </c>
      <c r="F1218" t="str">
        <f>NV!CA98</f>
        <v>HPS</v>
      </c>
      <c r="G1218" t="str">
        <f>NV!CB98</f>
        <v>AC</v>
      </c>
      <c r="H1218" t="str">
        <f>NV!CC98</f>
        <v>Head</v>
      </c>
      <c r="I1218">
        <f>NV!CD98</f>
        <v>0</v>
      </c>
      <c r="J1218">
        <f>NV!CE98</f>
        <v>0</v>
      </c>
      <c r="K1218" s="52">
        <f>NV!CF98</f>
        <v>0</v>
      </c>
      <c r="L1218" t="str">
        <f>NV!CG98</f>
        <v/>
      </c>
      <c r="M1218">
        <f>NV!CH98</f>
        <v>0</v>
      </c>
      <c r="N1218">
        <f>NV!CI98</f>
        <v>0</v>
      </c>
      <c r="O1218">
        <f>NV!CJ98</f>
        <v>0</v>
      </c>
      <c r="P1218" s="143" t="str">
        <f>NV!CK98</f>
        <v/>
      </c>
      <c r="R1218">
        <f t="shared" si="18"/>
        <v>1217</v>
      </c>
    </row>
    <row r="1219" spans="5:18">
      <c r="E1219" s="147" t="s">
        <v>63</v>
      </c>
      <c r="F1219" t="str">
        <f>NV!CA99</f>
        <v>HPS</v>
      </c>
      <c r="G1219" t="str">
        <f>NV!CB99</f>
        <v>AC</v>
      </c>
      <c r="H1219" t="str">
        <f>NV!CC99</f>
        <v>Head</v>
      </c>
      <c r="I1219">
        <f>NV!CD99</f>
        <v>0</v>
      </c>
      <c r="J1219">
        <f>NV!CE99</f>
        <v>0</v>
      </c>
      <c r="K1219" s="52">
        <f>NV!CF99</f>
        <v>0</v>
      </c>
      <c r="L1219" t="str">
        <f>NV!CG99</f>
        <v/>
      </c>
      <c r="M1219">
        <f>NV!CH99</f>
        <v>0</v>
      </c>
      <c r="N1219">
        <f>NV!CI99</f>
        <v>0</v>
      </c>
      <c r="O1219">
        <f>NV!CJ99</f>
        <v>0</v>
      </c>
      <c r="P1219" s="143" t="str">
        <f>NV!CK99</f>
        <v/>
      </c>
      <c r="R1219">
        <f t="shared" si="18"/>
        <v>1218</v>
      </c>
    </row>
    <row r="1220" spans="5:18">
      <c r="E1220" s="147" t="s">
        <v>63</v>
      </c>
      <c r="F1220" t="str">
        <f>NV!CA100</f>
        <v>HPS</v>
      </c>
      <c r="G1220" t="str">
        <f>NV!CB100</f>
        <v>AC</v>
      </c>
      <c r="H1220" t="str">
        <f>NV!CC100</f>
        <v>Head</v>
      </c>
      <c r="I1220">
        <f>NV!CD100</f>
        <v>0</v>
      </c>
      <c r="J1220">
        <f>NV!CE100</f>
        <v>0</v>
      </c>
      <c r="K1220" s="52">
        <f>NV!CF100</f>
        <v>0</v>
      </c>
      <c r="L1220" t="str">
        <f>NV!CG100</f>
        <v/>
      </c>
      <c r="M1220">
        <f>NV!CH100</f>
        <v>0</v>
      </c>
      <c r="N1220">
        <f>NV!CI100</f>
        <v>0</v>
      </c>
      <c r="O1220">
        <f>NV!CJ100</f>
        <v>0</v>
      </c>
      <c r="P1220" s="143" t="str">
        <f>NV!CK100</f>
        <v/>
      </c>
      <c r="R1220">
        <f t="shared" ref="R1220:R1283" si="19">R1219+1</f>
        <v>1219</v>
      </c>
    </row>
    <row r="1221" spans="5:18">
      <c r="E1221" s="147" t="s">
        <v>63</v>
      </c>
      <c r="F1221" t="str">
        <f>NV!CA101</f>
        <v>HPS</v>
      </c>
      <c r="G1221" t="str">
        <f>NV!CB101</f>
        <v>AC</v>
      </c>
      <c r="H1221" t="str">
        <f>NV!CC101</f>
        <v>Head</v>
      </c>
      <c r="I1221">
        <f>NV!CD101</f>
        <v>0</v>
      </c>
      <c r="J1221">
        <f>NV!CE101</f>
        <v>0</v>
      </c>
      <c r="K1221" s="52">
        <f>NV!CF101</f>
        <v>0</v>
      </c>
      <c r="L1221" t="str">
        <f>NV!CG101</f>
        <v/>
      </c>
      <c r="M1221">
        <f>NV!CH101</f>
        <v>0</v>
      </c>
      <c r="N1221">
        <f>NV!CI101</f>
        <v>0</v>
      </c>
      <c r="O1221">
        <f>NV!CJ101</f>
        <v>0</v>
      </c>
      <c r="P1221" s="143" t="str">
        <f>NV!CK101</f>
        <v/>
      </c>
      <c r="R1221">
        <f t="shared" si="19"/>
        <v>1220</v>
      </c>
    </row>
    <row r="1222" spans="5:18">
      <c r="E1222" s="147" t="s">
        <v>63</v>
      </c>
      <c r="F1222" t="str">
        <f>NV!CA102</f>
        <v>HPS</v>
      </c>
      <c r="G1222" t="str">
        <f>NV!CB102</f>
        <v>AC</v>
      </c>
      <c r="H1222" t="str">
        <f>NV!CC102</f>
        <v>Head</v>
      </c>
      <c r="I1222">
        <f>NV!CD102</f>
        <v>0</v>
      </c>
      <c r="J1222">
        <f>NV!CE102</f>
        <v>0</v>
      </c>
      <c r="K1222" s="52">
        <f>NV!CF102</f>
        <v>0</v>
      </c>
      <c r="L1222" t="str">
        <f>NV!CG102</f>
        <v/>
      </c>
      <c r="M1222">
        <f>NV!CH102</f>
        <v>0</v>
      </c>
      <c r="N1222">
        <f>NV!CI102</f>
        <v>0</v>
      </c>
      <c r="O1222">
        <f>NV!CJ102</f>
        <v>0</v>
      </c>
      <c r="P1222" s="143" t="str">
        <f>NV!CK102</f>
        <v/>
      </c>
      <c r="R1222">
        <f t="shared" si="19"/>
        <v>1221</v>
      </c>
    </row>
    <row r="1223" spans="5:18">
      <c r="E1223" s="147" t="s">
        <v>63</v>
      </c>
      <c r="F1223" t="str">
        <f>NV!CA103</f>
        <v>HPS</v>
      </c>
      <c r="G1223" t="str">
        <f>NV!CB103</f>
        <v>AC</v>
      </c>
      <c r="H1223" t="str">
        <f>NV!CC103</f>
        <v>Head</v>
      </c>
      <c r="I1223">
        <f>NV!CD103</f>
        <v>0</v>
      </c>
      <c r="J1223">
        <f>NV!CE103</f>
        <v>0</v>
      </c>
      <c r="K1223" s="52">
        <f>NV!CF103</f>
        <v>0</v>
      </c>
      <c r="L1223" t="str">
        <f>NV!CG103</f>
        <v/>
      </c>
      <c r="M1223">
        <f>NV!CH103</f>
        <v>0</v>
      </c>
      <c r="N1223">
        <f>NV!CI103</f>
        <v>0</v>
      </c>
      <c r="O1223">
        <f>NV!CJ103</f>
        <v>0</v>
      </c>
      <c r="P1223" s="143" t="str">
        <f>NV!CK103</f>
        <v/>
      </c>
      <c r="R1223">
        <f t="shared" si="19"/>
        <v>1222</v>
      </c>
    </row>
    <row r="1224" spans="5:18">
      <c r="E1224" s="147" t="s">
        <v>63</v>
      </c>
      <c r="F1224" t="str">
        <f>NV!CA104</f>
        <v>HPS</v>
      </c>
      <c r="G1224" t="str">
        <f>NV!CB104</f>
        <v>AC</v>
      </c>
      <c r="H1224" t="str">
        <f>NV!CC104</f>
        <v>Head</v>
      </c>
      <c r="I1224">
        <f>NV!CD104</f>
        <v>0</v>
      </c>
      <c r="J1224">
        <f>NV!CE104</f>
        <v>0</v>
      </c>
      <c r="K1224" s="52">
        <f>NV!CF104</f>
        <v>0</v>
      </c>
      <c r="L1224" t="str">
        <f>NV!CG104</f>
        <v/>
      </c>
      <c r="M1224">
        <f>NV!CH104</f>
        <v>0</v>
      </c>
      <c r="N1224">
        <f>NV!CI104</f>
        <v>0</v>
      </c>
      <c r="O1224">
        <f>NV!CJ104</f>
        <v>0</v>
      </c>
      <c r="P1224" s="143" t="str">
        <f>NV!CK104</f>
        <v/>
      </c>
      <c r="R1224">
        <f t="shared" si="19"/>
        <v>1223</v>
      </c>
    </row>
    <row r="1225" spans="5:18">
      <c r="E1225" s="147" t="s">
        <v>63</v>
      </c>
      <c r="F1225" t="str">
        <f>NV!CA105</f>
        <v>HPS</v>
      </c>
      <c r="G1225" t="str">
        <f>NV!CB105</f>
        <v>AC</v>
      </c>
      <c r="H1225" t="str">
        <f>NV!CC105</f>
        <v>Head</v>
      </c>
      <c r="I1225">
        <f>NV!CD105</f>
        <v>0</v>
      </c>
      <c r="J1225">
        <f>NV!CE105</f>
        <v>0</v>
      </c>
      <c r="K1225" s="52">
        <f>NV!CF105</f>
        <v>0</v>
      </c>
      <c r="L1225" t="str">
        <f>NV!CG105</f>
        <v/>
      </c>
      <c r="M1225">
        <f>NV!CH105</f>
        <v>0</v>
      </c>
      <c r="N1225">
        <f>NV!CI105</f>
        <v>0</v>
      </c>
      <c r="O1225">
        <f>NV!CJ105</f>
        <v>0</v>
      </c>
      <c r="P1225" s="143" t="str">
        <f>NV!CK105</f>
        <v/>
      </c>
      <c r="R1225">
        <f t="shared" si="19"/>
        <v>1224</v>
      </c>
    </row>
    <row r="1226" spans="5:18">
      <c r="E1226" s="147" t="s">
        <v>63</v>
      </c>
      <c r="F1226" t="str">
        <f>NV!CA106</f>
        <v>HPS</v>
      </c>
      <c r="G1226" t="str">
        <f>NV!CB106</f>
        <v>AC</v>
      </c>
      <c r="H1226" t="str">
        <f>NV!CC106</f>
        <v>Head</v>
      </c>
      <c r="I1226">
        <f>NV!CD106</f>
        <v>0</v>
      </c>
      <c r="J1226">
        <f>NV!CE106</f>
        <v>0</v>
      </c>
      <c r="K1226" s="52">
        <f>NV!CF106</f>
        <v>0</v>
      </c>
      <c r="L1226" t="str">
        <f>NV!CG106</f>
        <v/>
      </c>
      <c r="M1226">
        <f>NV!CH106</f>
        <v>0</v>
      </c>
      <c r="N1226">
        <f>NV!CI106</f>
        <v>0</v>
      </c>
      <c r="O1226">
        <f>NV!CJ106</f>
        <v>0</v>
      </c>
      <c r="P1226" s="143" t="str">
        <f>NV!CK106</f>
        <v/>
      </c>
      <c r="R1226">
        <f t="shared" si="19"/>
        <v>1225</v>
      </c>
    </row>
    <row r="1227" spans="5:18">
      <c r="E1227" s="147" t="s">
        <v>63</v>
      </c>
      <c r="F1227" t="str">
        <f>NV!CA107</f>
        <v>HPS</v>
      </c>
      <c r="G1227" t="str">
        <f>NV!CB107</f>
        <v>AC</v>
      </c>
      <c r="H1227" t="str">
        <f>NV!CC107</f>
        <v>Head</v>
      </c>
      <c r="I1227">
        <f>NV!CD107</f>
        <v>0</v>
      </c>
      <c r="J1227">
        <f>NV!CE107</f>
        <v>0</v>
      </c>
      <c r="K1227" s="52">
        <f>NV!CF107</f>
        <v>0</v>
      </c>
      <c r="L1227" t="str">
        <f>NV!CG107</f>
        <v/>
      </c>
      <c r="M1227">
        <f>NV!CH107</f>
        <v>0</v>
      </c>
      <c r="N1227">
        <f>NV!CI107</f>
        <v>0</v>
      </c>
      <c r="O1227">
        <f>NV!CJ107</f>
        <v>0</v>
      </c>
      <c r="P1227" s="143" t="str">
        <f>NV!CK107</f>
        <v/>
      </c>
      <c r="R1227">
        <f t="shared" si="19"/>
        <v>1226</v>
      </c>
    </row>
    <row r="1228" spans="5:18">
      <c r="E1228" s="147" t="s">
        <v>63</v>
      </c>
      <c r="F1228" t="str">
        <f>NV!CA108</f>
        <v>HPS</v>
      </c>
      <c r="G1228" t="str">
        <f>NV!CB108</f>
        <v>AC</v>
      </c>
      <c r="H1228" t="str">
        <f>NV!CC108</f>
        <v>Head</v>
      </c>
      <c r="I1228">
        <f>NV!CD108</f>
        <v>0</v>
      </c>
      <c r="J1228">
        <f>NV!CE108</f>
        <v>0</v>
      </c>
      <c r="K1228" s="52">
        <f>NV!CF108</f>
        <v>0</v>
      </c>
      <c r="L1228" t="str">
        <f>NV!CG108</f>
        <v/>
      </c>
      <c r="M1228">
        <f>NV!CH108</f>
        <v>0</v>
      </c>
      <c r="N1228">
        <f>NV!CI108</f>
        <v>0</v>
      </c>
      <c r="O1228">
        <f>NV!CJ108</f>
        <v>0</v>
      </c>
      <c r="P1228" s="143" t="str">
        <f>NV!CK108</f>
        <v/>
      </c>
      <c r="R1228">
        <f t="shared" si="19"/>
        <v>1227</v>
      </c>
    </row>
    <row r="1229" spans="5:18">
      <c r="E1229" s="147" t="s">
        <v>63</v>
      </c>
      <c r="F1229" t="str">
        <f>NV!CA109</f>
        <v>HPS</v>
      </c>
      <c r="G1229" t="str">
        <f>NV!CB109</f>
        <v>AC</v>
      </c>
      <c r="H1229" t="str">
        <f>NV!CC109</f>
        <v>Head</v>
      </c>
      <c r="I1229">
        <f>NV!CD109</f>
        <v>0</v>
      </c>
      <c r="J1229">
        <f>NV!CE109</f>
        <v>0</v>
      </c>
      <c r="K1229" s="52">
        <f>NV!CF109</f>
        <v>0</v>
      </c>
      <c r="L1229" t="str">
        <f>NV!CG109</f>
        <v/>
      </c>
      <c r="M1229">
        <f>NV!CH109</f>
        <v>0</v>
      </c>
      <c r="N1229">
        <f>NV!CI109</f>
        <v>0</v>
      </c>
      <c r="O1229">
        <f>NV!CJ109</f>
        <v>0</v>
      </c>
      <c r="P1229" s="143" t="str">
        <f>NV!CK109</f>
        <v/>
      </c>
      <c r="R1229">
        <f t="shared" si="19"/>
        <v>1228</v>
      </c>
    </row>
    <row r="1230" spans="5:18">
      <c r="E1230" s="147" t="s">
        <v>63</v>
      </c>
      <c r="F1230" t="str">
        <f>NV!CA110</f>
        <v>HPS</v>
      </c>
      <c r="G1230" t="str">
        <f>NV!CB110</f>
        <v>AC</v>
      </c>
      <c r="H1230" t="str">
        <f>NV!CC110</f>
        <v>Head</v>
      </c>
      <c r="I1230">
        <f>NV!CD110</f>
        <v>0</v>
      </c>
      <c r="J1230">
        <f>NV!CE110</f>
        <v>0</v>
      </c>
      <c r="K1230" s="52">
        <f>NV!CF110</f>
        <v>0</v>
      </c>
      <c r="L1230" t="str">
        <f>NV!CG110</f>
        <v/>
      </c>
      <c r="M1230">
        <f>NV!CH110</f>
        <v>0</v>
      </c>
      <c r="N1230">
        <f>NV!CI110</f>
        <v>0</v>
      </c>
      <c r="O1230">
        <f>NV!CJ110</f>
        <v>0</v>
      </c>
      <c r="P1230" s="143" t="str">
        <f>NV!CK110</f>
        <v/>
      </c>
      <c r="R1230">
        <f t="shared" si="19"/>
        <v>1229</v>
      </c>
    </row>
    <row r="1231" spans="5:18">
      <c r="E1231" s="147" t="s">
        <v>63</v>
      </c>
      <c r="F1231" t="str">
        <f>NV!CA111</f>
        <v>HPS</v>
      </c>
      <c r="G1231" t="str">
        <f>NV!CB111</f>
        <v>AC</v>
      </c>
      <c r="H1231" t="str">
        <f>NV!CC111</f>
        <v>Head</v>
      </c>
      <c r="I1231">
        <f>NV!CD111</f>
        <v>0</v>
      </c>
      <c r="J1231">
        <f>NV!CE111</f>
        <v>0</v>
      </c>
      <c r="K1231" s="52">
        <f>NV!CF111</f>
        <v>0</v>
      </c>
      <c r="L1231" t="str">
        <f>NV!CG111</f>
        <v/>
      </c>
      <c r="M1231">
        <f>NV!CH111</f>
        <v>0</v>
      </c>
      <c r="N1231">
        <f>NV!CI111</f>
        <v>0</v>
      </c>
      <c r="O1231">
        <f>NV!CJ111</f>
        <v>0</v>
      </c>
      <c r="P1231" s="143" t="str">
        <f>NV!CK111</f>
        <v/>
      </c>
      <c r="R1231">
        <f t="shared" si="19"/>
        <v>1230</v>
      </c>
    </row>
    <row r="1232" spans="5:18">
      <c r="E1232" s="147" t="s">
        <v>63</v>
      </c>
      <c r="F1232" t="str">
        <f>NV!CA112</f>
        <v>HPS</v>
      </c>
      <c r="G1232" t="str">
        <f>NV!CB112</f>
        <v>AC</v>
      </c>
      <c r="H1232" t="str">
        <f>NV!CC112</f>
        <v>Head</v>
      </c>
      <c r="I1232">
        <f>NV!CD112</f>
        <v>0</v>
      </c>
      <c r="J1232">
        <f>NV!CE112</f>
        <v>0</v>
      </c>
      <c r="K1232" s="52">
        <f>NV!CF112</f>
        <v>0</v>
      </c>
      <c r="L1232" t="str">
        <f>NV!CG112</f>
        <v/>
      </c>
      <c r="M1232">
        <f>NV!CH112</f>
        <v>0</v>
      </c>
      <c r="N1232">
        <f>NV!CI112</f>
        <v>0</v>
      </c>
      <c r="O1232">
        <f>NV!CJ112</f>
        <v>0</v>
      </c>
      <c r="P1232" s="143" t="str">
        <f>NV!CK112</f>
        <v/>
      </c>
      <c r="R1232">
        <f t="shared" si="19"/>
        <v>1231</v>
      </c>
    </row>
    <row r="1233" spans="5:18">
      <c r="E1233" s="147" t="s">
        <v>63</v>
      </c>
      <c r="F1233" t="str">
        <f>NV!CA113</f>
        <v>HPS</v>
      </c>
      <c r="G1233" t="str">
        <f>NV!CB113</f>
        <v>AC</v>
      </c>
      <c r="H1233" t="str">
        <f>NV!CC113</f>
        <v>Head</v>
      </c>
      <c r="I1233">
        <f>NV!CD113</f>
        <v>0</v>
      </c>
      <c r="J1233">
        <f>NV!CE113</f>
        <v>0</v>
      </c>
      <c r="K1233" s="52">
        <f>NV!CF113</f>
        <v>0</v>
      </c>
      <c r="L1233" t="str">
        <f>NV!CG113</f>
        <v/>
      </c>
      <c r="M1233">
        <f>NV!CH113</f>
        <v>0</v>
      </c>
      <c r="N1233">
        <f>NV!CI113</f>
        <v>0</v>
      </c>
      <c r="O1233">
        <f>NV!CJ113</f>
        <v>0</v>
      </c>
      <c r="P1233" s="143" t="str">
        <f>NV!CK113</f>
        <v/>
      </c>
      <c r="R1233">
        <f t="shared" si="19"/>
        <v>1232</v>
      </c>
    </row>
    <row r="1234" spans="5:18">
      <c r="E1234" s="147" t="s">
        <v>63</v>
      </c>
      <c r="F1234" t="str">
        <f>NV!CA114</f>
        <v>HPS</v>
      </c>
      <c r="G1234" t="str">
        <f>NV!CB114</f>
        <v>AC</v>
      </c>
      <c r="H1234" t="str">
        <f>NV!CC114</f>
        <v>Head</v>
      </c>
      <c r="I1234">
        <f>NV!CD114</f>
        <v>0</v>
      </c>
      <c r="J1234">
        <f>NV!CE114</f>
        <v>0</v>
      </c>
      <c r="K1234" s="52">
        <f>NV!CF114</f>
        <v>0</v>
      </c>
      <c r="L1234" t="str">
        <f>NV!CG114</f>
        <v/>
      </c>
      <c r="M1234">
        <f>NV!CH114</f>
        <v>0</v>
      </c>
      <c r="N1234">
        <f>NV!CI114</f>
        <v>0</v>
      </c>
      <c r="O1234">
        <f>NV!CJ114</f>
        <v>0</v>
      </c>
      <c r="P1234" s="143" t="str">
        <f>NV!CK114</f>
        <v/>
      </c>
      <c r="R1234">
        <f t="shared" si="19"/>
        <v>1233</v>
      </c>
    </row>
    <row r="1235" spans="5:18">
      <c r="E1235" s="147" t="s">
        <v>63</v>
      </c>
      <c r="F1235" t="str">
        <f>NV!CA115</f>
        <v>HPS</v>
      </c>
      <c r="G1235" t="str">
        <f>NV!CB115</f>
        <v>AC</v>
      </c>
      <c r="H1235" t="str">
        <f>NV!CC115</f>
        <v>Head</v>
      </c>
      <c r="I1235">
        <f>NV!CD115</f>
        <v>0</v>
      </c>
      <c r="J1235">
        <f>NV!CE115</f>
        <v>0</v>
      </c>
      <c r="K1235" s="52">
        <f>NV!CF115</f>
        <v>0</v>
      </c>
      <c r="L1235" t="str">
        <f>NV!CG115</f>
        <v/>
      </c>
      <c r="M1235">
        <f>NV!CH115</f>
        <v>0</v>
      </c>
      <c r="N1235">
        <f>NV!CI115</f>
        <v>0</v>
      </c>
      <c r="O1235">
        <f>NV!CJ115</f>
        <v>0</v>
      </c>
      <c r="P1235" s="143" t="str">
        <f>NV!CK115</f>
        <v/>
      </c>
      <c r="R1235">
        <f t="shared" si="19"/>
        <v>1234</v>
      </c>
    </row>
    <row r="1236" spans="5:18">
      <c r="E1236" s="147" t="s">
        <v>63</v>
      </c>
      <c r="F1236" t="str">
        <f>NV!CA116</f>
        <v>HPS</v>
      </c>
      <c r="G1236" t="str">
        <f>NV!CB116</f>
        <v>AC</v>
      </c>
      <c r="H1236" t="str">
        <f>NV!CC116</f>
        <v>Head</v>
      </c>
      <c r="I1236">
        <f>NV!CD116</f>
        <v>0</v>
      </c>
      <c r="J1236">
        <f>NV!CE116</f>
        <v>0</v>
      </c>
      <c r="K1236" s="52">
        <f>NV!CF116</f>
        <v>0</v>
      </c>
      <c r="L1236" t="str">
        <f>NV!CG116</f>
        <v/>
      </c>
      <c r="M1236">
        <f>NV!CH116</f>
        <v>0</v>
      </c>
      <c r="N1236">
        <f>NV!CI116</f>
        <v>0</v>
      </c>
      <c r="O1236">
        <f>NV!CJ116</f>
        <v>0</v>
      </c>
      <c r="P1236" s="143" t="str">
        <f>NV!CK116</f>
        <v/>
      </c>
      <c r="R1236">
        <f t="shared" si="19"/>
        <v>1235</v>
      </c>
    </row>
    <row r="1237" spans="5:18">
      <c r="E1237" s="147" t="s">
        <v>63</v>
      </c>
      <c r="F1237" t="str">
        <f>NV!CA117</f>
        <v>HPS</v>
      </c>
      <c r="G1237" t="str">
        <f>NV!CB117</f>
        <v>AC</v>
      </c>
      <c r="H1237" t="str">
        <f>NV!CC117</f>
        <v>Head</v>
      </c>
      <c r="I1237">
        <f>NV!CD117</f>
        <v>0</v>
      </c>
      <c r="J1237">
        <f>NV!CE117</f>
        <v>0</v>
      </c>
      <c r="K1237" s="52">
        <f>NV!CF117</f>
        <v>0</v>
      </c>
      <c r="L1237" t="str">
        <f>NV!CG117</f>
        <v/>
      </c>
      <c r="M1237">
        <f>NV!CH117</f>
        <v>0</v>
      </c>
      <c r="N1237">
        <f>NV!CI117</f>
        <v>0</v>
      </c>
      <c r="O1237">
        <f>NV!CJ117</f>
        <v>0</v>
      </c>
      <c r="P1237" s="143" t="str">
        <f>NV!CK117</f>
        <v/>
      </c>
      <c r="R1237">
        <f t="shared" si="19"/>
        <v>1236</v>
      </c>
    </row>
    <row r="1238" spans="5:18">
      <c r="E1238" s="147" t="s">
        <v>63</v>
      </c>
      <c r="F1238" t="str">
        <f>NV!CA118</f>
        <v>HPS</v>
      </c>
      <c r="G1238" t="str">
        <f>NV!CB118</f>
        <v>AC</v>
      </c>
      <c r="H1238" t="str">
        <f>NV!CC118</f>
        <v>Head</v>
      </c>
      <c r="I1238">
        <f>NV!CD118</f>
        <v>0</v>
      </c>
      <c r="J1238">
        <f>NV!CE118</f>
        <v>0</v>
      </c>
      <c r="K1238" s="52">
        <f>NV!CF118</f>
        <v>0</v>
      </c>
      <c r="L1238" t="str">
        <f>NV!CG118</f>
        <v/>
      </c>
      <c r="M1238">
        <f>NV!CH118</f>
        <v>0</v>
      </c>
      <c r="N1238">
        <f>NV!CI118</f>
        <v>0</v>
      </c>
      <c r="O1238">
        <f>NV!CJ118</f>
        <v>0</v>
      </c>
      <c r="P1238" s="143" t="str">
        <f>NV!CK118</f>
        <v/>
      </c>
      <c r="R1238">
        <f t="shared" si="19"/>
        <v>1237</v>
      </c>
    </row>
    <row r="1239" spans="5:18">
      <c r="E1239" s="147" t="s">
        <v>63</v>
      </c>
      <c r="F1239" t="str">
        <f>NV!CA119</f>
        <v>HPS</v>
      </c>
      <c r="G1239" t="str">
        <f>NV!CB119</f>
        <v>AC</v>
      </c>
      <c r="H1239" t="str">
        <f>NV!CC119</f>
        <v>Head</v>
      </c>
      <c r="I1239">
        <f>NV!CD119</f>
        <v>0</v>
      </c>
      <c r="J1239">
        <f>NV!CE119</f>
        <v>0</v>
      </c>
      <c r="K1239" s="52">
        <f>NV!CF119</f>
        <v>0</v>
      </c>
      <c r="L1239" t="str">
        <f>NV!CG119</f>
        <v/>
      </c>
      <c r="M1239">
        <f>NV!CH119</f>
        <v>0</v>
      </c>
      <c r="N1239">
        <f>NV!CI119</f>
        <v>0</v>
      </c>
      <c r="O1239">
        <f>NV!CJ119</f>
        <v>0</v>
      </c>
      <c r="P1239" s="143" t="str">
        <f>NV!CK119</f>
        <v/>
      </c>
      <c r="R1239">
        <f t="shared" si="19"/>
        <v>1238</v>
      </c>
    </row>
    <row r="1240" spans="5:18">
      <c r="E1240" s="147" t="s">
        <v>63</v>
      </c>
      <c r="F1240" t="str">
        <f>NV!CA120</f>
        <v>HPS</v>
      </c>
      <c r="G1240" t="str">
        <f>NV!CB120</f>
        <v>AC</v>
      </c>
      <c r="H1240" t="str">
        <f>NV!CC120</f>
        <v>Head</v>
      </c>
      <c r="I1240">
        <f>NV!CD120</f>
        <v>0</v>
      </c>
      <c r="J1240">
        <f>NV!CE120</f>
        <v>0</v>
      </c>
      <c r="K1240" s="52">
        <f>NV!CF120</f>
        <v>0</v>
      </c>
      <c r="L1240" t="str">
        <f>NV!CG120</f>
        <v/>
      </c>
      <c r="M1240">
        <f>NV!CH120</f>
        <v>0</v>
      </c>
      <c r="N1240">
        <f>NV!CI120</f>
        <v>0</v>
      </c>
      <c r="O1240">
        <f>NV!CJ120</f>
        <v>0</v>
      </c>
      <c r="P1240" s="143" t="str">
        <f>NV!CK120</f>
        <v/>
      </c>
      <c r="R1240">
        <f t="shared" si="19"/>
        <v>1239</v>
      </c>
    </row>
    <row r="1241" spans="5:18">
      <c r="E1241" s="147" t="s">
        <v>63</v>
      </c>
      <c r="F1241" t="str">
        <f>NV!CA121</f>
        <v>HPS</v>
      </c>
      <c r="G1241" t="str">
        <f>NV!CB121</f>
        <v>AC</v>
      </c>
      <c r="H1241" t="str">
        <f>NV!CC121</f>
        <v>Head</v>
      </c>
      <c r="I1241">
        <f>NV!CD121</f>
        <v>0</v>
      </c>
      <c r="J1241">
        <f>NV!CE121</f>
        <v>0</v>
      </c>
      <c r="K1241" s="52">
        <f>NV!CF121</f>
        <v>0</v>
      </c>
      <c r="L1241" t="str">
        <f>NV!CG121</f>
        <v/>
      </c>
      <c r="M1241">
        <f>NV!CH121</f>
        <v>0</v>
      </c>
      <c r="N1241">
        <f>NV!CI121</f>
        <v>0</v>
      </c>
      <c r="O1241">
        <f>NV!CJ121</f>
        <v>0</v>
      </c>
      <c r="P1241" s="143" t="str">
        <f>NV!CK121</f>
        <v/>
      </c>
      <c r="R1241">
        <f t="shared" si="19"/>
        <v>1240</v>
      </c>
    </row>
    <row r="1242" spans="5:18">
      <c r="E1242" s="147" t="s">
        <v>63</v>
      </c>
      <c r="F1242" t="str">
        <f>NV!CA122</f>
        <v>HPS</v>
      </c>
      <c r="G1242" t="str">
        <f>NV!CB122</f>
        <v>AC</v>
      </c>
      <c r="H1242" t="str">
        <f>NV!CC122</f>
        <v>Head</v>
      </c>
      <c r="I1242">
        <f>NV!CD122</f>
        <v>0</v>
      </c>
      <c r="J1242">
        <f>NV!CE122</f>
        <v>0</v>
      </c>
      <c r="K1242" s="52">
        <f>NV!CF122</f>
        <v>0</v>
      </c>
      <c r="L1242" t="str">
        <f>NV!CG122</f>
        <v/>
      </c>
      <c r="M1242">
        <f>NV!CH122</f>
        <v>0</v>
      </c>
      <c r="N1242">
        <f>NV!CI122</f>
        <v>0</v>
      </c>
      <c r="O1242">
        <f>NV!CJ122</f>
        <v>0</v>
      </c>
      <c r="P1242" s="143" t="str">
        <f>NV!CK122</f>
        <v/>
      </c>
      <c r="R1242">
        <f t="shared" si="19"/>
        <v>1241</v>
      </c>
    </row>
    <row r="1243" spans="5:18">
      <c r="E1243" s="147" t="s">
        <v>63</v>
      </c>
      <c r="F1243" t="str">
        <f>NV!CA123</f>
        <v>HPS</v>
      </c>
      <c r="G1243" t="str">
        <f>NV!CB123</f>
        <v>AC</v>
      </c>
      <c r="H1243" t="str">
        <f>NV!CC123</f>
        <v>Head</v>
      </c>
      <c r="I1243">
        <f>NV!CD123</f>
        <v>0</v>
      </c>
      <c r="J1243">
        <f>NV!CE123</f>
        <v>0</v>
      </c>
      <c r="K1243" s="52">
        <f>NV!CF123</f>
        <v>0</v>
      </c>
      <c r="L1243" t="str">
        <f>NV!CG123</f>
        <v/>
      </c>
      <c r="M1243">
        <f>NV!CH123</f>
        <v>0</v>
      </c>
      <c r="N1243">
        <f>NV!CI123</f>
        <v>0</v>
      </c>
      <c r="O1243">
        <f>NV!CJ123</f>
        <v>0</v>
      </c>
      <c r="P1243" s="143" t="str">
        <f>NV!CK123</f>
        <v/>
      </c>
      <c r="R1243">
        <f t="shared" si="19"/>
        <v>1242</v>
      </c>
    </row>
    <row r="1244" spans="5:18">
      <c r="E1244" s="147" t="s">
        <v>63</v>
      </c>
      <c r="F1244" t="str">
        <f>NV!CA124</f>
        <v>HPS</v>
      </c>
      <c r="G1244" t="str">
        <f>NV!CB124</f>
        <v>AC</v>
      </c>
      <c r="H1244" t="str">
        <f>NV!CC124</f>
        <v>Head</v>
      </c>
      <c r="I1244">
        <f>NV!CD124</f>
        <v>0</v>
      </c>
      <c r="J1244">
        <f>NV!CE124</f>
        <v>0</v>
      </c>
      <c r="K1244" s="52">
        <f>NV!CF124</f>
        <v>0</v>
      </c>
      <c r="L1244" t="str">
        <f>NV!CG124</f>
        <v/>
      </c>
      <c r="M1244">
        <f>NV!CH124</f>
        <v>0</v>
      </c>
      <c r="N1244">
        <f>NV!CI124</f>
        <v>0</v>
      </c>
      <c r="O1244">
        <f>NV!CJ124</f>
        <v>0</v>
      </c>
      <c r="P1244" s="143" t="str">
        <f>NV!CK124</f>
        <v/>
      </c>
      <c r="R1244">
        <f t="shared" si="19"/>
        <v>1243</v>
      </c>
    </row>
    <row r="1245" spans="5:18">
      <c r="E1245" s="147" t="s">
        <v>63</v>
      </c>
      <c r="F1245" t="str">
        <f>NV!CA125</f>
        <v>HPS</v>
      </c>
      <c r="G1245" t="str">
        <f>NV!CB125</f>
        <v>AC</v>
      </c>
      <c r="H1245" t="str">
        <f>NV!CC125</f>
        <v>Head</v>
      </c>
      <c r="I1245">
        <f>NV!CD125</f>
        <v>0</v>
      </c>
      <c r="J1245">
        <f>NV!CE125</f>
        <v>0</v>
      </c>
      <c r="K1245" s="52">
        <f>NV!CF125</f>
        <v>0</v>
      </c>
      <c r="L1245" t="str">
        <f>NV!CG125</f>
        <v/>
      </c>
      <c r="M1245">
        <f>NV!CH125</f>
        <v>0</v>
      </c>
      <c r="N1245">
        <f>NV!CI125</f>
        <v>0</v>
      </c>
      <c r="O1245">
        <f>NV!CJ125</f>
        <v>0</v>
      </c>
      <c r="P1245" s="143" t="str">
        <f>NV!CK125</f>
        <v/>
      </c>
      <c r="R1245">
        <f t="shared" si="19"/>
        <v>1244</v>
      </c>
    </row>
    <row r="1246" spans="5:18">
      <c r="E1246" s="147" t="s">
        <v>63</v>
      </c>
      <c r="F1246" t="str">
        <f>NV!CA126</f>
        <v>HPS</v>
      </c>
      <c r="G1246" t="str">
        <f>NV!CB126</f>
        <v>AC</v>
      </c>
      <c r="H1246" t="str">
        <f>NV!CC126</f>
        <v>Head</v>
      </c>
      <c r="I1246">
        <f>NV!CD126</f>
        <v>0</v>
      </c>
      <c r="J1246">
        <f>NV!CE126</f>
        <v>0</v>
      </c>
      <c r="K1246" s="52">
        <f>NV!CF126</f>
        <v>0</v>
      </c>
      <c r="L1246" t="str">
        <f>NV!CG126</f>
        <v/>
      </c>
      <c r="M1246">
        <f>NV!CH126</f>
        <v>0</v>
      </c>
      <c r="N1246">
        <f>NV!CI126</f>
        <v>0</v>
      </c>
      <c r="O1246">
        <f>NV!CJ126</f>
        <v>0</v>
      </c>
      <c r="P1246" s="143" t="str">
        <f>NV!CK126</f>
        <v/>
      </c>
      <c r="R1246">
        <f t="shared" si="19"/>
        <v>1245</v>
      </c>
    </row>
    <row r="1247" spans="5:18">
      <c r="E1247" s="147" t="s">
        <v>63</v>
      </c>
      <c r="F1247" t="str">
        <f>NV!CA127</f>
        <v>HPS</v>
      </c>
      <c r="G1247" t="str">
        <f>NV!CB127</f>
        <v>AC</v>
      </c>
      <c r="H1247" t="str">
        <f>NV!CC127</f>
        <v>Head</v>
      </c>
      <c r="I1247">
        <f>NV!CD127</f>
        <v>0</v>
      </c>
      <c r="J1247">
        <f>NV!CE127</f>
        <v>0</v>
      </c>
      <c r="K1247" s="52">
        <f>NV!CF127</f>
        <v>0</v>
      </c>
      <c r="L1247" t="str">
        <f>NV!CG127</f>
        <v/>
      </c>
      <c r="M1247">
        <f>NV!CH127</f>
        <v>0</v>
      </c>
      <c r="N1247">
        <f>NV!CI127</f>
        <v>0</v>
      </c>
      <c r="O1247">
        <f>NV!CJ127</f>
        <v>0</v>
      </c>
      <c r="P1247" s="143" t="str">
        <f>NV!CK127</f>
        <v/>
      </c>
      <c r="R1247">
        <f t="shared" si="19"/>
        <v>1246</v>
      </c>
    </row>
    <row r="1248" spans="5:18">
      <c r="E1248" s="147" t="s">
        <v>63</v>
      </c>
      <c r="F1248" t="str">
        <f>NV!CA128</f>
        <v>HPS</v>
      </c>
      <c r="G1248" t="str">
        <f>NV!CB128</f>
        <v>AC</v>
      </c>
      <c r="H1248" t="str">
        <f>NV!CC128</f>
        <v>Head</v>
      </c>
      <c r="I1248">
        <f>NV!CD128</f>
        <v>0</v>
      </c>
      <c r="J1248">
        <f>NV!CE128</f>
        <v>0</v>
      </c>
      <c r="K1248" s="52">
        <f>NV!CF128</f>
        <v>0</v>
      </c>
      <c r="L1248" t="str">
        <f>NV!CG128</f>
        <v/>
      </c>
      <c r="M1248">
        <f>NV!CH128</f>
        <v>0</v>
      </c>
      <c r="N1248">
        <f>NV!CI128</f>
        <v>0</v>
      </c>
      <c r="O1248">
        <f>NV!CJ128</f>
        <v>0</v>
      </c>
      <c r="P1248" s="143" t="str">
        <f>NV!CK128</f>
        <v/>
      </c>
      <c r="R1248">
        <f t="shared" si="19"/>
        <v>1247</v>
      </c>
    </row>
    <row r="1249" spans="5:18">
      <c r="E1249" s="147" t="s">
        <v>63</v>
      </c>
      <c r="F1249" t="str">
        <f>NV!CA129</f>
        <v>HPS</v>
      </c>
      <c r="G1249" t="str">
        <f>NV!CB129</f>
        <v>AC</v>
      </c>
      <c r="H1249" t="str">
        <f>NV!CC129</f>
        <v>Head</v>
      </c>
      <c r="I1249">
        <f>NV!CD129</f>
        <v>0</v>
      </c>
      <c r="J1249">
        <f>NV!CE129</f>
        <v>0</v>
      </c>
      <c r="K1249" s="52">
        <f>NV!CF129</f>
        <v>0</v>
      </c>
      <c r="L1249" t="str">
        <f>NV!CG129</f>
        <v/>
      </c>
      <c r="M1249">
        <f>NV!CH129</f>
        <v>0</v>
      </c>
      <c r="N1249">
        <f>NV!CI129</f>
        <v>0</v>
      </c>
      <c r="O1249">
        <f>NV!CJ129</f>
        <v>0</v>
      </c>
      <c r="P1249" s="143" t="str">
        <f>NV!CK129</f>
        <v/>
      </c>
      <c r="R1249">
        <f t="shared" si="19"/>
        <v>1248</v>
      </c>
    </row>
    <row r="1250" spans="5:18">
      <c r="E1250" s="147" t="s">
        <v>63</v>
      </c>
      <c r="F1250" t="str">
        <f>NV!CA130</f>
        <v>HPS</v>
      </c>
      <c r="G1250" t="str">
        <f>NV!CB130</f>
        <v>AC</v>
      </c>
      <c r="H1250" t="str">
        <f>NV!CC130</f>
        <v>Head</v>
      </c>
      <c r="I1250">
        <f>NV!CD130</f>
        <v>0</v>
      </c>
      <c r="J1250">
        <f>NV!CE130</f>
        <v>0</v>
      </c>
      <c r="K1250" s="52">
        <f>NV!CF130</f>
        <v>0</v>
      </c>
      <c r="L1250" t="str">
        <f>NV!CG130</f>
        <v/>
      </c>
      <c r="M1250">
        <f>NV!CH130</f>
        <v>0</v>
      </c>
      <c r="N1250">
        <f>NV!CI130</f>
        <v>0</v>
      </c>
      <c r="O1250">
        <f>NV!CJ130</f>
        <v>0</v>
      </c>
      <c r="P1250" s="143" t="str">
        <f>NV!CK130</f>
        <v/>
      </c>
      <c r="R1250">
        <f t="shared" si="19"/>
        <v>1249</v>
      </c>
    </row>
    <row r="1251" spans="5:18">
      <c r="E1251" s="147" t="s">
        <v>63</v>
      </c>
      <c r="F1251" t="str">
        <f>NV!CA131</f>
        <v>HPS</v>
      </c>
      <c r="G1251" t="str">
        <f>NV!CB131</f>
        <v>AC</v>
      </c>
      <c r="H1251" t="str">
        <f>NV!CC131</f>
        <v>Head</v>
      </c>
      <c r="I1251">
        <f>NV!CD131</f>
        <v>0</v>
      </c>
      <c r="J1251">
        <f>NV!CE131</f>
        <v>0</v>
      </c>
      <c r="K1251" s="52">
        <f>NV!CF131</f>
        <v>0</v>
      </c>
      <c r="L1251" t="str">
        <f>NV!CG131</f>
        <v/>
      </c>
      <c r="M1251">
        <f>NV!CH131</f>
        <v>0</v>
      </c>
      <c r="N1251">
        <f>NV!CI131</f>
        <v>0</v>
      </c>
      <c r="O1251">
        <f>NV!CJ131</f>
        <v>0</v>
      </c>
      <c r="P1251" s="143" t="str">
        <f>NV!CK131</f>
        <v/>
      </c>
      <c r="R1251">
        <f t="shared" si="19"/>
        <v>1250</v>
      </c>
    </row>
    <row r="1252" spans="5:18">
      <c r="E1252" s="147" t="s">
        <v>63</v>
      </c>
      <c r="F1252" t="str">
        <f>NV!CA132</f>
        <v>HPS</v>
      </c>
      <c r="G1252" t="str">
        <f>NV!CB132</f>
        <v>AC</v>
      </c>
      <c r="H1252" t="str">
        <f>NV!CC132</f>
        <v>Head</v>
      </c>
      <c r="I1252">
        <f>NV!CD132</f>
        <v>0</v>
      </c>
      <c r="J1252">
        <f>NV!CE132</f>
        <v>0</v>
      </c>
      <c r="K1252" s="52">
        <f>NV!CF132</f>
        <v>0</v>
      </c>
      <c r="L1252" t="str">
        <f>NV!CG132</f>
        <v/>
      </c>
      <c r="M1252">
        <f>NV!CH132</f>
        <v>0</v>
      </c>
      <c r="N1252">
        <f>NV!CI132</f>
        <v>0</v>
      </c>
      <c r="O1252">
        <f>NV!CJ132</f>
        <v>0</v>
      </c>
      <c r="P1252" s="143" t="str">
        <f>NV!CK132</f>
        <v/>
      </c>
      <c r="R1252">
        <f t="shared" si="19"/>
        <v>1251</v>
      </c>
    </row>
    <row r="1253" spans="5:18">
      <c r="E1253" s="147" t="s">
        <v>63</v>
      </c>
      <c r="F1253" t="str">
        <f>NV!CA133</f>
        <v>HPS</v>
      </c>
      <c r="G1253" t="str">
        <f>NV!CB133</f>
        <v>AC</v>
      </c>
      <c r="H1253" t="str">
        <f>NV!CC133</f>
        <v>Head</v>
      </c>
      <c r="I1253">
        <f>NV!CD133</f>
        <v>0</v>
      </c>
      <c r="J1253">
        <f>NV!CE133</f>
        <v>0</v>
      </c>
      <c r="K1253" s="52">
        <f>NV!CF133</f>
        <v>0</v>
      </c>
      <c r="L1253" t="str">
        <f>NV!CG133</f>
        <v/>
      </c>
      <c r="M1253">
        <f>NV!CH133</f>
        <v>0</v>
      </c>
      <c r="N1253">
        <f>NV!CI133</f>
        <v>0</v>
      </c>
      <c r="O1253">
        <f>NV!CJ133</f>
        <v>0</v>
      </c>
      <c r="P1253" s="143" t="str">
        <f>NV!CK133</f>
        <v/>
      </c>
      <c r="R1253">
        <f t="shared" si="19"/>
        <v>1252</v>
      </c>
    </row>
    <row r="1254" spans="5:18">
      <c r="E1254" s="147" t="s">
        <v>63</v>
      </c>
      <c r="F1254" t="str">
        <f>NV!CA134</f>
        <v>HPS</v>
      </c>
      <c r="G1254" t="str">
        <f>NV!CB134</f>
        <v>AC</v>
      </c>
      <c r="H1254" t="str">
        <f>NV!CC134</f>
        <v>Head</v>
      </c>
      <c r="I1254">
        <f>NV!CD134</f>
        <v>0</v>
      </c>
      <c r="J1254">
        <f>NV!CE134</f>
        <v>0</v>
      </c>
      <c r="K1254" s="52">
        <f>NV!CF134</f>
        <v>0</v>
      </c>
      <c r="L1254" t="str">
        <f>NV!CG134</f>
        <v/>
      </c>
      <c r="M1254">
        <f>NV!CH134</f>
        <v>0</v>
      </c>
      <c r="N1254">
        <f>NV!CI134</f>
        <v>0</v>
      </c>
      <c r="O1254">
        <f>NV!CJ134</f>
        <v>0</v>
      </c>
      <c r="P1254" s="143" t="str">
        <f>NV!CK134</f>
        <v/>
      </c>
      <c r="R1254">
        <f t="shared" si="19"/>
        <v>1253</v>
      </c>
    </row>
    <row r="1255" spans="5:18">
      <c r="E1255" s="147" t="s">
        <v>63</v>
      </c>
      <c r="F1255" t="str">
        <f>NV!CA135</f>
        <v>HPS</v>
      </c>
      <c r="G1255" t="str">
        <f>NV!CB135</f>
        <v>AC</v>
      </c>
      <c r="H1255" t="str">
        <f>NV!CC135</f>
        <v>Head</v>
      </c>
      <c r="I1255">
        <f>NV!CD135</f>
        <v>0</v>
      </c>
      <c r="J1255">
        <f>NV!CE135</f>
        <v>0</v>
      </c>
      <c r="K1255" s="52">
        <f>NV!CF135</f>
        <v>0</v>
      </c>
      <c r="L1255" t="str">
        <f>NV!CG135</f>
        <v/>
      </c>
      <c r="M1255">
        <f>NV!CH135</f>
        <v>0</v>
      </c>
      <c r="N1255">
        <f>NV!CI135</f>
        <v>0</v>
      </c>
      <c r="O1255">
        <f>NV!CJ135</f>
        <v>0</v>
      </c>
      <c r="P1255" s="143" t="str">
        <f>NV!CK135</f>
        <v/>
      </c>
      <c r="R1255">
        <f t="shared" si="19"/>
        <v>1254</v>
      </c>
    </row>
    <row r="1256" spans="5:18">
      <c r="E1256" s="147" t="s">
        <v>63</v>
      </c>
      <c r="F1256" t="str">
        <f>NV!CA136</f>
        <v>HPS</v>
      </c>
      <c r="G1256" t="str">
        <f>NV!CB136</f>
        <v>AC</v>
      </c>
      <c r="H1256" t="str">
        <f>NV!CC136</f>
        <v>Head</v>
      </c>
      <c r="I1256">
        <f>NV!CD136</f>
        <v>0</v>
      </c>
      <c r="J1256">
        <f>NV!CE136</f>
        <v>0</v>
      </c>
      <c r="K1256" s="52">
        <f>NV!CF136</f>
        <v>0</v>
      </c>
      <c r="L1256" t="str">
        <f>NV!CG136</f>
        <v/>
      </c>
      <c r="M1256">
        <f>NV!CH136</f>
        <v>0</v>
      </c>
      <c r="N1256">
        <f>NV!CI136</f>
        <v>0</v>
      </c>
      <c r="O1256">
        <f>NV!CJ136</f>
        <v>0</v>
      </c>
      <c r="P1256" s="143" t="str">
        <f>NV!CK136</f>
        <v/>
      </c>
      <c r="R1256">
        <f t="shared" si="19"/>
        <v>1255</v>
      </c>
    </row>
    <row r="1257" spans="5:18">
      <c r="E1257" s="147" t="s">
        <v>63</v>
      </c>
      <c r="F1257" t="str">
        <f>NV!CA137</f>
        <v>HPS</v>
      </c>
      <c r="G1257" t="str">
        <f>NV!CB137</f>
        <v>AC</v>
      </c>
      <c r="H1257" t="str">
        <f>NV!CC137</f>
        <v>Head</v>
      </c>
      <c r="I1257">
        <f>NV!CD137</f>
        <v>0</v>
      </c>
      <c r="J1257">
        <f>NV!CE137</f>
        <v>0</v>
      </c>
      <c r="K1257" s="52">
        <f>NV!CF137</f>
        <v>0</v>
      </c>
      <c r="L1257" t="str">
        <f>NV!CG137</f>
        <v/>
      </c>
      <c r="M1257">
        <f>NV!CH137</f>
        <v>0</v>
      </c>
      <c r="N1257">
        <f>NV!CI137</f>
        <v>0</v>
      </c>
      <c r="O1257">
        <f>NV!CJ137</f>
        <v>0</v>
      </c>
      <c r="P1257" s="143" t="str">
        <f>NV!CK137</f>
        <v/>
      </c>
      <c r="R1257">
        <f t="shared" si="19"/>
        <v>1256</v>
      </c>
    </row>
    <row r="1258" spans="5:18">
      <c r="E1258" s="147" t="s">
        <v>63</v>
      </c>
      <c r="F1258" t="str">
        <f>NV!CA138</f>
        <v>HPS</v>
      </c>
      <c r="G1258" t="str">
        <f>NV!CB138</f>
        <v>AC</v>
      </c>
      <c r="H1258" t="str">
        <f>NV!CC138</f>
        <v>Head</v>
      </c>
      <c r="I1258">
        <f>NV!CD138</f>
        <v>0</v>
      </c>
      <c r="J1258">
        <f>NV!CE138</f>
        <v>0</v>
      </c>
      <c r="K1258" s="52">
        <f>NV!CF138</f>
        <v>0</v>
      </c>
      <c r="L1258" t="str">
        <f>NV!CG138</f>
        <v/>
      </c>
      <c r="M1258">
        <f>NV!CH138</f>
        <v>0</v>
      </c>
      <c r="N1258">
        <f>NV!CI138</f>
        <v>0</v>
      </c>
      <c r="O1258">
        <f>NV!CJ138</f>
        <v>0</v>
      </c>
      <c r="P1258" s="143" t="str">
        <f>NV!CK138</f>
        <v/>
      </c>
      <c r="R1258">
        <f t="shared" si="19"/>
        <v>1257</v>
      </c>
    </row>
    <row r="1259" spans="5:18">
      <c r="E1259" s="147" t="s">
        <v>63</v>
      </c>
      <c r="F1259" t="str">
        <f>NV!CA139</f>
        <v>HPS</v>
      </c>
      <c r="G1259" t="str">
        <f>NV!CB139</f>
        <v>AC</v>
      </c>
      <c r="H1259" t="str">
        <f>NV!CC139</f>
        <v>Head</v>
      </c>
      <c r="I1259">
        <f>NV!CD139</f>
        <v>0</v>
      </c>
      <c r="J1259">
        <f>NV!CE139</f>
        <v>0</v>
      </c>
      <c r="K1259" s="52">
        <f>NV!CF139</f>
        <v>0</v>
      </c>
      <c r="L1259" t="str">
        <f>NV!CG139</f>
        <v/>
      </c>
      <c r="M1259">
        <f>NV!CH139</f>
        <v>0</v>
      </c>
      <c r="N1259">
        <f>NV!CI139</f>
        <v>0</v>
      </c>
      <c r="O1259">
        <f>NV!CJ139</f>
        <v>0</v>
      </c>
      <c r="P1259" s="143" t="str">
        <f>NV!CK139</f>
        <v/>
      </c>
      <c r="R1259">
        <f t="shared" si="19"/>
        <v>1258</v>
      </c>
    </row>
    <row r="1260" spans="5:18">
      <c r="E1260" s="147" t="s">
        <v>63</v>
      </c>
      <c r="F1260" t="str">
        <f>NV!CA140</f>
        <v>HPS</v>
      </c>
      <c r="G1260" t="str">
        <f>NV!CB140</f>
        <v>AC</v>
      </c>
      <c r="H1260" t="str">
        <f>NV!CC140</f>
        <v>Head</v>
      </c>
      <c r="I1260">
        <f>NV!CD140</f>
        <v>0</v>
      </c>
      <c r="J1260">
        <f>NV!CE140</f>
        <v>0</v>
      </c>
      <c r="K1260" s="52">
        <f>NV!CF140</f>
        <v>0</v>
      </c>
      <c r="L1260" t="str">
        <f>NV!CG140</f>
        <v/>
      </c>
      <c r="M1260">
        <f>NV!CH140</f>
        <v>0</v>
      </c>
      <c r="N1260">
        <f>NV!CI140</f>
        <v>0</v>
      </c>
      <c r="O1260">
        <f>NV!CJ140</f>
        <v>0</v>
      </c>
      <c r="P1260" s="143" t="str">
        <f>NV!CK140</f>
        <v/>
      </c>
      <c r="R1260">
        <f t="shared" si="19"/>
        <v>1259</v>
      </c>
    </row>
    <row r="1261" spans="5:18">
      <c r="E1261" s="147" t="s">
        <v>63</v>
      </c>
      <c r="F1261" t="str">
        <f>NV!CA141</f>
        <v>HPS</v>
      </c>
      <c r="G1261" t="str">
        <f>NV!CB141</f>
        <v>AC</v>
      </c>
      <c r="H1261" t="str">
        <f>NV!CC141</f>
        <v>Head</v>
      </c>
      <c r="I1261">
        <f>NV!CD141</f>
        <v>0</v>
      </c>
      <c r="J1261">
        <f>NV!CE141</f>
        <v>0</v>
      </c>
      <c r="K1261" s="52">
        <f>NV!CF141</f>
        <v>0</v>
      </c>
      <c r="L1261" t="str">
        <f>NV!CG141</f>
        <v/>
      </c>
      <c r="M1261">
        <f>NV!CH141</f>
        <v>0</v>
      </c>
      <c r="N1261">
        <f>NV!CI141</f>
        <v>0</v>
      </c>
      <c r="O1261">
        <f>NV!CJ141</f>
        <v>0</v>
      </c>
      <c r="P1261" s="143" t="str">
        <f>NV!CK141</f>
        <v/>
      </c>
      <c r="R1261">
        <f t="shared" si="19"/>
        <v>1260</v>
      </c>
    </row>
    <row r="1262" spans="5:18">
      <c r="E1262" s="147" t="s">
        <v>63</v>
      </c>
      <c r="F1262" t="str">
        <f>NV!CA142</f>
        <v>HPS</v>
      </c>
      <c r="G1262" t="str">
        <f>NV!CB142</f>
        <v>AC</v>
      </c>
      <c r="H1262" t="str">
        <f>NV!CC142</f>
        <v>Head</v>
      </c>
      <c r="I1262">
        <f>NV!CD142</f>
        <v>0</v>
      </c>
      <c r="J1262">
        <f>NV!CE142</f>
        <v>0</v>
      </c>
      <c r="K1262" s="52">
        <f>NV!CF142</f>
        <v>0</v>
      </c>
      <c r="L1262" t="str">
        <f>NV!CG142</f>
        <v/>
      </c>
      <c r="M1262">
        <f>NV!CH142</f>
        <v>0</v>
      </c>
      <c r="N1262">
        <f>NV!CI142</f>
        <v>0</v>
      </c>
      <c r="O1262">
        <f>NV!CJ142</f>
        <v>0</v>
      </c>
      <c r="P1262" s="143" t="str">
        <f>NV!CK142</f>
        <v/>
      </c>
      <c r="R1262">
        <f t="shared" si="19"/>
        <v>1261</v>
      </c>
    </row>
    <row r="1263" spans="5:18">
      <c r="E1263" s="147" t="s">
        <v>63</v>
      </c>
      <c r="F1263" t="str">
        <f>NV!CA143</f>
        <v>HPS</v>
      </c>
      <c r="G1263" t="str">
        <f>NV!CB143</f>
        <v>AC</v>
      </c>
      <c r="H1263" t="str">
        <f>NV!CC143</f>
        <v>Head</v>
      </c>
      <c r="I1263">
        <f>NV!CD143</f>
        <v>0</v>
      </c>
      <c r="J1263">
        <f>NV!CE143</f>
        <v>0</v>
      </c>
      <c r="K1263" s="52">
        <f>NV!CF143</f>
        <v>0</v>
      </c>
      <c r="L1263" t="str">
        <f>NV!CG143</f>
        <v/>
      </c>
      <c r="M1263">
        <f>NV!CH143</f>
        <v>0</v>
      </c>
      <c r="N1263">
        <f>NV!CI143</f>
        <v>0</v>
      </c>
      <c r="O1263">
        <f>NV!CJ143</f>
        <v>0</v>
      </c>
      <c r="P1263" s="143" t="str">
        <f>NV!CK143</f>
        <v/>
      </c>
      <c r="R1263">
        <f t="shared" si="19"/>
        <v>1262</v>
      </c>
    </row>
    <row r="1264" spans="5:18">
      <c r="E1264" s="147" t="s">
        <v>63</v>
      </c>
      <c r="F1264" t="str">
        <f>NV!CA144</f>
        <v>HPS</v>
      </c>
      <c r="G1264" t="str">
        <f>NV!CB144</f>
        <v>AC</v>
      </c>
      <c r="H1264" t="str">
        <f>NV!CC144</f>
        <v>Head</v>
      </c>
      <c r="I1264">
        <f>NV!CD144</f>
        <v>0</v>
      </c>
      <c r="J1264">
        <f>NV!CE144</f>
        <v>0</v>
      </c>
      <c r="K1264" s="52">
        <f>NV!CF144</f>
        <v>0</v>
      </c>
      <c r="L1264" t="str">
        <f>NV!CG144</f>
        <v/>
      </c>
      <c r="M1264">
        <f>NV!CH144</f>
        <v>0</v>
      </c>
      <c r="N1264">
        <f>NV!CI144</f>
        <v>0</v>
      </c>
      <c r="O1264">
        <f>NV!CJ144</f>
        <v>0</v>
      </c>
      <c r="P1264" s="143" t="str">
        <f>NV!CK144</f>
        <v/>
      </c>
      <c r="R1264">
        <f t="shared" si="19"/>
        <v>1263</v>
      </c>
    </row>
    <row r="1265" spans="5:18">
      <c r="E1265" s="147" t="s">
        <v>63</v>
      </c>
      <c r="F1265" t="str">
        <f>NV!CA145</f>
        <v>HPS</v>
      </c>
      <c r="G1265" t="str">
        <f>NV!CB145</f>
        <v>AC</v>
      </c>
      <c r="H1265" t="str">
        <f>NV!CC145</f>
        <v>Head</v>
      </c>
      <c r="I1265">
        <f>NV!CD145</f>
        <v>0</v>
      </c>
      <c r="J1265">
        <f>NV!CE145</f>
        <v>0</v>
      </c>
      <c r="K1265" s="52">
        <f>NV!CF145</f>
        <v>0</v>
      </c>
      <c r="L1265" t="str">
        <f>NV!CG145</f>
        <v/>
      </c>
      <c r="M1265">
        <f>NV!CH145</f>
        <v>0</v>
      </c>
      <c r="N1265">
        <f>NV!CI145</f>
        <v>0</v>
      </c>
      <c r="O1265">
        <f>NV!CJ145</f>
        <v>0</v>
      </c>
      <c r="P1265" s="143" t="str">
        <f>NV!CK145</f>
        <v/>
      </c>
      <c r="R1265">
        <f t="shared" si="19"/>
        <v>1264</v>
      </c>
    </row>
    <row r="1266" spans="5:18">
      <c r="E1266" s="147" t="s">
        <v>63</v>
      </c>
      <c r="F1266" t="str">
        <f>NV!CA146</f>
        <v>HPS</v>
      </c>
      <c r="G1266" t="str">
        <f>NV!CB146</f>
        <v>AC</v>
      </c>
      <c r="H1266" t="str">
        <f>NV!CC146</f>
        <v>Head</v>
      </c>
      <c r="I1266">
        <f>NV!CD146</f>
        <v>0</v>
      </c>
      <c r="J1266">
        <f>NV!CE146</f>
        <v>0</v>
      </c>
      <c r="K1266" s="52">
        <f>NV!CF146</f>
        <v>0</v>
      </c>
      <c r="L1266" t="str">
        <f>NV!CG146</f>
        <v/>
      </c>
      <c r="M1266">
        <f>NV!CH146</f>
        <v>0</v>
      </c>
      <c r="N1266">
        <f>NV!CI146</f>
        <v>0</v>
      </c>
      <c r="O1266">
        <f>NV!CJ146</f>
        <v>0</v>
      </c>
      <c r="P1266" s="143" t="str">
        <f>NV!CK146</f>
        <v/>
      </c>
      <c r="R1266">
        <f t="shared" si="19"/>
        <v>1265</v>
      </c>
    </row>
    <row r="1267" spans="5:18">
      <c r="E1267" s="147" t="s">
        <v>63</v>
      </c>
      <c r="F1267" t="str">
        <f>NV!CA147</f>
        <v>HPS</v>
      </c>
      <c r="G1267" t="str">
        <f>NV!CB147</f>
        <v>AC</v>
      </c>
      <c r="H1267" t="str">
        <f>NV!CC147</f>
        <v>Head</v>
      </c>
      <c r="I1267">
        <f>NV!CD147</f>
        <v>0</v>
      </c>
      <c r="J1267">
        <f>NV!CE147</f>
        <v>0</v>
      </c>
      <c r="K1267" s="52">
        <f>NV!CF147</f>
        <v>0</v>
      </c>
      <c r="L1267" t="str">
        <f>NV!CG147</f>
        <v/>
      </c>
      <c r="M1267">
        <f>NV!CH147</f>
        <v>0</v>
      </c>
      <c r="N1267">
        <f>NV!CI147</f>
        <v>0</v>
      </c>
      <c r="O1267">
        <f>NV!CJ147</f>
        <v>0</v>
      </c>
      <c r="P1267" s="143" t="str">
        <f>NV!CK147</f>
        <v/>
      </c>
      <c r="R1267">
        <f t="shared" si="19"/>
        <v>1266</v>
      </c>
    </row>
    <row r="1268" spans="5:18">
      <c r="E1268" s="147" t="s">
        <v>63</v>
      </c>
      <c r="F1268" t="str">
        <f>NV!CA148</f>
        <v>HPS</v>
      </c>
      <c r="G1268" t="str">
        <f>NV!CB148</f>
        <v>AC</v>
      </c>
      <c r="H1268" t="str">
        <f>NV!CC148</f>
        <v>Head</v>
      </c>
      <c r="I1268">
        <f>NV!CD148</f>
        <v>0</v>
      </c>
      <c r="J1268">
        <f>NV!CE148</f>
        <v>0</v>
      </c>
      <c r="K1268" s="52">
        <f>NV!CF148</f>
        <v>0</v>
      </c>
      <c r="L1268" t="str">
        <f>NV!CG148</f>
        <v/>
      </c>
      <c r="M1268">
        <f>NV!CH148</f>
        <v>0</v>
      </c>
      <c r="N1268">
        <f>NV!CI148</f>
        <v>0</v>
      </c>
      <c r="O1268">
        <f>NV!CJ148</f>
        <v>0</v>
      </c>
      <c r="P1268" s="143" t="str">
        <f>NV!CK148</f>
        <v/>
      </c>
      <c r="R1268">
        <f t="shared" si="19"/>
        <v>1267</v>
      </c>
    </row>
    <row r="1269" spans="5:18">
      <c r="E1269" s="147" t="s">
        <v>63</v>
      </c>
      <c r="F1269" t="str">
        <f>NV!CA149</f>
        <v>HPS</v>
      </c>
      <c r="G1269" t="str">
        <f>NV!CB149</f>
        <v>AC</v>
      </c>
      <c r="H1269" t="str">
        <f>NV!CC149</f>
        <v>Head</v>
      </c>
      <c r="I1269">
        <f>NV!CD149</f>
        <v>0</v>
      </c>
      <c r="J1269">
        <f>NV!CE149</f>
        <v>0</v>
      </c>
      <c r="K1269" s="52">
        <f>NV!CF149</f>
        <v>0</v>
      </c>
      <c r="L1269" t="str">
        <f>NV!CG149</f>
        <v/>
      </c>
      <c r="M1269">
        <f>NV!CH149</f>
        <v>0</v>
      </c>
      <c r="N1269">
        <f>NV!CI149</f>
        <v>0</v>
      </c>
      <c r="O1269">
        <f>NV!CJ149</f>
        <v>0</v>
      </c>
      <c r="P1269" s="143" t="str">
        <f>NV!CK149</f>
        <v/>
      </c>
      <c r="R1269">
        <f t="shared" si="19"/>
        <v>1268</v>
      </c>
    </row>
    <row r="1270" spans="5:18">
      <c r="E1270" s="147" t="s">
        <v>63</v>
      </c>
      <c r="F1270" t="str">
        <f>NV!CA150</f>
        <v>HPS</v>
      </c>
      <c r="G1270" t="str">
        <f>NV!CB150</f>
        <v>AC</v>
      </c>
      <c r="H1270" t="str">
        <f>NV!CC150</f>
        <v>Head</v>
      </c>
      <c r="I1270">
        <f>NV!CD150</f>
        <v>0</v>
      </c>
      <c r="J1270">
        <f>NV!CE150</f>
        <v>0</v>
      </c>
      <c r="K1270" s="52">
        <f>NV!CF150</f>
        <v>0</v>
      </c>
      <c r="L1270" t="str">
        <f>NV!CG150</f>
        <v/>
      </c>
      <c r="M1270">
        <f>NV!CH150</f>
        <v>0</v>
      </c>
      <c r="N1270">
        <f>NV!CI150</f>
        <v>0</v>
      </c>
      <c r="O1270">
        <f>NV!CJ150</f>
        <v>0</v>
      </c>
      <c r="P1270" s="143" t="str">
        <f>NV!CK150</f>
        <v/>
      </c>
      <c r="R1270">
        <f t="shared" si="19"/>
        <v>1269</v>
      </c>
    </row>
    <row r="1271" spans="5:18" ht="17.100000000000001" thickBot="1">
      <c r="E1271" s="148" t="s">
        <v>63</v>
      </c>
      <c r="F1271" s="144" t="str">
        <f>NV!CA151</f>
        <v>HPS</v>
      </c>
      <c r="G1271" s="144" t="str">
        <f>NV!CB151</f>
        <v>AC</v>
      </c>
      <c r="H1271" s="144" t="str">
        <f>NV!CC151</f>
        <v>Head</v>
      </c>
      <c r="I1271" s="144">
        <f>NV!CD151</f>
        <v>0</v>
      </c>
      <c r="J1271" s="144">
        <f>NV!CE151</f>
        <v>0</v>
      </c>
      <c r="K1271" s="149">
        <f>NV!CF151</f>
        <v>0</v>
      </c>
      <c r="L1271" s="144" t="str">
        <f>NV!CG151</f>
        <v/>
      </c>
      <c r="M1271" s="144">
        <f>NV!CH151</f>
        <v>0</v>
      </c>
      <c r="N1271" s="144">
        <f>NV!CI151</f>
        <v>0</v>
      </c>
      <c r="O1271" s="144">
        <f>NV!CJ151</f>
        <v>0</v>
      </c>
      <c r="P1271" s="145" t="str">
        <f>NV!CK151</f>
        <v/>
      </c>
      <c r="R1271">
        <f t="shared" si="19"/>
        <v>1270</v>
      </c>
    </row>
    <row r="1272" spans="5:18">
      <c r="E1272" s="146" t="s">
        <v>64</v>
      </c>
      <c r="F1272" s="141" t="str">
        <f>NZ!CB2</f>
        <v>HPS</v>
      </c>
      <c r="G1272" s="141" t="str">
        <f>NZ!CC2</f>
        <v>AC</v>
      </c>
      <c r="H1272" s="141" t="str">
        <f>NZ!CD2</f>
        <v>Vessel</v>
      </c>
      <c r="I1272" s="141">
        <f>NZ!CE2</f>
        <v>0</v>
      </c>
      <c r="J1272" s="141" t="str">
        <f>NZ!CF2</f>
        <v>Nozzle</v>
      </c>
      <c r="K1272" s="141" t="str">
        <f>NZ!CG2</f>
        <v>Old 1"-Rene 41</v>
      </c>
      <c r="L1272" s="141" t="str">
        <f>NZ!CH2</f>
        <v>NZ-A</v>
      </c>
      <c r="M1272" s="141">
        <f>NZ!CI2</f>
        <v>0</v>
      </c>
      <c r="N1272" s="141">
        <f>NZ!CJ2</f>
        <v>0</v>
      </c>
      <c r="O1272" s="141">
        <f>NZ!CK2</f>
        <v>0</v>
      </c>
      <c r="P1272" s="142" t="str">
        <f>NZ!CL2</f>
        <v>Active</v>
      </c>
      <c r="R1272">
        <f t="shared" si="19"/>
        <v>1271</v>
      </c>
    </row>
    <row r="1273" spans="5:18">
      <c r="E1273" s="147" t="s">
        <v>64</v>
      </c>
      <c r="F1273" t="str">
        <f>NZ!CB3</f>
        <v>HPS</v>
      </c>
      <c r="G1273" t="str">
        <f>NZ!CC3</f>
        <v>AC</v>
      </c>
      <c r="H1273" t="str">
        <f>NZ!CD3</f>
        <v>Vessel</v>
      </c>
      <c r="I1273">
        <f>NZ!CE3</f>
        <v>0</v>
      </c>
      <c r="J1273" t="str">
        <f>NZ!CF3</f>
        <v>Nozzle</v>
      </c>
      <c r="K1273" t="str">
        <f>NZ!CG3</f>
        <v>Old 1"-Rene 41</v>
      </c>
      <c r="L1273" t="str">
        <f>NZ!CH3</f>
        <v>NZ-B</v>
      </c>
      <c r="M1273">
        <f>NZ!CI3</f>
        <v>0</v>
      </c>
      <c r="N1273">
        <f>NZ!CJ3</f>
        <v>0</v>
      </c>
      <c r="O1273">
        <f>NZ!CK3</f>
        <v>0</v>
      </c>
      <c r="P1273" s="143" t="str">
        <f>NZ!CL3</f>
        <v>Active</v>
      </c>
      <c r="R1273">
        <f t="shared" si="19"/>
        <v>1272</v>
      </c>
    </row>
    <row r="1274" spans="5:18">
      <c r="E1274" s="147" t="s">
        <v>64</v>
      </c>
      <c r="F1274" t="str">
        <f>NZ!CB4</f>
        <v>HPS</v>
      </c>
      <c r="G1274" t="str">
        <f>NZ!CC4</f>
        <v>AC</v>
      </c>
      <c r="H1274" t="str">
        <f>NZ!CD4</f>
        <v>Vessel</v>
      </c>
      <c r="I1274">
        <f>NZ!CE4</f>
        <v>0</v>
      </c>
      <c r="J1274" t="str">
        <f>NZ!CF4</f>
        <v>Nozzle</v>
      </c>
      <c r="K1274" t="str">
        <f>NZ!CG4</f>
        <v>Old 1"-Rene 41</v>
      </c>
      <c r="L1274" t="str">
        <f>NZ!CH4</f>
        <v>NZ-C</v>
      </c>
      <c r="M1274">
        <f>NZ!CI4</f>
        <v>0</v>
      </c>
      <c r="N1274">
        <f>NZ!CJ4</f>
        <v>0</v>
      </c>
      <c r="O1274">
        <f>NZ!CK4</f>
        <v>0</v>
      </c>
      <c r="P1274" s="143" t="str">
        <f>NZ!CL4</f>
        <v>Active</v>
      </c>
      <c r="R1274">
        <f t="shared" si="19"/>
        <v>1273</v>
      </c>
    </row>
    <row r="1275" spans="5:18">
      <c r="E1275" s="147" t="s">
        <v>64</v>
      </c>
      <c r="F1275" t="str">
        <f>NZ!CB5</f>
        <v>HPS</v>
      </c>
      <c r="G1275" t="str">
        <f>NZ!CC5</f>
        <v>AC</v>
      </c>
      <c r="H1275" t="str">
        <f>NZ!CD5</f>
        <v>Vessel</v>
      </c>
      <c r="I1275">
        <f>NZ!CE5</f>
        <v>0</v>
      </c>
      <c r="J1275" t="str">
        <f>NZ!CF5</f>
        <v>Nozzle</v>
      </c>
      <c r="K1275" t="str">
        <f>NZ!CG5</f>
        <v>Old 1"-Rene 41</v>
      </c>
      <c r="L1275" t="str">
        <f>NZ!CH5</f>
        <v>NZ-D</v>
      </c>
      <c r="M1275">
        <f>NZ!CI5</f>
        <v>0</v>
      </c>
      <c r="N1275">
        <f>NZ!CJ5</f>
        <v>0</v>
      </c>
      <c r="O1275">
        <f>NZ!CK5</f>
        <v>0</v>
      </c>
      <c r="P1275" s="143" t="str">
        <f>NZ!CL5</f>
        <v>Active</v>
      </c>
      <c r="R1275">
        <f t="shared" si="19"/>
        <v>1274</v>
      </c>
    </row>
    <row r="1276" spans="5:18">
      <c r="E1276" s="147" t="s">
        <v>64</v>
      </c>
      <c r="F1276" t="str">
        <f>NZ!CB6</f>
        <v>HPS</v>
      </c>
      <c r="G1276" t="str">
        <f>NZ!CC6</f>
        <v>AC</v>
      </c>
      <c r="H1276" t="str">
        <f>NZ!CD6</f>
        <v>Vessel</v>
      </c>
      <c r="I1276">
        <f>NZ!CE6</f>
        <v>0</v>
      </c>
      <c r="J1276" t="str">
        <f>NZ!CF6</f>
        <v>Nozzle</v>
      </c>
      <c r="K1276" t="str">
        <f>NZ!CG6</f>
        <v>Old 1"-Inconel 625</v>
      </c>
      <c r="L1276" t="str">
        <f>NZ!CH6</f>
        <v>NZ-E</v>
      </c>
      <c r="M1276">
        <f>NZ!CI6</f>
        <v>0</v>
      </c>
      <c r="N1276">
        <f>NZ!CJ6</f>
        <v>0</v>
      </c>
      <c r="O1276">
        <f>NZ!CK6</f>
        <v>0</v>
      </c>
      <c r="P1276" s="143" t="str">
        <f>NZ!CL6</f>
        <v>Active</v>
      </c>
      <c r="R1276">
        <f t="shared" si="19"/>
        <v>1275</v>
      </c>
    </row>
    <row r="1277" spans="5:18">
      <c r="E1277" s="147" t="s">
        <v>64</v>
      </c>
      <c r="F1277" t="str">
        <f>NZ!CB7</f>
        <v>HPS</v>
      </c>
      <c r="G1277" t="str">
        <f>NZ!CC7</f>
        <v>AC</v>
      </c>
      <c r="H1277" t="str">
        <f>NZ!CD7</f>
        <v>Vessel</v>
      </c>
      <c r="I1277">
        <f>NZ!CE7</f>
        <v>0</v>
      </c>
      <c r="J1277" t="str">
        <f>NZ!CF7</f>
        <v>Nozzle</v>
      </c>
      <c r="K1277" t="str">
        <f>NZ!CG7</f>
        <v>Old 1"-Inconel 625</v>
      </c>
      <c r="L1277" t="str">
        <f>NZ!CH7</f>
        <v>NZ-F</v>
      </c>
      <c r="M1277">
        <f>NZ!CI7</f>
        <v>0</v>
      </c>
      <c r="N1277">
        <f>NZ!CJ7</f>
        <v>0</v>
      </c>
      <c r="O1277">
        <f>NZ!CK7</f>
        <v>0</v>
      </c>
      <c r="P1277" s="143" t="str">
        <f>NZ!CL7</f>
        <v>Active</v>
      </c>
      <c r="R1277">
        <f t="shared" si="19"/>
        <v>1276</v>
      </c>
    </row>
    <row r="1278" spans="5:18">
      <c r="E1278" s="147" t="s">
        <v>64</v>
      </c>
      <c r="F1278" t="str">
        <f>NZ!CB8</f>
        <v>HPS</v>
      </c>
      <c r="G1278" t="str">
        <f>NZ!CC8</f>
        <v>AC</v>
      </c>
      <c r="H1278" t="str">
        <f>NZ!CD8</f>
        <v>Vessel</v>
      </c>
      <c r="I1278">
        <f>NZ!CE8</f>
        <v>0</v>
      </c>
      <c r="J1278" t="str">
        <f>NZ!CF8</f>
        <v>Nozzle</v>
      </c>
      <c r="K1278" t="str">
        <f>NZ!CG8</f>
        <v>Old 1"-Inconel 625</v>
      </c>
      <c r="L1278" t="str">
        <f>NZ!CH8</f>
        <v>NZ-G</v>
      </c>
      <c r="M1278">
        <f>NZ!CI8</f>
        <v>0</v>
      </c>
      <c r="N1278">
        <f>NZ!CJ8</f>
        <v>0</v>
      </c>
      <c r="O1278">
        <f>NZ!CK8</f>
        <v>0</v>
      </c>
      <c r="P1278" s="143" t="str">
        <f>NZ!CL8</f>
        <v>Broken</v>
      </c>
      <c r="R1278">
        <f t="shared" si="19"/>
        <v>1277</v>
      </c>
    </row>
    <row r="1279" spans="5:18">
      <c r="E1279" s="147" t="s">
        <v>64</v>
      </c>
      <c r="F1279" t="str">
        <f>NZ!CB9</f>
        <v>HPS</v>
      </c>
      <c r="G1279" t="str">
        <f>NZ!CC9</f>
        <v>AC</v>
      </c>
      <c r="H1279" t="str">
        <f>NZ!CD9</f>
        <v>Vessel</v>
      </c>
      <c r="I1279">
        <f>NZ!CE9</f>
        <v>0</v>
      </c>
      <c r="J1279" t="str">
        <f>NZ!CF9</f>
        <v>Nozzle</v>
      </c>
      <c r="K1279" t="str">
        <f>NZ!CG9</f>
        <v>Old 1"-Inconel 625</v>
      </c>
      <c r="L1279" t="str">
        <f>NZ!CH9</f>
        <v>NZ-H</v>
      </c>
      <c r="M1279">
        <f>NZ!CI9</f>
        <v>0</v>
      </c>
      <c r="N1279">
        <f>NZ!CJ9</f>
        <v>0</v>
      </c>
      <c r="O1279">
        <f>NZ!CK9</f>
        <v>0</v>
      </c>
      <c r="P1279" s="143" t="str">
        <f>NZ!CL9</f>
        <v>Active</v>
      </c>
      <c r="R1279">
        <f t="shared" si="19"/>
        <v>1278</v>
      </c>
    </row>
    <row r="1280" spans="5:18">
      <c r="E1280" s="147" t="s">
        <v>64</v>
      </c>
      <c r="F1280" t="str">
        <f>NZ!CB10</f>
        <v>HPS</v>
      </c>
      <c r="G1280" t="str">
        <f>NZ!CC10</f>
        <v>AC</v>
      </c>
      <c r="H1280" t="str">
        <f>NZ!CD10</f>
        <v>Vessel</v>
      </c>
      <c r="I1280">
        <f>NZ!CE10</f>
        <v>0</v>
      </c>
      <c r="J1280" t="str">
        <f>NZ!CF10</f>
        <v>Nozzle</v>
      </c>
      <c r="K1280" t="str">
        <f>NZ!CG10</f>
        <v>Old 1"-Rene 41</v>
      </c>
      <c r="L1280" t="str">
        <f>NZ!CH10</f>
        <v>NZ-I</v>
      </c>
      <c r="M1280">
        <f>NZ!CI10</f>
        <v>0</v>
      </c>
      <c r="N1280">
        <f>NZ!CJ10</f>
        <v>0</v>
      </c>
      <c r="O1280">
        <f>NZ!CK10</f>
        <v>0</v>
      </c>
      <c r="P1280" s="143" t="str">
        <f>NZ!CL10</f>
        <v>Active</v>
      </c>
      <c r="R1280">
        <f t="shared" si="19"/>
        <v>1279</v>
      </c>
    </row>
    <row r="1281" spans="5:18">
      <c r="E1281" s="147" t="s">
        <v>64</v>
      </c>
      <c r="F1281" t="str">
        <f>NZ!CB11</f>
        <v>HPS</v>
      </c>
      <c r="G1281" t="str">
        <f>NZ!CC11</f>
        <v>AC</v>
      </c>
      <c r="H1281" t="str">
        <f>NZ!CD11</f>
        <v>Vessel</v>
      </c>
      <c r="I1281">
        <f>NZ!CE11</f>
        <v>0</v>
      </c>
      <c r="J1281" t="str">
        <f>NZ!CF11</f>
        <v>Nozzle</v>
      </c>
      <c r="K1281" t="str">
        <f>NZ!CG11</f>
        <v>Old 1"-Rene 41</v>
      </c>
      <c r="L1281" t="str">
        <f>NZ!CH11</f>
        <v>NZ-J</v>
      </c>
      <c r="M1281">
        <f>NZ!CI11</f>
        <v>0</v>
      </c>
      <c r="N1281">
        <f>NZ!CJ11</f>
        <v>0</v>
      </c>
      <c r="O1281">
        <f>NZ!CK11</f>
        <v>0</v>
      </c>
      <c r="P1281" s="143" t="str">
        <f>NZ!CL11</f>
        <v>Active</v>
      </c>
      <c r="R1281">
        <f t="shared" si="19"/>
        <v>1280</v>
      </c>
    </row>
    <row r="1282" spans="5:18">
      <c r="E1282" s="147" t="s">
        <v>64</v>
      </c>
      <c r="F1282" t="str">
        <f>NZ!CB12</f>
        <v>HPS</v>
      </c>
      <c r="G1282" t="str">
        <f>NZ!CC12</f>
        <v>AC</v>
      </c>
      <c r="H1282" t="str">
        <f>NZ!CD12</f>
        <v>Vessel</v>
      </c>
      <c r="I1282">
        <f>NZ!CE12</f>
        <v>0</v>
      </c>
      <c r="J1282" t="str">
        <f>NZ!CF12</f>
        <v>Nozzle</v>
      </c>
      <c r="K1282" t="str">
        <f>NZ!CG12</f>
        <v>Old 1"-Inconel 625</v>
      </c>
      <c r="L1282" t="str">
        <f>NZ!CH12</f>
        <v>NZ-K</v>
      </c>
      <c r="M1282">
        <f>NZ!CI12</f>
        <v>0</v>
      </c>
      <c r="N1282">
        <f>NZ!CJ12</f>
        <v>0</v>
      </c>
      <c r="O1282">
        <f>NZ!CK12</f>
        <v>0</v>
      </c>
      <c r="P1282" s="143" t="str">
        <f>NZ!CL12</f>
        <v>Broken</v>
      </c>
      <c r="R1282">
        <f t="shared" si="19"/>
        <v>1281</v>
      </c>
    </row>
    <row r="1283" spans="5:18">
      <c r="E1283" s="147" t="s">
        <v>64</v>
      </c>
      <c r="F1283" t="str">
        <f>NZ!CB13</f>
        <v>HPS</v>
      </c>
      <c r="G1283" t="str">
        <f>NZ!CC13</f>
        <v>AC</v>
      </c>
      <c r="H1283" t="str">
        <f>NZ!CD13</f>
        <v>Vessel</v>
      </c>
      <c r="I1283">
        <f>NZ!CE13</f>
        <v>0</v>
      </c>
      <c r="J1283" t="str">
        <f>NZ!CF13</f>
        <v>Nozzle</v>
      </c>
      <c r="K1283" t="str">
        <f>NZ!CG13</f>
        <v>Old 1"-Rene 41</v>
      </c>
      <c r="L1283" t="str">
        <f>NZ!CH13</f>
        <v>NZ-L</v>
      </c>
      <c r="M1283">
        <f>NZ!CI13</f>
        <v>0</v>
      </c>
      <c r="N1283">
        <f>NZ!CJ13</f>
        <v>0</v>
      </c>
      <c r="O1283">
        <f>NZ!CK13</f>
        <v>0</v>
      </c>
      <c r="P1283" s="143" t="str">
        <f>NZ!CL13</f>
        <v>Broken</v>
      </c>
      <c r="R1283">
        <f t="shared" si="19"/>
        <v>1282</v>
      </c>
    </row>
    <row r="1284" spans="5:18">
      <c r="E1284" s="147" t="s">
        <v>64</v>
      </c>
      <c r="F1284" t="str">
        <f>NZ!CB14</f>
        <v>HPS</v>
      </c>
      <c r="G1284" t="str">
        <f>NZ!CC14</f>
        <v>AC</v>
      </c>
      <c r="H1284" t="str">
        <f>NZ!CD14</f>
        <v>Vessel</v>
      </c>
      <c r="I1284">
        <f>NZ!CE14</f>
        <v>0</v>
      </c>
      <c r="J1284" t="str">
        <f>NZ!CF14</f>
        <v>Nozzle</v>
      </c>
      <c r="K1284" t="str">
        <f>NZ!CG14</f>
        <v>Old 1"-Rene 41</v>
      </c>
      <c r="L1284" t="str">
        <f>NZ!CH14</f>
        <v>NZ-M</v>
      </c>
      <c r="M1284">
        <f>NZ!CI14</f>
        <v>0</v>
      </c>
      <c r="N1284">
        <f>NZ!CJ14</f>
        <v>0</v>
      </c>
      <c r="O1284">
        <f>NZ!CK14</f>
        <v>0</v>
      </c>
      <c r="P1284" s="143" t="str">
        <f>NZ!CL14</f>
        <v>Broken</v>
      </c>
      <c r="R1284">
        <f t="shared" ref="R1284:R1347" si="20">R1283+1</f>
        <v>1283</v>
      </c>
    </row>
    <row r="1285" spans="5:18">
      <c r="E1285" s="147" t="s">
        <v>64</v>
      </c>
      <c r="F1285" t="str">
        <f>NZ!CB15</f>
        <v>HPS</v>
      </c>
      <c r="G1285" t="str">
        <f>NZ!CC15</f>
        <v>AC</v>
      </c>
      <c r="H1285" t="str">
        <f>NZ!CD15</f>
        <v>Vessel</v>
      </c>
      <c r="I1285">
        <f>NZ!CE15</f>
        <v>0</v>
      </c>
      <c r="J1285" t="str">
        <f>NZ!CF15</f>
        <v>Nozzle</v>
      </c>
      <c r="K1285" t="str">
        <f>NZ!CG15</f>
        <v>Old 1"-Rene 41</v>
      </c>
      <c r="L1285" t="str">
        <f>NZ!CH15</f>
        <v>NZ-N</v>
      </c>
      <c r="M1285">
        <f>NZ!CI15</f>
        <v>0</v>
      </c>
      <c r="N1285">
        <f>NZ!CJ15</f>
        <v>0</v>
      </c>
      <c r="O1285">
        <f>NZ!CK15</f>
        <v>0</v>
      </c>
      <c r="P1285" s="143" t="str">
        <f>NZ!CL15</f>
        <v>Broken</v>
      </c>
      <c r="R1285">
        <f t="shared" si="20"/>
        <v>1284</v>
      </c>
    </row>
    <row r="1286" spans="5:18">
      <c r="E1286" s="147" t="s">
        <v>64</v>
      </c>
      <c r="F1286" t="str">
        <f>NZ!CB16</f>
        <v>HPS</v>
      </c>
      <c r="G1286" t="str">
        <f>NZ!CC16</f>
        <v>AC</v>
      </c>
      <c r="H1286" t="str">
        <f>NZ!CD16</f>
        <v>Vessel</v>
      </c>
      <c r="I1286">
        <f>NZ!CE16</f>
        <v>0</v>
      </c>
      <c r="J1286" t="str">
        <f>NZ!CF16</f>
        <v>Nozzle</v>
      </c>
      <c r="K1286" t="str">
        <f>NZ!CG16</f>
        <v>Old 1"-Rene 41</v>
      </c>
      <c r="L1286" t="str">
        <f>NZ!CH16</f>
        <v>NZ-P</v>
      </c>
      <c r="M1286">
        <f>NZ!CI16</f>
        <v>0</v>
      </c>
      <c r="N1286">
        <f>NZ!CJ16</f>
        <v>0</v>
      </c>
      <c r="O1286">
        <f>NZ!CK16</f>
        <v>0</v>
      </c>
      <c r="P1286" s="143" t="str">
        <f>NZ!CL16</f>
        <v>Active</v>
      </c>
      <c r="R1286">
        <f t="shared" si="20"/>
        <v>1285</v>
      </c>
    </row>
    <row r="1287" spans="5:18">
      <c r="E1287" s="147" t="s">
        <v>64</v>
      </c>
      <c r="F1287" t="str">
        <f>NZ!CB17</f>
        <v>HPS</v>
      </c>
      <c r="G1287" t="str">
        <f>NZ!CC17</f>
        <v>AC</v>
      </c>
      <c r="H1287" t="str">
        <f>NZ!CD17</f>
        <v>Vessel</v>
      </c>
      <c r="I1287">
        <f>NZ!CE17</f>
        <v>0</v>
      </c>
      <c r="J1287" t="str">
        <f>NZ!CF17</f>
        <v>Nozzle</v>
      </c>
      <c r="K1287" t="str">
        <f>NZ!CG17</f>
        <v>New 1"-Rene 41</v>
      </c>
      <c r="L1287" t="str">
        <f>NZ!CH17</f>
        <v>NZ-Q</v>
      </c>
      <c r="M1287">
        <f>NZ!CI17</f>
        <v>0</v>
      </c>
      <c r="N1287">
        <f>NZ!CJ17</f>
        <v>0</v>
      </c>
      <c r="O1287">
        <f>NZ!CK17</f>
        <v>0</v>
      </c>
      <c r="P1287" s="143" t="str">
        <f>NZ!CL17</f>
        <v>Active</v>
      </c>
      <c r="R1287">
        <f t="shared" si="20"/>
        <v>1286</v>
      </c>
    </row>
    <row r="1288" spans="5:18">
      <c r="E1288" s="147" t="s">
        <v>64</v>
      </c>
      <c r="F1288" t="str">
        <f>NZ!CB18</f>
        <v>HPS</v>
      </c>
      <c r="G1288" t="str">
        <f>NZ!CC18</f>
        <v>AC</v>
      </c>
      <c r="H1288" t="str">
        <f>NZ!CD18</f>
        <v>Vessel</v>
      </c>
      <c r="I1288">
        <f>NZ!CE18</f>
        <v>0</v>
      </c>
      <c r="J1288" t="str">
        <f>NZ!CF18</f>
        <v>Nozzle</v>
      </c>
      <c r="K1288" t="str">
        <f>NZ!CG18</f>
        <v>New 1"-Rene 41</v>
      </c>
      <c r="L1288" t="str">
        <f>NZ!CH18</f>
        <v>NZ-R</v>
      </c>
      <c r="M1288">
        <f>NZ!CI18</f>
        <v>0</v>
      </c>
      <c r="N1288">
        <f>NZ!CJ18</f>
        <v>0</v>
      </c>
      <c r="O1288">
        <f>NZ!CK18</f>
        <v>0</v>
      </c>
      <c r="P1288" s="143" t="str">
        <f>NZ!CL18</f>
        <v>Active</v>
      </c>
      <c r="R1288">
        <f t="shared" si="20"/>
        <v>1287</v>
      </c>
    </row>
    <row r="1289" spans="5:18">
      <c r="E1289" s="147" t="s">
        <v>64</v>
      </c>
      <c r="F1289" t="str">
        <f>NZ!CB19</f>
        <v>HPS</v>
      </c>
      <c r="G1289" t="str">
        <f>NZ!CC19</f>
        <v>AC</v>
      </c>
      <c r="H1289" t="str">
        <f>NZ!CD19</f>
        <v>Vessel</v>
      </c>
      <c r="I1289">
        <f>NZ!CE19</f>
        <v>0</v>
      </c>
      <c r="J1289" t="str">
        <f>NZ!CF19</f>
        <v>Nozzle</v>
      </c>
      <c r="K1289" t="str">
        <f>NZ!CG19</f>
        <v>400 MPa-Rene 41</v>
      </c>
      <c r="L1289" t="str">
        <f>NZ!CH19</f>
        <v>NZ-S</v>
      </c>
      <c r="M1289">
        <f>NZ!CI19</f>
        <v>0</v>
      </c>
      <c r="N1289">
        <f>NZ!CJ19</f>
        <v>0</v>
      </c>
      <c r="O1289">
        <f>NZ!CK19</f>
        <v>0</v>
      </c>
      <c r="P1289" s="143" t="str">
        <f>NZ!CL19</f>
        <v>Active</v>
      </c>
      <c r="R1289">
        <f t="shared" si="20"/>
        <v>1288</v>
      </c>
    </row>
    <row r="1290" spans="5:18">
      <c r="E1290" s="147" t="s">
        <v>64</v>
      </c>
      <c r="F1290" t="str">
        <f>NZ!CB20</f>
        <v>HPS</v>
      </c>
      <c r="G1290" t="str">
        <f>NZ!CC20</f>
        <v>AC</v>
      </c>
      <c r="H1290" t="str">
        <f>NZ!CD20</f>
        <v>Vessel</v>
      </c>
      <c r="I1290">
        <f>NZ!CE20</f>
        <v>0</v>
      </c>
      <c r="J1290" t="str">
        <f>NZ!CF20</f>
        <v>Nozzle</v>
      </c>
      <c r="K1290" t="str">
        <f>NZ!CG20</f>
        <v>400 MPa-Rene 41</v>
      </c>
      <c r="L1290" t="str">
        <f>NZ!CH20</f>
        <v>NZ-T</v>
      </c>
      <c r="M1290">
        <f>NZ!CI20</f>
        <v>0</v>
      </c>
      <c r="N1290">
        <f>NZ!CJ20</f>
        <v>0</v>
      </c>
      <c r="O1290">
        <f>NZ!CK20</f>
        <v>0</v>
      </c>
      <c r="P1290" s="143" t="str">
        <f>NZ!CL20</f>
        <v>Active</v>
      </c>
      <c r="R1290">
        <f t="shared" si="20"/>
        <v>1289</v>
      </c>
    </row>
    <row r="1291" spans="5:18">
      <c r="E1291" s="147" t="s">
        <v>64</v>
      </c>
      <c r="F1291" t="str">
        <f>NZ!CB21</f>
        <v>HPS</v>
      </c>
      <c r="G1291" t="str">
        <f>NZ!CC21</f>
        <v>AC</v>
      </c>
      <c r="H1291" t="str">
        <f>NZ!CD21</f>
        <v>Vessel</v>
      </c>
      <c r="I1291">
        <f>NZ!CE21</f>
        <v>0</v>
      </c>
      <c r="J1291" t="str">
        <f>NZ!CF21</f>
        <v>Nozzle</v>
      </c>
      <c r="K1291" t="str">
        <f>NZ!CG21</f>
        <v>400 MPa-Rene 41</v>
      </c>
      <c r="L1291" t="str">
        <f>NZ!CH21</f>
        <v>NZ-U</v>
      </c>
      <c r="M1291">
        <f>NZ!CI21</f>
        <v>0</v>
      </c>
      <c r="N1291">
        <f>NZ!CJ21</f>
        <v>0</v>
      </c>
      <c r="O1291">
        <f>NZ!CK21</f>
        <v>0</v>
      </c>
      <c r="P1291" s="143" t="str">
        <f>NZ!CL21</f>
        <v>Active</v>
      </c>
      <c r="R1291">
        <f t="shared" si="20"/>
        <v>1290</v>
      </c>
    </row>
    <row r="1292" spans="5:18">
      <c r="E1292" s="147" t="s">
        <v>64</v>
      </c>
      <c r="F1292" t="str">
        <f>NZ!CB22</f>
        <v>HPS</v>
      </c>
      <c r="G1292" t="str">
        <f>NZ!CC22</f>
        <v>AC</v>
      </c>
      <c r="H1292" t="str">
        <f>NZ!CD22</f>
        <v>Vessel</v>
      </c>
      <c r="I1292">
        <f>NZ!CE22</f>
        <v>0</v>
      </c>
      <c r="J1292" t="str">
        <f>NZ!CF22</f>
        <v>Nozzle</v>
      </c>
      <c r="K1292" t="str">
        <f>NZ!CG22</f>
        <v>Old 1"-Rene 41</v>
      </c>
      <c r="L1292" t="str">
        <f>NZ!CH22</f>
        <v>NZ-O</v>
      </c>
      <c r="M1292">
        <f>NZ!CI22</f>
        <v>0</v>
      </c>
      <c r="N1292">
        <f>NZ!CJ22</f>
        <v>0</v>
      </c>
      <c r="O1292">
        <f>NZ!CK22</f>
        <v>0</v>
      </c>
      <c r="P1292" s="143" t="str">
        <f>NZ!CL22</f>
        <v>Usable</v>
      </c>
      <c r="R1292">
        <f t="shared" si="20"/>
        <v>1291</v>
      </c>
    </row>
    <row r="1293" spans="5:18">
      <c r="E1293" s="147" t="s">
        <v>64</v>
      </c>
      <c r="F1293" t="str">
        <f>NZ!CB23</f>
        <v>HPS</v>
      </c>
      <c r="G1293" t="str">
        <f>NZ!CC23</f>
        <v>AC</v>
      </c>
      <c r="H1293" t="str">
        <f>NZ!CD23</f>
        <v>Vessel</v>
      </c>
      <c r="I1293">
        <f>NZ!CE23</f>
        <v>0</v>
      </c>
      <c r="J1293" t="str">
        <f>NZ!CF23</f>
        <v>Nozzle</v>
      </c>
      <c r="K1293" t="str">
        <f>NZ!CG23</f>
        <v>New 1"-Rene 41</v>
      </c>
      <c r="L1293" t="str">
        <f>NZ!CH23</f>
        <v>NZ-V</v>
      </c>
      <c r="M1293">
        <f>NZ!CI23</f>
        <v>0</v>
      </c>
      <c r="N1293">
        <f>NZ!CJ23</f>
        <v>0</v>
      </c>
      <c r="O1293">
        <f>NZ!CK23</f>
        <v>0</v>
      </c>
      <c r="P1293" s="143" t="str">
        <f>NZ!CL23</f>
        <v>Active</v>
      </c>
      <c r="R1293">
        <f t="shared" si="20"/>
        <v>1292</v>
      </c>
    </row>
    <row r="1294" spans="5:18">
      <c r="E1294" s="147" t="s">
        <v>64</v>
      </c>
      <c r="F1294" t="str">
        <f>NZ!CB24</f>
        <v>HPS</v>
      </c>
      <c r="G1294" t="str">
        <f>NZ!CC24</f>
        <v>AC</v>
      </c>
      <c r="H1294" t="str">
        <f>NZ!CD24</f>
        <v>Vessel</v>
      </c>
      <c r="I1294">
        <f>NZ!CE24</f>
        <v>0</v>
      </c>
      <c r="J1294" t="str">
        <f>NZ!CF24</f>
        <v>Nozzle</v>
      </c>
      <c r="K1294" t="str">
        <f>NZ!CG24</f>
        <v>New 1"-Rene 41</v>
      </c>
      <c r="L1294" t="str">
        <f>NZ!CH24</f>
        <v>NZ-W</v>
      </c>
      <c r="M1294">
        <f>NZ!CI24</f>
        <v>0</v>
      </c>
      <c r="N1294">
        <f>NZ!CJ24</f>
        <v>0</v>
      </c>
      <c r="O1294">
        <f>NZ!CK24</f>
        <v>0</v>
      </c>
      <c r="P1294" s="143" t="str">
        <f>NZ!CL24</f>
        <v>Active</v>
      </c>
      <c r="R1294">
        <f t="shared" si="20"/>
        <v>1293</v>
      </c>
    </row>
    <row r="1295" spans="5:18">
      <c r="E1295" s="147" t="s">
        <v>64</v>
      </c>
      <c r="F1295" t="str">
        <f>NZ!CB25</f>
        <v>HPS</v>
      </c>
      <c r="G1295" t="str">
        <f>NZ!CC25</f>
        <v>AC</v>
      </c>
      <c r="H1295" t="str">
        <f>NZ!CD25</f>
        <v>Vessel</v>
      </c>
      <c r="I1295">
        <f>NZ!CE25</f>
        <v>0</v>
      </c>
      <c r="J1295" t="str">
        <f>NZ!CF25</f>
        <v>Nozzle</v>
      </c>
      <c r="K1295" t="str">
        <f>NZ!CG25</f>
        <v>New 1"-Rene 41</v>
      </c>
      <c r="L1295" t="str">
        <f>NZ!CH25</f>
        <v>NZ-X</v>
      </c>
      <c r="M1295">
        <f>NZ!CI25</f>
        <v>0</v>
      </c>
      <c r="N1295">
        <f>NZ!CJ25</f>
        <v>0</v>
      </c>
      <c r="O1295">
        <f>NZ!CK25</f>
        <v>0</v>
      </c>
      <c r="P1295" s="143" t="str">
        <f>NZ!CL25</f>
        <v>Active</v>
      </c>
      <c r="R1295">
        <f t="shared" si="20"/>
        <v>1294</v>
      </c>
    </row>
    <row r="1296" spans="5:18">
      <c r="E1296" s="147" t="s">
        <v>64</v>
      </c>
      <c r="F1296" t="str">
        <f>NZ!CB26</f>
        <v>HPS</v>
      </c>
      <c r="G1296" t="str">
        <f>NZ!CC26</f>
        <v>AC</v>
      </c>
      <c r="H1296" t="str">
        <f>NZ!CD26</f>
        <v>Vessel</v>
      </c>
      <c r="I1296">
        <f>NZ!CE26</f>
        <v>0</v>
      </c>
      <c r="J1296" t="str">
        <f>NZ!CF26</f>
        <v>Nozzle</v>
      </c>
      <c r="K1296" t="str">
        <f>NZ!CG26</f>
        <v>New 1"-Rene 41</v>
      </c>
      <c r="L1296" t="str">
        <f>NZ!CH26</f>
        <v>NZ-Y</v>
      </c>
      <c r="M1296">
        <f>NZ!CI26</f>
        <v>0</v>
      </c>
      <c r="N1296">
        <f>NZ!CJ26</f>
        <v>0</v>
      </c>
      <c r="O1296">
        <f>NZ!CK26</f>
        <v>0</v>
      </c>
      <c r="P1296" s="143" t="str">
        <f>NZ!CL26</f>
        <v>Active</v>
      </c>
      <c r="R1296">
        <f t="shared" si="20"/>
        <v>1295</v>
      </c>
    </row>
    <row r="1297" spans="5:18">
      <c r="E1297" s="147" t="s">
        <v>64</v>
      </c>
      <c r="F1297" t="str">
        <f>NZ!CB27</f>
        <v>HPS</v>
      </c>
      <c r="G1297" t="str">
        <f>NZ!CC27</f>
        <v>AC</v>
      </c>
      <c r="H1297" t="str">
        <f>NZ!CD27</f>
        <v>Vessel</v>
      </c>
      <c r="I1297">
        <f>NZ!CE27</f>
        <v>0</v>
      </c>
      <c r="J1297" t="str">
        <f>NZ!CF27</f>
        <v>Nozzle</v>
      </c>
      <c r="K1297" t="str">
        <f>NZ!CG27</f>
        <v>New 1"-Rene 41</v>
      </c>
      <c r="L1297" t="str">
        <f>NZ!CH27</f>
        <v>NZ-Z</v>
      </c>
      <c r="M1297">
        <f>NZ!CI27</f>
        <v>0</v>
      </c>
      <c r="N1297">
        <f>NZ!CJ27</f>
        <v>0</v>
      </c>
      <c r="O1297">
        <f>NZ!CK27</f>
        <v>0</v>
      </c>
      <c r="P1297" s="143" t="str">
        <f>NZ!CL27</f>
        <v>Active</v>
      </c>
      <c r="R1297">
        <f t="shared" si="20"/>
        <v>1296</v>
      </c>
    </row>
    <row r="1298" spans="5:18">
      <c r="E1298" s="147" t="s">
        <v>64</v>
      </c>
      <c r="F1298" t="str">
        <f>NZ!CB28</f>
        <v>HPS</v>
      </c>
      <c r="G1298" t="str">
        <f>NZ!CC28</f>
        <v>AC</v>
      </c>
      <c r="H1298" t="str">
        <f>NZ!CD28</f>
        <v>Vessel</v>
      </c>
      <c r="I1298">
        <f>NZ!CE28</f>
        <v>0</v>
      </c>
      <c r="J1298" t="str">
        <f>NZ!CF28</f>
        <v>Nozzle</v>
      </c>
      <c r="K1298" t="str">
        <f>NZ!CG28</f>
        <v>New 1"-Rene 41</v>
      </c>
      <c r="L1298" t="str">
        <f>NZ!CH28</f>
        <v>NZ-AA</v>
      </c>
      <c r="M1298">
        <f>NZ!CI28</f>
        <v>0</v>
      </c>
      <c r="N1298">
        <f>NZ!CJ28</f>
        <v>0</v>
      </c>
      <c r="O1298">
        <f>NZ!CK28</f>
        <v>0</v>
      </c>
      <c r="P1298" s="143" t="str">
        <f>NZ!CL28</f>
        <v>Active</v>
      </c>
      <c r="R1298">
        <f t="shared" si="20"/>
        <v>1297</v>
      </c>
    </row>
    <row r="1299" spans="5:18">
      <c r="E1299" s="147" t="s">
        <v>64</v>
      </c>
      <c r="F1299" t="str">
        <f>NZ!CB29</f>
        <v>HPS</v>
      </c>
      <c r="G1299" t="str">
        <f>NZ!CC29</f>
        <v>AC</v>
      </c>
      <c r="H1299" t="str">
        <f>NZ!CD29</f>
        <v>Vessel</v>
      </c>
      <c r="I1299">
        <f>NZ!CE29</f>
        <v>0</v>
      </c>
      <c r="J1299" t="str">
        <f>NZ!CF29</f>
        <v>Nozzle</v>
      </c>
      <c r="K1299" t="str">
        <f>NZ!CG29</f>
        <v>New 1"-Inconel 625</v>
      </c>
      <c r="L1299" t="str">
        <f>NZ!CH29</f>
        <v>NZ-AB</v>
      </c>
      <c r="M1299">
        <f>NZ!CI29</f>
        <v>0</v>
      </c>
      <c r="N1299">
        <f>NZ!CJ29</f>
        <v>0</v>
      </c>
      <c r="O1299">
        <f>NZ!CK29</f>
        <v>0</v>
      </c>
      <c r="P1299" s="143" t="str">
        <f>NZ!CL29</f>
        <v>Active</v>
      </c>
      <c r="R1299">
        <f t="shared" si="20"/>
        <v>1298</v>
      </c>
    </row>
    <row r="1300" spans="5:18">
      <c r="E1300" s="147" t="s">
        <v>64</v>
      </c>
      <c r="F1300" t="str">
        <f>NZ!CB30</f>
        <v>HPS</v>
      </c>
      <c r="G1300" t="str">
        <f>NZ!CC30</f>
        <v>AC</v>
      </c>
      <c r="H1300" t="str">
        <f>NZ!CD30</f>
        <v>Vessel</v>
      </c>
      <c r="I1300">
        <f>NZ!CE30</f>
        <v>0</v>
      </c>
      <c r="J1300" t="str">
        <f>NZ!CF30</f>
        <v>Nozzle</v>
      </c>
      <c r="K1300" t="str">
        <f>NZ!CG30</f>
        <v>New 1"-Inconel 625</v>
      </c>
      <c r="L1300" t="str">
        <f>NZ!CH30</f>
        <v>NZ-AC</v>
      </c>
      <c r="M1300">
        <f>NZ!CI30</f>
        <v>0</v>
      </c>
      <c r="N1300">
        <f>NZ!CJ30</f>
        <v>0</v>
      </c>
      <c r="O1300">
        <f>NZ!CK30</f>
        <v>0</v>
      </c>
      <c r="P1300" s="143" t="str">
        <f>NZ!CL30</f>
        <v>Active</v>
      </c>
      <c r="R1300">
        <f t="shared" si="20"/>
        <v>1299</v>
      </c>
    </row>
    <row r="1301" spans="5:18">
      <c r="E1301" s="147" t="s">
        <v>64</v>
      </c>
      <c r="F1301" t="str">
        <f>NZ!CB31</f>
        <v>HPS</v>
      </c>
      <c r="G1301" t="str">
        <f>NZ!CC31</f>
        <v>AC</v>
      </c>
      <c r="H1301" t="str">
        <f>NZ!CD31</f>
        <v>Vessel</v>
      </c>
      <c r="I1301">
        <f>NZ!CE31</f>
        <v>0</v>
      </c>
      <c r="J1301" t="str">
        <f>NZ!CF31</f>
        <v>Nozzle</v>
      </c>
      <c r="K1301" t="str">
        <f>NZ!CG31</f>
        <v>New 1"-Inconel 625</v>
      </c>
      <c r="L1301" t="str">
        <f>NZ!CH31</f>
        <v>NZ-AD</v>
      </c>
      <c r="M1301">
        <f>NZ!CI31</f>
        <v>0</v>
      </c>
      <c r="N1301">
        <f>NZ!CJ31</f>
        <v>0</v>
      </c>
      <c r="O1301">
        <f>NZ!CK31</f>
        <v>0</v>
      </c>
      <c r="P1301" s="143" t="str">
        <f>NZ!CL31</f>
        <v>Active</v>
      </c>
      <c r="R1301">
        <f t="shared" si="20"/>
        <v>1300</v>
      </c>
    </row>
    <row r="1302" spans="5:18">
      <c r="E1302" s="147" t="s">
        <v>64</v>
      </c>
      <c r="F1302" t="str">
        <f>NZ!CB32</f>
        <v>HPS</v>
      </c>
      <c r="G1302" t="str">
        <f>NZ!CC32</f>
        <v>AC</v>
      </c>
      <c r="H1302" t="str">
        <f>NZ!CD32</f>
        <v>Vessel</v>
      </c>
      <c r="I1302">
        <f>NZ!CE32</f>
        <v>0</v>
      </c>
      <c r="J1302" t="str">
        <f>NZ!CF32</f>
        <v>Nozzle</v>
      </c>
      <c r="K1302" t="str">
        <f>NZ!CG32</f>
        <v>New 1"-Inconel 625</v>
      </c>
      <c r="L1302" t="str">
        <f>NZ!CH32</f>
        <v>NZ-AE</v>
      </c>
      <c r="M1302">
        <f>NZ!CI32</f>
        <v>0</v>
      </c>
      <c r="N1302">
        <f>NZ!CJ32</f>
        <v>0</v>
      </c>
      <c r="O1302">
        <f>NZ!CK32</f>
        <v>0</v>
      </c>
      <c r="P1302" s="143" t="str">
        <f>NZ!CL32</f>
        <v>Active</v>
      </c>
      <c r="R1302">
        <f t="shared" si="20"/>
        <v>1301</v>
      </c>
    </row>
    <row r="1303" spans="5:18">
      <c r="E1303" s="147" t="s">
        <v>64</v>
      </c>
      <c r="F1303" t="str">
        <f>NZ!CB33</f>
        <v>HPS</v>
      </c>
      <c r="G1303" t="str">
        <f>NZ!CC33</f>
        <v>AC</v>
      </c>
      <c r="H1303" t="str">
        <f>NZ!CD33</f>
        <v>Vessel</v>
      </c>
      <c r="I1303">
        <f>NZ!CE33</f>
        <v>0</v>
      </c>
      <c r="J1303" t="str">
        <f>NZ!CF33</f>
        <v>Nozzle</v>
      </c>
      <c r="K1303" t="str">
        <f>NZ!CG33</f>
        <v>New 1"-Rene 41</v>
      </c>
      <c r="L1303" t="str">
        <f>NZ!CH33</f>
        <v>NZ-AF</v>
      </c>
      <c r="M1303">
        <f>NZ!CI33</f>
        <v>0</v>
      </c>
      <c r="N1303">
        <f>NZ!CJ33</f>
        <v>0</v>
      </c>
      <c r="O1303">
        <f>NZ!CK33</f>
        <v>0</v>
      </c>
      <c r="P1303" s="143" t="str">
        <f>NZ!CL33</f>
        <v>Active</v>
      </c>
      <c r="R1303">
        <f t="shared" si="20"/>
        <v>1302</v>
      </c>
    </row>
    <row r="1304" spans="5:18">
      <c r="E1304" s="147" t="s">
        <v>64</v>
      </c>
      <c r="F1304" t="str">
        <f>NZ!CB34</f>
        <v>HPS</v>
      </c>
      <c r="G1304" t="str">
        <f>NZ!CC34</f>
        <v>AC</v>
      </c>
      <c r="H1304" t="str">
        <f>NZ!CD34</f>
        <v>Vessel</v>
      </c>
      <c r="I1304">
        <f>NZ!CE34</f>
        <v>0</v>
      </c>
      <c r="J1304" t="str">
        <f>NZ!CF34</f>
        <v>Nozzle</v>
      </c>
      <c r="K1304" t="str">
        <f>NZ!CG34</f>
        <v>New 1"-Rene 41</v>
      </c>
      <c r="L1304" t="str">
        <f>NZ!CH34</f>
        <v>NZ-AG</v>
      </c>
      <c r="M1304">
        <f>NZ!CI34</f>
        <v>0</v>
      </c>
      <c r="N1304">
        <f>NZ!CJ34</f>
        <v>0</v>
      </c>
      <c r="O1304">
        <f>NZ!CK34</f>
        <v>0</v>
      </c>
      <c r="P1304" s="143" t="str">
        <f>NZ!CL34</f>
        <v>Active</v>
      </c>
      <c r="R1304">
        <f t="shared" si="20"/>
        <v>1303</v>
      </c>
    </row>
    <row r="1305" spans="5:18">
      <c r="E1305" s="147" t="s">
        <v>64</v>
      </c>
      <c r="F1305" t="str">
        <f>NZ!CB35</f>
        <v>HPS</v>
      </c>
      <c r="G1305" t="str">
        <f>NZ!CC35</f>
        <v>AC</v>
      </c>
      <c r="H1305" t="str">
        <f>NZ!CD35</f>
        <v>Vessel</v>
      </c>
      <c r="I1305">
        <f>NZ!CE35</f>
        <v>0</v>
      </c>
      <c r="J1305" t="str">
        <f>NZ!CF35</f>
        <v>Nozzle</v>
      </c>
      <c r="K1305" t="str">
        <f>NZ!CG35</f>
        <v>Old 1"-Rene 41</v>
      </c>
      <c r="L1305" t="str">
        <f>NZ!CH35</f>
        <v>NZ-AH</v>
      </c>
      <c r="M1305">
        <f>NZ!CI35</f>
        <v>0</v>
      </c>
      <c r="N1305">
        <f>NZ!CJ35</f>
        <v>0</v>
      </c>
      <c r="O1305">
        <f>NZ!CK35</f>
        <v>0</v>
      </c>
      <c r="P1305" s="143" t="str">
        <f>NZ!CL35</f>
        <v>Active</v>
      </c>
      <c r="R1305">
        <f t="shared" si="20"/>
        <v>1304</v>
      </c>
    </row>
    <row r="1306" spans="5:18">
      <c r="E1306" s="147" t="s">
        <v>64</v>
      </c>
      <c r="F1306" t="str">
        <f>NZ!CB36</f>
        <v>HPS</v>
      </c>
      <c r="G1306" t="str">
        <f>NZ!CC36</f>
        <v>AC</v>
      </c>
      <c r="H1306" t="str">
        <f>NZ!CD36</f>
        <v>Vessel</v>
      </c>
      <c r="I1306">
        <f>NZ!CE36</f>
        <v>0</v>
      </c>
      <c r="J1306" t="str">
        <f>NZ!CF36</f>
        <v>Nozzle</v>
      </c>
      <c r="K1306" t="str">
        <f>NZ!CG36</f>
        <v>Old 1"-Rene 41</v>
      </c>
      <c r="L1306" t="str">
        <f>NZ!CH36</f>
        <v>NZ-AI</v>
      </c>
      <c r="M1306">
        <f>NZ!CI36</f>
        <v>0</v>
      </c>
      <c r="N1306">
        <f>NZ!CJ36</f>
        <v>0</v>
      </c>
      <c r="O1306">
        <f>NZ!CK36</f>
        <v>0</v>
      </c>
      <c r="P1306" s="143" t="str">
        <f>NZ!CL36</f>
        <v>Active</v>
      </c>
      <c r="R1306">
        <f t="shared" si="20"/>
        <v>1305</v>
      </c>
    </row>
    <row r="1307" spans="5:18">
      <c r="E1307" s="147" t="s">
        <v>64</v>
      </c>
      <c r="F1307" t="str">
        <f>NZ!CB37</f>
        <v>HPS</v>
      </c>
      <c r="G1307" t="str">
        <f>NZ!CC37</f>
        <v>AC</v>
      </c>
      <c r="H1307" t="str">
        <f>NZ!CD37</f>
        <v>Vessel</v>
      </c>
      <c r="I1307">
        <f>NZ!CE37</f>
        <v>0</v>
      </c>
      <c r="J1307" t="str">
        <f>NZ!CF37</f>
        <v>Nozzle</v>
      </c>
      <c r="K1307" t="str">
        <f>NZ!CG37</f>
        <v>Old 1"-Rene 41</v>
      </c>
      <c r="L1307" t="str">
        <f>NZ!CH37</f>
        <v>NZ-AJ</v>
      </c>
      <c r="M1307">
        <f>NZ!CI37</f>
        <v>0</v>
      </c>
      <c r="N1307">
        <f>NZ!CJ37</f>
        <v>0</v>
      </c>
      <c r="O1307">
        <f>NZ!CK37</f>
        <v>0</v>
      </c>
      <c r="P1307" s="143" t="str">
        <f>NZ!CL37</f>
        <v>Active</v>
      </c>
      <c r="R1307">
        <f t="shared" si="20"/>
        <v>1306</v>
      </c>
    </row>
    <row r="1308" spans="5:18">
      <c r="E1308" s="147" t="s">
        <v>64</v>
      </c>
      <c r="F1308" t="str">
        <f>NZ!CB38</f>
        <v>HPS</v>
      </c>
      <c r="G1308" t="str">
        <f>NZ!CC38</f>
        <v>AC</v>
      </c>
      <c r="H1308" t="str">
        <f>NZ!CD38</f>
        <v>Vessel</v>
      </c>
      <c r="I1308">
        <f>NZ!CE38</f>
        <v>0</v>
      </c>
      <c r="J1308" t="str">
        <f>NZ!CF38</f>
        <v>Nozzle</v>
      </c>
      <c r="K1308" t="str">
        <f>NZ!CG38</f>
        <v>Old 1"-Rene 41</v>
      </c>
      <c r="L1308" t="str">
        <f>NZ!CH38</f>
        <v>NZ-AK</v>
      </c>
      <c r="M1308">
        <f>NZ!CI38</f>
        <v>0</v>
      </c>
      <c r="N1308">
        <f>NZ!CJ38</f>
        <v>0</v>
      </c>
      <c r="O1308">
        <f>NZ!CK38</f>
        <v>0</v>
      </c>
      <c r="P1308" s="143" t="str">
        <f>NZ!CL38</f>
        <v>Active</v>
      </c>
      <c r="R1308">
        <f t="shared" si="20"/>
        <v>1307</v>
      </c>
    </row>
    <row r="1309" spans="5:18">
      <c r="E1309" s="147" t="s">
        <v>64</v>
      </c>
      <c r="F1309" t="str">
        <f>NZ!CB39</f>
        <v>HPS</v>
      </c>
      <c r="G1309" t="str">
        <f>NZ!CC39</f>
        <v>AC</v>
      </c>
      <c r="H1309" t="str">
        <f>NZ!CD39</f>
        <v>Vessel</v>
      </c>
      <c r="I1309">
        <f>NZ!CE39</f>
        <v>0</v>
      </c>
      <c r="J1309" t="str">
        <f>NZ!CF39</f>
        <v>Nozzle</v>
      </c>
      <c r="K1309" t="str">
        <f>NZ!CG39</f>
        <v>Old 1"-Inconel 625</v>
      </c>
      <c r="L1309" t="str">
        <f>NZ!CH39</f>
        <v>NZ-AL</v>
      </c>
      <c r="M1309">
        <f>NZ!CI39</f>
        <v>0</v>
      </c>
      <c r="N1309">
        <f>NZ!CJ39</f>
        <v>0</v>
      </c>
      <c r="O1309">
        <f>NZ!CK39</f>
        <v>0</v>
      </c>
      <c r="P1309" s="143" t="str">
        <f>NZ!CL39</f>
        <v>Active</v>
      </c>
      <c r="R1309">
        <f t="shared" si="20"/>
        <v>1308</v>
      </c>
    </row>
    <row r="1310" spans="5:18">
      <c r="E1310" s="147" t="s">
        <v>64</v>
      </c>
      <c r="F1310" t="str">
        <f>NZ!CB40</f>
        <v>HPS</v>
      </c>
      <c r="G1310" t="str">
        <f>NZ!CC40</f>
        <v>AC</v>
      </c>
      <c r="H1310" t="str">
        <f>NZ!CD40</f>
        <v>Vessel</v>
      </c>
      <c r="I1310">
        <f>NZ!CE40</f>
        <v>0</v>
      </c>
      <c r="J1310" t="str">
        <f>NZ!CF40</f>
        <v>Nozzle</v>
      </c>
      <c r="K1310" t="str">
        <f>NZ!CG40</f>
        <v>Old 1"-Inconel 625</v>
      </c>
      <c r="L1310" t="str">
        <f>NZ!CH40</f>
        <v>NZ-AM</v>
      </c>
      <c r="M1310">
        <f>NZ!CI40</f>
        <v>0</v>
      </c>
      <c r="N1310">
        <f>NZ!CJ40</f>
        <v>0</v>
      </c>
      <c r="O1310">
        <f>NZ!CK40</f>
        <v>0</v>
      </c>
      <c r="P1310" s="143" t="str">
        <f>NZ!CL40</f>
        <v>Active</v>
      </c>
      <c r="R1310">
        <f t="shared" si="20"/>
        <v>1309</v>
      </c>
    </row>
    <row r="1311" spans="5:18">
      <c r="E1311" s="147" t="s">
        <v>64</v>
      </c>
      <c r="F1311" t="str">
        <f>NZ!CB41</f>
        <v>HPS</v>
      </c>
      <c r="G1311" t="str">
        <f>NZ!CC41</f>
        <v>AC</v>
      </c>
      <c r="H1311" t="str">
        <f>NZ!CD41</f>
        <v>Vessel</v>
      </c>
      <c r="I1311">
        <f>NZ!CE41</f>
        <v>0</v>
      </c>
      <c r="J1311" t="str">
        <f>NZ!CF41</f>
        <v>Nozzle</v>
      </c>
      <c r="K1311" t="str">
        <f>NZ!CG41</f>
        <v>Old 1"-Inconel 625</v>
      </c>
      <c r="L1311" t="str">
        <f>NZ!CH41</f>
        <v>NZ-AN</v>
      </c>
      <c r="M1311">
        <f>NZ!CI41</f>
        <v>0</v>
      </c>
      <c r="N1311">
        <f>NZ!CJ41</f>
        <v>0</v>
      </c>
      <c r="O1311">
        <f>NZ!CK41</f>
        <v>0</v>
      </c>
      <c r="P1311" s="143" t="str">
        <f>NZ!CL41</f>
        <v>Active</v>
      </c>
      <c r="R1311">
        <f t="shared" si="20"/>
        <v>1310</v>
      </c>
    </row>
    <row r="1312" spans="5:18">
      <c r="E1312" s="147" t="s">
        <v>64</v>
      </c>
      <c r="F1312" t="str">
        <f>NZ!CB42</f>
        <v>HPS</v>
      </c>
      <c r="G1312" t="str">
        <f>NZ!CC42</f>
        <v>AC</v>
      </c>
      <c r="H1312" t="str">
        <f>NZ!CD42</f>
        <v>Vessel</v>
      </c>
      <c r="I1312">
        <f>NZ!CE42</f>
        <v>0</v>
      </c>
      <c r="J1312" t="str">
        <f>NZ!CF42</f>
        <v>Nozzle</v>
      </c>
      <c r="K1312" t="str">
        <f>NZ!CG42</f>
        <v>Old 1"-Inconel 625</v>
      </c>
      <c r="L1312" t="str">
        <f>NZ!CH42</f>
        <v>NZ-AO</v>
      </c>
      <c r="M1312">
        <f>NZ!CI42</f>
        <v>0</v>
      </c>
      <c r="N1312">
        <f>NZ!CJ42</f>
        <v>0</v>
      </c>
      <c r="O1312">
        <f>NZ!CK42</f>
        <v>0</v>
      </c>
      <c r="P1312" s="143" t="str">
        <f>NZ!CL42</f>
        <v>Active</v>
      </c>
      <c r="R1312">
        <f t="shared" si="20"/>
        <v>1311</v>
      </c>
    </row>
    <row r="1313" spans="5:18">
      <c r="E1313" s="147" t="s">
        <v>64</v>
      </c>
      <c r="F1313" t="str">
        <f>NZ!CB43</f>
        <v>HPS</v>
      </c>
      <c r="G1313" t="str">
        <f>NZ!CC43</f>
        <v>AC</v>
      </c>
      <c r="H1313" t="str">
        <f>NZ!CD43</f>
        <v>Vessel</v>
      </c>
      <c r="I1313">
        <f>NZ!CE43</f>
        <v>0</v>
      </c>
      <c r="J1313" t="str">
        <f>NZ!CF43</f>
        <v>Nozzle</v>
      </c>
      <c r="K1313" t="str">
        <f>NZ!CG43</f>
        <v>Old 1"-Inconel 625</v>
      </c>
      <c r="L1313" t="str">
        <f>NZ!CH43</f>
        <v>NZ-AP</v>
      </c>
      <c r="M1313">
        <f>NZ!CI43</f>
        <v>0</v>
      </c>
      <c r="N1313">
        <f>NZ!CJ43</f>
        <v>0</v>
      </c>
      <c r="O1313">
        <f>NZ!CK43</f>
        <v>0</v>
      </c>
      <c r="P1313" s="143" t="str">
        <f>NZ!CL43</f>
        <v>Broken</v>
      </c>
      <c r="R1313">
        <f t="shared" si="20"/>
        <v>1312</v>
      </c>
    </row>
    <row r="1314" spans="5:18">
      <c r="E1314" s="147" t="s">
        <v>64</v>
      </c>
      <c r="F1314" t="str">
        <f>NZ!CB44</f>
        <v>HPS</v>
      </c>
      <c r="G1314" t="str">
        <f>NZ!CC44</f>
        <v>AC</v>
      </c>
      <c r="H1314" t="str">
        <f>NZ!CD44</f>
        <v>Vessel</v>
      </c>
      <c r="I1314">
        <f>NZ!CE44</f>
        <v>0</v>
      </c>
      <c r="J1314" t="str">
        <f>NZ!CF44</f>
        <v>Nozzle</v>
      </c>
      <c r="K1314" t="str">
        <f>NZ!CG44</f>
        <v>TZM-1/2"-TZM B387-19, Type 364</v>
      </c>
      <c r="L1314" t="str">
        <f>NZ!CH44</f>
        <v>NZ-TA</v>
      </c>
      <c r="M1314">
        <f>NZ!CI44</f>
        <v>0</v>
      </c>
      <c r="N1314">
        <f>NZ!CJ44</f>
        <v>0</v>
      </c>
      <c r="O1314">
        <f>NZ!CK44</f>
        <v>0</v>
      </c>
      <c r="P1314" s="143" t="str">
        <f>NZ!CL44</f>
        <v>Active</v>
      </c>
      <c r="R1314">
        <f t="shared" si="20"/>
        <v>1313</v>
      </c>
    </row>
    <row r="1315" spans="5:18">
      <c r="E1315" s="147" t="s">
        <v>64</v>
      </c>
      <c r="F1315" t="str">
        <f>NZ!CB45</f>
        <v>HPS</v>
      </c>
      <c r="G1315" t="str">
        <f>NZ!CC45</f>
        <v>AC</v>
      </c>
      <c r="H1315" t="str">
        <f>NZ!CD45</f>
        <v>Vessel</v>
      </c>
      <c r="I1315">
        <f>NZ!CE45</f>
        <v>0</v>
      </c>
      <c r="J1315" t="str">
        <f>NZ!CF45</f>
        <v>Nozzle</v>
      </c>
      <c r="K1315" t="str">
        <f>NZ!CG45</f>
        <v>TZM-1/2"-TZM B387-19, Type 364</v>
      </c>
      <c r="L1315" t="str">
        <f>NZ!CH45</f>
        <v>NZ-TB</v>
      </c>
      <c r="M1315">
        <f>NZ!CI45</f>
        <v>0</v>
      </c>
      <c r="N1315">
        <f>NZ!CJ45</f>
        <v>0</v>
      </c>
      <c r="O1315">
        <f>NZ!CK45</f>
        <v>0</v>
      </c>
      <c r="P1315" s="143" t="str">
        <f>NZ!CL45</f>
        <v>Active</v>
      </c>
      <c r="R1315">
        <f t="shared" si="20"/>
        <v>1314</v>
      </c>
    </row>
    <row r="1316" spans="5:18">
      <c r="E1316" s="147" t="s">
        <v>64</v>
      </c>
      <c r="F1316" t="str">
        <f>NZ!CB46</f>
        <v>HPS</v>
      </c>
      <c r="G1316" t="str">
        <f>NZ!CC46</f>
        <v>AC</v>
      </c>
      <c r="H1316" t="str">
        <f>NZ!CD46</f>
        <v>Vessel</v>
      </c>
      <c r="I1316">
        <f>NZ!CE46</f>
        <v>0</v>
      </c>
      <c r="J1316" t="str">
        <f>NZ!CF46</f>
        <v>Nozzle</v>
      </c>
      <c r="K1316" t="str">
        <f>NZ!CG46</f>
        <v>TZM-1/2"-TZM B387-19, Type 364</v>
      </c>
      <c r="L1316" t="str">
        <f>NZ!CH46</f>
        <v>NZ-TC</v>
      </c>
      <c r="M1316">
        <f>NZ!CI46</f>
        <v>0</v>
      </c>
      <c r="N1316">
        <f>NZ!CJ46</f>
        <v>0</v>
      </c>
      <c r="O1316">
        <f>NZ!CK46</f>
        <v>0</v>
      </c>
      <c r="P1316" s="143" t="str">
        <f>NZ!CL46</f>
        <v>Broken</v>
      </c>
      <c r="R1316">
        <f t="shared" si="20"/>
        <v>1315</v>
      </c>
    </row>
    <row r="1317" spans="5:18">
      <c r="E1317" s="147" t="s">
        <v>64</v>
      </c>
      <c r="F1317" t="str">
        <f>NZ!CB47</f>
        <v>HPS</v>
      </c>
      <c r="G1317" t="str">
        <f>NZ!CC47</f>
        <v>AC</v>
      </c>
      <c r="H1317" t="str">
        <f>NZ!CD47</f>
        <v>Vessel</v>
      </c>
      <c r="I1317">
        <f>NZ!CE47</f>
        <v>0</v>
      </c>
      <c r="J1317" t="str">
        <f>NZ!CF47</f>
        <v>Nozzle</v>
      </c>
      <c r="K1317" t="str">
        <f>NZ!CG47</f>
        <v>TZM-1/2"-TZM B387-19, Type 364</v>
      </c>
      <c r="L1317" t="str">
        <f>NZ!CH47</f>
        <v>NZ-TD</v>
      </c>
      <c r="M1317">
        <f>NZ!CI47</f>
        <v>0</v>
      </c>
      <c r="N1317">
        <f>NZ!CJ47</f>
        <v>0</v>
      </c>
      <c r="O1317">
        <f>NZ!CK47</f>
        <v>0</v>
      </c>
      <c r="P1317" s="143" t="str">
        <f>NZ!CL47</f>
        <v>Active</v>
      </c>
      <c r="R1317">
        <f t="shared" si="20"/>
        <v>1316</v>
      </c>
    </row>
    <row r="1318" spans="5:18">
      <c r="E1318" s="147" t="s">
        <v>64</v>
      </c>
      <c r="F1318" t="str">
        <f>NZ!CB48</f>
        <v>HPS</v>
      </c>
      <c r="G1318" t="str">
        <f>NZ!CC48</f>
        <v>AC</v>
      </c>
      <c r="H1318" t="str">
        <f>NZ!CD48</f>
        <v>Vessel</v>
      </c>
      <c r="I1318">
        <f>NZ!CE48</f>
        <v>0</v>
      </c>
      <c r="J1318" t="str">
        <f>NZ!CF48</f>
        <v>Nozzle</v>
      </c>
      <c r="K1318" t="str">
        <f>NZ!CG48</f>
        <v>TZM-1/2"-TZM B387-19, Type 364</v>
      </c>
      <c r="L1318" t="str">
        <f>NZ!CH48</f>
        <v>NZ-TE</v>
      </c>
      <c r="M1318">
        <f>NZ!CI48</f>
        <v>0</v>
      </c>
      <c r="N1318">
        <f>NZ!CJ48</f>
        <v>0</v>
      </c>
      <c r="O1318">
        <f>NZ!CK48</f>
        <v>0</v>
      </c>
      <c r="P1318" s="143" t="str">
        <f>NZ!CL48</f>
        <v>Active</v>
      </c>
      <c r="R1318">
        <f t="shared" si="20"/>
        <v>1317</v>
      </c>
    </row>
    <row r="1319" spans="5:18">
      <c r="E1319" s="147" t="s">
        <v>64</v>
      </c>
      <c r="F1319" t="str">
        <f>NZ!CB49</f>
        <v>HPS</v>
      </c>
      <c r="G1319" t="str">
        <f>NZ!CC49</f>
        <v>AC</v>
      </c>
      <c r="H1319" t="str">
        <f>NZ!CD49</f>
        <v>Vessel</v>
      </c>
      <c r="I1319">
        <f>NZ!CE49</f>
        <v>0</v>
      </c>
      <c r="J1319" t="str">
        <f>NZ!CF49</f>
        <v>Nozzle</v>
      </c>
      <c r="K1319" t="str">
        <f>NZ!CG49</f>
        <v>TZM-1/2"-TZM B387-19, Type 364</v>
      </c>
      <c r="L1319" t="str">
        <f>NZ!CH49</f>
        <v>NZ-TF</v>
      </c>
      <c r="M1319">
        <f>NZ!CI49</f>
        <v>0</v>
      </c>
      <c r="N1319">
        <f>NZ!CJ49</f>
        <v>0</v>
      </c>
      <c r="O1319">
        <f>NZ!CK49</f>
        <v>0</v>
      </c>
      <c r="P1319" s="143" t="str">
        <f>NZ!CL49</f>
        <v>Active</v>
      </c>
      <c r="R1319">
        <f t="shared" si="20"/>
        <v>1318</v>
      </c>
    </row>
    <row r="1320" spans="5:18">
      <c r="E1320" s="147" t="s">
        <v>64</v>
      </c>
      <c r="F1320" t="str">
        <f>NZ!CB50</f>
        <v>HPS</v>
      </c>
      <c r="G1320" t="str">
        <f>NZ!CC50</f>
        <v>AC</v>
      </c>
      <c r="H1320" t="str">
        <f>NZ!CD50</f>
        <v>Vessel</v>
      </c>
      <c r="I1320">
        <f>NZ!CE50</f>
        <v>0</v>
      </c>
      <c r="J1320" t="str">
        <f>NZ!CF50</f>
        <v>Nozzle</v>
      </c>
      <c r="K1320" t="str">
        <f>NZ!CG50</f>
        <v>TZM-1/2"-TZM B387-19, Type 364</v>
      </c>
      <c r="L1320" t="str">
        <f>NZ!CH50</f>
        <v>NZ-TG</v>
      </c>
      <c r="M1320">
        <f>NZ!CI50</f>
        <v>0</v>
      </c>
      <c r="N1320">
        <f>NZ!CJ50</f>
        <v>0</v>
      </c>
      <c r="O1320">
        <f>NZ!CK50</f>
        <v>0</v>
      </c>
      <c r="P1320" s="143" t="str">
        <f>NZ!CL50</f>
        <v>Active</v>
      </c>
      <c r="R1320">
        <f t="shared" si="20"/>
        <v>1319</v>
      </c>
    </row>
    <row r="1321" spans="5:18">
      <c r="E1321" s="147" t="s">
        <v>64</v>
      </c>
      <c r="F1321" t="str">
        <f>NZ!CB51</f>
        <v>HPS</v>
      </c>
      <c r="G1321" t="str">
        <f>NZ!CC51</f>
        <v>AC</v>
      </c>
      <c r="H1321" t="str">
        <f>NZ!CD51</f>
        <v>Vessel</v>
      </c>
      <c r="I1321">
        <f>NZ!CE51</f>
        <v>0</v>
      </c>
      <c r="J1321" t="str">
        <f>NZ!CF51</f>
        <v>Nozzle</v>
      </c>
      <c r="K1321" t="str">
        <f>NZ!CG51</f>
        <v>TZM-1/2"-TZM B387-19, Type 364</v>
      </c>
      <c r="L1321" t="str">
        <f>NZ!CH51</f>
        <v>NZ-TH</v>
      </c>
      <c r="M1321">
        <f>NZ!CI51</f>
        <v>0</v>
      </c>
      <c r="N1321">
        <f>NZ!CJ51</f>
        <v>0</v>
      </c>
      <c r="O1321">
        <f>NZ!CK51</f>
        <v>0</v>
      </c>
      <c r="P1321" s="143" t="str">
        <f>NZ!CL51</f>
        <v>Active</v>
      </c>
      <c r="R1321">
        <f t="shared" si="20"/>
        <v>1320</v>
      </c>
    </row>
    <row r="1322" spans="5:18">
      <c r="E1322" s="147" t="s">
        <v>64</v>
      </c>
      <c r="F1322" t="str">
        <f>NZ!CB52</f>
        <v>HPS</v>
      </c>
      <c r="G1322" t="str">
        <f>NZ!CC52</f>
        <v>AC</v>
      </c>
      <c r="H1322" t="str">
        <f>NZ!CD52</f>
        <v>Vessel</v>
      </c>
      <c r="I1322">
        <f>NZ!CE52</f>
        <v>0</v>
      </c>
      <c r="J1322" t="str">
        <f>NZ!CF52</f>
        <v>Nozzle</v>
      </c>
      <c r="K1322" t="str">
        <f>NZ!CG52</f>
        <v>TZM-3"-TZM B387-19, Type 364</v>
      </c>
      <c r="L1322" t="str">
        <f>NZ!CH52</f>
        <v>NZ-AQ</v>
      </c>
      <c r="M1322">
        <f>NZ!CI52</f>
        <v>0</v>
      </c>
      <c r="N1322">
        <f>NZ!CJ52</f>
        <v>0</v>
      </c>
      <c r="O1322">
        <f>NZ!CK52</f>
        <v>0</v>
      </c>
      <c r="P1322" s="143" t="str">
        <f>NZ!CL52</f>
        <v>New</v>
      </c>
      <c r="R1322">
        <f t="shared" si="20"/>
        <v>1321</v>
      </c>
    </row>
    <row r="1323" spans="5:18">
      <c r="E1323" s="147" t="s">
        <v>64</v>
      </c>
      <c r="F1323" t="str">
        <f>NZ!CB53</f>
        <v>HPS</v>
      </c>
      <c r="G1323" t="str">
        <f>NZ!CC53</f>
        <v>AC</v>
      </c>
      <c r="H1323" t="str">
        <f>NZ!CD53</f>
        <v>Vessel</v>
      </c>
      <c r="I1323">
        <f>NZ!CE53</f>
        <v>0</v>
      </c>
      <c r="J1323" t="str">
        <f>NZ!CF53</f>
        <v>Nozzle</v>
      </c>
      <c r="K1323" t="str">
        <f>NZ!CG53</f>
        <v>TZM-3"-TZM B387-19, Type 364</v>
      </c>
      <c r="L1323" t="str">
        <f>NZ!CH53</f>
        <v>NZ-AR</v>
      </c>
      <c r="M1323">
        <f>NZ!CI53</f>
        <v>0</v>
      </c>
      <c r="N1323">
        <f>NZ!CJ53</f>
        <v>0</v>
      </c>
      <c r="O1323">
        <f>NZ!CK53</f>
        <v>0</v>
      </c>
      <c r="P1323" s="143" t="str">
        <f>NZ!CL53</f>
        <v>New</v>
      </c>
      <c r="R1323">
        <f t="shared" si="20"/>
        <v>1322</v>
      </c>
    </row>
    <row r="1324" spans="5:18">
      <c r="E1324" s="147" t="s">
        <v>64</v>
      </c>
      <c r="F1324" t="str">
        <f>NZ!CB54</f>
        <v>HPS</v>
      </c>
      <c r="G1324" t="str">
        <f>NZ!CC54</f>
        <v>AC</v>
      </c>
      <c r="H1324" t="str">
        <f>NZ!CD54</f>
        <v>Vessel</v>
      </c>
      <c r="I1324">
        <f>NZ!CE54</f>
        <v>0</v>
      </c>
      <c r="J1324" t="str">
        <f>NZ!CF54</f>
        <v>Nozzle</v>
      </c>
      <c r="K1324" t="str">
        <f>NZ!CG54</f>
        <v>TZM-3"-TZM B387-19, Type 364</v>
      </c>
      <c r="L1324" t="str">
        <f>NZ!CH54</f>
        <v>NZ-AS</v>
      </c>
      <c r="M1324">
        <f>NZ!CI54</f>
        <v>0</v>
      </c>
      <c r="N1324">
        <f>NZ!CJ54</f>
        <v>0</v>
      </c>
      <c r="O1324">
        <f>NZ!CK54</f>
        <v>0</v>
      </c>
      <c r="P1324" s="143" t="str">
        <f>NZ!CL54</f>
        <v>New</v>
      </c>
      <c r="R1324">
        <f t="shared" si="20"/>
        <v>1323</v>
      </c>
    </row>
    <row r="1325" spans="5:18">
      <c r="E1325" s="147" t="s">
        <v>64</v>
      </c>
      <c r="F1325" t="str">
        <f>NZ!CB55</f>
        <v>HPS</v>
      </c>
      <c r="G1325" t="str">
        <f>NZ!CC55</f>
        <v>AC</v>
      </c>
      <c r="H1325" t="str">
        <f>NZ!CD55</f>
        <v>Vessel</v>
      </c>
      <c r="I1325">
        <f>NZ!CE55</f>
        <v>0</v>
      </c>
      <c r="J1325" t="str">
        <f>NZ!CF55</f>
        <v>Nozzle</v>
      </c>
      <c r="K1325" t="str">
        <f>NZ!CG55</f>
        <v>TZM-1/2"-TZM B387-19, Type 364</v>
      </c>
      <c r="L1325" t="str">
        <f>NZ!CH55</f>
        <v>NZ-TI</v>
      </c>
      <c r="M1325">
        <f>NZ!CI55</f>
        <v>0</v>
      </c>
      <c r="N1325">
        <f>NZ!CJ55</f>
        <v>0</v>
      </c>
      <c r="O1325">
        <f>NZ!CK55</f>
        <v>0</v>
      </c>
      <c r="P1325" s="143" t="str">
        <f>NZ!CL55</f>
        <v>Active</v>
      </c>
      <c r="R1325">
        <f t="shared" si="20"/>
        <v>1324</v>
      </c>
    </row>
    <row r="1326" spans="5:18">
      <c r="E1326" s="147" t="s">
        <v>64</v>
      </c>
      <c r="F1326" t="str">
        <f>NZ!CB56</f>
        <v>HPS</v>
      </c>
      <c r="G1326" t="str">
        <f>NZ!CC56</f>
        <v>AC</v>
      </c>
      <c r="H1326" t="str">
        <f>NZ!CD56</f>
        <v>Vessel</v>
      </c>
      <c r="I1326">
        <f>NZ!CE56</f>
        <v>0</v>
      </c>
      <c r="J1326" t="str">
        <f>NZ!CF56</f>
        <v>Nozzle</v>
      </c>
      <c r="K1326" t="str">
        <f>NZ!CG56</f>
        <v>TZM-1/2"-TZM B387-19, Type 364</v>
      </c>
      <c r="L1326" t="str">
        <f>NZ!CH56</f>
        <v>NZ-TJ</v>
      </c>
      <c r="M1326">
        <f>NZ!CI56</f>
        <v>0</v>
      </c>
      <c r="N1326">
        <f>NZ!CJ56</f>
        <v>0</v>
      </c>
      <c r="O1326">
        <f>NZ!CK56</f>
        <v>0</v>
      </c>
      <c r="P1326" s="143" t="str">
        <f>NZ!CL56</f>
        <v>Active</v>
      </c>
      <c r="R1326">
        <f t="shared" si="20"/>
        <v>1325</v>
      </c>
    </row>
    <row r="1327" spans="5:18">
      <c r="E1327" s="147" t="s">
        <v>64</v>
      </c>
      <c r="F1327" t="str">
        <f>NZ!CB57</f>
        <v>HPS</v>
      </c>
      <c r="G1327" t="str">
        <f>NZ!CC57</f>
        <v>AC</v>
      </c>
      <c r="H1327" t="str">
        <f>NZ!CD57</f>
        <v>Vessel</v>
      </c>
      <c r="I1327">
        <f>NZ!CE57</f>
        <v>0</v>
      </c>
      <c r="J1327" t="str">
        <f>NZ!CF57</f>
        <v>Nozzle</v>
      </c>
      <c r="K1327" t="str">
        <f>NZ!CG57</f>
        <v>TZM-1/2"-TZM B387-19, Type 364</v>
      </c>
      <c r="L1327" t="str">
        <f>NZ!CH57</f>
        <v>NZ-TK</v>
      </c>
      <c r="M1327">
        <f>NZ!CI57</f>
        <v>0</v>
      </c>
      <c r="N1327">
        <f>NZ!CJ57</f>
        <v>0</v>
      </c>
      <c r="O1327">
        <f>NZ!CK57</f>
        <v>0</v>
      </c>
      <c r="P1327" s="143" t="str">
        <f>NZ!CL57</f>
        <v>Active</v>
      </c>
      <c r="R1327">
        <f t="shared" si="20"/>
        <v>1326</v>
      </c>
    </row>
    <row r="1328" spans="5:18">
      <c r="E1328" s="147" t="s">
        <v>64</v>
      </c>
      <c r="F1328" t="str">
        <f>NZ!CB58</f>
        <v>HPS</v>
      </c>
      <c r="G1328" t="str">
        <f>NZ!CC58</f>
        <v>AC</v>
      </c>
      <c r="H1328" t="str">
        <f>NZ!CD58</f>
        <v>Vessel</v>
      </c>
      <c r="I1328">
        <f>NZ!CE58</f>
        <v>0</v>
      </c>
      <c r="J1328" t="str">
        <f>NZ!CF58</f>
        <v>Nozzle</v>
      </c>
      <c r="K1328" t="str">
        <f>NZ!CG58</f>
        <v>TZM-1/2"-TZM B387-19, Type 364</v>
      </c>
      <c r="L1328" t="str">
        <f>NZ!CH58</f>
        <v>NZ-TL</v>
      </c>
      <c r="M1328">
        <f>NZ!CI58</f>
        <v>0</v>
      </c>
      <c r="N1328">
        <f>NZ!CJ58</f>
        <v>0</v>
      </c>
      <c r="O1328">
        <f>NZ!CK58</f>
        <v>0</v>
      </c>
      <c r="P1328" s="143" t="str">
        <f>NZ!CL58</f>
        <v>Active</v>
      </c>
      <c r="R1328">
        <f t="shared" si="20"/>
        <v>1327</v>
      </c>
    </row>
    <row r="1329" spans="5:18">
      <c r="E1329" s="147" t="s">
        <v>64</v>
      </c>
      <c r="F1329" t="str">
        <f>NZ!CB59</f>
        <v>HPS</v>
      </c>
      <c r="G1329" t="str">
        <f>NZ!CC59</f>
        <v>AC</v>
      </c>
      <c r="H1329" t="str">
        <f>NZ!CD59</f>
        <v>Vessel</v>
      </c>
      <c r="I1329">
        <f>NZ!CE59</f>
        <v>0</v>
      </c>
      <c r="J1329" t="str">
        <f>NZ!CF59</f>
        <v>Nozzle</v>
      </c>
      <c r="K1329" t="str">
        <f>NZ!CG59</f>
        <v>TZM-1/2"-TZM B387-19, Type 364</v>
      </c>
      <c r="L1329" t="str">
        <f>NZ!CH59</f>
        <v>NZ-TM</v>
      </c>
      <c r="M1329">
        <f>NZ!CI59</f>
        <v>0</v>
      </c>
      <c r="N1329">
        <f>NZ!CJ59</f>
        <v>0</v>
      </c>
      <c r="O1329">
        <f>NZ!CK59</f>
        <v>0</v>
      </c>
      <c r="P1329" s="143" t="str">
        <f>NZ!CL59</f>
        <v>Active</v>
      </c>
      <c r="R1329">
        <f t="shared" si="20"/>
        <v>1328</v>
      </c>
    </row>
    <row r="1330" spans="5:18">
      <c r="E1330" s="147" t="s">
        <v>64</v>
      </c>
      <c r="F1330" t="str">
        <f>NZ!CB60</f>
        <v>HPS</v>
      </c>
      <c r="G1330" t="str">
        <f>NZ!CC60</f>
        <v>AC</v>
      </c>
      <c r="H1330" t="str">
        <f>NZ!CD60</f>
        <v>Vessel</v>
      </c>
      <c r="I1330">
        <f>NZ!CE60</f>
        <v>0</v>
      </c>
      <c r="J1330" t="str">
        <f>NZ!CF60</f>
        <v>Nozzle</v>
      </c>
      <c r="K1330" t="str">
        <f>NZ!CG60</f>
        <v>TZM-3"-TZM B387-19, Type 364</v>
      </c>
      <c r="L1330" t="str">
        <f>NZ!CH60</f>
        <v>NZ-AT</v>
      </c>
      <c r="M1330">
        <f>NZ!CI60</f>
        <v>0</v>
      </c>
      <c r="N1330">
        <f>NZ!CJ60</f>
        <v>0</v>
      </c>
      <c r="O1330">
        <f>NZ!CK60</f>
        <v>0</v>
      </c>
      <c r="P1330" s="143" t="str">
        <f>NZ!CL60</f>
        <v>New</v>
      </c>
      <c r="R1330">
        <f t="shared" si="20"/>
        <v>1329</v>
      </c>
    </row>
    <row r="1331" spans="5:18">
      <c r="E1331" s="147" t="s">
        <v>64</v>
      </c>
      <c r="F1331" t="str">
        <f>NZ!CB61</f>
        <v>HPS</v>
      </c>
      <c r="G1331" t="str">
        <f>NZ!CC61</f>
        <v>AC</v>
      </c>
      <c r="H1331" t="str">
        <f>NZ!CD61</f>
        <v>Vessel</v>
      </c>
      <c r="I1331">
        <f>NZ!CE61</f>
        <v>0</v>
      </c>
      <c r="J1331" t="str">
        <f>NZ!CF61</f>
        <v>Nozzle</v>
      </c>
      <c r="K1331" t="str">
        <f>NZ!CG61</f>
        <v>TZM-3.5"-TZM B387-19, Type 364</v>
      </c>
      <c r="L1331" t="str">
        <f>NZ!CH61</f>
        <v>NZ-AU</v>
      </c>
      <c r="M1331">
        <f>NZ!CI61</f>
        <v>0</v>
      </c>
      <c r="N1331">
        <f>NZ!CJ61</f>
        <v>0</v>
      </c>
      <c r="O1331">
        <f>NZ!CK61</f>
        <v>0</v>
      </c>
      <c r="P1331" s="143" t="str">
        <f>NZ!CL61</f>
        <v>New</v>
      </c>
      <c r="R1331">
        <f t="shared" si="20"/>
        <v>1330</v>
      </c>
    </row>
    <row r="1332" spans="5:18">
      <c r="E1332" s="147" t="s">
        <v>64</v>
      </c>
      <c r="F1332" t="str">
        <f>NZ!CB62</f>
        <v>HPS</v>
      </c>
      <c r="G1332" t="str">
        <f>NZ!CC62</f>
        <v>AC</v>
      </c>
      <c r="H1332" t="str">
        <f>NZ!CD62</f>
        <v>Vessel</v>
      </c>
      <c r="I1332">
        <f>NZ!CE62</f>
        <v>0</v>
      </c>
      <c r="J1332" t="str">
        <f>NZ!CF62</f>
        <v>Nozzle</v>
      </c>
      <c r="K1332" t="str">
        <f>NZ!CG62</f>
        <v>TZM-3"-</v>
      </c>
      <c r="L1332" t="str">
        <f>NZ!CH62</f>
        <v>NZ-AR-1</v>
      </c>
      <c r="M1332">
        <f>NZ!CI62</f>
        <v>0</v>
      </c>
      <c r="N1332">
        <f>NZ!CJ62</f>
        <v>0</v>
      </c>
      <c r="O1332">
        <f>NZ!CK62</f>
        <v>0</v>
      </c>
      <c r="P1332" s="143" t="str">
        <f>NZ!CL62</f>
        <v>New</v>
      </c>
      <c r="R1332">
        <f t="shared" si="20"/>
        <v>1331</v>
      </c>
    </row>
    <row r="1333" spans="5:18">
      <c r="E1333" s="147" t="s">
        <v>64</v>
      </c>
      <c r="F1333" t="str">
        <f>NZ!CB63</f>
        <v>HPS</v>
      </c>
      <c r="G1333" t="str">
        <f>NZ!CC63</f>
        <v>AC</v>
      </c>
      <c r="H1333" t="str">
        <f>NZ!CD63</f>
        <v>Vessel</v>
      </c>
      <c r="I1333">
        <f>NZ!CE63</f>
        <v>0</v>
      </c>
      <c r="J1333" t="str">
        <f>NZ!CF63</f>
        <v>Nozzle</v>
      </c>
      <c r="K1333" t="str">
        <f>NZ!CG63</f>
        <v>TZM-3"-</v>
      </c>
      <c r="L1333" t="str">
        <f>NZ!CH63</f>
        <v>NZ-AR-2</v>
      </c>
      <c r="M1333">
        <f>NZ!CI63</f>
        <v>0</v>
      </c>
      <c r="N1333">
        <f>NZ!CJ63</f>
        <v>0</v>
      </c>
      <c r="O1333">
        <f>NZ!CK63</f>
        <v>0</v>
      </c>
      <c r="P1333" s="143" t="str">
        <f>NZ!CL63</f>
        <v>New</v>
      </c>
      <c r="R1333">
        <f t="shared" si="20"/>
        <v>1332</v>
      </c>
    </row>
    <row r="1334" spans="5:18">
      <c r="E1334" s="147" t="s">
        <v>64</v>
      </c>
      <c r="F1334" t="str">
        <f>NZ!CB64</f>
        <v>HPS</v>
      </c>
      <c r="G1334" t="str">
        <f>NZ!CC64</f>
        <v>AC</v>
      </c>
      <c r="H1334" t="str">
        <f>NZ!CD64</f>
        <v>Vessel</v>
      </c>
      <c r="I1334">
        <f>NZ!CE64</f>
        <v>0</v>
      </c>
      <c r="J1334" t="str">
        <f>NZ!CF64</f>
        <v>Nozzle</v>
      </c>
      <c r="K1334" t="str">
        <f>NZ!CG64</f>
        <v>TZM-3"-</v>
      </c>
      <c r="L1334" t="str">
        <f>NZ!CH64</f>
        <v>NZ-AR-3</v>
      </c>
      <c r="M1334">
        <f>NZ!CI64</f>
        <v>0</v>
      </c>
      <c r="N1334">
        <f>NZ!CJ64</f>
        <v>0</v>
      </c>
      <c r="O1334">
        <f>NZ!CK64</f>
        <v>0</v>
      </c>
      <c r="P1334" s="143" t="str">
        <f>NZ!CL64</f>
        <v>New</v>
      </c>
      <c r="R1334">
        <f t="shared" si="20"/>
        <v>1333</v>
      </c>
    </row>
    <row r="1335" spans="5:18">
      <c r="E1335" s="147" t="s">
        <v>64</v>
      </c>
      <c r="F1335" t="str">
        <f>NZ!CB65</f>
        <v>HPS</v>
      </c>
      <c r="G1335" t="str">
        <f>NZ!CC65</f>
        <v>AC</v>
      </c>
      <c r="H1335" t="str">
        <f>NZ!CD65</f>
        <v>Vessel</v>
      </c>
      <c r="I1335">
        <f>NZ!CE65</f>
        <v>0</v>
      </c>
      <c r="J1335" t="str">
        <f>NZ!CF65</f>
        <v>Nozzle</v>
      </c>
      <c r="K1335" t="str">
        <f>NZ!CG65</f>
        <v>TZM-3"-</v>
      </c>
      <c r="L1335" t="str">
        <f>NZ!CH65</f>
        <v>NZ-AR-4</v>
      </c>
      <c r="M1335">
        <f>NZ!CI65</f>
        <v>0</v>
      </c>
      <c r="N1335">
        <f>NZ!CJ65</f>
        <v>0</v>
      </c>
      <c r="O1335">
        <f>NZ!CK65</f>
        <v>0</v>
      </c>
      <c r="P1335" s="143" t="str">
        <f>NZ!CL65</f>
        <v>New</v>
      </c>
      <c r="R1335">
        <f t="shared" si="20"/>
        <v>1334</v>
      </c>
    </row>
    <row r="1336" spans="5:18">
      <c r="E1336" s="147" t="s">
        <v>64</v>
      </c>
      <c r="F1336" t="str">
        <f>NZ!CB66</f>
        <v>HPS</v>
      </c>
      <c r="G1336" t="str">
        <f>NZ!CC66</f>
        <v>AC</v>
      </c>
      <c r="H1336" t="str">
        <f>NZ!CD66</f>
        <v>Vessel</v>
      </c>
      <c r="I1336">
        <f>NZ!CE66</f>
        <v>0</v>
      </c>
      <c r="J1336" t="str">
        <f>NZ!CF66</f>
        <v>Nozzle</v>
      </c>
      <c r="K1336" t="str">
        <f>NZ!CG66</f>
        <v>TZM-3"-</v>
      </c>
      <c r="L1336" t="str">
        <f>NZ!CH66</f>
        <v>NZ-AR-5</v>
      </c>
      <c r="M1336">
        <f>NZ!CI66</f>
        <v>0</v>
      </c>
      <c r="N1336">
        <f>NZ!CJ66</f>
        <v>0</v>
      </c>
      <c r="O1336">
        <f>NZ!CK66</f>
        <v>0</v>
      </c>
      <c r="P1336" s="143" t="str">
        <f>NZ!CL66</f>
        <v>New</v>
      </c>
      <c r="R1336">
        <f t="shared" si="20"/>
        <v>1335</v>
      </c>
    </row>
    <row r="1337" spans="5:18">
      <c r="E1337" s="147" t="s">
        <v>64</v>
      </c>
      <c r="F1337" t="str">
        <f>NZ!CB67</f>
        <v>HPS</v>
      </c>
      <c r="G1337" t="str">
        <f>NZ!CC67</f>
        <v>AC</v>
      </c>
      <c r="H1337" t="str">
        <f>NZ!CD67</f>
        <v>Vessel</v>
      </c>
      <c r="I1337">
        <f>NZ!CE67</f>
        <v>0</v>
      </c>
      <c r="J1337" t="str">
        <f>NZ!CF67</f>
        <v>Nozzle</v>
      </c>
      <c r="K1337" t="str">
        <f>NZ!CG67</f>
        <v>TZM-3"-</v>
      </c>
      <c r="L1337" t="str">
        <f>NZ!CH67</f>
        <v>NZ-AR-6</v>
      </c>
      <c r="M1337">
        <f>NZ!CI67</f>
        <v>0</v>
      </c>
      <c r="N1337">
        <f>NZ!CJ67</f>
        <v>0</v>
      </c>
      <c r="O1337">
        <f>NZ!CK67</f>
        <v>0</v>
      </c>
      <c r="P1337" s="143" t="str">
        <f>NZ!CL67</f>
        <v>New</v>
      </c>
      <c r="R1337">
        <f t="shared" si="20"/>
        <v>1336</v>
      </c>
    </row>
    <row r="1338" spans="5:18">
      <c r="E1338" s="147" t="s">
        <v>64</v>
      </c>
      <c r="F1338" t="str">
        <f>NZ!CB68</f>
        <v>HPS</v>
      </c>
      <c r="G1338" t="str">
        <f>NZ!CC68</f>
        <v>AC</v>
      </c>
      <c r="H1338" t="str">
        <f>NZ!CD68</f>
        <v>Vessel</v>
      </c>
      <c r="I1338">
        <f>NZ!CE68</f>
        <v>0</v>
      </c>
      <c r="J1338" t="str">
        <f>NZ!CF68</f>
        <v>Nozzle</v>
      </c>
      <c r="K1338" t="str">
        <f>NZ!CG68</f>
        <v>TZM-3"-</v>
      </c>
      <c r="L1338" t="str">
        <f>NZ!CH68</f>
        <v>NZ-AR-7</v>
      </c>
      <c r="M1338">
        <f>NZ!CI68</f>
        <v>0</v>
      </c>
      <c r="N1338">
        <f>NZ!CJ68</f>
        <v>0</v>
      </c>
      <c r="O1338">
        <f>NZ!CK68</f>
        <v>0</v>
      </c>
      <c r="P1338" s="143" t="str">
        <f>NZ!CL68</f>
        <v>New</v>
      </c>
      <c r="R1338">
        <f t="shared" si="20"/>
        <v>1337</v>
      </c>
    </row>
    <row r="1339" spans="5:18">
      <c r="E1339" s="147" t="s">
        <v>64</v>
      </c>
      <c r="F1339" t="str">
        <f>NZ!CB69</f>
        <v>HPS</v>
      </c>
      <c r="G1339" t="str">
        <f>NZ!CC69</f>
        <v>AC</v>
      </c>
      <c r="H1339" t="str">
        <f>NZ!CD69</f>
        <v>Vessel</v>
      </c>
      <c r="I1339">
        <f>NZ!CE69</f>
        <v>0</v>
      </c>
      <c r="J1339" t="str">
        <f>NZ!CF69</f>
        <v>Nozzle</v>
      </c>
      <c r="K1339" t="str">
        <f>NZ!CG69</f>
        <v>TZM-3"-</v>
      </c>
      <c r="L1339" t="str">
        <f>NZ!CH69</f>
        <v>NZ-AR-8</v>
      </c>
      <c r="M1339">
        <f>NZ!CI69</f>
        <v>0</v>
      </c>
      <c r="N1339">
        <f>NZ!CJ69</f>
        <v>0</v>
      </c>
      <c r="O1339">
        <f>NZ!CK69</f>
        <v>0</v>
      </c>
      <c r="P1339" s="143" t="str">
        <f>NZ!CL69</f>
        <v>New</v>
      </c>
      <c r="R1339">
        <f t="shared" si="20"/>
        <v>1338</v>
      </c>
    </row>
    <row r="1340" spans="5:18">
      <c r="E1340" s="147" t="s">
        <v>64</v>
      </c>
      <c r="F1340" t="str">
        <f>NZ!CB70</f>
        <v>HPS</v>
      </c>
      <c r="G1340" t="str">
        <f>NZ!CC70</f>
        <v>AC</v>
      </c>
      <c r="H1340" t="str">
        <f>NZ!CD70</f>
        <v>Vessel</v>
      </c>
      <c r="I1340">
        <f>NZ!CE70</f>
        <v>0</v>
      </c>
      <c r="J1340" t="str">
        <f>NZ!CF70</f>
        <v>Nozzle</v>
      </c>
      <c r="K1340" t="str">
        <f>NZ!CG70</f>
        <v>TZM-3"-</v>
      </c>
      <c r="L1340" t="str">
        <f>NZ!CH70</f>
        <v>NZ-AR-9</v>
      </c>
      <c r="M1340">
        <f>NZ!CI70</f>
        <v>0</v>
      </c>
      <c r="N1340">
        <f>NZ!CJ70</f>
        <v>0</v>
      </c>
      <c r="O1340">
        <f>NZ!CK70</f>
        <v>0</v>
      </c>
      <c r="P1340" s="143" t="str">
        <f>NZ!CL70</f>
        <v>New</v>
      </c>
      <c r="R1340">
        <f t="shared" si="20"/>
        <v>1339</v>
      </c>
    </row>
    <row r="1341" spans="5:18">
      <c r="E1341" s="147" t="s">
        <v>64</v>
      </c>
      <c r="F1341" t="str">
        <f>NZ!CB71</f>
        <v>HPS</v>
      </c>
      <c r="G1341" t="str">
        <f>NZ!CC71</f>
        <v>AC</v>
      </c>
      <c r="H1341" t="str">
        <f>NZ!CD71</f>
        <v>Vessel</v>
      </c>
      <c r="I1341">
        <f>NZ!CE71</f>
        <v>0</v>
      </c>
      <c r="J1341" t="str">
        <f>NZ!CF71</f>
        <v>Nozzle</v>
      </c>
      <c r="K1341" t="str">
        <f>NZ!CG71</f>
        <v>TZM-3"-</v>
      </c>
      <c r="L1341" t="str">
        <f>NZ!CH71</f>
        <v>NZ-AR-10</v>
      </c>
      <c r="M1341">
        <f>NZ!CI71</f>
        <v>0</v>
      </c>
      <c r="N1341">
        <f>NZ!CJ71</f>
        <v>0</v>
      </c>
      <c r="O1341">
        <f>NZ!CK71</f>
        <v>0</v>
      </c>
      <c r="P1341" s="143" t="str">
        <f>NZ!CL71</f>
        <v>New</v>
      </c>
      <c r="R1341">
        <f t="shared" si="20"/>
        <v>1340</v>
      </c>
    </row>
    <row r="1342" spans="5:18">
      <c r="E1342" s="147" t="s">
        <v>64</v>
      </c>
      <c r="F1342" t="str">
        <f>NZ!CB72</f>
        <v>HPS</v>
      </c>
      <c r="G1342" t="str">
        <f>NZ!CC72</f>
        <v>AC</v>
      </c>
      <c r="H1342" t="str">
        <f>NZ!CD72</f>
        <v>Vessel</v>
      </c>
      <c r="I1342">
        <f>NZ!CE72</f>
        <v>0</v>
      </c>
      <c r="J1342">
        <f>NZ!CF72</f>
        <v>0</v>
      </c>
      <c r="K1342" t="str">
        <f>NZ!CG72</f>
        <v>-</v>
      </c>
      <c r="L1342" t="str">
        <f>NZ!CH72</f>
        <v>NZ-AQ-</v>
      </c>
      <c r="M1342">
        <f>NZ!CI72</f>
        <v>0</v>
      </c>
      <c r="N1342">
        <f>NZ!CJ72</f>
        <v>0</v>
      </c>
      <c r="O1342">
        <f>NZ!CK72</f>
        <v>0</v>
      </c>
      <c r="P1342" s="143" t="str">
        <f>NZ!CL72</f>
        <v/>
      </c>
      <c r="R1342">
        <f t="shared" si="20"/>
        <v>1341</v>
      </c>
    </row>
    <row r="1343" spans="5:18">
      <c r="E1343" s="147" t="s">
        <v>64</v>
      </c>
      <c r="F1343" t="str">
        <f>NZ!CB73</f>
        <v>HPS</v>
      </c>
      <c r="G1343" t="str">
        <f>NZ!CC73</f>
        <v>AC</v>
      </c>
      <c r="H1343" t="str">
        <f>NZ!CD73</f>
        <v>Vessel</v>
      </c>
      <c r="I1343">
        <f>NZ!CE73</f>
        <v>0</v>
      </c>
      <c r="J1343" t="str">
        <f>NZ!CF73</f>
        <v>Nozzle</v>
      </c>
      <c r="K1343" t="str">
        <f>NZ!CG73</f>
        <v>-</v>
      </c>
      <c r="L1343" t="str">
        <f>NZ!CH73</f>
        <v>NZ-TN</v>
      </c>
      <c r="M1343">
        <f>NZ!CI73</f>
        <v>0</v>
      </c>
      <c r="N1343">
        <f>NZ!CJ73</f>
        <v>0</v>
      </c>
      <c r="O1343">
        <f>NZ!CK73</f>
        <v>0</v>
      </c>
      <c r="P1343" s="143" t="str">
        <f>NZ!CL73</f>
        <v>New</v>
      </c>
      <c r="R1343">
        <f t="shared" si="20"/>
        <v>1342</v>
      </c>
    </row>
    <row r="1344" spans="5:18">
      <c r="E1344" s="147" t="s">
        <v>64</v>
      </c>
      <c r="F1344" t="str">
        <f>NZ!CB74</f>
        <v>HPS</v>
      </c>
      <c r="G1344" t="str">
        <f>NZ!CC74</f>
        <v>AC</v>
      </c>
      <c r="H1344" t="str">
        <f>NZ!CD74</f>
        <v>Vessel</v>
      </c>
      <c r="I1344">
        <f>NZ!CE74</f>
        <v>0</v>
      </c>
      <c r="J1344" t="str">
        <f>NZ!CF74</f>
        <v>Nozzle</v>
      </c>
      <c r="K1344" t="str">
        <f>NZ!CG74</f>
        <v>-</v>
      </c>
      <c r="L1344" t="str">
        <f>NZ!CH74</f>
        <v>NZ-TO</v>
      </c>
      <c r="M1344">
        <f>NZ!CI74</f>
        <v>0</v>
      </c>
      <c r="N1344">
        <f>NZ!CJ74</f>
        <v>0</v>
      </c>
      <c r="O1344">
        <f>NZ!CK74</f>
        <v>0</v>
      </c>
      <c r="P1344" s="143" t="str">
        <f>NZ!CL74</f>
        <v>New</v>
      </c>
      <c r="R1344">
        <f t="shared" si="20"/>
        <v>1343</v>
      </c>
    </row>
    <row r="1345" spans="5:18">
      <c r="E1345" s="147" t="s">
        <v>64</v>
      </c>
      <c r="F1345" t="str">
        <f>NZ!CB75</f>
        <v>HPS</v>
      </c>
      <c r="G1345" t="str">
        <f>NZ!CC75</f>
        <v>AC</v>
      </c>
      <c r="H1345" t="str">
        <f>NZ!CD75</f>
        <v>Vessel</v>
      </c>
      <c r="I1345">
        <f>NZ!CE75</f>
        <v>0</v>
      </c>
      <c r="J1345" t="str">
        <f>NZ!CF75</f>
        <v>Nozzle</v>
      </c>
      <c r="K1345" t="str">
        <f>NZ!CG75</f>
        <v>-</v>
      </c>
      <c r="L1345" t="str">
        <f>NZ!CH75</f>
        <v>NZ-TP</v>
      </c>
      <c r="M1345">
        <f>NZ!CI75</f>
        <v>0</v>
      </c>
      <c r="N1345">
        <f>NZ!CJ75</f>
        <v>0</v>
      </c>
      <c r="O1345">
        <f>NZ!CK75</f>
        <v>0</v>
      </c>
      <c r="P1345" s="143" t="str">
        <f>NZ!CL75</f>
        <v>New</v>
      </c>
      <c r="R1345">
        <f t="shared" si="20"/>
        <v>1344</v>
      </c>
    </row>
    <row r="1346" spans="5:18">
      <c r="E1346" s="147" t="s">
        <v>64</v>
      </c>
      <c r="F1346" t="str">
        <f>NZ!CB76</f>
        <v>HPS</v>
      </c>
      <c r="G1346" t="str">
        <f>NZ!CC76</f>
        <v>AC</v>
      </c>
      <c r="H1346" t="str">
        <f>NZ!CD76</f>
        <v>Vessel</v>
      </c>
      <c r="I1346">
        <f>NZ!CE76</f>
        <v>0</v>
      </c>
      <c r="J1346" t="str">
        <f>NZ!CF76</f>
        <v>Nozzle</v>
      </c>
      <c r="K1346" t="str">
        <f>NZ!CG76</f>
        <v>-</v>
      </c>
      <c r="L1346" t="str">
        <f>NZ!CH76</f>
        <v>NZ-TQ</v>
      </c>
      <c r="M1346">
        <f>NZ!CI76</f>
        <v>0</v>
      </c>
      <c r="N1346">
        <f>NZ!CJ76</f>
        <v>0</v>
      </c>
      <c r="O1346">
        <f>NZ!CK76</f>
        <v>0</v>
      </c>
      <c r="P1346" s="143" t="str">
        <f>NZ!CL76</f>
        <v>New</v>
      </c>
      <c r="R1346">
        <f t="shared" si="20"/>
        <v>1345</v>
      </c>
    </row>
    <row r="1347" spans="5:18">
      <c r="E1347" s="147" t="s">
        <v>64</v>
      </c>
      <c r="F1347" t="str">
        <f>NZ!CB77</f>
        <v>HPS</v>
      </c>
      <c r="G1347" t="str">
        <f>NZ!CC77</f>
        <v>AC</v>
      </c>
      <c r="H1347" t="str">
        <f>NZ!CD77</f>
        <v>Vessel</v>
      </c>
      <c r="I1347">
        <f>NZ!CE77</f>
        <v>0</v>
      </c>
      <c r="J1347" t="str">
        <f>NZ!CF77</f>
        <v>Nozzle</v>
      </c>
      <c r="K1347" t="str">
        <f>NZ!CG77</f>
        <v>-</v>
      </c>
      <c r="L1347" t="str">
        <f>NZ!CH77</f>
        <v>NZ-TR</v>
      </c>
      <c r="M1347">
        <f>NZ!CI77</f>
        <v>0</v>
      </c>
      <c r="N1347">
        <f>NZ!CJ77</f>
        <v>0</v>
      </c>
      <c r="O1347">
        <f>NZ!CK77</f>
        <v>0</v>
      </c>
      <c r="P1347" s="143" t="str">
        <f>NZ!CL77</f>
        <v>New</v>
      </c>
      <c r="R1347">
        <f t="shared" si="20"/>
        <v>1346</v>
      </c>
    </row>
    <row r="1348" spans="5:18">
      <c r="E1348" s="147" t="s">
        <v>64</v>
      </c>
      <c r="F1348" t="str">
        <f>NZ!CB78</f>
        <v>HPS</v>
      </c>
      <c r="G1348" t="str">
        <f>NZ!CC78</f>
        <v>AC</v>
      </c>
      <c r="H1348" t="str">
        <f>NZ!CD78</f>
        <v>Vessel</v>
      </c>
      <c r="I1348">
        <f>NZ!CE78</f>
        <v>0</v>
      </c>
      <c r="J1348" t="str">
        <f>NZ!CF78</f>
        <v>Nozzle</v>
      </c>
      <c r="K1348" t="str">
        <f>NZ!CG78</f>
        <v>-</v>
      </c>
      <c r="L1348" t="str">
        <f>NZ!CH78</f>
        <v>NZ-TS</v>
      </c>
      <c r="M1348">
        <f>NZ!CI78</f>
        <v>0</v>
      </c>
      <c r="N1348">
        <f>NZ!CJ78</f>
        <v>0</v>
      </c>
      <c r="O1348">
        <f>NZ!CK78</f>
        <v>0</v>
      </c>
      <c r="P1348" s="143" t="str">
        <f>NZ!CL78</f>
        <v>New</v>
      </c>
      <c r="R1348">
        <f t="shared" ref="R1348:R1411" si="21">R1347+1</f>
        <v>1347</v>
      </c>
    </row>
    <row r="1349" spans="5:18">
      <c r="E1349" s="147" t="s">
        <v>64</v>
      </c>
      <c r="F1349" t="str">
        <f>NZ!CB79</f>
        <v>HPS</v>
      </c>
      <c r="G1349" t="str">
        <f>NZ!CC79</f>
        <v>AC</v>
      </c>
      <c r="H1349" t="str">
        <f>NZ!CD79</f>
        <v>Vessel</v>
      </c>
      <c r="I1349">
        <f>NZ!CE79</f>
        <v>0</v>
      </c>
      <c r="J1349" t="str">
        <f>NZ!CF79</f>
        <v>Nozzle</v>
      </c>
      <c r="K1349" t="str">
        <f>NZ!CG79</f>
        <v>-</v>
      </c>
      <c r="L1349" t="str">
        <f>NZ!CH79</f>
        <v>NZ-TT</v>
      </c>
      <c r="M1349">
        <f>NZ!CI79</f>
        <v>0</v>
      </c>
      <c r="N1349">
        <f>NZ!CJ79</f>
        <v>0</v>
      </c>
      <c r="O1349">
        <f>NZ!CK79</f>
        <v>0</v>
      </c>
      <c r="P1349" s="143" t="str">
        <f>NZ!CL79</f>
        <v>New</v>
      </c>
      <c r="R1349">
        <f t="shared" si="21"/>
        <v>1348</v>
      </c>
    </row>
    <row r="1350" spans="5:18">
      <c r="E1350" s="147" t="s">
        <v>64</v>
      </c>
      <c r="F1350" t="str">
        <f>NZ!CB80</f>
        <v>HPS</v>
      </c>
      <c r="G1350" t="str">
        <f>NZ!CC80</f>
        <v>AC</v>
      </c>
      <c r="H1350" t="str">
        <f>NZ!CD80</f>
        <v>Vessel</v>
      </c>
      <c r="I1350">
        <f>NZ!CE80</f>
        <v>0</v>
      </c>
      <c r="J1350" t="str">
        <f>NZ!CF80</f>
        <v>Nozzle</v>
      </c>
      <c r="K1350" t="str">
        <f>NZ!CG80</f>
        <v>-</v>
      </c>
      <c r="L1350" t="str">
        <f>NZ!CH80</f>
        <v>NZ-TU</v>
      </c>
      <c r="M1350">
        <f>NZ!CI80</f>
        <v>0</v>
      </c>
      <c r="N1350">
        <f>NZ!CJ80</f>
        <v>0</v>
      </c>
      <c r="O1350">
        <f>NZ!CK80</f>
        <v>0</v>
      </c>
      <c r="P1350" s="143" t="str">
        <f>NZ!CL80</f>
        <v>New</v>
      </c>
      <c r="R1350">
        <f t="shared" si="21"/>
        <v>1349</v>
      </c>
    </row>
    <row r="1351" spans="5:18">
      <c r="E1351" s="147" t="s">
        <v>64</v>
      </c>
      <c r="F1351" t="str">
        <f>NZ!CB81</f>
        <v>HPS</v>
      </c>
      <c r="G1351" t="str">
        <f>NZ!CC81</f>
        <v>AC</v>
      </c>
      <c r="H1351" t="str">
        <f>NZ!CD81</f>
        <v>Vessel</v>
      </c>
      <c r="I1351">
        <f>NZ!CE81</f>
        <v>0</v>
      </c>
      <c r="J1351" t="str">
        <f>NZ!CF81</f>
        <v>Nozzle</v>
      </c>
      <c r="K1351" t="str">
        <f>NZ!CG81</f>
        <v>-</v>
      </c>
      <c r="L1351" t="str">
        <f>NZ!CH81</f>
        <v>NZ-TV</v>
      </c>
      <c r="M1351">
        <f>NZ!CI81</f>
        <v>0</v>
      </c>
      <c r="N1351">
        <f>NZ!CJ81</f>
        <v>0</v>
      </c>
      <c r="O1351">
        <f>NZ!CK81</f>
        <v>0</v>
      </c>
      <c r="P1351" s="143" t="str">
        <f>NZ!CL81</f>
        <v>New</v>
      </c>
      <c r="R1351">
        <f t="shared" si="21"/>
        <v>1350</v>
      </c>
    </row>
    <row r="1352" spans="5:18">
      <c r="E1352" s="147" t="s">
        <v>64</v>
      </c>
      <c r="F1352" t="str">
        <f>NZ!CB82</f>
        <v>HPS</v>
      </c>
      <c r="G1352" t="str">
        <f>NZ!CC82</f>
        <v>AC</v>
      </c>
      <c r="H1352" t="str">
        <f>NZ!CD82</f>
        <v>Vessel</v>
      </c>
      <c r="I1352">
        <f>NZ!CE82</f>
        <v>0</v>
      </c>
      <c r="J1352" t="str">
        <f>NZ!CF82</f>
        <v>Nozzle</v>
      </c>
      <c r="K1352" t="str">
        <f>NZ!CG82</f>
        <v>-</v>
      </c>
      <c r="L1352" t="str">
        <f>NZ!CH82</f>
        <v>NZ-TW</v>
      </c>
      <c r="M1352">
        <f>NZ!CI82</f>
        <v>0</v>
      </c>
      <c r="N1352">
        <f>NZ!CJ82</f>
        <v>0</v>
      </c>
      <c r="O1352">
        <f>NZ!CK82</f>
        <v>0</v>
      </c>
      <c r="P1352" s="143" t="str">
        <f>NZ!CL82</f>
        <v>New</v>
      </c>
      <c r="R1352">
        <f t="shared" si="21"/>
        <v>1351</v>
      </c>
    </row>
    <row r="1353" spans="5:18">
      <c r="E1353" s="147" t="s">
        <v>64</v>
      </c>
      <c r="F1353" t="str">
        <f>NZ!CB83</f>
        <v>HPS</v>
      </c>
      <c r="G1353" t="str">
        <f>NZ!CC83</f>
        <v>AC</v>
      </c>
      <c r="H1353" t="str">
        <f>NZ!CD83</f>
        <v>Vessel</v>
      </c>
      <c r="I1353">
        <f>NZ!CE83</f>
        <v>0</v>
      </c>
      <c r="J1353" t="str">
        <f>NZ!CF83</f>
        <v>Nozzle</v>
      </c>
      <c r="K1353" t="str">
        <f>NZ!CG83</f>
        <v>-</v>
      </c>
      <c r="L1353" t="str">
        <f>NZ!CH83</f>
        <v>NZ-TX</v>
      </c>
      <c r="M1353">
        <f>NZ!CI83</f>
        <v>0</v>
      </c>
      <c r="N1353">
        <f>NZ!CJ83</f>
        <v>0</v>
      </c>
      <c r="O1353">
        <f>NZ!CK83</f>
        <v>0</v>
      </c>
      <c r="P1353" s="143" t="str">
        <f>NZ!CL83</f>
        <v>New</v>
      </c>
      <c r="R1353">
        <f t="shared" si="21"/>
        <v>1352</v>
      </c>
    </row>
    <row r="1354" spans="5:18">
      <c r="E1354" s="147" t="s">
        <v>64</v>
      </c>
      <c r="F1354" t="str">
        <f>NZ!CB84</f>
        <v>HPS</v>
      </c>
      <c r="G1354" t="str">
        <f>NZ!CC84</f>
        <v>AC</v>
      </c>
      <c r="H1354" t="str">
        <f>NZ!CD84</f>
        <v>Vessel</v>
      </c>
      <c r="I1354">
        <f>NZ!CE84</f>
        <v>0</v>
      </c>
      <c r="J1354" t="str">
        <f>NZ!CF84</f>
        <v>Nozzle</v>
      </c>
      <c r="K1354" t="str">
        <f>NZ!CG84</f>
        <v>-</v>
      </c>
      <c r="L1354" t="str">
        <f>NZ!CH84</f>
        <v>NZ-TY</v>
      </c>
      <c r="M1354">
        <f>NZ!CI84</f>
        <v>0</v>
      </c>
      <c r="N1354">
        <f>NZ!CJ84</f>
        <v>0</v>
      </c>
      <c r="O1354">
        <f>NZ!CK84</f>
        <v>0</v>
      </c>
      <c r="P1354" s="143" t="str">
        <f>NZ!CL84</f>
        <v>New</v>
      </c>
      <c r="R1354">
        <f t="shared" si="21"/>
        <v>1353</v>
      </c>
    </row>
    <row r="1355" spans="5:18">
      <c r="E1355" s="147" t="s">
        <v>64</v>
      </c>
      <c r="F1355" t="str">
        <f>NZ!CB85</f>
        <v>HPS</v>
      </c>
      <c r="G1355" t="str">
        <f>NZ!CC85</f>
        <v>AC</v>
      </c>
      <c r="H1355" t="str">
        <f>NZ!CD85</f>
        <v>Vessel</v>
      </c>
      <c r="I1355">
        <f>NZ!CE85</f>
        <v>0</v>
      </c>
      <c r="J1355" t="str">
        <f>NZ!CF85</f>
        <v>Nozzle</v>
      </c>
      <c r="K1355" t="str">
        <f>NZ!CG85</f>
        <v>TZM-3.5"-TZM B387-19, Type 364</v>
      </c>
      <c r="L1355" t="str">
        <f>NZ!CH85</f>
        <v>NZ-AV</v>
      </c>
      <c r="M1355">
        <f>NZ!CI85</f>
        <v>0</v>
      </c>
      <c r="N1355">
        <f>NZ!CJ85</f>
        <v>0</v>
      </c>
      <c r="O1355">
        <f>NZ!CK85</f>
        <v>0</v>
      </c>
      <c r="P1355" s="143" t="str">
        <f>NZ!CL85</f>
        <v>New</v>
      </c>
      <c r="R1355">
        <f t="shared" si="21"/>
        <v>1354</v>
      </c>
    </row>
    <row r="1356" spans="5:18">
      <c r="E1356" s="147" t="s">
        <v>64</v>
      </c>
      <c r="F1356" t="str">
        <f>NZ!CB86</f>
        <v>HPS</v>
      </c>
      <c r="G1356" t="str">
        <f>NZ!CC86</f>
        <v>AC</v>
      </c>
      <c r="H1356" t="str">
        <f>NZ!CD86</f>
        <v>Vessel</v>
      </c>
      <c r="I1356">
        <f>NZ!CE86</f>
        <v>0</v>
      </c>
      <c r="J1356">
        <f>NZ!CF86</f>
        <v>0</v>
      </c>
      <c r="K1356" t="str">
        <f>NZ!CG86</f>
        <v/>
      </c>
      <c r="L1356" t="str">
        <f>NZ!CH86</f>
        <v/>
      </c>
      <c r="M1356">
        <f>NZ!CI86</f>
        <v>0</v>
      </c>
      <c r="N1356">
        <f>NZ!CJ86</f>
        <v>0</v>
      </c>
      <c r="O1356">
        <f>NZ!CK86</f>
        <v>0</v>
      </c>
      <c r="P1356" s="143" t="str">
        <f>NZ!CL86</f>
        <v/>
      </c>
      <c r="R1356">
        <f t="shared" si="21"/>
        <v>1355</v>
      </c>
    </row>
    <row r="1357" spans="5:18">
      <c r="E1357" s="147" t="s">
        <v>64</v>
      </c>
      <c r="F1357" t="str">
        <f>NZ!CB87</f>
        <v>HPS</v>
      </c>
      <c r="G1357" t="str">
        <f>NZ!CC87</f>
        <v>AC</v>
      </c>
      <c r="H1357" t="str">
        <f>NZ!CD87</f>
        <v>Vessel</v>
      </c>
      <c r="I1357">
        <f>NZ!CE87</f>
        <v>0</v>
      </c>
      <c r="J1357">
        <f>NZ!CF87</f>
        <v>0</v>
      </c>
      <c r="K1357" t="str">
        <f>NZ!CG87</f>
        <v/>
      </c>
      <c r="L1357" t="str">
        <f>NZ!CH87</f>
        <v/>
      </c>
      <c r="M1357">
        <f>NZ!CI87</f>
        <v>0</v>
      </c>
      <c r="N1357">
        <f>NZ!CJ87</f>
        <v>0</v>
      </c>
      <c r="O1357">
        <f>NZ!CK87</f>
        <v>0</v>
      </c>
      <c r="P1357" s="143" t="str">
        <f>NZ!CL87</f>
        <v/>
      </c>
      <c r="R1357">
        <f t="shared" si="21"/>
        <v>1356</v>
      </c>
    </row>
    <row r="1358" spans="5:18">
      <c r="E1358" s="147" t="s">
        <v>64</v>
      </c>
      <c r="F1358" t="str">
        <f>NZ!CB88</f>
        <v>HPS</v>
      </c>
      <c r="G1358" t="str">
        <f>NZ!CC88</f>
        <v>AC</v>
      </c>
      <c r="H1358" t="str">
        <f>NZ!CD88</f>
        <v>Vessel</v>
      </c>
      <c r="I1358">
        <f>NZ!CE88</f>
        <v>0</v>
      </c>
      <c r="J1358">
        <f>NZ!CF88</f>
        <v>0</v>
      </c>
      <c r="K1358" t="str">
        <f>NZ!CG88</f>
        <v/>
      </c>
      <c r="L1358" t="str">
        <f>NZ!CH88</f>
        <v/>
      </c>
      <c r="M1358">
        <f>NZ!CI88</f>
        <v>0</v>
      </c>
      <c r="N1358">
        <f>NZ!CJ88</f>
        <v>0</v>
      </c>
      <c r="O1358">
        <f>NZ!CK88</f>
        <v>0</v>
      </c>
      <c r="P1358" s="143" t="str">
        <f>NZ!CL88</f>
        <v/>
      </c>
      <c r="R1358">
        <f t="shared" si="21"/>
        <v>1357</v>
      </c>
    </row>
    <row r="1359" spans="5:18">
      <c r="E1359" s="147" t="s">
        <v>64</v>
      </c>
      <c r="F1359" t="str">
        <f>NZ!CB89</f>
        <v>HPS</v>
      </c>
      <c r="G1359" t="str">
        <f>NZ!CC89</f>
        <v>AC</v>
      </c>
      <c r="H1359" t="str">
        <f>NZ!CD89</f>
        <v>Vessel</v>
      </c>
      <c r="I1359">
        <f>NZ!CE89</f>
        <v>0</v>
      </c>
      <c r="J1359">
        <f>NZ!CF89</f>
        <v>0</v>
      </c>
      <c r="K1359" t="str">
        <f>NZ!CG89</f>
        <v/>
      </c>
      <c r="L1359" t="str">
        <f>NZ!CH89</f>
        <v/>
      </c>
      <c r="M1359">
        <f>NZ!CI89</f>
        <v>0</v>
      </c>
      <c r="N1359">
        <f>NZ!CJ89</f>
        <v>0</v>
      </c>
      <c r="O1359">
        <f>NZ!CK89</f>
        <v>0</v>
      </c>
      <c r="P1359" s="143" t="str">
        <f>NZ!CL89</f>
        <v/>
      </c>
      <c r="R1359">
        <f t="shared" si="21"/>
        <v>1358</v>
      </c>
    </row>
    <row r="1360" spans="5:18">
      <c r="E1360" s="147" t="s">
        <v>64</v>
      </c>
      <c r="F1360" t="str">
        <f>NZ!CB90</f>
        <v>HPS</v>
      </c>
      <c r="G1360" t="str">
        <f>NZ!CC90</f>
        <v>AC</v>
      </c>
      <c r="H1360" t="str">
        <f>NZ!CD90</f>
        <v>Vessel</v>
      </c>
      <c r="I1360">
        <f>NZ!CE90</f>
        <v>0</v>
      </c>
      <c r="J1360">
        <f>NZ!CF90</f>
        <v>0</v>
      </c>
      <c r="K1360" t="str">
        <f>NZ!CG90</f>
        <v/>
      </c>
      <c r="L1360" t="str">
        <f>NZ!CH90</f>
        <v/>
      </c>
      <c r="M1360">
        <f>NZ!CI90</f>
        <v>0</v>
      </c>
      <c r="N1360">
        <f>NZ!CJ90</f>
        <v>0</v>
      </c>
      <c r="O1360">
        <f>NZ!CK90</f>
        <v>0</v>
      </c>
      <c r="P1360" s="143" t="str">
        <f>NZ!CL90</f>
        <v/>
      </c>
      <c r="R1360">
        <f t="shared" si="21"/>
        <v>1359</v>
      </c>
    </row>
    <row r="1361" spans="5:18">
      <c r="E1361" s="147" t="s">
        <v>64</v>
      </c>
      <c r="F1361" t="str">
        <f>NZ!CB91</f>
        <v>HPS</v>
      </c>
      <c r="G1361" t="str">
        <f>NZ!CC91</f>
        <v>AC</v>
      </c>
      <c r="H1361" t="str">
        <f>NZ!CD91</f>
        <v>Vessel</v>
      </c>
      <c r="I1361">
        <f>NZ!CE91</f>
        <v>0</v>
      </c>
      <c r="J1361">
        <f>NZ!CF91</f>
        <v>0</v>
      </c>
      <c r="K1361" t="str">
        <f>NZ!CG91</f>
        <v/>
      </c>
      <c r="L1361" t="str">
        <f>NZ!CH91</f>
        <v/>
      </c>
      <c r="M1361">
        <f>NZ!CI91</f>
        <v>0</v>
      </c>
      <c r="N1361">
        <f>NZ!CJ91</f>
        <v>0</v>
      </c>
      <c r="O1361">
        <f>NZ!CK91</f>
        <v>0</v>
      </c>
      <c r="P1361" s="143" t="str">
        <f>NZ!CL91</f>
        <v/>
      </c>
      <c r="R1361">
        <f t="shared" si="21"/>
        <v>1360</v>
      </c>
    </row>
    <row r="1362" spans="5:18">
      <c r="E1362" s="147" t="s">
        <v>64</v>
      </c>
      <c r="F1362" t="str">
        <f>NZ!CB92</f>
        <v>HPS</v>
      </c>
      <c r="G1362" t="str">
        <f>NZ!CC92</f>
        <v>AC</v>
      </c>
      <c r="H1362" t="str">
        <f>NZ!CD92</f>
        <v>Vessel</v>
      </c>
      <c r="I1362">
        <f>NZ!CE92</f>
        <v>0</v>
      </c>
      <c r="J1362">
        <f>NZ!CF92</f>
        <v>0</v>
      </c>
      <c r="K1362" t="str">
        <f>NZ!CG92</f>
        <v/>
      </c>
      <c r="L1362" t="str">
        <f>NZ!CH92</f>
        <v/>
      </c>
      <c r="M1362">
        <f>NZ!CI92</f>
        <v>0</v>
      </c>
      <c r="N1362">
        <f>NZ!CJ92</f>
        <v>0</v>
      </c>
      <c r="O1362">
        <f>NZ!CK92</f>
        <v>0</v>
      </c>
      <c r="P1362" s="143" t="str">
        <f>NZ!CL92</f>
        <v/>
      </c>
      <c r="R1362">
        <f t="shared" si="21"/>
        <v>1361</v>
      </c>
    </row>
    <row r="1363" spans="5:18">
      <c r="E1363" s="147" t="s">
        <v>64</v>
      </c>
      <c r="F1363" t="str">
        <f>NZ!CB93</f>
        <v>HPS</v>
      </c>
      <c r="G1363" t="str">
        <f>NZ!CC93</f>
        <v>AC</v>
      </c>
      <c r="H1363" t="str">
        <f>NZ!CD93</f>
        <v>Vessel</v>
      </c>
      <c r="I1363">
        <f>NZ!CE93</f>
        <v>0</v>
      </c>
      <c r="J1363">
        <f>NZ!CF93</f>
        <v>0</v>
      </c>
      <c r="K1363" t="str">
        <f>NZ!CG93</f>
        <v/>
      </c>
      <c r="L1363" t="str">
        <f>NZ!CH93</f>
        <v/>
      </c>
      <c r="M1363">
        <f>NZ!CI93</f>
        <v>0</v>
      </c>
      <c r="N1363">
        <f>NZ!CJ93</f>
        <v>0</v>
      </c>
      <c r="O1363">
        <f>NZ!CK93</f>
        <v>0</v>
      </c>
      <c r="P1363" s="143" t="str">
        <f>NZ!CL93</f>
        <v/>
      </c>
      <c r="R1363">
        <f t="shared" si="21"/>
        <v>1362</v>
      </c>
    </row>
    <row r="1364" spans="5:18">
      <c r="E1364" s="147" t="s">
        <v>64</v>
      </c>
      <c r="F1364" t="str">
        <f>NZ!CB94</f>
        <v>HPS</v>
      </c>
      <c r="G1364" t="str">
        <f>NZ!CC94</f>
        <v>AC</v>
      </c>
      <c r="H1364" t="str">
        <f>NZ!CD94</f>
        <v>Vessel</v>
      </c>
      <c r="I1364">
        <f>NZ!CE94</f>
        <v>0</v>
      </c>
      <c r="J1364">
        <f>NZ!CF94</f>
        <v>0</v>
      </c>
      <c r="K1364" t="str">
        <f>NZ!CG94</f>
        <v/>
      </c>
      <c r="L1364" t="str">
        <f>NZ!CH94</f>
        <v/>
      </c>
      <c r="M1364">
        <f>NZ!CI94</f>
        <v>0</v>
      </c>
      <c r="N1364">
        <f>NZ!CJ94</f>
        <v>0</v>
      </c>
      <c r="O1364">
        <f>NZ!CK94</f>
        <v>0</v>
      </c>
      <c r="P1364" s="143" t="str">
        <f>NZ!CL94</f>
        <v/>
      </c>
      <c r="R1364">
        <f t="shared" si="21"/>
        <v>1363</v>
      </c>
    </row>
    <row r="1365" spans="5:18">
      <c r="E1365" s="147" t="s">
        <v>64</v>
      </c>
      <c r="F1365" t="str">
        <f>NZ!CB95</f>
        <v>HPS</v>
      </c>
      <c r="G1365" t="str">
        <f>NZ!CC95</f>
        <v>AC</v>
      </c>
      <c r="H1365" t="str">
        <f>NZ!CD95</f>
        <v>Vessel</v>
      </c>
      <c r="I1365">
        <f>NZ!CE95</f>
        <v>0</v>
      </c>
      <c r="J1365">
        <f>NZ!CF95</f>
        <v>0</v>
      </c>
      <c r="K1365" t="str">
        <f>NZ!CG95</f>
        <v/>
      </c>
      <c r="L1365" t="str">
        <f>NZ!CH95</f>
        <v/>
      </c>
      <c r="M1365">
        <f>NZ!CI95</f>
        <v>0</v>
      </c>
      <c r="N1365">
        <f>NZ!CJ95</f>
        <v>0</v>
      </c>
      <c r="O1365">
        <f>NZ!CK95</f>
        <v>0</v>
      </c>
      <c r="P1365" s="143" t="str">
        <f>NZ!CL95</f>
        <v/>
      </c>
      <c r="R1365">
        <f t="shared" si="21"/>
        <v>1364</v>
      </c>
    </row>
    <row r="1366" spans="5:18">
      <c r="E1366" s="147" t="s">
        <v>64</v>
      </c>
      <c r="F1366" t="str">
        <f>NZ!CB96</f>
        <v>HPS</v>
      </c>
      <c r="G1366" t="str">
        <f>NZ!CC96</f>
        <v>AC</v>
      </c>
      <c r="H1366" t="str">
        <f>NZ!CD96</f>
        <v>Vessel</v>
      </c>
      <c r="I1366">
        <f>NZ!CE96</f>
        <v>0</v>
      </c>
      <c r="J1366">
        <f>NZ!CF96</f>
        <v>0</v>
      </c>
      <c r="K1366" t="str">
        <f>NZ!CG96</f>
        <v/>
      </c>
      <c r="L1366" t="str">
        <f>NZ!CH96</f>
        <v/>
      </c>
      <c r="M1366">
        <f>NZ!CI96</f>
        <v>0</v>
      </c>
      <c r="N1366">
        <f>NZ!CJ96</f>
        <v>0</v>
      </c>
      <c r="O1366">
        <f>NZ!CK96</f>
        <v>0</v>
      </c>
      <c r="P1366" s="143" t="str">
        <f>NZ!CL96</f>
        <v/>
      </c>
      <c r="R1366">
        <f t="shared" si="21"/>
        <v>1365</v>
      </c>
    </row>
    <row r="1367" spans="5:18">
      <c r="E1367" s="147" t="s">
        <v>64</v>
      </c>
      <c r="F1367" t="str">
        <f>NZ!CB97</f>
        <v>HPS</v>
      </c>
      <c r="G1367" t="str">
        <f>NZ!CC97</f>
        <v>AC</v>
      </c>
      <c r="H1367" t="str">
        <f>NZ!CD97</f>
        <v>Vessel</v>
      </c>
      <c r="I1367">
        <f>NZ!CE97</f>
        <v>0</v>
      </c>
      <c r="J1367">
        <f>NZ!CF97</f>
        <v>0</v>
      </c>
      <c r="K1367" t="str">
        <f>NZ!CG97</f>
        <v/>
      </c>
      <c r="L1367" t="str">
        <f>NZ!CH97</f>
        <v/>
      </c>
      <c r="M1367">
        <f>NZ!CI97</f>
        <v>0</v>
      </c>
      <c r="N1367">
        <f>NZ!CJ97</f>
        <v>0</v>
      </c>
      <c r="O1367">
        <f>NZ!CK97</f>
        <v>0</v>
      </c>
      <c r="P1367" s="143" t="str">
        <f>NZ!CL97</f>
        <v/>
      </c>
      <c r="R1367">
        <f t="shared" si="21"/>
        <v>1366</v>
      </c>
    </row>
    <row r="1368" spans="5:18">
      <c r="E1368" s="147" t="s">
        <v>64</v>
      </c>
      <c r="F1368" t="str">
        <f>NZ!CB98</f>
        <v>HPS</v>
      </c>
      <c r="G1368" t="str">
        <f>NZ!CC98</f>
        <v>AC</v>
      </c>
      <c r="H1368" t="str">
        <f>NZ!CD98</f>
        <v>Vessel</v>
      </c>
      <c r="I1368">
        <f>NZ!CE98</f>
        <v>0</v>
      </c>
      <c r="J1368">
        <f>NZ!CF98</f>
        <v>0</v>
      </c>
      <c r="K1368" t="str">
        <f>NZ!CG98</f>
        <v/>
      </c>
      <c r="L1368" t="str">
        <f>NZ!CH98</f>
        <v/>
      </c>
      <c r="M1368">
        <f>NZ!CI98</f>
        <v>0</v>
      </c>
      <c r="N1368">
        <f>NZ!CJ98</f>
        <v>0</v>
      </c>
      <c r="O1368">
        <f>NZ!CK98</f>
        <v>0</v>
      </c>
      <c r="P1368" s="143" t="str">
        <f>NZ!CL98</f>
        <v/>
      </c>
      <c r="R1368">
        <f t="shared" si="21"/>
        <v>1367</v>
      </c>
    </row>
    <row r="1369" spans="5:18">
      <c r="E1369" s="147" t="s">
        <v>64</v>
      </c>
      <c r="F1369" t="str">
        <f>NZ!CB99</f>
        <v>HPS</v>
      </c>
      <c r="G1369" t="str">
        <f>NZ!CC99</f>
        <v>AC</v>
      </c>
      <c r="H1369" t="str">
        <f>NZ!CD99</f>
        <v>Vessel</v>
      </c>
      <c r="I1369">
        <f>NZ!CE99</f>
        <v>0</v>
      </c>
      <c r="J1369">
        <f>NZ!CF99</f>
        <v>0</v>
      </c>
      <c r="K1369" t="str">
        <f>NZ!CG99</f>
        <v/>
      </c>
      <c r="L1369" t="str">
        <f>NZ!CH99</f>
        <v/>
      </c>
      <c r="M1369">
        <f>NZ!CI99</f>
        <v>0</v>
      </c>
      <c r="N1369">
        <f>NZ!CJ99</f>
        <v>0</v>
      </c>
      <c r="O1369">
        <f>NZ!CK99</f>
        <v>0</v>
      </c>
      <c r="P1369" s="143" t="str">
        <f>NZ!CL99</f>
        <v/>
      </c>
      <c r="R1369">
        <f t="shared" si="21"/>
        <v>1368</v>
      </c>
    </row>
    <row r="1370" spans="5:18">
      <c r="E1370" s="147" t="s">
        <v>64</v>
      </c>
      <c r="F1370" t="str">
        <f>NZ!CB100</f>
        <v>HPS</v>
      </c>
      <c r="G1370" t="str">
        <f>NZ!CC100</f>
        <v>AC</v>
      </c>
      <c r="H1370" t="str">
        <f>NZ!CD100</f>
        <v>Vessel</v>
      </c>
      <c r="I1370">
        <f>NZ!CE100</f>
        <v>0</v>
      </c>
      <c r="J1370">
        <f>NZ!CF100</f>
        <v>0</v>
      </c>
      <c r="K1370" t="str">
        <f>NZ!CG100</f>
        <v/>
      </c>
      <c r="L1370" t="str">
        <f>NZ!CH100</f>
        <v/>
      </c>
      <c r="M1370">
        <f>NZ!CI100</f>
        <v>0</v>
      </c>
      <c r="N1370">
        <f>NZ!CJ100</f>
        <v>0</v>
      </c>
      <c r="O1370">
        <f>NZ!CK100</f>
        <v>0</v>
      </c>
      <c r="P1370" s="143" t="str">
        <f>NZ!CL100</f>
        <v/>
      </c>
      <c r="R1370">
        <f t="shared" si="21"/>
        <v>1369</v>
      </c>
    </row>
    <row r="1371" spans="5:18">
      <c r="E1371" s="147" t="s">
        <v>64</v>
      </c>
      <c r="F1371" t="str">
        <f>NZ!CB101</f>
        <v>HPS</v>
      </c>
      <c r="G1371" t="str">
        <f>NZ!CC101</f>
        <v>AC</v>
      </c>
      <c r="H1371" t="str">
        <f>NZ!CD101</f>
        <v>Vessel</v>
      </c>
      <c r="I1371">
        <f>NZ!CE101</f>
        <v>0</v>
      </c>
      <c r="J1371">
        <f>NZ!CF101</f>
        <v>0</v>
      </c>
      <c r="K1371" t="str">
        <f>NZ!CG101</f>
        <v/>
      </c>
      <c r="L1371" t="str">
        <f>NZ!CH101</f>
        <v/>
      </c>
      <c r="M1371">
        <f>NZ!CI101</f>
        <v>0</v>
      </c>
      <c r="N1371">
        <f>NZ!CJ101</f>
        <v>0</v>
      </c>
      <c r="O1371">
        <f>NZ!CK101</f>
        <v>0</v>
      </c>
      <c r="P1371" s="143" t="str">
        <f>NZ!CL101</f>
        <v/>
      </c>
      <c r="R1371">
        <f t="shared" si="21"/>
        <v>1370</v>
      </c>
    </row>
    <row r="1372" spans="5:18">
      <c r="E1372" s="147" t="s">
        <v>64</v>
      </c>
      <c r="F1372" t="str">
        <f>NZ!CB102</f>
        <v>HPS</v>
      </c>
      <c r="G1372" t="str">
        <f>NZ!CC102</f>
        <v>AC</v>
      </c>
      <c r="H1372" t="str">
        <f>NZ!CD102</f>
        <v>Vessel</v>
      </c>
      <c r="I1372">
        <f>NZ!CE102</f>
        <v>0</v>
      </c>
      <c r="J1372">
        <f>NZ!CF102</f>
        <v>0</v>
      </c>
      <c r="K1372" t="str">
        <f>NZ!CG102</f>
        <v/>
      </c>
      <c r="L1372" t="str">
        <f>NZ!CH102</f>
        <v/>
      </c>
      <c r="M1372">
        <f>NZ!CI102</f>
        <v>0</v>
      </c>
      <c r="N1372">
        <f>NZ!CJ102</f>
        <v>0</v>
      </c>
      <c r="O1372">
        <f>NZ!CK102</f>
        <v>0</v>
      </c>
      <c r="P1372" s="143" t="str">
        <f>NZ!CL102</f>
        <v/>
      </c>
      <c r="R1372">
        <f t="shared" si="21"/>
        <v>1371</v>
      </c>
    </row>
    <row r="1373" spans="5:18">
      <c r="E1373" s="147" t="s">
        <v>64</v>
      </c>
      <c r="F1373" t="str">
        <f>NZ!CB103</f>
        <v>HPS</v>
      </c>
      <c r="G1373" t="str">
        <f>NZ!CC103</f>
        <v>AC</v>
      </c>
      <c r="H1373" t="str">
        <f>NZ!CD103</f>
        <v>Vessel</v>
      </c>
      <c r="I1373">
        <f>NZ!CE103</f>
        <v>0</v>
      </c>
      <c r="J1373">
        <f>NZ!CF103</f>
        <v>0</v>
      </c>
      <c r="K1373" t="str">
        <f>NZ!CG103</f>
        <v/>
      </c>
      <c r="L1373" t="str">
        <f>NZ!CH103</f>
        <v/>
      </c>
      <c r="M1373">
        <f>NZ!CI103</f>
        <v>0</v>
      </c>
      <c r="N1373">
        <f>NZ!CJ103</f>
        <v>0</v>
      </c>
      <c r="O1373">
        <f>NZ!CK103</f>
        <v>0</v>
      </c>
      <c r="P1373" s="143" t="str">
        <f>NZ!CL103</f>
        <v/>
      </c>
      <c r="R1373">
        <f t="shared" si="21"/>
        <v>1372</v>
      </c>
    </row>
    <row r="1374" spans="5:18">
      <c r="E1374" s="147" t="s">
        <v>64</v>
      </c>
      <c r="F1374" t="str">
        <f>NZ!CB104</f>
        <v>HPS</v>
      </c>
      <c r="G1374" t="str">
        <f>NZ!CC104</f>
        <v>AC</v>
      </c>
      <c r="H1374" t="str">
        <f>NZ!CD104</f>
        <v>Vessel</v>
      </c>
      <c r="I1374">
        <f>NZ!CE104</f>
        <v>0</v>
      </c>
      <c r="J1374">
        <f>NZ!CF104</f>
        <v>0</v>
      </c>
      <c r="K1374" t="str">
        <f>NZ!CG104</f>
        <v/>
      </c>
      <c r="L1374" t="str">
        <f>NZ!CH104</f>
        <v/>
      </c>
      <c r="M1374">
        <f>NZ!CI104</f>
        <v>0</v>
      </c>
      <c r="N1374">
        <f>NZ!CJ104</f>
        <v>0</v>
      </c>
      <c r="O1374">
        <f>NZ!CK104</f>
        <v>0</v>
      </c>
      <c r="P1374" s="143" t="str">
        <f>NZ!CL104</f>
        <v/>
      </c>
      <c r="R1374">
        <f t="shared" si="21"/>
        <v>1373</v>
      </c>
    </row>
    <row r="1375" spans="5:18">
      <c r="E1375" s="147" t="s">
        <v>64</v>
      </c>
      <c r="F1375" t="str">
        <f>NZ!CB105</f>
        <v>HPS</v>
      </c>
      <c r="G1375" t="str">
        <f>NZ!CC105</f>
        <v>AC</v>
      </c>
      <c r="H1375" t="str">
        <f>NZ!CD105</f>
        <v>Vessel</v>
      </c>
      <c r="I1375">
        <f>NZ!CE105</f>
        <v>0</v>
      </c>
      <c r="J1375">
        <f>NZ!CF105</f>
        <v>0</v>
      </c>
      <c r="K1375" t="str">
        <f>NZ!CG105</f>
        <v/>
      </c>
      <c r="L1375" t="str">
        <f>NZ!CH105</f>
        <v/>
      </c>
      <c r="M1375">
        <f>NZ!CI105</f>
        <v>0</v>
      </c>
      <c r="N1375">
        <f>NZ!CJ105</f>
        <v>0</v>
      </c>
      <c r="O1375">
        <f>NZ!CK105</f>
        <v>0</v>
      </c>
      <c r="P1375" s="143" t="str">
        <f>NZ!CL105</f>
        <v/>
      </c>
      <c r="R1375">
        <f t="shared" si="21"/>
        <v>1374</v>
      </c>
    </row>
    <row r="1376" spans="5:18">
      <c r="E1376" s="147" t="s">
        <v>64</v>
      </c>
      <c r="F1376" t="str">
        <f>NZ!CB106</f>
        <v>HPS</v>
      </c>
      <c r="G1376" t="str">
        <f>NZ!CC106</f>
        <v>AC</v>
      </c>
      <c r="H1376" t="str">
        <f>NZ!CD106</f>
        <v>Vessel</v>
      </c>
      <c r="I1376">
        <f>NZ!CE106</f>
        <v>0</v>
      </c>
      <c r="J1376">
        <f>NZ!CF106</f>
        <v>0</v>
      </c>
      <c r="K1376" t="str">
        <f>NZ!CG106</f>
        <v/>
      </c>
      <c r="L1376" t="str">
        <f>NZ!CH106</f>
        <v/>
      </c>
      <c r="M1376">
        <f>NZ!CI106</f>
        <v>0</v>
      </c>
      <c r="N1376">
        <f>NZ!CJ106</f>
        <v>0</v>
      </c>
      <c r="O1376">
        <f>NZ!CK106</f>
        <v>0</v>
      </c>
      <c r="P1376" s="143" t="str">
        <f>NZ!CL106</f>
        <v/>
      </c>
      <c r="R1376">
        <f t="shared" si="21"/>
        <v>1375</v>
      </c>
    </row>
    <row r="1377" spans="5:18">
      <c r="E1377" s="147" t="s">
        <v>64</v>
      </c>
      <c r="F1377" t="str">
        <f>NZ!CB107</f>
        <v>HPS</v>
      </c>
      <c r="G1377" t="str">
        <f>NZ!CC107</f>
        <v>AC</v>
      </c>
      <c r="H1377" t="str">
        <f>NZ!CD107</f>
        <v>Vessel</v>
      </c>
      <c r="I1377">
        <f>NZ!CE107</f>
        <v>0</v>
      </c>
      <c r="J1377">
        <f>NZ!CF107</f>
        <v>0</v>
      </c>
      <c r="K1377" t="str">
        <f>NZ!CG107</f>
        <v/>
      </c>
      <c r="L1377" t="str">
        <f>NZ!CH107</f>
        <v/>
      </c>
      <c r="M1377">
        <f>NZ!CI107</f>
        <v>0</v>
      </c>
      <c r="N1377">
        <f>NZ!CJ107</f>
        <v>0</v>
      </c>
      <c r="O1377">
        <f>NZ!CK107</f>
        <v>0</v>
      </c>
      <c r="P1377" s="143" t="str">
        <f>NZ!CL107</f>
        <v/>
      </c>
      <c r="R1377">
        <f t="shared" si="21"/>
        <v>1376</v>
      </c>
    </row>
    <row r="1378" spans="5:18">
      <c r="E1378" s="147" t="s">
        <v>64</v>
      </c>
      <c r="F1378" t="str">
        <f>NZ!CB108</f>
        <v>HPS</v>
      </c>
      <c r="G1378" t="str">
        <f>NZ!CC108</f>
        <v>AC</v>
      </c>
      <c r="H1378" t="str">
        <f>NZ!CD108</f>
        <v>Vessel</v>
      </c>
      <c r="I1378">
        <f>NZ!CE108</f>
        <v>0</v>
      </c>
      <c r="J1378">
        <f>NZ!CF108</f>
        <v>0</v>
      </c>
      <c r="K1378" t="str">
        <f>NZ!CG108</f>
        <v/>
      </c>
      <c r="L1378" t="str">
        <f>NZ!CH108</f>
        <v/>
      </c>
      <c r="M1378">
        <f>NZ!CI108</f>
        <v>0</v>
      </c>
      <c r="N1378">
        <f>NZ!CJ108</f>
        <v>0</v>
      </c>
      <c r="O1378">
        <f>NZ!CK108</f>
        <v>0</v>
      </c>
      <c r="P1378" s="143" t="str">
        <f>NZ!CL108</f>
        <v/>
      </c>
      <c r="R1378">
        <f t="shared" si="21"/>
        <v>1377</v>
      </c>
    </row>
    <row r="1379" spans="5:18">
      <c r="E1379" s="147" t="s">
        <v>64</v>
      </c>
      <c r="F1379" t="str">
        <f>NZ!CB109</f>
        <v>HPS</v>
      </c>
      <c r="G1379" t="str">
        <f>NZ!CC109</f>
        <v>AC</v>
      </c>
      <c r="H1379" t="str">
        <f>NZ!CD109</f>
        <v>Vessel</v>
      </c>
      <c r="I1379">
        <f>NZ!CE109</f>
        <v>0</v>
      </c>
      <c r="J1379">
        <f>NZ!CF109</f>
        <v>0</v>
      </c>
      <c r="K1379" t="str">
        <f>NZ!CG109</f>
        <v/>
      </c>
      <c r="L1379" t="str">
        <f>NZ!CH109</f>
        <v/>
      </c>
      <c r="M1379">
        <f>NZ!CI109</f>
        <v>0</v>
      </c>
      <c r="N1379">
        <f>NZ!CJ109</f>
        <v>0</v>
      </c>
      <c r="O1379">
        <f>NZ!CK109</f>
        <v>0</v>
      </c>
      <c r="P1379" s="143" t="str">
        <f>NZ!CL109</f>
        <v/>
      </c>
      <c r="R1379">
        <f t="shared" si="21"/>
        <v>1378</v>
      </c>
    </row>
    <row r="1380" spans="5:18">
      <c r="E1380" s="147" t="s">
        <v>64</v>
      </c>
      <c r="F1380" t="str">
        <f>NZ!CB110</f>
        <v>HPS</v>
      </c>
      <c r="G1380" t="str">
        <f>NZ!CC110</f>
        <v>AC</v>
      </c>
      <c r="H1380" t="str">
        <f>NZ!CD110</f>
        <v>Vessel</v>
      </c>
      <c r="I1380">
        <f>NZ!CE110</f>
        <v>0</v>
      </c>
      <c r="J1380">
        <f>NZ!CF110</f>
        <v>0</v>
      </c>
      <c r="K1380" t="str">
        <f>NZ!CG110</f>
        <v/>
      </c>
      <c r="L1380" t="str">
        <f>NZ!CH110</f>
        <v/>
      </c>
      <c r="M1380">
        <f>NZ!CI110</f>
        <v>0</v>
      </c>
      <c r="N1380">
        <f>NZ!CJ110</f>
        <v>0</v>
      </c>
      <c r="O1380">
        <f>NZ!CK110</f>
        <v>0</v>
      </c>
      <c r="P1380" s="143" t="str">
        <f>NZ!CL110</f>
        <v/>
      </c>
      <c r="R1380">
        <f t="shared" si="21"/>
        <v>1379</v>
      </c>
    </row>
    <row r="1381" spans="5:18">
      <c r="E1381" s="147" t="s">
        <v>64</v>
      </c>
      <c r="F1381" t="str">
        <f>NZ!CB111</f>
        <v>HPS</v>
      </c>
      <c r="G1381" t="str">
        <f>NZ!CC111</f>
        <v>AC</v>
      </c>
      <c r="H1381" t="str">
        <f>NZ!CD111</f>
        <v>Vessel</v>
      </c>
      <c r="I1381">
        <f>NZ!CE111</f>
        <v>0</v>
      </c>
      <c r="J1381">
        <f>NZ!CF111</f>
        <v>0</v>
      </c>
      <c r="K1381" t="str">
        <f>NZ!CG111</f>
        <v/>
      </c>
      <c r="L1381" t="str">
        <f>NZ!CH111</f>
        <v/>
      </c>
      <c r="M1381">
        <f>NZ!CI111</f>
        <v>0</v>
      </c>
      <c r="N1381">
        <f>NZ!CJ111</f>
        <v>0</v>
      </c>
      <c r="O1381">
        <f>NZ!CK111</f>
        <v>0</v>
      </c>
      <c r="P1381" s="143" t="str">
        <f>NZ!CL111</f>
        <v/>
      </c>
      <c r="R1381">
        <f t="shared" si="21"/>
        <v>1380</v>
      </c>
    </row>
    <row r="1382" spans="5:18">
      <c r="E1382" s="147" t="s">
        <v>64</v>
      </c>
      <c r="F1382" t="str">
        <f>NZ!CB112</f>
        <v>HPS</v>
      </c>
      <c r="G1382" t="str">
        <f>NZ!CC112</f>
        <v>AC</v>
      </c>
      <c r="H1382" t="str">
        <f>NZ!CD112</f>
        <v>Vessel</v>
      </c>
      <c r="I1382">
        <f>NZ!CE112</f>
        <v>0</v>
      </c>
      <c r="J1382">
        <f>NZ!CF112</f>
        <v>0</v>
      </c>
      <c r="K1382" t="str">
        <f>NZ!CG112</f>
        <v/>
      </c>
      <c r="L1382" t="str">
        <f>NZ!CH112</f>
        <v/>
      </c>
      <c r="M1382">
        <f>NZ!CI112</f>
        <v>0</v>
      </c>
      <c r="N1382">
        <f>NZ!CJ112</f>
        <v>0</v>
      </c>
      <c r="O1382">
        <f>NZ!CK112</f>
        <v>0</v>
      </c>
      <c r="P1382" s="143" t="str">
        <f>NZ!CL112</f>
        <v/>
      </c>
      <c r="R1382">
        <f t="shared" si="21"/>
        <v>1381</v>
      </c>
    </row>
    <row r="1383" spans="5:18">
      <c r="E1383" s="147" t="s">
        <v>64</v>
      </c>
      <c r="F1383" t="str">
        <f>NZ!CB113</f>
        <v>HPS</v>
      </c>
      <c r="G1383" t="str">
        <f>NZ!CC113</f>
        <v>AC</v>
      </c>
      <c r="H1383" t="str">
        <f>NZ!CD113</f>
        <v>Vessel</v>
      </c>
      <c r="I1383">
        <f>NZ!CE113</f>
        <v>0</v>
      </c>
      <c r="J1383">
        <f>NZ!CF113</f>
        <v>0</v>
      </c>
      <c r="K1383" t="str">
        <f>NZ!CG113</f>
        <v/>
      </c>
      <c r="L1383" t="str">
        <f>NZ!CH113</f>
        <v/>
      </c>
      <c r="M1383">
        <f>NZ!CI113</f>
        <v>0</v>
      </c>
      <c r="N1383">
        <f>NZ!CJ113</f>
        <v>0</v>
      </c>
      <c r="O1383">
        <f>NZ!CK113</f>
        <v>0</v>
      </c>
      <c r="P1383" s="143" t="str">
        <f>NZ!CL113</f>
        <v/>
      </c>
      <c r="R1383">
        <f t="shared" si="21"/>
        <v>1382</v>
      </c>
    </row>
    <row r="1384" spans="5:18">
      <c r="E1384" s="147" t="s">
        <v>64</v>
      </c>
      <c r="F1384" t="str">
        <f>NZ!CB114</f>
        <v>HPS</v>
      </c>
      <c r="G1384" t="str">
        <f>NZ!CC114</f>
        <v>AC</v>
      </c>
      <c r="H1384" t="str">
        <f>NZ!CD114</f>
        <v>Vessel</v>
      </c>
      <c r="I1384">
        <f>NZ!CE114</f>
        <v>0</v>
      </c>
      <c r="J1384">
        <f>NZ!CF114</f>
        <v>0</v>
      </c>
      <c r="K1384" t="str">
        <f>NZ!CG114</f>
        <v/>
      </c>
      <c r="L1384" t="str">
        <f>NZ!CH114</f>
        <v/>
      </c>
      <c r="M1384">
        <f>NZ!CI114</f>
        <v>0</v>
      </c>
      <c r="N1384">
        <f>NZ!CJ114</f>
        <v>0</v>
      </c>
      <c r="O1384">
        <f>NZ!CK114</f>
        <v>0</v>
      </c>
      <c r="P1384" s="143" t="str">
        <f>NZ!CL114</f>
        <v/>
      </c>
      <c r="R1384">
        <f t="shared" si="21"/>
        <v>1383</v>
      </c>
    </row>
    <row r="1385" spans="5:18">
      <c r="E1385" s="147" t="s">
        <v>64</v>
      </c>
      <c r="F1385" t="str">
        <f>NZ!CB115</f>
        <v>HPS</v>
      </c>
      <c r="G1385" t="str">
        <f>NZ!CC115</f>
        <v>AC</v>
      </c>
      <c r="H1385" t="str">
        <f>NZ!CD115</f>
        <v>Vessel</v>
      </c>
      <c r="I1385">
        <f>NZ!CE115</f>
        <v>0</v>
      </c>
      <c r="J1385">
        <f>NZ!CF115</f>
        <v>0</v>
      </c>
      <c r="K1385" t="str">
        <f>NZ!CG115</f>
        <v/>
      </c>
      <c r="L1385" t="str">
        <f>NZ!CH115</f>
        <v/>
      </c>
      <c r="M1385">
        <f>NZ!CI115</f>
        <v>0</v>
      </c>
      <c r="N1385">
        <f>NZ!CJ115</f>
        <v>0</v>
      </c>
      <c r="O1385">
        <f>NZ!CK115</f>
        <v>0</v>
      </c>
      <c r="P1385" s="143" t="str">
        <f>NZ!CL115</f>
        <v/>
      </c>
      <c r="R1385">
        <f t="shared" si="21"/>
        <v>1384</v>
      </c>
    </row>
    <row r="1386" spans="5:18">
      <c r="E1386" s="147" t="s">
        <v>64</v>
      </c>
      <c r="F1386" t="str">
        <f>NZ!CB116</f>
        <v>HPS</v>
      </c>
      <c r="G1386" t="str">
        <f>NZ!CC116</f>
        <v>AC</v>
      </c>
      <c r="H1386" t="str">
        <f>NZ!CD116</f>
        <v>Vessel</v>
      </c>
      <c r="I1386">
        <f>NZ!CE116</f>
        <v>0</v>
      </c>
      <c r="J1386">
        <f>NZ!CF116</f>
        <v>0</v>
      </c>
      <c r="K1386" t="str">
        <f>NZ!CG116</f>
        <v/>
      </c>
      <c r="L1386" t="str">
        <f>NZ!CH116</f>
        <v/>
      </c>
      <c r="M1386">
        <f>NZ!CI116</f>
        <v>0</v>
      </c>
      <c r="N1386">
        <f>NZ!CJ116</f>
        <v>0</v>
      </c>
      <c r="O1386">
        <f>NZ!CK116</f>
        <v>0</v>
      </c>
      <c r="P1386" s="143" t="str">
        <f>NZ!CL116</f>
        <v/>
      </c>
      <c r="R1386">
        <f t="shared" si="21"/>
        <v>1385</v>
      </c>
    </row>
    <row r="1387" spans="5:18">
      <c r="E1387" s="147" t="s">
        <v>64</v>
      </c>
      <c r="F1387" t="str">
        <f>NZ!CB117</f>
        <v>HPS</v>
      </c>
      <c r="G1387" t="str">
        <f>NZ!CC117</f>
        <v>AC</v>
      </c>
      <c r="H1387" t="str">
        <f>NZ!CD117</f>
        <v>Vessel</v>
      </c>
      <c r="I1387">
        <f>NZ!CE117</f>
        <v>0</v>
      </c>
      <c r="J1387">
        <f>NZ!CF117</f>
        <v>0</v>
      </c>
      <c r="K1387" t="str">
        <f>NZ!CG117</f>
        <v/>
      </c>
      <c r="L1387" t="str">
        <f>NZ!CH117</f>
        <v/>
      </c>
      <c r="M1387">
        <f>NZ!CI117</f>
        <v>0</v>
      </c>
      <c r="N1387">
        <f>NZ!CJ117</f>
        <v>0</v>
      </c>
      <c r="O1387">
        <f>NZ!CK117</f>
        <v>0</v>
      </c>
      <c r="P1387" s="143" t="str">
        <f>NZ!CL117</f>
        <v/>
      </c>
      <c r="R1387">
        <f t="shared" si="21"/>
        <v>1386</v>
      </c>
    </row>
    <row r="1388" spans="5:18">
      <c r="E1388" s="147" t="s">
        <v>64</v>
      </c>
      <c r="F1388" t="str">
        <f>NZ!CB118</f>
        <v>HPS</v>
      </c>
      <c r="G1388" t="str">
        <f>NZ!CC118</f>
        <v>AC</v>
      </c>
      <c r="H1388" t="str">
        <f>NZ!CD118</f>
        <v>Vessel</v>
      </c>
      <c r="I1388">
        <f>NZ!CE118</f>
        <v>0</v>
      </c>
      <c r="J1388">
        <f>NZ!CF118</f>
        <v>0</v>
      </c>
      <c r="K1388" t="str">
        <f>NZ!CG118</f>
        <v/>
      </c>
      <c r="L1388" t="str">
        <f>NZ!CH118</f>
        <v/>
      </c>
      <c r="M1388">
        <f>NZ!CI118</f>
        <v>0</v>
      </c>
      <c r="N1388">
        <f>NZ!CJ118</f>
        <v>0</v>
      </c>
      <c r="O1388">
        <f>NZ!CK118</f>
        <v>0</v>
      </c>
      <c r="P1388" s="143" t="str">
        <f>NZ!CL118</f>
        <v/>
      </c>
      <c r="R1388">
        <f t="shared" si="21"/>
        <v>1387</v>
      </c>
    </row>
    <row r="1389" spans="5:18">
      <c r="E1389" s="147" t="s">
        <v>64</v>
      </c>
      <c r="F1389" t="str">
        <f>NZ!CB119</f>
        <v>HPS</v>
      </c>
      <c r="G1389" t="str">
        <f>NZ!CC119</f>
        <v>AC</v>
      </c>
      <c r="H1389" t="str">
        <f>NZ!CD119</f>
        <v>Vessel</v>
      </c>
      <c r="I1389">
        <f>NZ!CE119</f>
        <v>0</v>
      </c>
      <c r="J1389">
        <f>NZ!CF119</f>
        <v>0</v>
      </c>
      <c r="K1389" t="str">
        <f>NZ!CG119</f>
        <v/>
      </c>
      <c r="L1389" t="str">
        <f>NZ!CH119</f>
        <v/>
      </c>
      <c r="M1389">
        <f>NZ!CI119</f>
        <v>0</v>
      </c>
      <c r="N1389">
        <f>NZ!CJ119</f>
        <v>0</v>
      </c>
      <c r="O1389">
        <f>NZ!CK119</f>
        <v>0</v>
      </c>
      <c r="P1389" s="143" t="str">
        <f>NZ!CL119</f>
        <v/>
      </c>
      <c r="R1389">
        <f t="shared" si="21"/>
        <v>1388</v>
      </c>
    </row>
    <row r="1390" spans="5:18">
      <c r="E1390" s="147" t="s">
        <v>64</v>
      </c>
      <c r="F1390" t="str">
        <f>NZ!CB120</f>
        <v>HPS</v>
      </c>
      <c r="G1390" t="str">
        <f>NZ!CC120</f>
        <v>AC</v>
      </c>
      <c r="H1390" t="str">
        <f>NZ!CD120</f>
        <v>Vessel</v>
      </c>
      <c r="I1390">
        <f>NZ!CE120</f>
        <v>0</v>
      </c>
      <c r="J1390">
        <f>NZ!CF120</f>
        <v>0</v>
      </c>
      <c r="K1390" t="str">
        <f>NZ!CG120</f>
        <v/>
      </c>
      <c r="L1390" t="str">
        <f>NZ!CH120</f>
        <v/>
      </c>
      <c r="M1390">
        <f>NZ!CI120</f>
        <v>0</v>
      </c>
      <c r="N1390">
        <f>NZ!CJ120</f>
        <v>0</v>
      </c>
      <c r="O1390">
        <f>NZ!CK120</f>
        <v>0</v>
      </c>
      <c r="P1390" s="143" t="str">
        <f>NZ!CL120</f>
        <v/>
      </c>
      <c r="R1390">
        <f t="shared" si="21"/>
        <v>1389</v>
      </c>
    </row>
    <row r="1391" spans="5:18">
      <c r="E1391" s="147" t="s">
        <v>64</v>
      </c>
      <c r="F1391" t="str">
        <f>NZ!CB121</f>
        <v>HPS</v>
      </c>
      <c r="G1391" t="str">
        <f>NZ!CC121</f>
        <v>AC</v>
      </c>
      <c r="H1391" t="str">
        <f>NZ!CD121</f>
        <v>Vessel</v>
      </c>
      <c r="I1391">
        <f>NZ!CE121</f>
        <v>0</v>
      </c>
      <c r="J1391">
        <f>NZ!CF121</f>
        <v>0</v>
      </c>
      <c r="K1391" t="str">
        <f>NZ!CG121</f>
        <v/>
      </c>
      <c r="L1391" t="str">
        <f>NZ!CH121</f>
        <v/>
      </c>
      <c r="M1391">
        <f>NZ!CI121</f>
        <v>0</v>
      </c>
      <c r="N1391">
        <f>NZ!CJ121</f>
        <v>0</v>
      </c>
      <c r="O1391">
        <f>NZ!CK121</f>
        <v>0</v>
      </c>
      <c r="P1391" s="143" t="str">
        <f>NZ!CL121</f>
        <v/>
      </c>
      <c r="R1391">
        <f t="shared" si="21"/>
        <v>1390</v>
      </c>
    </row>
    <row r="1392" spans="5:18">
      <c r="E1392" s="147" t="s">
        <v>64</v>
      </c>
      <c r="F1392" t="str">
        <f>NZ!CB122</f>
        <v>HPS</v>
      </c>
      <c r="G1392" t="str">
        <f>NZ!CC122</f>
        <v>AC</v>
      </c>
      <c r="H1392" t="str">
        <f>NZ!CD122</f>
        <v>Vessel</v>
      </c>
      <c r="I1392">
        <f>NZ!CE122</f>
        <v>0</v>
      </c>
      <c r="J1392">
        <f>NZ!CF122</f>
        <v>0</v>
      </c>
      <c r="K1392" t="str">
        <f>NZ!CG122</f>
        <v/>
      </c>
      <c r="L1392" t="str">
        <f>NZ!CH122</f>
        <v/>
      </c>
      <c r="M1392">
        <f>NZ!CI122</f>
        <v>0</v>
      </c>
      <c r="N1392">
        <f>NZ!CJ122</f>
        <v>0</v>
      </c>
      <c r="O1392">
        <f>NZ!CK122</f>
        <v>0</v>
      </c>
      <c r="P1392" s="143" t="str">
        <f>NZ!CL122</f>
        <v/>
      </c>
      <c r="R1392">
        <f t="shared" si="21"/>
        <v>1391</v>
      </c>
    </row>
    <row r="1393" spans="5:18">
      <c r="E1393" s="147" t="s">
        <v>64</v>
      </c>
      <c r="F1393" t="str">
        <f>NZ!CB123</f>
        <v>HPS</v>
      </c>
      <c r="G1393" t="str">
        <f>NZ!CC123</f>
        <v>AC</v>
      </c>
      <c r="H1393" t="str">
        <f>NZ!CD123</f>
        <v>Vessel</v>
      </c>
      <c r="I1393">
        <f>NZ!CE123</f>
        <v>0</v>
      </c>
      <c r="J1393">
        <f>NZ!CF123</f>
        <v>0</v>
      </c>
      <c r="K1393" t="str">
        <f>NZ!CG123</f>
        <v/>
      </c>
      <c r="L1393" t="str">
        <f>NZ!CH123</f>
        <v/>
      </c>
      <c r="M1393">
        <f>NZ!CI123</f>
        <v>0</v>
      </c>
      <c r="N1393">
        <f>NZ!CJ123</f>
        <v>0</v>
      </c>
      <c r="O1393">
        <f>NZ!CK123</f>
        <v>0</v>
      </c>
      <c r="P1393" s="143" t="str">
        <f>NZ!CL123</f>
        <v/>
      </c>
      <c r="R1393">
        <f t="shared" si="21"/>
        <v>1392</v>
      </c>
    </row>
    <row r="1394" spans="5:18">
      <c r="E1394" s="147" t="s">
        <v>64</v>
      </c>
      <c r="F1394" t="str">
        <f>NZ!CB124</f>
        <v>HPS</v>
      </c>
      <c r="G1394" t="str">
        <f>NZ!CC124</f>
        <v>AC</v>
      </c>
      <c r="H1394" t="str">
        <f>NZ!CD124</f>
        <v>Vessel</v>
      </c>
      <c r="I1394">
        <f>NZ!CE124</f>
        <v>0</v>
      </c>
      <c r="J1394">
        <f>NZ!CF124</f>
        <v>0</v>
      </c>
      <c r="K1394" t="str">
        <f>NZ!CG124</f>
        <v/>
      </c>
      <c r="L1394" t="str">
        <f>NZ!CH124</f>
        <v/>
      </c>
      <c r="M1394">
        <f>NZ!CI124</f>
        <v>0</v>
      </c>
      <c r="N1394">
        <f>NZ!CJ124</f>
        <v>0</v>
      </c>
      <c r="O1394">
        <f>NZ!CK124</f>
        <v>0</v>
      </c>
      <c r="P1394" s="143" t="str">
        <f>NZ!CL124</f>
        <v/>
      </c>
      <c r="R1394">
        <f t="shared" si="21"/>
        <v>1393</v>
      </c>
    </row>
    <row r="1395" spans="5:18">
      <c r="E1395" s="147" t="s">
        <v>64</v>
      </c>
      <c r="F1395" t="str">
        <f>NZ!CB125</f>
        <v>HPS</v>
      </c>
      <c r="G1395" t="str">
        <f>NZ!CC125</f>
        <v>AC</v>
      </c>
      <c r="H1395" t="str">
        <f>NZ!CD125</f>
        <v>Vessel</v>
      </c>
      <c r="I1395">
        <f>NZ!CE125</f>
        <v>0</v>
      </c>
      <c r="J1395">
        <f>NZ!CF125</f>
        <v>0</v>
      </c>
      <c r="K1395" t="str">
        <f>NZ!CG125</f>
        <v/>
      </c>
      <c r="L1395" t="str">
        <f>NZ!CH125</f>
        <v/>
      </c>
      <c r="M1395">
        <f>NZ!CI125</f>
        <v>0</v>
      </c>
      <c r="N1395">
        <f>NZ!CJ125</f>
        <v>0</v>
      </c>
      <c r="O1395">
        <f>NZ!CK125</f>
        <v>0</v>
      </c>
      <c r="P1395" s="143" t="str">
        <f>NZ!CL125</f>
        <v/>
      </c>
      <c r="R1395">
        <f t="shared" si="21"/>
        <v>1394</v>
      </c>
    </row>
    <row r="1396" spans="5:18">
      <c r="E1396" s="147" t="s">
        <v>64</v>
      </c>
      <c r="F1396" t="str">
        <f>NZ!CB126</f>
        <v>HPS</v>
      </c>
      <c r="G1396" t="str">
        <f>NZ!CC126</f>
        <v>AC</v>
      </c>
      <c r="H1396" t="str">
        <f>NZ!CD126</f>
        <v>Vessel</v>
      </c>
      <c r="I1396">
        <f>NZ!CE126</f>
        <v>0</v>
      </c>
      <c r="J1396">
        <f>NZ!CF126</f>
        <v>0</v>
      </c>
      <c r="K1396" t="str">
        <f>NZ!CG126</f>
        <v/>
      </c>
      <c r="L1396" t="str">
        <f>NZ!CH126</f>
        <v/>
      </c>
      <c r="M1396">
        <f>NZ!CI126</f>
        <v>0</v>
      </c>
      <c r="N1396">
        <f>NZ!CJ126</f>
        <v>0</v>
      </c>
      <c r="O1396">
        <f>NZ!CK126</f>
        <v>0</v>
      </c>
      <c r="P1396" s="143" t="str">
        <f>NZ!CL126</f>
        <v/>
      </c>
      <c r="R1396">
        <f t="shared" si="21"/>
        <v>1395</v>
      </c>
    </row>
    <row r="1397" spans="5:18">
      <c r="E1397" s="147" t="s">
        <v>64</v>
      </c>
      <c r="F1397" t="str">
        <f>NZ!CB127</f>
        <v>HPS</v>
      </c>
      <c r="G1397" t="str">
        <f>NZ!CC127</f>
        <v>AC</v>
      </c>
      <c r="H1397" t="str">
        <f>NZ!CD127</f>
        <v>Vessel</v>
      </c>
      <c r="I1397">
        <f>NZ!CE127</f>
        <v>0</v>
      </c>
      <c r="J1397">
        <f>NZ!CF127</f>
        <v>0</v>
      </c>
      <c r="K1397" t="str">
        <f>NZ!CG127</f>
        <v/>
      </c>
      <c r="L1397" t="str">
        <f>NZ!CH127</f>
        <v/>
      </c>
      <c r="M1397">
        <f>NZ!CI127</f>
        <v>0</v>
      </c>
      <c r="N1397">
        <f>NZ!CJ127</f>
        <v>0</v>
      </c>
      <c r="O1397">
        <f>NZ!CK127</f>
        <v>0</v>
      </c>
      <c r="P1397" s="143" t="str">
        <f>NZ!CL127</f>
        <v/>
      </c>
      <c r="R1397">
        <f t="shared" si="21"/>
        <v>1396</v>
      </c>
    </row>
    <row r="1398" spans="5:18">
      <c r="E1398" s="147" t="s">
        <v>64</v>
      </c>
      <c r="F1398" t="str">
        <f>NZ!CB128</f>
        <v>HPS</v>
      </c>
      <c r="G1398" t="str">
        <f>NZ!CC128</f>
        <v>AC</v>
      </c>
      <c r="H1398" t="str">
        <f>NZ!CD128</f>
        <v>Vessel</v>
      </c>
      <c r="I1398">
        <f>NZ!CE128</f>
        <v>0</v>
      </c>
      <c r="J1398">
        <f>NZ!CF128</f>
        <v>0</v>
      </c>
      <c r="K1398" t="str">
        <f>NZ!CG128</f>
        <v/>
      </c>
      <c r="L1398" t="str">
        <f>NZ!CH128</f>
        <v/>
      </c>
      <c r="M1398">
        <f>NZ!CI128</f>
        <v>0</v>
      </c>
      <c r="N1398">
        <f>NZ!CJ128</f>
        <v>0</v>
      </c>
      <c r="O1398">
        <f>NZ!CK128</f>
        <v>0</v>
      </c>
      <c r="P1398" s="143" t="str">
        <f>NZ!CL128</f>
        <v/>
      </c>
      <c r="R1398">
        <f t="shared" si="21"/>
        <v>1397</v>
      </c>
    </row>
    <row r="1399" spans="5:18">
      <c r="E1399" s="147" t="s">
        <v>64</v>
      </c>
      <c r="F1399" t="str">
        <f>NZ!CB129</f>
        <v>HPS</v>
      </c>
      <c r="G1399" t="str">
        <f>NZ!CC129</f>
        <v>AC</v>
      </c>
      <c r="H1399" t="str">
        <f>NZ!CD129</f>
        <v>Vessel</v>
      </c>
      <c r="I1399">
        <f>NZ!CE129</f>
        <v>0</v>
      </c>
      <c r="J1399">
        <f>NZ!CF129</f>
        <v>0</v>
      </c>
      <c r="K1399" t="str">
        <f>NZ!CG129</f>
        <v/>
      </c>
      <c r="L1399" t="str">
        <f>NZ!CH129</f>
        <v/>
      </c>
      <c r="M1399">
        <f>NZ!CI129</f>
        <v>0</v>
      </c>
      <c r="N1399">
        <f>NZ!CJ129</f>
        <v>0</v>
      </c>
      <c r="O1399">
        <f>NZ!CK129</f>
        <v>0</v>
      </c>
      <c r="P1399" s="143" t="str">
        <f>NZ!CL129</f>
        <v/>
      </c>
      <c r="R1399">
        <f t="shared" si="21"/>
        <v>1398</v>
      </c>
    </row>
    <row r="1400" spans="5:18">
      <c r="E1400" s="147" t="s">
        <v>64</v>
      </c>
      <c r="F1400" t="str">
        <f>NZ!CB130</f>
        <v>HPS</v>
      </c>
      <c r="G1400" t="str">
        <f>NZ!CC130</f>
        <v>AC</v>
      </c>
      <c r="H1400" t="str">
        <f>NZ!CD130</f>
        <v>Vessel</v>
      </c>
      <c r="I1400">
        <f>NZ!CE130</f>
        <v>0</v>
      </c>
      <c r="J1400">
        <f>NZ!CF130</f>
        <v>0</v>
      </c>
      <c r="K1400" t="str">
        <f>NZ!CG130</f>
        <v/>
      </c>
      <c r="L1400" t="str">
        <f>NZ!CH130</f>
        <v/>
      </c>
      <c r="M1400">
        <f>NZ!CI130</f>
        <v>0</v>
      </c>
      <c r="N1400">
        <f>NZ!CJ130</f>
        <v>0</v>
      </c>
      <c r="O1400">
        <f>NZ!CK130</f>
        <v>0</v>
      </c>
      <c r="P1400" s="143" t="str">
        <f>NZ!CL130</f>
        <v/>
      </c>
      <c r="R1400">
        <f t="shared" si="21"/>
        <v>1399</v>
      </c>
    </row>
    <row r="1401" spans="5:18">
      <c r="E1401" s="147" t="s">
        <v>64</v>
      </c>
      <c r="F1401" t="str">
        <f>NZ!CB131</f>
        <v>HPS</v>
      </c>
      <c r="G1401" t="str">
        <f>NZ!CC131</f>
        <v>AC</v>
      </c>
      <c r="H1401" t="str">
        <f>NZ!CD131</f>
        <v>Vessel</v>
      </c>
      <c r="I1401">
        <f>NZ!CE131</f>
        <v>0</v>
      </c>
      <c r="J1401">
        <f>NZ!CF131</f>
        <v>0</v>
      </c>
      <c r="K1401" t="str">
        <f>NZ!CG131</f>
        <v/>
      </c>
      <c r="L1401" t="str">
        <f>NZ!CH131</f>
        <v/>
      </c>
      <c r="M1401">
        <f>NZ!CI131</f>
        <v>0</v>
      </c>
      <c r="N1401">
        <f>NZ!CJ131</f>
        <v>0</v>
      </c>
      <c r="O1401">
        <f>NZ!CK131</f>
        <v>0</v>
      </c>
      <c r="P1401" s="143" t="str">
        <f>NZ!CL131</f>
        <v/>
      </c>
      <c r="R1401">
        <f t="shared" si="21"/>
        <v>1400</v>
      </c>
    </row>
    <row r="1402" spans="5:18">
      <c r="E1402" s="147" t="s">
        <v>64</v>
      </c>
      <c r="F1402" t="str">
        <f>NZ!CB132</f>
        <v>HPS</v>
      </c>
      <c r="G1402" t="str">
        <f>NZ!CC132</f>
        <v>AC</v>
      </c>
      <c r="H1402" t="str">
        <f>NZ!CD132</f>
        <v>Vessel</v>
      </c>
      <c r="I1402">
        <f>NZ!CE132</f>
        <v>0</v>
      </c>
      <c r="J1402">
        <f>NZ!CF132</f>
        <v>0</v>
      </c>
      <c r="K1402" t="str">
        <f>NZ!CG132</f>
        <v/>
      </c>
      <c r="L1402" t="str">
        <f>NZ!CH132</f>
        <v/>
      </c>
      <c r="M1402">
        <f>NZ!CI132</f>
        <v>0</v>
      </c>
      <c r="N1402">
        <f>NZ!CJ132</f>
        <v>0</v>
      </c>
      <c r="O1402">
        <f>NZ!CK132</f>
        <v>0</v>
      </c>
      <c r="P1402" s="143" t="str">
        <f>NZ!CL132</f>
        <v/>
      </c>
      <c r="R1402">
        <f t="shared" si="21"/>
        <v>1401</v>
      </c>
    </row>
    <row r="1403" spans="5:18">
      <c r="E1403" s="147" t="s">
        <v>64</v>
      </c>
      <c r="F1403" t="str">
        <f>NZ!CB133</f>
        <v>HPS</v>
      </c>
      <c r="G1403" t="str">
        <f>NZ!CC133</f>
        <v>AC</v>
      </c>
      <c r="H1403" t="str">
        <f>NZ!CD133</f>
        <v>Vessel</v>
      </c>
      <c r="I1403">
        <f>NZ!CE133</f>
        <v>0</v>
      </c>
      <c r="J1403">
        <f>NZ!CF133</f>
        <v>0</v>
      </c>
      <c r="K1403" t="str">
        <f>NZ!CG133</f>
        <v/>
      </c>
      <c r="L1403" t="str">
        <f>NZ!CH133</f>
        <v/>
      </c>
      <c r="M1403">
        <f>NZ!CI133</f>
        <v>0</v>
      </c>
      <c r="N1403">
        <f>NZ!CJ133</f>
        <v>0</v>
      </c>
      <c r="O1403">
        <f>NZ!CK133</f>
        <v>0</v>
      </c>
      <c r="P1403" s="143" t="str">
        <f>NZ!CL133</f>
        <v/>
      </c>
      <c r="R1403">
        <f t="shared" si="21"/>
        <v>1402</v>
      </c>
    </row>
    <row r="1404" spans="5:18">
      <c r="E1404" s="147" t="s">
        <v>64</v>
      </c>
      <c r="F1404" t="str">
        <f>NZ!CB134</f>
        <v>HPS</v>
      </c>
      <c r="G1404" t="str">
        <f>NZ!CC134</f>
        <v>AC</v>
      </c>
      <c r="H1404" t="str">
        <f>NZ!CD134</f>
        <v>Vessel</v>
      </c>
      <c r="I1404">
        <f>NZ!CE134</f>
        <v>0</v>
      </c>
      <c r="J1404">
        <f>NZ!CF134</f>
        <v>0</v>
      </c>
      <c r="K1404" t="str">
        <f>NZ!CG134</f>
        <v/>
      </c>
      <c r="L1404" t="str">
        <f>NZ!CH134</f>
        <v/>
      </c>
      <c r="M1404">
        <f>NZ!CI134</f>
        <v>0</v>
      </c>
      <c r="N1404">
        <f>NZ!CJ134</f>
        <v>0</v>
      </c>
      <c r="O1404">
        <f>NZ!CK134</f>
        <v>0</v>
      </c>
      <c r="P1404" s="143" t="str">
        <f>NZ!CL134</f>
        <v/>
      </c>
      <c r="R1404">
        <f t="shared" si="21"/>
        <v>1403</v>
      </c>
    </row>
    <row r="1405" spans="5:18">
      <c r="E1405" s="147" t="s">
        <v>64</v>
      </c>
      <c r="F1405" t="str">
        <f>NZ!CB135</f>
        <v>HPS</v>
      </c>
      <c r="G1405" t="str">
        <f>NZ!CC135</f>
        <v>AC</v>
      </c>
      <c r="H1405" t="str">
        <f>NZ!CD135</f>
        <v>Vessel</v>
      </c>
      <c r="I1405">
        <f>NZ!CE135</f>
        <v>0</v>
      </c>
      <c r="J1405">
        <f>NZ!CF135</f>
        <v>0</v>
      </c>
      <c r="K1405" t="str">
        <f>NZ!CG135</f>
        <v/>
      </c>
      <c r="L1405" t="str">
        <f>NZ!CH135</f>
        <v/>
      </c>
      <c r="M1405">
        <f>NZ!CI135</f>
        <v>0</v>
      </c>
      <c r="N1405">
        <f>NZ!CJ135</f>
        <v>0</v>
      </c>
      <c r="O1405">
        <f>NZ!CK135</f>
        <v>0</v>
      </c>
      <c r="P1405" s="143" t="str">
        <f>NZ!CL135</f>
        <v/>
      </c>
      <c r="R1405">
        <f t="shared" si="21"/>
        <v>1404</v>
      </c>
    </row>
    <row r="1406" spans="5:18">
      <c r="E1406" s="147" t="s">
        <v>64</v>
      </c>
      <c r="F1406" t="str">
        <f>NZ!CB136</f>
        <v>HPS</v>
      </c>
      <c r="G1406" t="str">
        <f>NZ!CC136</f>
        <v>AC</v>
      </c>
      <c r="H1406" t="str">
        <f>NZ!CD136</f>
        <v>Vessel</v>
      </c>
      <c r="I1406">
        <f>NZ!CE136</f>
        <v>0</v>
      </c>
      <c r="J1406">
        <f>NZ!CF136</f>
        <v>0</v>
      </c>
      <c r="K1406" t="str">
        <f>NZ!CG136</f>
        <v/>
      </c>
      <c r="L1406" t="str">
        <f>NZ!CH136</f>
        <v/>
      </c>
      <c r="M1406">
        <f>NZ!CI136</f>
        <v>0</v>
      </c>
      <c r="N1406">
        <f>NZ!CJ136</f>
        <v>0</v>
      </c>
      <c r="O1406">
        <f>NZ!CK136</f>
        <v>0</v>
      </c>
      <c r="P1406" s="143" t="str">
        <f>NZ!CL136</f>
        <v/>
      </c>
      <c r="R1406">
        <f t="shared" si="21"/>
        <v>1405</v>
      </c>
    </row>
    <row r="1407" spans="5:18">
      <c r="E1407" s="147" t="s">
        <v>64</v>
      </c>
      <c r="F1407" t="str">
        <f>NZ!CB137</f>
        <v>HPS</v>
      </c>
      <c r="G1407" t="str">
        <f>NZ!CC137</f>
        <v>AC</v>
      </c>
      <c r="H1407" t="str">
        <f>NZ!CD137</f>
        <v>Vessel</v>
      </c>
      <c r="I1407">
        <f>NZ!CE137</f>
        <v>0</v>
      </c>
      <c r="J1407">
        <f>NZ!CF137</f>
        <v>0</v>
      </c>
      <c r="K1407" t="str">
        <f>NZ!CG137</f>
        <v/>
      </c>
      <c r="L1407" t="str">
        <f>NZ!CH137</f>
        <v/>
      </c>
      <c r="M1407">
        <f>NZ!CI137</f>
        <v>0</v>
      </c>
      <c r="N1407">
        <f>NZ!CJ137</f>
        <v>0</v>
      </c>
      <c r="O1407">
        <f>NZ!CK137</f>
        <v>0</v>
      </c>
      <c r="P1407" s="143" t="str">
        <f>NZ!CL137</f>
        <v/>
      </c>
      <c r="R1407">
        <f t="shared" si="21"/>
        <v>1406</v>
      </c>
    </row>
    <row r="1408" spans="5:18">
      <c r="E1408" s="147" t="s">
        <v>64</v>
      </c>
      <c r="F1408" t="str">
        <f>NZ!CB138</f>
        <v>HPS</v>
      </c>
      <c r="G1408" t="str">
        <f>NZ!CC138</f>
        <v>AC</v>
      </c>
      <c r="H1408" t="str">
        <f>NZ!CD138</f>
        <v>Vessel</v>
      </c>
      <c r="I1408">
        <f>NZ!CE138</f>
        <v>0</v>
      </c>
      <c r="J1408">
        <f>NZ!CF138</f>
        <v>0</v>
      </c>
      <c r="K1408" t="str">
        <f>NZ!CG138</f>
        <v/>
      </c>
      <c r="L1408" t="str">
        <f>NZ!CH138</f>
        <v/>
      </c>
      <c r="M1408">
        <f>NZ!CI138</f>
        <v>0</v>
      </c>
      <c r="N1408">
        <f>NZ!CJ138</f>
        <v>0</v>
      </c>
      <c r="O1408">
        <f>NZ!CK138</f>
        <v>0</v>
      </c>
      <c r="P1408" s="143" t="str">
        <f>NZ!CL138</f>
        <v/>
      </c>
      <c r="R1408">
        <f t="shared" si="21"/>
        <v>1407</v>
      </c>
    </row>
    <row r="1409" spans="5:18">
      <c r="E1409" s="147" t="s">
        <v>64</v>
      </c>
      <c r="F1409" t="str">
        <f>NZ!CB139</f>
        <v>HPS</v>
      </c>
      <c r="G1409" t="str">
        <f>NZ!CC139</f>
        <v>AC</v>
      </c>
      <c r="H1409" t="str">
        <f>NZ!CD139</f>
        <v>Vessel</v>
      </c>
      <c r="I1409">
        <f>NZ!CE139</f>
        <v>0</v>
      </c>
      <c r="J1409">
        <f>NZ!CF139</f>
        <v>0</v>
      </c>
      <c r="K1409" t="str">
        <f>NZ!CG139</f>
        <v/>
      </c>
      <c r="L1409" t="str">
        <f>NZ!CH139</f>
        <v/>
      </c>
      <c r="M1409">
        <f>NZ!CI139</f>
        <v>0</v>
      </c>
      <c r="N1409">
        <f>NZ!CJ139</f>
        <v>0</v>
      </c>
      <c r="O1409">
        <f>NZ!CK139</f>
        <v>0</v>
      </c>
      <c r="P1409" s="143" t="str">
        <f>NZ!CL139</f>
        <v/>
      </c>
      <c r="R1409">
        <f t="shared" si="21"/>
        <v>1408</v>
      </c>
    </row>
    <row r="1410" spans="5:18">
      <c r="E1410" s="147" t="s">
        <v>64</v>
      </c>
      <c r="F1410" t="str">
        <f>NZ!CB140</f>
        <v>HPS</v>
      </c>
      <c r="G1410" t="str">
        <f>NZ!CC140</f>
        <v>AC</v>
      </c>
      <c r="H1410" t="str">
        <f>NZ!CD140</f>
        <v>Vessel</v>
      </c>
      <c r="I1410">
        <f>NZ!CE140</f>
        <v>0</v>
      </c>
      <c r="J1410">
        <f>NZ!CF140</f>
        <v>0</v>
      </c>
      <c r="K1410" t="str">
        <f>NZ!CG140</f>
        <v/>
      </c>
      <c r="L1410" t="str">
        <f>NZ!CH140</f>
        <v/>
      </c>
      <c r="M1410">
        <f>NZ!CI140</f>
        <v>0</v>
      </c>
      <c r="N1410">
        <f>NZ!CJ140</f>
        <v>0</v>
      </c>
      <c r="O1410">
        <f>NZ!CK140</f>
        <v>0</v>
      </c>
      <c r="P1410" s="143" t="str">
        <f>NZ!CL140</f>
        <v/>
      </c>
      <c r="R1410">
        <f t="shared" si="21"/>
        <v>1409</v>
      </c>
    </row>
    <row r="1411" spans="5:18">
      <c r="E1411" s="147" t="s">
        <v>64</v>
      </c>
      <c r="F1411" t="str">
        <f>NZ!CB141</f>
        <v>HPS</v>
      </c>
      <c r="G1411" t="str">
        <f>NZ!CC141</f>
        <v>AC</v>
      </c>
      <c r="H1411" t="str">
        <f>NZ!CD141</f>
        <v>Vessel</v>
      </c>
      <c r="I1411">
        <f>NZ!CE141</f>
        <v>0</v>
      </c>
      <c r="J1411">
        <f>NZ!CF141</f>
        <v>0</v>
      </c>
      <c r="K1411" t="str">
        <f>NZ!CG141</f>
        <v/>
      </c>
      <c r="L1411" t="str">
        <f>NZ!CH141</f>
        <v/>
      </c>
      <c r="M1411">
        <f>NZ!CI141</f>
        <v>0</v>
      </c>
      <c r="N1411">
        <f>NZ!CJ141</f>
        <v>0</v>
      </c>
      <c r="O1411">
        <f>NZ!CK141</f>
        <v>0</v>
      </c>
      <c r="P1411" s="143" t="str">
        <f>NZ!CL141</f>
        <v/>
      </c>
      <c r="R1411">
        <f t="shared" si="21"/>
        <v>1410</v>
      </c>
    </row>
    <row r="1412" spans="5:18">
      <c r="E1412" s="147" t="s">
        <v>64</v>
      </c>
      <c r="F1412" t="str">
        <f>NZ!CB142</f>
        <v>HPS</v>
      </c>
      <c r="G1412" t="str">
        <f>NZ!CC142</f>
        <v>AC</v>
      </c>
      <c r="H1412" t="str">
        <f>NZ!CD142</f>
        <v>Vessel</v>
      </c>
      <c r="I1412">
        <f>NZ!CE142</f>
        <v>0</v>
      </c>
      <c r="J1412">
        <f>NZ!CF142</f>
        <v>0</v>
      </c>
      <c r="K1412" t="str">
        <f>NZ!CG142</f>
        <v/>
      </c>
      <c r="L1412" t="str">
        <f>NZ!CH142</f>
        <v/>
      </c>
      <c r="M1412">
        <f>NZ!CI142</f>
        <v>0</v>
      </c>
      <c r="N1412">
        <f>NZ!CJ142</f>
        <v>0</v>
      </c>
      <c r="O1412">
        <f>NZ!CK142</f>
        <v>0</v>
      </c>
      <c r="P1412" s="143" t="str">
        <f>NZ!CL142</f>
        <v/>
      </c>
      <c r="R1412">
        <f t="shared" ref="R1412:R1475" si="22">R1411+1</f>
        <v>1411</v>
      </c>
    </row>
    <row r="1413" spans="5:18">
      <c r="E1413" s="147" t="s">
        <v>64</v>
      </c>
      <c r="F1413" t="str">
        <f>NZ!CB143</f>
        <v>HPS</v>
      </c>
      <c r="G1413" t="str">
        <f>NZ!CC143</f>
        <v>AC</v>
      </c>
      <c r="H1413" t="str">
        <f>NZ!CD143</f>
        <v>Vessel</v>
      </c>
      <c r="I1413">
        <f>NZ!CE143</f>
        <v>0</v>
      </c>
      <c r="J1413">
        <f>NZ!CF143</f>
        <v>0</v>
      </c>
      <c r="K1413" t="str">
        <f>NZ!CG143</f>
        <v/>
      </c>
      <c r="L1413" t="str">
        <f>NZ!CH143</f>
        <v/>
      </c>
      <c r="M1413">
        <f>NZ!CI143</f>
        <v>0</v>
      </c>
      <c r="N1413">
        <f>NZ!CJ143</f>
        <v>0</v>
      </c>
      <c r="O1413">
        <f>NZ!CK143</f>
        <v>0</v>
      </c>
      <c r="P1413" s="143" t="str">
        <f>NZ!CL143</f>
        <v/>
      </c>
      <c r="R1413">
        <f t="shared" si="22"/>
        <v>1412</v>
      </c>
    </row>
    <row r="1414" spans="5:18">
      <c r="E1414" s="147" t="s">
        <v>64</v>
      </c>
      <c r="F1414" t="str">
        <f>NZ!CB144</f>
        <v>HPS</v>
      </c>
      <c r="G1414" t="str">
        <f>NZ!CC144</f>
        <v>AC</v>
      </c>
      <c r="H1414" t="str">
        <f>NZ!CD144</f>
        <v>Vessel</v>
      </c>
      <c r="I1414">
        <f>NZ!CE144</f>
        <v>0</v>
      </c>
      <c r="J1414">
        <f>NZ!CF144</f>
        <v>0</v>
      </c>
      <c r="K1414" t="str">
        <f>NZ!CG144</f>
        <v/>
      </c>
      <c r="L1414" t="str">
        <f>NZ!CH144</f>
        <v/>
      </c>
      <c r="M1414">
        <f>NZ!CI144</f>
        <v>0</v>
      </c>
      <c r="N1414">
        <f>NZ!CJ144</f>
        <v>0</v>
      </c>
      <c r="O1414">
        <f>NZ!CK144</f>
        <v>0</v>
      </c>
      <c r="P1414" s="143" t="str">
        <f>NZ!CL144</f>
        <v/>
      </c>
      <c r="R1414">
        <f t="shared" si="22"/>
        <v>1413</v>
      </c>
    </row>
    <row r="1415" spans="5:18">
      <c r="E1415" s="147" t="s">
        <v>64</v>
      </c>
      <c r="F1415" t="str">
        <f>NZ!CB145</f>
        <v>HPS</v>
      </c>
      <c r="G1415" t="str">
        <f>NZ!CC145</f>
        <v>AC</v>
      </c>
      <c r="H1415" t="str">
        <f>NZ!CD145</f>
        <v>Vessel</v>
      </c>
      <c r="I1415">
        <f>NZ!CE145</f>
        <v>0</v>
      </c>
      <c r="J1415">
        <f>NZ!CF145</f>
        <v>0</v>
      </c>
      <c r="K1415" t="str">
        <f>NZ!CG145</f>
        <v/>
      </c>
      <c r="L1415" t="str">
        <f>NZ!CH145</f>
        <v/>
      </c>
      <c r="M1415">
        <f>NZ!CI145</f>
        <v>0</v>
      </c>
      <c r="N1415">
        <f>NZ!CJ145</f>
        <v>0</v>
      </c>
      <c r="O1415">
        <f>NZ!CK145</f>
        <v>0</v>
      </c>
      <c r="P1415" s="143" t="str">
        <f>NZ!CL145</f>
        <v/>
      </c>
      <c r="R1415">
        <f t="shared" si="22"/>
        <v>1414</v>
      </c>
    </row>
    <row r="1416" spans="5:18">
      <c r="E1416" s="147" t="s">
        <v>64</v>
      </c>
      <c r="F1416" t="str">
        <f>NZ!CB146</f>
        <v>HPS</v>
      </c>
      <c r="G1416" t="str">
        <f>NZ!CC146</f>
        <v>AC</v>
      </c>
      <c r="H1416" t="str">
        <f>NZ!CD146</f>
        <v>Vessel</v>
      </c>
      <c r="I1416">
        <f>NZ!CE146</f>
        <v>0</v>
      </c>
      <c r="J1416">
        <f>NZ!CF146</f>
        <v>0</v>
      </c>
      <c r="K1416" t="str">
        <f>NZ!CG146</f>
        <v/>
      </c>
      <c r="L1416" t="str">
        <f>NZ!CH146</f>
        <v/>
      </c>
      <c r="M1416">
        <f>NZ!CI146</f>
        <v>0</v>
      </c>
      <c r="N1416">
        <f>NZ!CJ146</f>
        <v>0</v>
      </c>
      <c r="O1416">
        <f>NZ!CK146</f>
        <v>0</v>
      </c>
      <c r="P1416" s="143" t="str">
        <f>NZ!CL146</f>
        <v/>
      </c>
      <c r="R1416">
        <f t="shared" si="22"/>
        <v>1415</v>
      </c>
    </row>
    <row r="1417" spans="5:18">
      <c r="E1417" s="147" t="s">
        <v>64</v>
      </c>
      <c r="F1417" t="str">
        <f>NZ!CB147</f>
        <v>HPS</v>
      </c>
      <c r="G1417" t="str">
        <f>NZ!CC147</f>
        <v>AC</v>
      </c>
      <c r="H1417" t="str">
        <f>NZ!CD147</f>
        <v>Vessel</v>
      </c>
      <c r="I1417">
        <f>NZ!CE147</f>
        <v>0</v>
      </c>
      <c r="J1417">
        <f>NZ!CF147</f>
        <v>0</v>
      </c>
      <c r="K1417" t="str">
        <f>NZ!CG147</f>
        <v/>
      </c>
      <c r="L1417" t="str">
        <f>NZ!CH147</f>
        <v/>
      </c>
      <c r="M1417">
        <f>NZ!CI147</f>
        <v>0</v>
      </c>
      <c r="N1417">
        <f>NZ!CJ147</f>
        <v>0</v>
      </c>
      <c r="O1417">
        <f>NZ!CK147</f>
        <v>0</v>
      </c>
      <c r="P1417" s="143" t="str">
        <f>NZ!CL147</f>
        <v/>
      </c>
      <c r="R1417">
        <f t="shared" si="22"/>
        <v>1416</v>
      </c>
    </row>
    <row r="1418" spans="5:18">
      <c r="E1418" s="147" t="s">
        <v>64</v>
      </c>
      <c r="F1418" t="str">
        <f>NZ!CB148</f>
        <v>HPS</v>
      </c>
      <c r="G1418" t="str">
        <f>NZ!CC148</f>
        <v>AC</v>
      </c>
      <c r="H1418" t="str">
        <f>NZ!CD148</f>
        <v>Vessel</v>
      </c>
      <c r="I1418">
        <f>NZ!CE148</f>
        <v>0</v>
      </c>
      <c r="J1418">
        <f>NZ!CF148</f>
        <v>0</v>
      </c>
      <c r="K1418" t="str">
        <f>NZ!CG148</f>
        <v/>
      </c>
      <c r="L1418" t="str">
        <f>NZ!CH148</f>
        <v/>
      </c>
      <c r="M1418">
        <f>NZ!CI148</f>
        <v>0</v>
      </c>
      <c r="N1418">
        <f>NZ!CJ148</f>
        <v>0</v>
      </c>
      <c r="O1418">
        <f>NZ!CK148</f>
        <v>0</v>
      </c>
      <c r="P1418" s="143" t="str">
        <f>NZ!CL148</f>
        <v/>
      </c>
      <c r="R1418">
        <f t="shared" si="22"/>
        <v>1417</v>
      </c>
    </row>
    <row r="1419" spans="5:18">
      <c r="E1419" s="147" t="s">
        <v>64</v>
      </c>
      <c r="F1419" t="str">
        <f>NZ!CB149</f>
        <v>HPS</v>
      </c>
      <c r="G1419" t="str">
        <f>NZ!CC149</f>
        <v>AC</v>
      </c>
      <c r="H1419" t="str">
        <f>NZ!CD149</f>
        <v>Vessel</v>
      </c>
      <c r="I1419">
        <f>NZ!CE149</f>
        <v>0</v>
      </c>
      <c r="J1419">
        <f>NZ!CF149</f>
        <v>0</v>
      </c>
      <c r="K1419" t="str">
        <f>NZ!CG149</f>
        <v/>
      </c>
      <c r="L1419" t="str">
        <f>NZ!CH149</f>
        <v/>
      </c>
      <c r="M1419">
        <f>NZ!CI149</f>
        <v>0</v>
      </c>
      <c r="N1419">
        <f>NZ!CJ149</f>
        <v>0</v>
      </c>
      <c r="O1419">
        <f>NZ!CK149</f>
        <v>0</v>
      </c>
      <c r="P1419" s="143" t="str">
        <f>NZ!CL149</f>
        <v/>
      </c>
      <c r="R1419">
        <f t="shared" si="22"/>
        <v>1418</v>
      </c>
    </row>
    <row r="1420" spans="5:18">
      <c r="E1420" s="147" t="s">
        <v>64</v>
      </c>
      <c r="F1420" t="str">
        <f>NZ!CB150</f>
        <v>HPS</v>
      </c>
      <c r="G1420" t="str">
        <f>NZ!CC150</f>
        <v>AC</v>
      </c>
      <c r="H1420" t="str">
        <f>NZ!CD150</f>
        <v>Vessel</v>
      </c>
      <c r="I1420">
        <f>NZ!CE150</f>
        <v>0</v>
      </c>
      <c r="J1420">
        <f>NZ!CF150</f>
        <v>0</v>
      </c>
      <c r="K1420" t="str">
        <f>NZ!CG150</f>
        <v/>
      </c>
      <c r="L1420" t="str">
        <f>NZ!CH150</f>
        <v/>
      </c>
      <c r="M1420">
        <f>NZ!CI150</f>
        <v>0</v>
      </c>
      <c r="N1420">
        <f>NZ!CJ150</f>
        <v>0</v>
      </c>
      <c r="O1420">
        <f>NZ!CK150</f>
        <v>0</v>
      </c>
      <c r="P1420" s="143" t="str">
        <f>NZ!CL150</f>
        <v/>
      </c>
      <c r="R1420">
        <f t="shared" si="22"/>
        <v>1419</v>
      </c>
    </row>
    <row r="1421" spans="5:18" ht="17.100000000000001" thickBot="1">
      <c r="E1421" s="148" t="s">
        <v>64</v>
      </c>
      <c r="F1421" s="144" t="str">
        <f>NZ!CB151</f>
        <v>HPS</v>
      </c>
      <c r="G1421" s="144" t="str">
        <f>NZ!CC151</f>
        <v>AC</v>
      </c>
      <c r="H1421" s="144" t="str">
        <f>NZ!CD151</f>
        <v>Vessel</v>
      </c>
      <c r="I1421" s="144">
        <f>NZ!CE151</f>
        <v>0</v>
      </c>
      <c r="J1421" s="144">
        <f>NZ!CF151</f>
        <v>0</v>
      </c>
      <c r="K1421" s="144" t="str">
        <f>NZ!CG151</f>
        <v/>
      </c>
      <c r="L1421" s="144" t="str">
        <f>NZ!CH151</f>
        <v/>
      </c>
      <c r="M1421" s="144">
        <f>NZ!CI151</f>
        <v>0</v>
      </c>
      <c r="N1421" s="144">
        <f>NZ!CJ151</f>
        <v>0</v>
      </c>
      <c r="O1421" s="144">
        <f>NZ!CK151</f>
        <v>0</v>
      </c>
      <c r="P1421" s="145" t="str">
        <f>NZ!CL151</f>
        <v/>
      </c>
      <c r="R1421">
        <f t="shared" si="22"/>
        <v>1420</v>
      </c>
    </row>
    <row r="1422" spans="5:18">
      <c r="E1422" s="146" t="s">
        <v>45</v>
      </c>
      <c r="F1422" s="141" t="str">
        <f>'RD'!CA2</f>
        <v>HPS</v>
      </c>
      <c r="G1422" s="141" t="str">
        <f>'RD'!CB2</f>
        <v>AC</v>
      </c>
      <c r="H1422" s="141" t="str">
        <f>'RD'!CC2</f>
        <v>Head</v>
      </c>
      <c r="I1422" s="141">
        <f>'RD'!CD2</f>
        <v>0</v>
      </c>
      <c r="J1422" s="141" t="str">
        <f>'RD'!CE2</f>
        <v>Rupture Disc</v>
      </c>
      <c r="K1422" s="141" t="str">
        <f>'RD'!CF2</f>
        <v>0.5in-22500PSI</v>
      </c>
      <c r="L1422" s="141" t="str">
        <f>'RD'!CG2</f>
        <v>RD-22ZOO-1</v>
      </c>
      <c r="M1422" s="141">
        <f>'RD'!CH2</f>
        <v>0</v>
      </c>
      <c r="N1422" s="141">
        <f>'RD'!CI2</f>
        <v>0</v>
      </c>
      <c r="O1422" s="141">
        <f>'RD'!CJ2</f>
        <v>0</v>
      </c>
      <c r="P1422" s="142" t="str">
        <f>'RD'!CK2</f>
        <v>Active</v>
      </c>
      <c r="R1422">
        <f t="shared" si="22"/>
        <v>1421</v>
      </c>
    </row>
    <row r="1423" spans="5:18">
      <c r="E1423" s="147" t="s">
        <v>45</v>
      </c>
      <c r="F1423" t="str">
        <f>'RD'!CA3</f>
        <v>HPS</v>
      </c>
      <c r="G1423" t="str">
        <f>'RD'!CB3</f>
        <v>AC</v>
      </c>
      <c r="H1423" t="str">
        <f>'RD'!CC3</f>
        <v>Head</v>
      </c>
      <c r="I1423">
        <f>'RD'!CD3</f>
        <v>0</v>
      </c>
      <c r="J1423" t="str">
        <f>'RD'!CE3</f>
        <v>Rupture Disc</v>
      </c>
      <c r="K1423" t="str">
        <f>'RD'!CF3</f>
        <v>0.5in-40000PSI</v>
      </c>
      <c r="L1423" t="str">
        <f>'RD'!CG3</f>
        <v>RD-40ZOO-1</v>
      </c>
      <c r="M1423">
        <f>'RD'!CH3</f>
        <v>0</v>
      </c>
      <c r="N1423">
        <f>'RD'!CI3</f>
        <v>0</v>
      </c>
      <c r="O1423">
        <f>'RD'!CJ3</f>
        <v>0</v>
      </c>
      <c r="P1423" s="143" t="str">
        <f>'RD'!CK3</f>
        <v>Active</v>
      </c>
      <c r="R1423">
        <f t="shared" si="22"/>
        <v>1422</v>
      </c>
    </row>
    <row r="1424" spans="5:18">
      <c r="E1424" s="147" t="s">
        <v>45</v>
      </c>
      <c r="F1424" t="str">
        <f>'RD'!CA4</f>
        <v>HPS</v>
      </c>
      <c r="G1424" t="str">
        <f>'RD'!CB4</f>
        <v>AC</v>
      </c>
      <c r="H1424" t="str">
        <f>'RD'!CC4</f>
        <v>Head</v>
      </c>
      <c r="I1424">
        <f>'RD'!CD4</f>
        <v>0</v>
      </c>
      <c r="J1424" t="str">
        <f>'RD'!CE4</f>
        <v>Rupture Disc</v>
      </c>
      <c r="K1424" t="str">
        <f>'RD'!CF4</f>
        <v>0.5in-50000PSI</v>
      </c>
      <c r="L1424" t="str">
        <f>'RD'!CG4</f>
        <v>RD-50ZOO-1</v>
      </c>
      <c r="M1424">
        <f>'RD'!CH4</f>
        <v>0</v>
      </c>
      <c r="N1424">
        <f>'RD'!CI4</f>
        <v>0</v>
      </c>
      <c r="O1424">
        <f>'RD'!CJ4</f>
        <v>0</v>
      </c>
      <c r="P1424" s="143" t="str">
        <f>'RD'!CK4</f>
        <v>Active</v>
      </c>
      <c r="R1424">
        <f t="shared" si="22"/>
        <v>1423</v>
      </c>
    </row>
    <row r="1425" spans="5:18">
      <c r="E1425" s="147" t="s">
        <v>45</v>
      </c>
      <c r="F1425" t="str">
        <f>'RD'!CA5</f>
        <v>HPS</v>
      </c>
      <c r="G1425" t="str">
        <f>'RD'!CB5</f>
        <v>AC</v>
      </c>
      <c r="H1425" t="str">
        <f>'RD'!CC5</f>
        <v>Head</v>
      </c>
      <c r="I1425">
        <f>'RD'!CD5</f>
        <v>0</v>
      </c>
      <c r="J1425" t="str">
        <f>'RD'!CE5</f>
        <v>Rupture Disc</v>
      </c>
      <c r="K1425" t="str">
        <f>'RD'!CF5</f>
        <v>0.5in-65000PSI</v>
      </c>
      <c r="L1425" t="str">
        <f>'RD'!CG5</f>
        <v>RD-65ZOO-1</v>
      </c>
      <c r="M1425">
        <f>'RD'!CH5</f>
        <v>0</v>
      </c>
      <c r="N1425">
        <f>'RD'!CI5</f>
        <v>0</v>
      </c>
      <c r="O1425">
        <f>'RD'!CJ5</f>
        <v>0</v>
      </c>
      <c r="P1425" s="143" t="str">
        <f>'RD'!CK5</f>
        <v>Active</v>
      </c>
      <c r="R1425">
        <f t="shared" si="22"/>
        <v>1424</v>
      </c>
    </row>
    <row r="1426" spans="5:18">
      <c r="E1426" s="147" t="s">
        <v>45</v>
      </c>
      <c r="F1426" t="str">
        <f>'RD'!CA6</f>
        <v>HPS</v>
      </c>
      <c r="G1426" t="str">
        <f>'RD'!CB6</f>
        <v>AC</v>
      </c>
      <c r="H1426" t="str">
        <f>'RD'!CC6</f>
        <v>Head</v>
      </c>
      <c r="I1426">
        <f>'RD'!CD6</f>
        <v>0</v>
      </c>
      <c r="J1426" t="str">
        <f>'RD'!CE6</f>
        <v>Rupture Disc</v>
      </c>
      <c r="K1426" t="str">
        <f>'RD'!CF6</f>
        <v>0.5in-22500PSI</v>
      </c>
      <c r="L1426" t="str">
        <f>'RD'!CG6</f>
        <v>RD-22OSE-1</v>
      </c>
      <c r="M1426">
        <f>'RD'!CH6</f>
        <v>0</v>
      </c>
      <c r="N1426">
        <f>'RD'!CI6</f>
        <v>0</v>
      </c>
      <c r="O1426">
        <f>'RD'!CJ6</f>
        <v>0</v>
      </c>
      <c r="P1426" s="143" t="str">
        <f>'RD'!CK6</f>
        <v>Active</v>
      </c>
      <c r="R1426">
        <f t="shared" si="22"/>
        <v>1425</v>
      </c>
    </row>
    <row r="1427" spans="5:18">
      <c r="E1427" s="147" t="s">
        <v>45</v>
      </c>
      <c r="F1427" t="str">
        <f>'RD'!CA7</f>
        <v>HPS</v>
      </c>
      <c r="G1427" t="str">
        <f>'RD'!CB7</f>
        <v>AC</v>
      </c>
      <c r="H1427" t="str">
        <f>'RD'!CC7</f>
        <v>Head</v>
      </c>
      <c r="I1427">
        <f>'RD'!CD7</f>
        <v>0</v>
      </c>
      <c r="J1427" t="str">
        <f>'RD'!CE7</f>
        <v>Rupture Disc</v>
      </c>
      <c r="K1427" t="str">
        <f>'RD'!CF7</f>
        <v>0.5in-40000PSI</v>
      </c>
      <c r="L1427" t="str">
        <f>'RD'!CG7</f>
        <v>RD-40OSE-1</v>
      </c>
      <c r="M1427">
        <f>'RD'!CH7</f>
        <v>0</v>
      </c>
      <c r="N1427">
        <f>'RD'!CI7</f>
        <v>0</v>
      </c>
      <c r="O1427">
        <f>'RD'!CJ7</f>
        <v>0</v>
      </c>
      <c r="P1427" s="143" t="str">
        <f>'RD'!CK7</f>
        <v>Active</v>
      </c>
      <c r="R1427">
        <f t="shared" si="22"/>
        <v>1426</v>
      </c>
    </row>
    <row r="1428" spans="5:18">
      <c r="E1428" s="147" t="s">
        <v>45</v>
      </c>
      <c r="F1428" t="str">
        <f>'RD'!CA8</f>
        <v>HPS</v>
      </c>
      <c r="G1428" t="str">
        <f>'RD'!CB8</f>
        <v>AC</v>
      </c>
      <c r="H1428" t="str">
        <f>'RD'!CC8</f>
        <v>Head</v>
      </c>
      <c r="I1428">
        <f>'RD'!CD8</f>
        <v>0</v>
      </c>
      <c r="J1428" t="str">
        <f>'RD'!CE8</f>
        <v>Rupture Disc</v>
      </c>
      <c r="K1428" t="str">
        <f>'RD'!CF8</f>
        <v>0.5in-45000PSI</v>
      </c>
      <c r="L1428" t="str">
        <f>'RD'!CG8</f>
        <v>RD-45OSE-1</v>
      </c>
      <c r="M1428">
        <f>'RD'!CH8</f>
        <v>0</v>
      </c>
      <c r="N1428">
        <f>'RD'!CI8</f>
        <v>0</v>
      </c>
      <c r="O1428">
        <f>'RD'!CJ8</f>
        <v>0</v>
      </c>
      <c r="P1428" s="143" t="str">
        <f>'RD'!CK8</f>
        <v>Active</v>
      </c>
      <c r="R1428">
        <f t="shared" si="22"/>
        <v>1427</v>
      </c>
    </row>
    <row r="1429" spans="5:18">
      <c r="E1429" s="147" t="s">
        <v>45</v>
      </c>
      <c r="F1429" t="str">
        <f>'RD'!CA9</f>
        <v>HPS</v>
      </c>
      <c r="G1429" t="str">
        <f>'RD'!CB9</f>
        <v>AC</v>
      </c>
      <c r="H1429" t="str">
        <f>'RD'!CC9</f>
        <v>Head</v>
      </c>
      <c r="I1429">
        <f>'RD'!CD9</f>
        <v>0</v>
      </c>
      <c r="J1429" t="str">
        <f>'RD'!CE9</f>
        <v>Rupture Disc</v>
      </c>
      <c r="K1429" t="str">
        <f>'RD'!CF9</f>
        <v>0.5in-45000PSI</v>
      </c>
      <c r="L1429" t="str">
        <f>'RD'!CG9</f>
        <v>RD-45OSE-2</v>
      </c>
      <c r="M1429">
        <f>'RD'!CH9</f>
        <v>0</v>
      </c>
      <c r="N1429">
        <f>'RD'!CI9</f>
        <v>0</v>
      </c>
      <c r="O1429">
        <f>'RD'!CJ9</f>
        <v>0</v>
      </c>
      <c r="P1429" s="143" t="str">
        <f>'RD'!CK9</f>
        <v>Active</v>
      </c>
      <c r="R1429">
        <f t="shared" si="22"/>
        <v>1428</v>
      </c>
    </row>
    <row r="1430" spans="5:18">
      <c r="E1430" s="147" t="s">
        <v>45</v>
      </c>
      <c r="F1430" t="str">
        <f>'RD'!CA10</f>
        <v>HPS</v>
      </c>
      <c r="G1430" t="str">
        <f>'RD'!CB10</f>
        <v>AC</v>
      </c>
      <c r="H1430" t="str">
        <f>'RD'!CC10</f>
        <v>Head</v>
      </c>
      <c r="I1430">
        <f>'RD'!CD10</f>
        <v>0</v>
      </c>
      <c r="J1430" t="str">
        <f>'RD'!CE10</f>
        <v>Rupture Disc</v>
      </c>
      <c r="K1430" t="str">
        <f>'RD'!CF10</f>
        <v>0.5in-50000PSI</v>
      </c>
      <c r="L1430" t="str">
        <f>'RD'!CG10</f>
        <v>RD-50OSE-2</v>
      </c>
      <c r="M1430">
        <f>'RD'!CH10</f>
        <v>0</v>
      </c>
      <c r="N1430">
        <f>'RD'!CI10</f>
        <v>0</v>
      </c>
      <c r="O1430">
        <f>'RD'!CJ10</f>
        <v>0</v>
      </c>
      <c r="P1430" s="143" t="str">
        <f>'RD'!CK10</f>
        <v>Active</v>
      </c>
      <c r="R1430">
        <f t="shared" si="22"/>
        <v>1429</v>
      </c>
    </row>
    <row r="1431" spans="5:18">
      <c r="E1431" s="147" t="s">
        <v>45</v>
      </c>
      <c r="F1431" t="str">
        <f>'RD'!CA11</f>
        <v>HPS</v>
      </c>
      <c r="G1431" t="str">
        <f>'RD'!CB11</f>
        <v>AC</v>
      </c>
      <c r="H1431" t="str">
        <f>'RD'!CC11</f>
        <v>Head</v>
      </c>
      <c r="I1431">
        <f>'RD'!CD11</f>
        <v>0</v>
      </c>
      <c r="J1431" t="str">
        <f>'RD'!CE11</f>
        <v>Rupture Disc</v>
      </c>
      <c r="K1431" t="str">
        <f>'RD'!CF11</f>
        <v>0.5in-60000PSI</v>
      </c>
      <c r="L1431" t="str">
        <f>'RD'!CG11</f>
        <v>RD-60OSE-1</v>
      </c>
      <c r="M1431">
        <f>'RD'!CH11</f>
        <v>0</v>
      </c>
      <c r="N1431">
        <f>'RD'!CI11</f>
        <v>0</v>
      </c>
      <c r="O1431">
        <f>'RD'!CJ11</f>
        <v>0</v>
      </c>
      <c r="P1431" s="143" t="str">
        <f>'RD'!CK11</f>
        <v>Active</v>
      </c>
      <c r="R1431">
        <f t="shared" si="22"/>
        <v>1430</v>
      </c>
    </row>
    <row r="1432" spans="5:18">
      <c r="E1432" s="147" t="s">
        <v>45</v>
      </c>
      <c r="F1432" t="str">
        <f>'RD'!CA12</f>
        <v>HPS</v>
      </c>
      <c r="G1432" t="str">
        <f>'RD'!CB12</f>
        <v>AC</v>
      </c>
      <c r="H1432" t="str">
        <f>'RD'!CC12</f>
        <v>Head</v>
      </c>
      <c r="I1432">
        <f>'RD'!CD12</f>
        <v>0</v>
      </c>
      <c r="J1432" t="str">
        <f>'RD'!CE12</f>
        <v>Rupture Disc</v>
      </c>
      <c r="K1432" t="str">
        <f>'RD'!CF12</f>
        <v>0.5in-65000PSI</v>
      </c>
      <c r="L1432" t="str">
        <f>'RD'!CG12</f>
        <v>RD-65OSE-1</v>
      </c>
      <c r="M1432">
        <f>'RD'!CH12</f>
        <v>0</v>
      </c>
      <c r="N1432">
        <f>'RD'!CI12</f>
        <v>0</v>
      </c>
      <c r="O1432">
        <f>'RD'!CJ12</f>
        <v>0</v>
      </c>
      <c r="P1432" s="143" t="str">
        <f>'RD'!CK12</f>
        <v>Active</v>
      </c>
      <c r="R1432">
        <f t="shared" si="22"/>
        <v>1431</v>
      </c>
    </row>
    <row r="1433" spans="5:18">
      <c r="E1433" s="147" t="s">
        <v>45</v>
      </c>
      <c r="F1433" t="str">
        <f>'RD'!CA13</f>
        <v>HPS</v>
      </c>
      <c r="G1433" t="str">
        <f>'RD'!CB13</f>
        <v>AC</v>
      </c>
      <c r="H1433" t="str">
        <f>'RD'!CC13</f>
        <v>Head</v>
      </c>
      <c r="I1433">
        <f>'RD'!CD13</f>
        <v>0</v>
      </c>
      <c r="J1433" t="str">
        <f>'RD'!CE13</f>
        <v>Rupture Disc</v>
      </c>
      <c r="K1433" t="str">
        <f>'RD'!CF13</f>
        <v>0.5in-70000PSI</v>
      </c>
      <c r="L1433" t="str">
        <f>'RD'!CG13</f>
        <v>RD-70OSE-1</v>
      </c>
      <c r="M1433">
        <f>'RD'!CH13</f>
        <v>0</v>
      </c>
      <c r="N1433">
        <f>'RD'!CI13</f>
        <v>0</v>
      </c>
      <c r="O1433">
        <f>'RD'!CJ13</f>
        <v>0</v>
      </c>
      <c r="P1433" s="143" t="str">
        <f>'RD'!CK13</f>
        <v>Active</v>
      </c>
      <c r="R1433">
        <f t="shared" si="22"/>
        <v>1432</v>
      </c>
    </row>
    <row r="1434" spans="5:18">
      <c r="E1434" s="147" t="s">
        <v>45</v>
      </c>
      <c r="F1434" t="str">
        <f>'RD'!CA14</f>
        <v>HPS</v>
      </c>
      <c r="G1434" t="str">
        <f>'RD'!CB14</f>
        <v>AC</v>
      </c>
      <c r="H1434" t="str">
        <f>'RD'!CC14</f>
        <v>Head</v>
      </c>
      <c r="I1434">
        <f>'RD'!CD14</f>
        <v>0</v>
      </c>
      <c r="J1434" t="str">
        <f>'RD'!CE14</f>
        <v>Rupture Disc</v>
      </c>
      <c r="K1434" t="str">
        <f>'RD'!CF14</f>
        <v>0.75in-281PSI</v>
      </c>
      <c r="L1434" t="str">
        <f>'RD'!CG14</f>
        <v>RD-28OSE-1</v>
      </c>
      <c r="M1434">
        <f>'RD'!CH14</f>
        <v>0</v>
      </c>
      <c r="N1434">
        <f>'RD'!CI14</f>
        <v>0</v>
      </c>
      <c r="O1434">
        <f>'RD'!CJ14</f>
        <v>0</v>
      </c>
      <c r="P1434" s="143" t="str">
        <f>'RD'!CK14</f>
        <v>Active</v>
      </c>
      <c r="R1434">
        <f t="shared" si="22"/>
        <v>1433</v>
      </c>
    </row>
    <row r="1435" spans="5:18">
      <c r="E1435" s="147" t="s">
        <v>45</v>
      </c>
      <c r="F1435" t="str">
        <f>'RD'!CA15</f>
        <v>HPS</v>
      </c>
      <c r="G1435" t="str">
        <f>'RD'!CB15</f>
        <v>AC</v>
      </c>
      <c r="H1435" t="str">
        <f>'RD'!CC15</f>
        <v>Head</v>
      </c>
      <c r="I1435">
        <f>'RD'!CD15</f>
        <v>0</v>
      </c>
      <c r="J1435" t="str">
        <f>'RD'!CE15</f>
        <v>Rupture Disc</v>
      </c>
      <c r="K1435" t="str">
        <f>'RD'!CF15</f>
        <v>1.25in-277PSI</v>
      </c>
      <c r="L1435" t="str">
        <f>'RD'!CG15</f>
        <v>RD-27OSE-1</v>
      </c>
      <c r="M1435">
        <f>'RD'!CH15</f>
        <v>0</v>
      </c>
      <c r="N1435">
        <f>'RD'!CI15</f>
        <v>0</v>
      </c>
      <c r="O1435">
        <f>'RD'!CJ15</f>
        <v>0</v>
      </c>
      <c r="P1435" s="143" t="str">
        <f>'RD'!CK15</f>
        <v>Active</v>
      </c>
      <c r="R1435">
        <f t="shared" si="22"/>
        <v>1434</v>
      </c>
    </row>
    <row r="1436" spans="5:18">
      <c r="E1436" s="147" t="s">
        <v>45</v>
      </c>
      <c r="F1436" t="str">
        <f>'RD'!CA16</f>
        <v>HPS</v>
      </c>
      <c r="G1436" t="str">
        <f>'RD'!CB16</f>
        <v>AC</v>
      </c>
      <c r="H1436" t="str">
        <f>'RD'!CC16</f>
        <v>Head</v>
      </c>
      <c r="I1436">
        <f>'RD'!CD16</f>
        <v>0</v>
      </c>
      <c r="J1436">
        <f>'RD'!CE16</f>
        <v>0</v>
      </c>
      <c r="K1436" t="str">
        <f>'RD'!CF16</f>
        <v>in-PSI</v>
      </c>
      <c r="L1436">
        <f>'RD'!CG16</f>
        <v>0</v>
      </c>
      <c r="M1436">
        <f>'RD'!CH16</f>
        <v>0</v>
      </c>
      <c r="N1436">
        <f>'RD'!CI16</f>
        <v>0</v>
      </c>
      <c r="O1436">
        <f>'RD'!CJ16</f>
        <v>0</v>
      </c>
      <c r="P1436" s="143" t="str">
        <f>'RD'!CK16</f>
        <v/>
      </c>
      <c r="R1436">
        <f t="shared" si="22"/>
        <v>1435</v>
      </c>
    </row>
    <row r="1437" spans="5:18">
      <c r="E1437" s="147" t="s">
        <v>45</v>
      </c>
      <c r="F1437" t="str">
        <f>'RD'!CA17</f>
        <v>HPS</v>
      </c>
      <c r="G1437" t="str">
        <f>'RD'!CB17</f>
        <v>AC</v>
      </c>
      <c r="H1437" t="str">
        <f>'RD'!CC17</f>
        <v>Head</v>
      </c>
      <c r="I1437">
        <f>'RD'!CD17</f>
        <v>0</v>
      </c>
      <c r="J1437">
        <f>'RD'!CE17</f>
        <v>0</v>
      </c>
      <c r="K1437" t="str">
        <f>'RD'!CF17</f>
        <v>in-PSI</v>
      </c>
      <c r="L1437">
        <f>'RD'!CG17</f>
        <v>0</v>
      </c>
      <c r="M1437">
        <f>'RD'!CH17</f>
        <v>0</v>
      </c>
      <c r="N1437">
        <f>'RD'!CI17</f>
        <v>0</v>
      </c>
      <c r="O1437">
        <f>'RD'!CJ17</f>
        <v>0</v>
      </c>
      <c r="P1437" s="143" t="str">
        <f>'RD'!CK17</f>
        <v/>
      </c>
      <c r="R1437">
        <f t="shared" si="22"/>
        <v>1436</v>
      </c>
    </row>
    <row r="1438" spans="5:18">
      <c r="E1438" s="147" t="s">
        <v>45</v>
      </c>
      <c r="F1438" t="str">
        <f>'RD'!CA18</f>
        <v>HPS</v>
      </c>
      <c r="G1438" t="str">
        <f>'RD'!CB18</f>
        <v>AC</v>
      </c>
      <c r="H1438" t="str">
        <f>'RD'!CC18</f>
        <v>Head</v>
      </c>
      <c r="I1438">
        <f>'RD'!CD18</f>
        <v>0</v>
      </c>
      <c r="J1438">
        <f>'RD'!CE18</f>
        <v>0</v>
      </c>
      <c r="K1438" t="str">
        <f>'RD'!CF18</f>
        <v>in-PSI</v>
      </c>
      <c r="L1438">
        <f>'RD'!CG18</f>
        <v>0</v>
      </c>
      <c r="M1438">
        <f>'RD'!CH18</f>
        <v>0</v>
      </c>
      <c r="N1438">
        <f>'RD'!CI18</f>
        <v>0</v>
      </c>
      <c r="O1438">
        <f>'RD'!CJ18</f>
        <v>0</v>
      </c>
      <c r="P1438" s="143" t="str">
        <f>'RD'!CK18</f>
        <v/>
      </c>
      <c r="R1438">
        <f t="shared" si="22"/>
        <v>1437</v>
      </c>
    </row>
    <row r="1439" spans="5:18">
      <c r="E1439" s="147" t="s">
        <v>45</v>
      </c>
      <c r="F1439" t="str">
        <f>'RD'!CA19</f>
        <v>HPS</v>
      </c>
      <c r="G1439" t="str">
        <f>'RD'!CB19</f>
        <v>AC</v>
      </c>
      <c r="H1439" t="str">
        <f>'RD'!CC19</f>
        <v>Head</v>
      </c>
      <c r="I1439">
        <f>'RD'!CD19</f>
        <v>0</v>
      </c>
      <c r="J1439">
        <f>'RD'!CE19</f>
        <v>0</v>
      </c>
      <c r="K1439" t="str">
        <f>'RD'!CF19</f>
        <v>in-PSI</v>
      </c>
      <c r="L1439">
        <f>'RD'!CG19</f>
        <v>0</v>
      </c>
      <c r="M1439">
        <f>'RD'!CH19</f>
        <v>0</v>
      </c>
      <c r="N1439">
        <f>'RD'!CI19</f>
        <v>0</v>
      </c>
      <c r="O1439">
        <f>'RD'!CJ19</f>
        <v>0</v>
      </c>
      <c r="P1439" s="143" t="str">
        <f>'RD'!CK19</f>
        <v/>
      </c>
      <c r="R1439">
        <f t="shared" si="22"/>
        <v>1438</v>
      </c>
    </row>
    <row r="1440" spans="5:18">
      <c r="E1440" s="147" t="s">
        <v>45</v>
      </c>
      <c r="F1440" t="str">
        <f>'RD'!CA20</f>
        <v>HPS</v>
      </c>
      <c r="G1440" t="str">
        <f>'RD'!CB20</f>
        <v>AC</v>
      </c>
      <c r="H1440" t="str">
        <f>'RD'!CC20</f>
        <v>Head</v>
      </c>
      <c r="I1440">
        <f>'RD'!CD20</f>
        <v>0</v>
      </c>
      <c r="J1440">
        <f>'RD'!CE20</f>
        <v>0</v>
      </c>
      <c r="K1440" t="str">
        <f>'RD'!CF20</f>
        <v>in-PSI</v>
      </c>
      <c r="L1440">
        <f>'RD'!CG20</f>
        <v>0</v>
      </c>
      <c r="M1440">
        <f>'RD'!CH20</f>
        <v>0</v>
      </c>
      <c r="N1440">
        <f>'RD'!CI20</f>
        <v>0</v>
      </c>
      <c r="O1440">
        <f>'RD'!CJ20</f>
        <v>0</v>
      </c>
      <c r="P1440" s="143" t="str">
        <f>'RD'!CK20</f>
        <v/>
      </c>
      <c r="R1440">
        <f t="shared" si="22"/>
        <v>1439</v>
      </c>
    </row>
    <row r="1441" spans="5:18">
      <c r="E1441" s="147" t="s">
        <v>45</v>
      </c>
      <c r="F1441" t="str">
        <f>'RD'!CA21</f>
        <v>HPS</v>
      </c>
      <c r="G1441" t="str">
        <f>'RD'!CB21</f>
        <v>AC</v>
      </c>
      <c r="H1441" t="str">
        <f>'RD'!CC21</f>
        <v>Head</v>
      </c>
      <c r="I1441">
        <f>'RD'!CD21</f>
        <v>0</v>
      </c>
      <c r="J1441">
        <f>'RD'!CE21</f>
        <v>0</v>
      </c>
      <c r="K1441" t="str">
        <f>'RD'!CF21</f>
        <v>in-PSI</v>
      </c>
      <c r="L1441">
        <f>'RD'!CG21</f>
        <v>0</v>
      </c>
      <c r="M1441">
        <f>'RD'!CH21</f>
        <v>0</v>
      </c>
      <c r="N1441">
        <f>'RD'!CI21</f>
        <v>0</v>
      </c>
      <c r="O1441">
        <f>'RD'!CJ21</f>
        <v>0</v>
      </c>
      <c r="P1441" s="143" t="str">
        <f>'RD'!CK21</f>
        <v/>
      </c>
      <c r="R1441">
        <f t="shared" si="22"/>
        <v>1440</v>
      </c>
    </row>
    <row r="1442" spans="5:18">
      <c r="E1442" s="147" t="s">
        <v>45</v>
      </c>
      <c r="F1442" t="str">
        <f>'RD'!CA22</f>
        <v>HPS</v>
      </c>
      <c r="G1442" t="str">
        <f>'RD'!CB22</f>
        <v>AC</v>
      </c>
      <c r="H1442" t="str">
        <f>'RD'!CC22</f>
        <v>Head</v>
      </c>
      <c r="I1442">
        <f>'RD'!CD22</f>
        <v>0</v>
      </c>
      <c r="J1442">
        <f>'RD'!CE22</f>
        <v>0</v>
      </c>
      <c r="K1442" t="str">
        <f>'RD'!CF22</f>
        <v>in-PSI</v>
      </c>
      <c r="L1442">
        <f>'RD'!CG22</f>
        <v>0</v>
      </c>
      <c r="M1442">
        <f>'RD'!CH22</f>
        <v>0</v>
      </c>
      <c r="N1442">
        <f>'RD'!CI22</f>
        <v>0</v>
      </c>
      <c r="O1442">
        <f>'RD'!CJ22</f>
        <v>0</v>
      </c>
      <c r="P1442" s="143" t="str">
        <f>'RD'!CK22</f>
        <v/>
      </c>
      <c r="R1442">
        <f t="shared" si="22"/>
        <v>1441</v>
      </c>
    </row>
    <row r="1443" spans="5:18">
      <c r="E1443" s="147" t="s">
        <v>45</v>
      </c>
      <c r="F1443" t="str">
        <f>'RD'!CA23</f>
        <v>HPS</v>
      </c>
      <c r="G1443" t="str">
        <f>'RD'!CB23</f>
        <v>AC</v>
      </c>
      <c r="H1443" t="str">
        <f>'RD'!CC23</f>
        <v>Head</v>
      </c>
      <c r="I1443">
        <f>'RD'!CD23</f>
        <v>0</v>
      </c>
      <c r="J1443">
        <f>'RD'!CE23</f>
        <v>0</v>
      </c>
      <c r="K1443" t="str">
        <f>'RD'!CF23</f>
        <v>in-PSI</v>
      </c>
      <c r="L1443">
        <f>'RD'!CG23</f>
        <v>0</v>
      </c>
      <c r="M1443">
        <f>'RD'!CH23</f>
        <v>0</v>
      </c>
      <c r="N1443">
        <f>'RD'!CI23</f>
        <v>0</v>
      </c>
      <c r="O1443">
        <f>'RD'!CJ23</f>
        <v>0</v>
      </c>
      <c r="P1443" s="143" t="str">
        <f>'RD'!CK23</f>
        <v/>
      </c>
      <c r="R1443">
        <f t="shared" si="22"/>
        <v>1442</v>
      </c>
    </row>
    <row r="1444" spans="5:18">
      <c r="E1444" s="147" t="s">
        <v>45</v>
      </c>
      <c r="F1444" t="str">
        <f>'RD'!CA24</f>
        <v>HPS</v>
      </c>
      <c r="G1444" t="str">
        <f>'RD'!CB24</f>
        <v>AC</v>
      </c>
      <c r="H1444" t="str">
        <f>'RD'!CC24</f>
        <v>Head</v>
      </c>
      <c r="I1444">
        <f>'RD'!CD24</f>
        <v>0</v>
      </c>
      <c r="J1444">
        <f>'RD'!CE24</f>
        <v>0</v>
      </c>
      <c r="K1444" t="str">
        <f>'RD'!CF24</f>
        <v>in-PSI</v>
      </c>
      <c r="L1444">
        <f>'RD'!CG24</f>
        <v>0</v>
      </c>
      <c r="M1444">
        <f>'RD'!CH24</f>
        <v>0</v>
      </c>
      <c r="N1444">
        <f>'RD'!CI24</f>
        <v>0</v>
      </c>
      <c r="O1444">
        <f>'RD'!CJ24</f>
        <v>0</v>
      </c>
      <c r="P1444" s="143" t="str">
        <f>'RD'!CK24</f>
        <v/>
      </c>
      <c r="R1444">
        <f t="shared" si="22"/>
        <v>1443</v>
      </c>
    </row>
    <row r="1445" spans="5:18">
      <c r="E1445" s="147" t="s">
        <v>45</v>
      </c>
      <c r="F1445" t="str">
        <f>'RD'!CA25</f>
        <v>HPS</v>
      </c>
      <c r="G1445" t="str">
        <f>'RD'!CB25</f>
        <v>AC</v>
      </c>
      <c r="H1445" t="str">
        <f>'RD'!CC25</f>
        <v>Head</v>
      </c>
      <c r="I1445">
        <f>'RD'!CD25</f>
        <v>0</v>
      </c>
      <c r="J1445">
        <f>'RD'!CE25</f>
        <v>0</v>
      </c>
      <c r="K1445" t="str">
        <f>'RD'!CF25</f>
        <v>in-PSI</v>
      </c>
      <c r="L1445">
        <f>'RD'!CG25</f>
        <v>0</v>
      </c>
      <c r="M1445">
        <f>'RD'!CH25</f>
        <v>0</v>
      </c>
      <c r="N1445">
        <f>'RD'!CI25</f>
        <v>0</v>
      </c>
      <c r="O1445">
        <f>'RD'!CJ25</f>
        <v>0</v>
      </c>
      <c r="P1445" s="143" t="str">
        <f>'RD'!CK25</f>
        <v/>
      </c>
      <c r="R1445">
        <f t="shared" si="22"/>
        <v>1444</v>
      </c>
    </row>
    <row r="1446" spans="5:18">
      <c r="E1446" s="147" t="s">
        <v>45</v>
      </c>
      <c r="F1446" t="str">
        <f>'RD'!CA26</f>
        <v>HPS</v>
      </c>
      <c r="G1446" t="str">
        <f>'RD'!CB26</f>
        <v>AC</v>
      </c>
      <c r="H1446" t="str">
        <f>'RD'!CC26</f>
        <v>Head</v>
      </c>
      <c r="I1446">
        <f>'RD'!CD26</f>
        <v>0</v>
      </c>
      <c r="J1446">
        <f>'RD'!CE26</f>
        <v>0</v>
      </c>
      <c r="K1446" t="str">
        <f>'RD'!CF26</f>
        <v>in-PSI</v>
      </c>
      <c r="L1446">
        <f>'RD'!CG26</f>
        <v>0</v>
      </c>
      <c r="M1446">
        <f>'RD'!CH26</f>
        <v>0</v>
      </c>
      <c r="N1446">
        <f>'RD'!CI26</f>
        <v>0</v>
      </c>
      <c r="O1446">
        <f>'RD'!CJ26</f>
        <v>0</v>
      </c>
      <c r="P1446" s="143" t="str">
        <f>'RD'!CK26</f>
        <v/>
      </c>
      <c r="R1446">
        <f t="shared" si="22"/>
        <v>1445</v>
      </c>
    </row>
    <row r="1447" spans="5:18">
      <c r="E1447" s="147" t="s">
        <v>45</v>
      </c>
      <c r="F1447" t="str">
        <f>'RD'!CA27</f>
        <v>HPS</v>
      </c>
      <c r="G1447" t="str">
        <f>'RD'!CB27</f>
        <v>AC</v>
      </c>
      <c r="H1447" t="str">
        <f>'RD'!CC27</f>
        <v>Head</v>
      </c>
      <c r="I1447">
        <f>'RD'!CD27</f>
        <v>0</v>
      </c>
      <c r="J1447">
        <f>'RD'!CE27</f>
        <v>0</v>
      </c>
      <c r="K1447" t="str">
        <f>'RD'!CF27</f>
        <v>in-PSI</v>
      </c>
      <c r="L1447">
        <f>'RD'!CG27</f>
        <v>0</v>
      </c>
      <c r="M1447">
        <f>'RD'!CH27</f>
        <v>0</v>
      </c>
      <c r="N1447">
        <f>'RD'!CI27</f>
        <v>0</v>
      </c>
      <c r="O1447">
        <f>'RD'!CJ27</f>
        <v>0</v>
      </c>
      <c r="P1447" s="143" t="str">
        <f>'RD'!CK27</f>
        <v/>
      </c>
      <c r="R1447">
        <f t="shared" si="22"/>
        <v>1446</v>
      </c>
    </row>
    <row r="1448" spans="5:18">
      <c r="E1448" s="147" t="s">
        <v>45</v>
      </c>
      <c r="F1448" t="str">
        <f>'RD'!CA28</f>
        <v>HPS</v>
      </c>
      <c r="G1448" t="str">
        <f>'RD'!CB28</f>
        <v>AC</v>
      </c>
      <c r="H1448" t="str">
        <f>'RD'!CC28</f>
        <v>Head</v>
      </c>
      <c r="I1448">
        <f>'RD'!CD28</f>
        <v>0</v>
      </c>
      <c r="J1448">
        <f>'RD'!CE28</f>
        <v>0</v>
      </c>
      <c r="K1448" t="str">
        <f>'RD'!CF28</f>
        <v>in-PSI</v>
      </c>
      <c r="L1448">
        <f>'RD'!CG28</f>
        <v>0</v>
      </c>
      <c r="M1448">
        <f>'RD'!CH28</f>
        <v>0</v>
      </c>
      <c r="N1448">
        <f>'RD'!CI28</f>
        <v>0</v>
      </c>
      <c r="O1448">
        <f>'RD'!CJ28</f>
        <v>0</v>
      </c>
      <c r="P1448" s="143" t="str">
        <f>'RD'!CK28</f>
        <v/>
      </c>
      <c r="R1448">
        <f t="shared" si="22"/>
        <v>1447</v>
      </c>
    </row>
    <row r="1449" spans="5:18">
      <c r="E1449" s="147" t="s">
        <v>45</v>
      </c>
      <c r="F1449" t="str">
        <f>'RD'!CA29</f>
        <v>HPS</v>
      </c>
      <c r="G1449" t="str">
        <f>'RD'!CB29</f>
        <v>AC</v>
      </c>
      <c r="H1449" t="str">
        <f>'RD'!CC29</f>
        <v>Head</v>
      </c>
      <c r="I1449">
        <f>'RD'!CD29</f>
        <v>0</v>
      </c>
      <c r="J1449">
        <f>'RD'!CE29</f>
        <v>0</v>
      </c>
      <c r="K1449" t="str">
        <f>'RD'!CF29</f>
        <v>in-PSI</v>
      </c>
      <c r="L1449">
        <f>'RD'!CG29</f>
        <v>0</v>
      </c>
      <c r="M1449">
        <f>'RD'!CH29</f>
        <v>0</v>
      </c>
      <c r="N1449">
        <f>'RD'!CI29</f>
        <v>0</v>
      </c>
      <c r="O1449">
        <f>'RD'!CJ29</f>
        <v>0</v>
      </c>
      <c r="P1449" s="143" t="str">
        <f>'RD'!CK29</f>
        <v/>
      </c>
      <c r="R1449">
        <f t="shared" si="22"/>
        <v>1448</v>
      </c>
    </row>
    <row r="1450" spans="5:18">
      <c r="E1450" s="147" t="s">
        <v>45</v>
      </c>
      <c r="F1450" t="str">
        <f>'RD'!CA30</f>
        <v>HPS</v>
      </c>
      <c r="G1450" t="str">
        <f>'RD'!CB30</f>
        <v>AC</v>
      </c>
      <c r="H1450" t="str">
        <f>'RD'!CC30</f>
        <v>Head</v>
      </c>
      <c r="I1450">
        <f>'RD'!CD30</f>
        <v>0</v>
      </c>
      <c r="J1450">
        <f>'RD'!CE30</f>
        <v>0</v>
      </c>
      <c r="K1450" t="str">
        <f>'RD'!CF30</f>
        <v>in-PSI</v>
      </c>
      <c r="L1450">
        <f>'RD'!CG30</f>
        <v>0</v>
      </c>
      <c r="M1450">
        <f>'RD'!CH30</f>
        <v>0</v>
      </c>
      <c r="N1450">
        <f>'RD'!CI30</f>
        <v>0</v>
      </c>
      <c r="O1450">
        <f>'RD'!CJ30</f>
        <v>0</v>
      </c>
      <c r="P1450" s="143" t="str">
        <f>'RD'!CK30</f>
        <v/>
      </c>
      <c r="R1450">
        <f t="shared" si="22"/>
        <v>1449</v>
      </c>
    </row>
    <row r="1451" spans="5:18">
      <c r="E1451" s="147" t="s">
        <v>45</v>
      </c>
      <c r="F1451" t="str">
        <f>'RD'!CA31</f>
        <v>HPS</v>
      </c>
      <c r="G1451" t="str">
        <f>'RD'!CB31</f>
        <v>AC</v>
      </c>
      <c r="H1451" t="str">
        <f>'RD'!CC31</f>
        <v>Head</v>
      </c>
      <c r="I1451">
        <f>'RD'!CD31</f>
        <v>0</v>
      </c>
      <c r="J1451">
        <f>'RD'!CE31</f>
        <v>0</v>
      </c>
      <c r="K1451" t="str">
        <f>'RD'!CF31</f>
        <v>in-PSI</v>
      </c>
      <c r="L1451">
        <f>'RD'!CG31</f>
        <v>0</v>
      </c>
      <c r="M1451">
        <f>'RD'!CH31</f>
        <v>0</v>
      </c>
      <c r="N1451">
        <f>'RD'!CI31</f>
        <v>0</v>
      </c>
      <c r="O1451">
        <f>'RD'!CJ31</f>
        <v>0</v>
      </c>
      <c r="P1451" s="143" t="str">
        <f>'RD'!CK31</f>
        <v/>
      </c>
      <c r="R1451">
        <f t="shared" si="22"/>
        <v>1450</v>
      </c>
    </row>
    <row r="1452" spans="5:18">
      <c r="E1452" s="147" t="s">
        <v>45</v>
      </c>
      <c r="F1452" t="str">
        <f>'RD'!CA32</f>
        <v>HPS</v>
      </c>
      <c r="G1452" t="str">
        <f>'RD'!CB32</f>
        <v>AC</v>
      </c>
      <c r="H1452" t="str">
        <f>'RD'!CC32</f>
        <v>Head</v>
      </c>
      <c r="I1452">
        <f>'RD'!CD32</f>
        <v>0</v>
      </c>
      <c r="J1452">
        <f>'RD'!CE32</f>
        <v>0</v>
      </c>
      <c r="K1452" t="str">
        <f>'RD'!CF32</f>
        <v>in-PSI</v>
      </c>
      <c r="L1452">
        <f>'RD'!CG32</f>
        <v>0</v>
      </c>
      <c r="M1452">
        <f>'RD'!CH32</f>
        <v>0</v>
      </c>
      <c r="N1452">
        <f>'RD'!CI32</f>
        <v>0</v>
      </c>
      <c r="O1452">
        <f>'RD'!CJ32</f>
        <v>0</v>
      </c>
      <c r="P1452" s="143" t="str">
        <f>'RD'!CK32</f>
        <v/>
      </c>
      <c r="R1452">
        <f t="shared" si="22"/>
        <v>1451</v>
      </c>
    </row>
    <row r="1453" spans="5:18">
      <c r="E1453" s="147" t="s">
        <v>45</v>
      </c>
      <c r="F1453" t="str">
        <f>'RD'!CA33</f>
        <v>HPS</v>
      </c>
      <c r="G1453" t="str">
        <f>'RD'!CB33</f>
        <v>AC</v>
      </c>
      <c r="H1453" t="str">
        <f>'RD'!CC33</f>
        <v>Head</v>
      </c>
      <c r="I1453">
        <f>'RD'!CD33</f>
        <v>0</v>
      </c>
      <c r="J1453">
        <f>'RD'!CE33</f>
        <v>0</v>
      </c>
      <c r="K1453" t="str">
        <f>'RD'!CF33</f>
        <v>in-PSI</v>
      </c>
      <c r="L1453">
        <f>'RD'!CG33</f>
        <v>0</v>
      </c>
      <c r="M1453">
        <f>'RD'!CH33</f>
        <v>0</v>
      </c>
      <c r="N1453">
        <f>'RD'!CI33</f>
        <v>0</v>
      </c>
      <c r="O1453">
        <f>'RD'!CJ33</f>
        <v>0</v>
      </c>
      <c r="P1453" s="143" t="str">
        <f>'RD'!CK33</f>
        <v/>
      </c>
      <c r="R1453">
        <f t="shared" si="22"/>
        <v>1452</v>
      </c>
    </row>
    <row r="1454" spans="5:18">
      <c r="E1454" s="147" t="s">
        <v>45</v>
      </c>
      <c r="F1454" t="str">
        <f>'RD'!CA34</f>
        <v>HPS</v>
      </c>
      <c r="G1454" t="str">
        <f>'RD'!CB34</f>
        <v>AC</v>
      </c>
      <c r="H1454" t="str">
        <f>'RD'!CC34</f>
        <v>Head</v>
      </c>
      <c r="I1454">
        <f>'RD'!CD34</f>
        <v>0</v>
      </c>
      <c r="J1454">
        <f>'RD'!CE34</f>
        <v>0</v>
      </c>
      <c r="K1454" t="str">
        <f>'RD'!CF34</f>
        <v>in-PSI</v>
      </c>
      <c r="L1454">
        <f>'RD'!CG34</f>
        <v>0</v>
      </c>
      <c r="M1454">
        <f>'RD'!CH34</f>
        <v>0</v>
      </c>
      <c r="N1454">
        <f>'RD'!CI34</f>
        <v>0</v>
      </c>
      <c r="O1454">
        <f>'RD'!CJ34</f>
        <v>0</v>
      </c>
      <c r="P1454" s="143" t="str">
        <f>'RD'!CK34</f>
        <v/>
      </c>
      <c r="R1454">
        <f t="shared" si="22"/>
        <v>1453</v>
      </c>
    </row>
    <row r="1455" spans="5:18">
      <c r="E1455" s="147" t="s">
        <v>45</v>
      </c>
      <c r="F1455" t="str">
        <f>'RD'!CA35</f>
        <v>HPS</v>
      </c>
      <c r="G1455" t="str">
        <f>'RD'!CB35</f>
        <v>AC</v>
      </c>
      <c r="H1455" t="str">
        <f>'RD'!CC35</f>
        <v>Head</v>
      </c>
      <c r="I1455">
        <f>'RD'!CD35</f>
        <v>0</v>
      </c>
      <c r="J1455">
        <f>'RD'!CE35</f>
        <v>0</v>
      </c>
      <c r="K1455" t="str">
        <f>'RD'!CF35</f>
        <v>in-PSI</v>
      </c>
      <c r="L1455">
        <f>'RD'!CG35</f>
        <v>0</v>
      </c>
      <c r="M1455">
        <f>'RD'!CH35</f>
        <v>0</v>
      </c>
      <c r="N1455">
        <f>'RD'!CI35</f>
        <v>0</v>
      </c>
      <c r="O1455">
        <f>'RD'!CJ35</f>
        <v>0</v>
      </c>
      <c r="P1455" s="143" t="str">
        <f>'RD'!CK35</f>
        <v/>
      </c>
      <c r="R1455">
        <f t="shared" si="22"/>
        <v>1454</v>
      </c>
    </row>
    <row r="1456" spans="5:18">
      <c r="E1456" s="147" t="s">
        <v>45</v>
      </c>
      <c r="F1456" t="str">
        <f>'RD'!CA36</f>
        <v>HPS</v>
      </c>
      <c r="G1456" t="str">
        <f>'RD'!CB36</f>
        <v>AC</v>
      </c>
      <c r="H1456" t="str">
        <f>'RD'!CC36</f>
        <v>Head</v>
      </c>
      <c r="I1456">
        <f>'RD'!CD36</f>
        <v>0</v>
      </c>
      <c r="J1456">
        <f>'RD'!CE36</f>
        <v>0</v>
      </c>
      <c r="K1456" t="str">
        <f>'RD'!CF36</f>
        <v>in-PSI</v>
      </c>
      <c r="L1456">
        <f>'RD'!CG36</f>
        <v>0</v>
      </c>
      <c r="M1456">
        <f>'RD'!CH36</f>
        <v>0</v>
      </c>
      <c r="N1456">
        <f>'RD'!CI36</f>
        <v>0</v>
      </c>
      <c r="O1456">
        <f>'RD'!CJ36</f>
        <v>0</v>
      </c>
      <c r="P1456" s="143" t="str">
        <f>'RD'!CK36</f>
        <v/>
      </c>
      <c r="R1456">
        <f t="shared" si="22"/>
        <v>1455</v>
      </c>
    </row>
    <row r="1457" spans="5:18">
      <c r="E1457" s="147" t="s">
        <v>45</v>
      </c>
      <c r="F1457" t="str">
        <f>'RD'!CA37</f>
        <v>HPS</v>
      </c>
      <c r="G1457" t="str">
        <f>'RD'!CB37</f>
        <v>AC</v>
      </c>
      <c r="H1457" t="str">
        <f>'RD'!CC37</f>
        <v>Head</v>
      </c>
      <c r="I1457">
        <f>'RD'!CD37</f>
        <v>0</v>
      </c>
      <c r="J1457">
        <f>'RD'!CE37</f>
        <v>0</v>
      </c>
      <c r="K1457" t="str">
        <f>'RD'!CF37</f>
        <v>in-PSI</v>
      </c>
      <c r="L1457">
        <f>'RD'!CG37</f>
        <v>0</v>
      </c>
      <c r="M1457">
        <f>'RD'!CH37</f>
        <v>0</v>
      </c>
      <c r="N1457">
        <f>'RD'!CI37</f>
        <v>0</v>
      </c>
      <c r="O1457">
        <f>'RD'!CJ37</f>
        <v>0</v>
      </c>
      <c r="P1457" s="143" t="str">
        <f>'RD'!CK37</f>
        <v/>
      </c>
      <c r="R1457">
        <f t="shared" si="22"/>
        <v>1456</v>
      </c>
    </row>
    <row r="1458" spans="5:18">
      <c r="E1458" s="147" t="s">
        <v>45</v>
      </c>
      <c r="F1458" t="str">
        <f>'RD'!CA38</f>
        <v>HPS</v>
      </c>
      <c r="G1458" t="str">
        <f>'RD'!CB38</f>
        <v>AC</v>
      </c>
      <c r="H1458" t="str">
        <f>'RD'!CC38</f>
        <v>Head</v>
      </c>
      <c r="I1458">
        <f>'RD'!CD38</f>
        <v>0</v>
      </c>
      <c r="J1458">
        <f>'RD'!CE38</f>
        <v>0</v>
      </c>
      <c r="K1458" t="str">
        <f>'RD'!CF38</f>
        <v>in-PSI</v>
      </c>
      <c r="L1458">
        <f>'RD'!CG38</f>
        <v>0</v>
      </c>
      <c r="M1458">
        <f>'RD'!CH38</f>
        <v>0</v>
      </c>
      <c r="N1458">
        <f>'RD'!CI38</f>
        <v>0</v>
      </c>
      <c r="O1458">
        <f>'RD'!CJ38</f>
        <v>0</v>
      </c>
      <c r="P1458" s="143" t="str">
        <f>'RD'!CK38</f>
        <v/>
      </c>
      <c r="R1458">
        <f t="shared" si="22"/>
        <v>1457</v>
      </c>
    </row>
    <row r="1459" spans="5:18">
      <c r="E1459" s="147" t="s">
        <v>45</v>
      </c>
      <c r="F1459" t="str">
        <f>'RD'!CA39</f>
        <v>HPS</v>
      </c>
      <c r="G1459" t="str">
        <f>'RD'!CB39</f>
        <v>AC</v>
      </c>
      <c r="H1459" t="str">
        <f>'RD'!CC39</f>
        <v>Head</v>
      </c>
      <c r="I1459">
        <f>'RD'!CD39</f>
        <v>0</v>
      </c>
      <c r="J1459">
        <f>'RD'!CE39</f>
        <v>0</v>
      </c>
      <c r="K1459" t="str">
        <f>'RD'!CF39</f>
        <v>in-PSI</v>
      </c>
      <c r="L1459">
        <f>'RD'!CG39</f>
        <v>0</v>
      </c>
      <c r="M1459">
        <f>'RD'!CH39</f>
        <v>0</v>
      </c>
      <c r="N1459">
        <f>'RD'!CI39</f>
        <v>0</v>
      </c>
      <c r="O1459">
        <f>'RD'!CJ39</f>
        <v>0</v>
      </c>
      <c r="P1459" s="143" t="str">
        <f>'RD'!CK39</f>
        <v/>
      </c>
      <c r="R1459">
        <f t="shared" si="22"/>
        <v>1458</v>
      </c>
    </row>
    <row r="1460" spans="5:18">
      <c r="E1460" s="147" t="s">
        <v>45</v>
      </c>
      <c r="F1460" t="str">
        <f>'RD'!CA40</f>
        <v>HPS</v>
      </c>
      <c r="G1460" t="str">
        <f>'RD'!CB40</f>
        <v>AC</v>
      </c>
      <c r="H1460" t="str">
        <f>'RD'!CC40</f>
        <v>Head</v>
      </c>
      <c r="I1460">
        <f>'RD'!CD40</f>
        <v>0</v>
      </c>
      <c r="J1460">
        <f>'RD'!CE40</f>
        <v>0</v>
      </c>
      <c r="K1460" t="str">
        <f>'RD'!CF40</f>
        <v>in-PSI</v>
      </c>
      <c r="L1460">
        <f>'RD'!CG40</f>
        <v>0</v>
      </c>
      <c r="M1460">
        <f>'RD'!CH40</f>
        <v>0</v>
      </c>
      <c r="N1460">
        <f>'RD'!CI40</f>
        <v>0</v>
      </c>
      <c r="O1460">
        <f>'RD'!CJ40</f>
        <v>0</v>
      </c>
      <c r="P1460" s="143" t="str">
        <f>'RD'!CK40</f>
        <v/>
      </c>
      <c r="R1460">
        <f t="shared" si="22"/>
        <v>1459</v>
      </c>
    </row>
    <row r="1461" spans="5:18">
      <c r="E1461" s="147" t="s">
        <v>45</v>
      </c>
      <c r="F1461" t="str">
        <f>'RD'!CA41</f>
        <v>HPS</v>
      </c>
      <c r="G1461" t="str">
        <f>'RD'!CB41</f>
        <v>AC</v>
      </c>
      <c r="H1461" t="str">
        <f>'RD'!CC41</f>
        <v>Head</v>
      </c>
      <c r="I1461">
        <f>'RD'!CD41</f>
        <v>0</v>
      </c>
      <c r="J1461">
        <f>'RD'!CE41</f>
        <v>0</v>
      </c>
      <c r="K1461" t="str">
        <f>'RD'!CF41</f>
        <v>in-PSI</v>
      </c>
      <c r="L1461">
        <f>'RD'!CG41</f>
        <v>0</v>
      </c>
      <c r="M1461">
        <f>'RD'!CH41</f>
        <v>0</v>
      </c>
      <c r="N1461">
        <f>'RD'!CI41</f>
        <v>0</v>
      </c>
      <c r="O1461">
        <f>'RD'!CJ41</f>
        <v>0</v>
      </c>
      <c r="P1461" s="143" t="str">
        <f>'RD'!CK41</f>
        <v/>
      </c>
      <c r="R1461">
        <f t="shared" si="22"/>
        <v>1460</v>
      </c>
    </row>
    <row r="1462" spans="5:18">
      <c r="E1462" s="147" t="s">
        <v>45</v>
      </c>
      <c r="F1462" t="str">
        <f>'RD'!CA42</f>
        <v>HPS</v>
      </c>
      <c r="G1462" t="str">
        <f>'RD'!CB42</f>
        <v>AC</v>
      </c>
      <c r="H1462" t="str">
        <f>'RD'!CC42</f>
        <v>Head</v>
      </c>
      <c r="I1462">
        <f>'RD'!CD42</f>
        <v>0</v>
      </c>
      <c r="J1462">
        <f>'RD'!CE42</f>
        <v>0</v>
      </c>
      <c r="K1462" t="str">
        <f>'RD'!CF42</f>
        <v>in-PSI</v>
      </c>
      <c r="L1462">
        <f>'RD'!CG42</f>
        <v>0</v>
      </c>
      <c r="M1462">
        <f>'RD'!CH42</f>
        <v>0</v>
      </c>
      <c r="N1462">
        <f>'RD'!CI42</f>
        <v>0</v>
      </c>
      <c r="O1462">
        <f>'RD'!CJ42</f>
        <v>0</v>
      </c>
      <c r="P1462" s="143" t="str">
        <f>'RD'!CK42</f>
        <v/>
      </c>
      <c r="R1462">
        <f t="shared" si="22"/>
        <v>1461</v>
      </c>
    </row>
    <row r="1463" spans="5:18">
      <c r="E1463" s="147" t="s">
        <v>45</v>
      </c>
      <c r="F1463" t="str">
        <f>'RD'!CA43</f>
        <v>HPS</v>
      </c>
      <c r="G1463" t="str">
        <f>'RD'!CB43</f>
        <v>AC</v>
      </c>
      <c r="H1463" t="str">
        <f>'RD'!CC43</f>
        <v>Head</v>
      </c>
      <c r="I1463">
        <f>'RD'!CD43</f>
        <v>0</v>
      </c>
      <c r="J1463">
        <f>'RD'!CE43</f>
        <v>0</v>
      </c>
      <c r="K1463" t="str">
        <f>'RD'!CF43</f>
        <v>in-PSI</v>
      </c>
      <c r="L1463">
        <f>'RD'!CG43</f>
        <v>0</v>
      </c>
      <c r="M1463">
        <f>'RD'!CH43</f>
        <v>0</v>
      </c>
      <c r="N1463">
        <f>'RD'!CI43</f>
        <v>0</v>
      </c>
      <c r="O1463">
        <f>'RD'!CJ43</f>
        <v>0</v>
      </c>
      <c r="P1463" s="143" t="str">
        <f>'RD'!CK43</f>
        <v/>
      </c>
      <c r="R1463">
        <f t="shared" si="22"/>
        <v>1462</v>
      </c>
    </row>
    <row r="1464" spans="5:18">
      <c r="E1464" s="147" t="s">
        <v>45</v>
      </c>
      <c r="F1464" t="str">
        <f>'RD'!CA44</f>
        <v>HPS</v>
      </c>
      <c r="G1464" t="str">
        <f>'RD'!CB44</f>
        <v>AC</v>
      </c>
      <c r="H1464" t="str">
        <f>'RD'!CC44</f>
        <v>Head</v>
      </c>
      <c r="I1464">
        <f>'RD'!CD44</f>
        <v>0</v>
      </c>
      <c r="J1464">
        <f>'RD'!CE44</f>
        <v>0</v>
      </c>
      <c r="K1464" t="str">
        <f>'RD'!CF44</f>
        <v>in-PSI</v>
      </c>
      <c r="L1464">
        <f>'RD'!CG44</f>
        <v>0</v>
      </c>
      <c r="M1464">
        <f>'RD'!CH44</f>
        <v>0</v>
      </c>
      <c r="N1464">
        <f>'RD'!CI44</f>
        <v>0</v>
      </c>
      <c r="O1464">
        <f>'RD'!CJ44</f>
        <v>0</v>
      </c>
      <c r="P1464" s="143" t="str">
        <f>'RD'!CK44</f>
        <v/>
      </c>
      <c r="R1464">
        <f t="shared" si="22"/>
        <v>1463</v>
      </c>
    </row>
    <row r="1465" spans="5:18">
      <c r="E1465" s="147" t="s">
        <v>45</v>
      </c>
      <c r="F1465" t="str">
        <f>'RD'!CA45</f>
        <v>HPS</v>
      </c>
      <c r="G1465" t="str">
        <f>'RD'!CB45</f>
        <v>AC</v>
      </c>
      <c r="H1465" t="str">
        <f>'RD'!CC45</f>
        <v>Head</v>
      </c>
      <c r="I1465">
        <f>'RD'!CD45</f>
        <v>0</v>
      </c>
      <c r="J1465">
        <f>'RD'!CE45</f>
        <v>0</v>
      </c>
      <c r="K1465" t="str">
        <f>'RD'!CF45</f>
        <v>in-PSI</v>
      </c>
      <c r="L1465">
        <f>'RD'!CG45</f>
        <v>0</v>
      </c>
      <c r="M1465">
        <f>'RD'!CH45</f>
        <v>0</v>
      </c>
      <c r="N1465">
        <f>'RD'!CI45</f>
        <v>0</v>
      </c>
      <c r="O1465">
        <f>'RD'!CJ45</f>
        <v>0</v>
      </c>
      <c r="P1465" s="143" t="str">
        <f>'RD'!CK45</f>
        <v/>
      </c>
      <c r="R1465">
        <f t="shared" si="22"/>
        <v>1464</v>
      </c>
    </row>
    <row r="1466" spans="5:18">
      <c r="E1466" s="147" t="s">
        <v>45</v>
      </c>
      <c r="F1466" t="str">
        <f>'RD'!CA46</f>
        <v>HPS</v>
      </c>
      <c r="G1466" t="str">
        <f>'RD'!CB46</f>
        <v>AC</v>
      </c>
      <c r="H1466" t="str">
        <f>'RD'!CC46</f>
        <v>Head</v>
      </c>
      <c r="I1466">
        <f>'RD'!CD46</f>
        <v>0</v>
      </c>
      <c r="J1466">
        <f>'RD'!CE46</f>
        <v>0</v>
      </c>
      <c r="K1466" t="str">
        <f>'RD'!CF46</f>
        <v>in-PSI</v>
      </c>
      <c r="L1466">
        <f>'RD'!CG46</f>
        <v>0</v>
      </c>
      <c r="M1466">
        <f>'RD'!CH46</f>
        <v>0</v>
      </c>
      <c r="N1466">
        <f>'RD'!CI46</f>
        <v>0</v>
      </c>
      <c r="O1466">
        <f>'RD'!CJ46</f>
        <v>0</v>
      </c>
      <c r="P1466" s="143" t="str">
        <f>'RD'!CK46</f>
        <v/>
      </c>
      <c r="R1466">
        <f t="shared" si="22"/>
        <v>1465</v>
      </c>
    </row>
    <row r="1467" spans="5:18">
      <c r="E1467" s="147" t="s">
        <v>45</v>
      </c>
      <c r="F1467" t="str">
        <f>'RD'!CA47</f>
        <v>HPS</v>
      </c>
      <c r="G1467" t="str">
        <f>'RD'!CB47</f>
        <v>AC</v>
      </c>
      <c r="H1467" t="str">
        <f>'RD'!CC47</f>
        <v>Head</v>
      </c>
      <c r="I1467">
        <f>'RD'!CD47</f>
        <v>0</v>
      </c>
      <c r="J1467">
        <f>'RD'!CE47</f>
        <v>0</v>
      </c>
      <c r="K1467" t="str">
        <f>'RD'!CF47</f>
        <v>in-PSI</v>
      </c>
      <c r="L1467">
        <f>'RD'!CG47</f>
        <v>0</v>
      </c>
      <c r="M1467">
        <f>'RD'!CH47</f>
        <v>0</v>
      </c>
      <c r="N1467">
        <f>'RD'!CI47</f>
        <v>0</v>
      </c>
      <c r="O1467">
        <f>'RD'!CJ47</f>
        <v>0</v>
      </c>
      <c r="P1467" s="143" t="str">
        <f>'RD'!CK47</f>
        <v/>
      </c>
      <c r="R1467">
        <f t="shared" si="22"/>
        <v>1466</v>
      </c>
    </row>
    <row r="1468" spans="5:18">
      <c r="E1468" s="147" t="s">
        <v>45</v>
      </c>
      <c r="F1468" t="str">
        <f>'RD'!CA48</f>
        <v>HPS</v>
      </c>
      <c r="G1468" t="str">
        <f>'RD'!CB48</f>
        <v>AC</v>
      </c>
      <c r="H1468" t="str">
        <f>'RD'!CC48</f>
        <v>Head</v>
      </c>
      <c r="I1468">
        <f>'RD'!CD48</f>
        <v>0</v>
      </c>
      <c r="J1468">
        <f>'RD'!CE48</f>
        <v>0</v>
      </c>
      <c r="K1468" t="str">
        <f>'RD'!CF48</f>
        <v>in-PSI</v>
      </c>
      <c r="L1468">
        <f>'RD'!CG48</f>
        <v>0</v>
      </c>
      <c r="M1468">
        <f>'RD'!CH48</f>
        <v>0</v>
      </c>
      <c r="N1468">
        <f>'RD'!CI48</f>
        <v>0</v>
      </c>
      <c r="O1468">
        <f>'RD'!CJ48</f>
        <v>0</v>
      </c>
      <c r="P1468" s="143" t="str">
        <f>'RD'!CK48</f>
        <v/>
      </c>
      <c r="R1468">
        <f t="shared" si="22"/>
        <v>1467</v>
      </c>
    </row>
    <row r="1469" spans="5:18">
      <c r="E1469" s="147" t="s">
        <v>45</v>
      </c>
      <c r="F1469" t="str">
        <f>'RD'!CA49</f>
        <v>HPS</v>
      </c>
      <c r="G1469" t="str">
        <f>'RD'!CB49</f>
        <v>AC</v>
      </c>
      <c r="H1469" t="str">
        <f>'RD'!CC49</f>
        <v>Head</v>
      </c>
      <c r="I1469">
        <f>'RD'!CD49</f>
        <v>0</v>
      </c>
      <c r="J1469">
        <f>'RD'!CE49</f>
        <v>0</v>
      </c>
      <c r="K1469" t="str">
        <f>'RD'!CF49</f>
        <v>in-PSI</v>
      </c>
      <c r="L1469">
        <f>'RD'!CG49</f>
        <v>0</v>
      </c>
      <c r="M1469">
        <f>'RD'!CH49</f>
        <v>0</v>
      </c>
      <c r="N1469">
        <f>'RD'!CI49</f>
        <v>0</v>
      </c>
      <c r="O1469">
        <f>'RD'!CJ49</f>
        <v>0</v>
      </c>
      <c r="P1469" s="143" t="str">
        <f>'RD'!CK49</f>
        <v/>
      </c>
      <c r="R1469">
        <f t="shared" si="22"/>
        <v>1468</v>
      </c>
    </row>
    <row r="1470" spans="5:18">
      <c r="E1470" s="147" t="s">
        <v>45</v>
      </c>
      <c r="F1470" t="str">
        <f>'RD'!CA50</f>
        <v>HPS</v>
      </c>
      <c r="G1470" t="str">
        <f>'RD'!CB50</f>
        <v>AC</v>
      </c>
      <c r="H1470" t="str">
        <f>'RD'!CC50</f>
        <v>Head</v>
      </c>
      <c r="I1470">
        <f>'RD'!CD50</f>
        <v>0</v>
      </c>
      <c r="J1470">
        <f>'RD'!CE50</f>
        <v>0</v>
      </c>
      <c r="K1470" t="str">
        <f>'RD'!CF50</f>
        <v>in-PSI</v>
      </c>
      <c r="L1470">
        <f>'RD'!CG50</f>
        <v>0</v>
      </c>
      <c r="M1470">
        <f>'RD'!CH50</f>
        <v>0</v>
      </c>
      <c r="N1470">
        <f>'RD'!CI50</f>
        <v>0</v>
      </c>
      <c r="O1470">
        <f>'RD'!CJ50</f>
        <v>0</v>
      </c>
      <c r="P1470" s="143" t="str">
        <f>'RD'!CK50</f>
        <v/>
      </c>
      <c r="R1470">
        <f t="shared" si="22"/>
        <v>1469</v>
      </c>
    </row>
    <row r="1471" spans="5:18">
      <c r="E1471" s="147" t="s">
        <v>45</v>
      </c>
      <c r="F1471" t="str">
        <f>'RD'!CA51</f>
        <v>HPS</v>
      </c>
      <c r="G1471" t="str">
        <f>'RD'!CB51</f>
        <v>AC</v>
      </c>
      <c r="H1471" t="str">
        <f>'RD'!CC51</f>
        <v>Head</v>
      </c>
      <c r="I1471">
        <f>'RD'!CD51</f>
        <v>0</v>
      </c>
      <c r="J1471">
        <f>'RD'!CE51</f>
        <v>0</v>
      </c>
      <c r="K1471" t="str">
        <f>'RD'!CF51</f>
        <v>in-PSI</v>
      </c>
      <c r="L1471">
        <f>'RD'!CG51</f>
        <v>0</v>
      </c>
      <c r="M1471">
        <f>'RD'!CH51</f>
        <v>0</v>
      </c>
      <c r="N1471">
        <f>'RD'!CI51</f>
        <v>0</v>
      </c>
      <c r="O1471">
        <f>'RD'!CJ51</f>
        <v>0</v>
      </c>
      <c r="P1471" s="143" t="str">
        <f>'RD'!CK51</f>
        <v/>
      </c>
      <c r="R1471">
        <f t="shared" si="22"/>
        <v>1470</v>
      </c>
    </row>
    <row r="1472" spans="5:18">
      <c r="E1472" s="147" t="s">
        <v>45</v>
      </c>
      <c r="F1472" t="str">
        <f>'RD'!CA52</f>
        <v>HPS</v>
      </c>
      <c r="G1472" t="str">
        <f>'RD'!CB52</f>
        <v>AC</v>
      </c>
      <c r="H1472" t="str">
        <f>'RD'!CC52</f>
        <v>Head</v>
      </c>
      <c r="I1472">
        <f>'RD'!CD52</f>
        <v>0</v>
      </c>
      <c r="J1472">
        <f>'RD'!CE52</f>
        <v>0</v>
      </c>
      <c r="K1472" t="str">
        <f>'RD'!CF52</f>
        <v>in-PSI</v>
      </c>
      <c r="L1472">
        <f>'RD'!CG52</f>
        <v>0</v>
      </c>
      <c r="M1472">
        <f>'RD'!CH52</f>
        <v>0</v>
      </c>
      <c r="N1472">
        <f>'RD'!CI52</f>
        <v>0</v>
      </c>
      <c r="O1472">
        <f>'RD'!CJ52</f>
        <v>0</v>
      </c>
      <c r="P1472" s="143" t="str">
        <f>'RD'!CK52</f>
        <v/>
      </c>
      <c r="R1472">
        <f t="shared" si="22"/>
        <v>1471</v>
      </c>
    </row>
    <row r="1473" spans="5:18">
      <c r="E1473" s="147" t="s">
        <v>45</v>
      </c>
      <c r="F1473" t="str">
        <f>'RD'!CA53</f>
        <v>HPS</v>
      </c>
      <c r="G1473" t="str">
        <f>'RD'!CB53</f>
        <v>AC</v>
      </c>
      <c r="H1473" t="str">
        <f>'RD'!CC53</f>
        <v>Head</v>
      </c>
      <c r="I1473">
        <f>'RD'!CD53</f>
        <v>0</v>
      </c>
      <c r="J1473">
        <f>'RD'!CE53</f>
        <v>0</v>
      </c>
      <c r="K1473" t="str">
        <f>'RD'!CF53</f>
        <v>in-PSI</v>
      </c>
      <c r="L1473">
        <f>'RD'!CG53</f>
        <v>0</v>
      </c>
      <c r="M1473">
        <f>'RD'!CH53</f>
        <v>0</v>
      </c>
      <c r="N1473">
        <f>'RD'!CI53</f>
        <v>0</v>
      </c>
      <c r="O1473">
        <f>'RD'!CJ53</f>
        <v>0</v>
      </c>
      <c r="P1473" s="143" t="str">
        <f>'RD'!CK53</f>
        <v/>
      </c>
      <c r="R1473">
        <f t="shared" si="22"/>
        <v>1472</v>
      </c>
    </row>
    <row r="1474" spans="5:18">
      <c r="E1474" s="147" t="s">
        <v>45</v>
      </c>
      <c r="F1474" t="str">
        <f>'RD'!CA54</f>
        <v>HPS</v>
      </c>
      <c r="G1474" t="str">
        <f>'RD'!CB54</f>
        <v>AC</v>
      </c>
      <c r="H1474" t="str">
        <f>'RD'!CC54</f>
        <v>Head</v>
      </c>
      <c r="I1474">
        <f>'RD'!CD54</f>
        <v>0</v>
      </c>
      <c r="J1474">
        <f>'RD'!CE54</f>
        <v>0</v>
      </c>
      <c r="K1474" t="str">
        <f>'RD'!CF54</f>
        <v>in-PSI</v>
      </c>
      <c r="L1474">
        <f>'RD'!CG54</f>
        <v>0</v>
      </c>
      <c r="M1474">
        <f>'RD'!CH54</f>
        <v>0</v>
      </c>
      <c r="N1474">
        <f>'RD'!CI54</f>
        <v>0</v>
      </c>
      <c r="O1474">
        <f>'RD'!CJ54</f>
        <v>0</v>
      </c>
      <c r="P1474" s="143" t="str">
        <f>'RD'!CK54</f>
        <v/>
      </c>
      <c r="R1474">
        <f t="shared" si="22"/>
        <v>1473</v>
      </c>
    </row>
    <row r="1475" spans="5:18">
      <c r="E1475" s="147" t="s">
        <v>45</v>
      </c>
      <c r="F1475" t="str">
        <f>'RD'!CA55</f>
        <v>HPS</v>
      </c>
      <c r="G1475" t="str">
        <f>'RD'!CB55</f>
        <v>AC</v>
      </c>
      <c r="H1475" t="str">
        <f>'RD'!CC55</f>
        <v>Head</v>
      </c>
      <c r="I1475">
        <f>'RD'!CD55</f>
        <v>0</v>
      </c>
      <c r="J1475">
        <f>'RD'!CE55</f>
        <v>0</v>
      </c>
      <c r="K1475" t="str">
        <f>'RD'!CF55</f>
        <v>in-PSI</v>
      </c>
      <c r="L1475">
        <f>'RD'!CG55</f>
        <v>0</v>
      </c>
      <c r="M1475">
        <f>'RD'!CH55</f>
        <v>0</v>
      </c>
      <c r="N1475">
        <f>'RD'!CI55</f>
        <v>0</v>
      </c>
      <c r="O1475">
        <f>'RD'!CJ55</f>
        <v>0</v>
      </c>
      <c r="P1475" s="143" t="str">
        <f>'RD'!CK55</f>
        <v/>
      </c>
      <c r="R1475">
        <f t="shared" si="22"/>
        <v>1474</v>
      </c>
    </row>
    <row r="1476" spans="5:18">
      <c r="E1476" s="147" t="s">
        <v>45</v>
      </c>
      <c r="F1476" t="str">
        <f>'RD'!CA56</f>
        <v>HPS</v>
      </c>
      <c r="G1476" t="str">
        <f>'RD'!CB56</f>
        <v>AC</v>
      </c>
      <c r="H1476" t="str">
        <f>'RD'!CC56</f>
        <v>Head</v>
      </c>
      <c r="I1476">
        <f>'RD'!CD56</f>
        <v>0</v>
      </c>
      <c r="J1476">
        <f>'RD'!CE56</f>
        <v>0</v>
      </c>
      <c r="K1476" t="str">
        <f>'RD'!CF56</f>
        <v>in-PSI</v>
      </c>
      <c r="L1476">
        <f>'RD'!CG56</f>
        <v>0</v>
      </c>
      <c r="M1476">
        <f>'RD'!CH56</f>
        <v>0</v>
      </c>
      <c r="N1476">
        <f>'RD'!CI56</f>
        <v>0</v>
      </c>
      <c r="O1476">
        <f>'RD'!CJ56</f>
        <v>0</v>
      </c>
      <c r="P1476" s="143" t="str">
        <f>'RD'!CK56</f>
        <v/>
      </c>
      <c r="R1476">
        <f t="shared" ref="R1476:R1539" si="23">R1475+1</f>
        <v>1475</v>
      </c>
    </row>
    <row r="1477" spans="5:18">
      <c r="E1477" s="147" t="s">
        <v>45</v>
      </c>
      <c r="F1477" t="str">
        <f>'RD'!CA57</f>
        <v>HPS</v>
      </c>
      <c r="G1477" t="str">
        <f>'RD'!CB57</f>
        <v>AC</v>
      </c>
      <c r="H1477" t="str">
        <f>'RD'!CC57</f>
        <v>Head</v>
      </c>
      <c r="I1477">
        <f>'RD'!CD57</f>
        <v>0</v>
      </c>
      <c r="J1477">
        <f>'RD'!CE57</f>
        <v>0</v>
      </c>
      <c r="K1477" t="str">
        <f>'RD'!CF57</f>
        <v>in-PSI</v>
      </c>
      <c r="L1477">
        <f>'RD'!CG57</f>
        <v>0</v>
      </c>
      <c r="M1477">
        <f>'RD'!CH57</f>
        <v>0</v>
      </c>
      <c r="N1477">
        <f>'RD'!CI57</f>
        <v>0</v>
      </c>
      <c r="O1477">
        <f>'RD'!CJ57</f>
        <v>0</v>
      </c>
      <c r="P1477" s="143" t="str">
        <f>'RD'!CK57</f>
        <v/>
      </c>
      <c r="R1477">
        <f t="shared" si="23"/>
        <v>1476</v>
      </c>
    </row>
    <row r="1478" spans="5:18">
      <c r="E1478" s="147" t="s">
        <v>45</v>
      </c>
      <c r="F1478" t="str">
        <f>'RD'!CA58</f>
        <v>HPS</v>
      </c>
      <c r="G1478" t="str">
        <f>'RD'!CB58</f>
        <v>AC</v>
      </c>
      <c r="H1478" t="str">
        <f>'RD'!CC58</f>
        <v>Head</v>
      </c>
      <c r="I1478">
        <f>'RD'!CD58</f>
        <v>0</v>
      </c>
      <c r="J1478">
        <f>'RD'!CE58</f>
        <v>0</v>
      </c>
      <c r="K1478" t="str">
        <f>'RD'!CF58</f>
        <v>in-PSI</v>
      </c>
      <c r="L1478">
        <f>'RD'!CG58</f>
        <v>0</v>
      </c>
      <c r="M1478">
        <f>'RD'!CH58</f>
        <v>0</v>
      </c>
      <c r="N1478">
        <f>'RD'!CI58</f>
        <v>0</v>
      </c>
      <c r="O1478">
        <f>'RD'!CJ58</f>
        <v>0</v>
      </c>
      <c r="P1478" s="143" t="str">
        <f>'RD'!CK58</f>
        <v/>
      </c>
      <c r="R1478">
        <f t="shared" si="23"/>
        <v>1477</v>
      </c>
    </row>
    <row r="1479" spans="5:18">
      <c r="E1479" s="147" t="s">
        <v>45</v>
      </c>
      <c r="F1479" t="str">
        <f>'RD'!CA59</f>
        <v>HPS</v>
      </c>
      <c r="G1479" t="str">
        <f>'RD'!CB59</f>
        <v>AC</v>
      </c>
      <c r="H1479" t="str">
        <f>'RD'!CC59</f>
        <v>Head</v>
      </c>
      <c r="I1479">
        <f>'RD'!CD59</f>
        <v>0</v>
      </c>
      <c r="J1479">
        <f>'RD'!CE59</f>
        <v>0</v>
      </c>
      <c r="K1479" t="str">
        <f>'RD'!CF59</f>
        <v>in-PSI</v>
      </c>
      <c r="L1479">
        <f>'RD'!CG59</f>
        <v>0</v>
      </c>
      <c r="M1479">
        <f>'RD'!CH59</f>
        <v>0</v>
      </c>
      <c r="N1479">
        <f>'RD'!CI59</f>
        <v>0</v>
      </c>
      <c r="O1479">
        <f>'RD'!CJ59</f>
        <v>0</v>
      </c>
      <c r="P1479" s="143" t="str">
        <f>'RD'!CK59</f>
        <v/>
      </c>
      <c r="R1479">
        <f t="shared" si="23"/>
        <v>1478</v>
      </c>
    </row>
    <row r="1480" spans="5:18">
      <c r="E1480" s="147" t="s">
        <v>45</v>
      </c>
      <c r="F1480" t="str">
        <f>'RD'!CA60</f>
        <v>HPS</v>
      </c>
      <c r="G1480" t="str">
        <f>'RD'!CB60</f>
        <v>AC</v>
      </c>
      <c r="H1480" t="str">
        <f>'RD'!CC60</f>
        <v>Head</v>
      </c>
      <c r="I1480">
        <f>'RD'!CD60</f>
        <v>0</v>
      </c>
      <c r="J1480">
        <f>'RD'!CE60</f>
        <v>0</v>
      </c>
      <c r="K1480" t="str">
        <f>'RD'!CF60</f>
        <v>in-PSI</v>
      </c>
      <c r="L1480">
        <f>'RD'!CG60</f>
        <v>0</v>
      </c>
      <c r="M1480">
        <f>'RD'!CH60</f>
        <v>0</v>
      </c>
      <c r="N1480">
        <f>'RD'!CI60</f>
        <v>0</v>
      </c>
      <c r="O1480">
        <f>'RD'!CJ60</f>
        <v>0</v>
      </c>
      <c r="P1480" s="143" t="str">
        <f>'RD'!CK60</f>
        <v/>
      </c>
      <c r="R1480">
        <f t="shared" si="23"/>
        <v>1479</v>
      </c>
    </row>
    <row r="1481" spans="5:18">
      <c r="E1481" s="147" t="s">
        <v>45</v>
      </c>
      <c r="F1481" t="str">
        <f>'RD'!CA61</f>
        <v>HPS</v>
      </c>
      <c r="G1481" t="str">
        <f>'RD'!CB61</f>
        <v>AC</v>
      </c>
      <c r="H1481" t="str">
        <f>'RD'!CC61</f>
        <v>Head</v>
      </c>
      <c r="I1481">
        <f>'RD'!CD61</f>
        <v>0</v>
      </c>
      <c r="J1481">
        <f>'RD'!CE61</f>
        <v>0</v>
      </c>
      <c r="K1481" t="str">
        <f>'RD'!CF61</f>
        <v>in-PSI</v>
      </c>
      <c r="L1481">
        <f>'RD'!CG61</f>
        <v>0</v>
      </c>
      <c r="M1481">
        <f>'RD'!CH61</f>
        <v>0</v>
      </c>
      <c r="N1481">
        <f>'RD'!CI61</f>
        <v>0</v>
      </c>
      <c r="O1481">
        <f>'RD'!CJ61</f>
        <v>0</v>
      </c>
      <c r="P1481" s="143" t="str">
        <f>'RD'!CK61</f>
        <v/>
      </c>
      <c r="R1481">
        <f t="shared" si="23"/>
        <v>1480</v>
      </c>
    </row>
    <row r="1482" spans="5:18">
      <c r="E1482" s="147" t="s">
        <v>45</v>
      </c>
      <c r="F1482" t="str">
        <f>'RD'!CA62</f>
        <v>HPS</v>
      </c>
      <c r="G1482" t="str">
        <f>'RD'!CB62</f>
        <v>AC</v>
      </c>
      <c r="H1482" t="str">
        <f>'RD'!CC62</f>
        <v>Head</v>
      </c>
      <c r="I1482">
        <f>'RD'!CD62</f>
        <v>0</v>
      </c>
      <c r="J1482">
        <f>'RD'!CE62</f>
        <v>0</v>
      </c>
      <c r="K1482" t="str">
        <f>'RD'!CF62</f>
        <v>in-PSI</v>
      </c>
      <c r="L1482">
        <f>'RD'!CG62</f>
        <v>0</v>
      </c>
      <c r="M1482">
        <f>'RD'!CH62</f>
        <v>0</v>
      </c>
      <c r="N1482">
        <f>'RD'!CI62</f>
        <v>0</v>
      </c>
      <c r="O1482">
        <f>'RD'!CJ62</f>
        <v>0</v>
      </c>
      <c r="P1482" s="143" t="str">
        <f>'RD'!CK62</f>
        <v/>
      </c>
      <c r="R1482">
        <f t="shared" si="23"/>
        <v>1481</v>
      </c>
    </row>
    <row r="1483" spans="5:18">
      <c r="E1483" s="147" t="s">
        <v>45</v>
      </c>
      <c r="F1483" t="str">
        <f>'RD'!CA63</f>
        <v>HPS</v>
      </c>
      <c r="G1483" t="str">
        <f>'RD'!CB63</f>
        <v>AC</v>
      </c>
      <c r="H1483" t="str">
        <f>'RD'!CC63</f>
        <v>Head</v>
      </c>
      <c r="I1483">
        <f>'RD'!CD63</f>
        <v>0</v>
      </c>
      <c r="J1483">
        <f>'RD'!CE63</f>
        <v>0</v>
      </c>
      <c r="K1483" t="str">
        <f>'RD'!CF63</f>
        <v>in-PSI</v>
      </c>
      <c r="L1483">
        <f>'RD'!CG63</f>
        <v>0</v>
      </c>
      <c r="M1483">
        <f>'RD'!CH63</f>
        <v>0</v>
      </c>
      <c r="N1483">
        <f>'RD'!CI63</f>
        <v>0</v>
      </c>
      <c r="O1483">
        <f>'RD'!CJ63</f>
        <v>0</v>
      </c>
      <c r="P1483" s="143" t="str">
        <f>'RD'!CK63</f>
        <v/>
      </c>
      <c r="R1483">
        <f t="shared" si="23"/>
        <v>1482</v>
      </c>
    </row>
    <row r="1484" spans="5:18">
      <c r="E1484" s="147" t="s">
        <v>45</v>
      </c>
      <c r="F1484" t="str">
        <f>'RD'!CA64</f>
        <v>HPS</v>
      </c>
      <c r="G1484" t="str">
        <f>'RD'!CB64</f>
        <v>AC</v>
      </c>
      <c r="H1484" t="str">
        <f>'RD'!CC64</f>
        <v>Head</v>
      </c>
      <c r="I1484">
        <f>'RD'!CD64</f>
        <v>0</v>
      </c>
      <c r="J1484">
        <f>'RD'!CE64</f>
        <v>0</v>
      </c>
      <c r="K1484" t="str">
        <f>'RD'!CF64</f>
        <v>in-PSI</v>
      </c>
      <c r="L1484">
        <f>'RD'!CG64</f>
        <v>0</v>
      </c>
      <c r="M1484">
        <f>'RD'!CH64</f>
        <v>0</v>
      </c>
      <c r="N1484">
        <f>'RD'!CI64</f>
        <v>0</v>
      </c>
      <c r="O1484">
        <f>'RD'!CJ64</f>
        <v>0</v>
      </c>
      <c r="P1484" s="143" t="str">
        <f>'RD'!CK64</f>
        <v/>
      </c>
      <c r="R1484">
        <f t="shared" si="23"/>
        <v>1483</v>
      </c>
    </row>
    <row r="1485" spans="5:18">
      <c r="E1485" s="147" t="s">
        <v>45</v>
      </c>
      <c r="F1485" t="str">
        <f>'RD'!CA65</f>
        <v>HPS</v>
      </c>
      <c r="G1485" t="str">
        <f>'RD'!CB65</f>
        <v>AC</v>
      </c>
      <c r="H1485" t="str">
        <f>'RD'!CC65</f>
        <v>Head</v>
      </c>
      <c r="I1485">
        <f>'RD'!CD65</f>
        <v>0</v>
      </c>
      <c r="J1485">
        <f>'RD'!CE65</f>
        <v>0</v>
      </c>
      <c r="K1485" t="str">
        <f>'RD'!CF65</f>
        <v>in-PSI</v>
      </c>
      <c r="L1485">
        <f>'RD'!CG65</f>
        <v>0</v>
      </c>
      <c r="M1485">
        <f>'RD'!CH65</f>
        <v>0</v>
      </c>
      <c r="N1485">
        <f>'RD'!CI65</f>
        <v>0</v>
      </c>
      <c r="O1485">
        <f>'RD'!CJ65</f>
        <v>0</v>
      </c>
      <c r="P1485" s="143" t="str">
        <f>'RD'!CK65</f>
        <v/>
      </c>
      <c r="R1485">
        <f t="shared" si="23"/>
        <v>1484</v>
      </c>
    </row>
    <row r="1486" spans="5:18">
      <c r="E1486" s="147" t="s">
        <v>45</v>
      </c>
      <c r="F1486" t="str">
        <f>'RD'!CA66</f>
        <v>HPS</v>
      </c>
      <c r="G1486" t="str">
        <f>'RD'!CB66</f>
        <v>AC</v>
      </c>
      <c r="H1486" t="str">
        <f>'RD'!CC66</f>
        <v>Head</v>
      </c>
      <c r="I1486">
        <f>'RD'!CD66</f>
        <v>0</v>
      </c>
      <c r="J1486">
        <f>'RD'!CE66</f>
        <v>0</v>
      </c>
      <c r="K1486" t="str">
        <f>'RD'!CF66</f>
        <v>in-PSI</v>
      </c>
      <c r="L1486">
        <f>'RD'!CG66</f>
        <v>0</v>
      </c>
      <c r="M1486">
        <f>'RD'!CH66</f>
        <v>0</v>
      </c>
      <c r="N1486">
        <f>'RD'!CI66</f>
        <v>0</v>
      </c>
      <c r="O1486">
        <f>'RD'!CJ66</f>
        <v>0</v>
      </c>
      <c r="P1486" s="143" t="str">
        <f>'RD'!CK66</f>
        <v/>
      </c>
      <c r="R1486">
        <f t="shared" si="23"/>
        <v>1485</v>
      </c>
    </row>
    <row r="1487" spans="5:18">
      <c r="E1487" s="147" t="s">
        <v>45</v>
      </c>
      <c r="F1487" t="str">
        <f>'RD'!CA67</f>
        <v>HPS</v>
      </c>
      <c r="G1487" t="str">
        <f>'RD'!CB67</f>
        <v>AC</v>
      </c>
      <c r="H1487" t="str">
        <f>'RD'!CC67</f>
        <v>Head</v>
      </c>
      <c r="I1487">
        <f>'RD'!CD67</f>
        <v>0</v>
      </c>
      <c r="J1487">
        <f>'RD'!CE67</f>
        <v>0</v>
      </c>
      <c r="K1487" t="str">
        <f>'RD'!CF67</f>
        <v>in-PSI</v>
      </c>
      <c r="L1487">
        <f>'RD'!CG67</f>
        <v>0</v>
      </c>
      <c r="M1487">
        <f>'RD'!CH67</f>
        <v>0</v>
      </c>
      <c r="N1487">
        <f>'RD'!CI67</f>
        <v>0</v>
      </c>
      <c r="O1487">
        <f>'RD'!CJ67</f>
        <v>0</v>
      </c>
      <c r="P1487" s="143" t="str">
        <f>'RD'!CK67</f>
        <v/>
      </c>
      <c r="R1487">
        <f t="shared" si="23"/>
        <v>1486</v>
      </c>
    </row>
    <row r="1488" spans="5:18">
      <c r="E1488" s="147" t="s">
        <v>45</v>
      </c>
      <c r="F1488" t="str">
        <f>'RD'!CA68</f>
        <v>HPS</v>
      </c>
      <c r="G1488" t="str">
        <f>'RD'!CB68</f>
        <v>AC</v>
      </c>
      <c r="H1488" t="str">
        <f>'RD'!CC68</f>
        <v>Head</v>
      </c>
      <c r="I1488">
        <f>'RD'!CD68</f>
        <v>0</v>
      </c>
      <c r="J1488">
        <f>'RD'!CE68</f>
        <v>0</v>
      </c>
      <c r="K1488" t="str">
        <f>'RD'!CF68</f>
        <v>in-PSI</v>
      </c>
      <c r="L1488">
        <f>'RD'!CG68</f>
        <v>0</v>
      </c>
      <c r="M1488">
        <f>'RD'!CH68</f>
        <v>0</v>
      </c>
      <c r="N1488">
        <f>'RD'!CI68</f>
        <v>0</v>
      </c>
      <c r="O1488">
        <f>'RD'!CJ68</f>
        <v>0</v>
      </c>
      <c r="P1488" s="143" t="str">
        <f>'RD'!CK68</f>
        <v/>
      </c>
      <c r="R1488">
        <f t="shared" si="23"/>
        <v>1487</v>
      </c>
    </row>
    <row r="1489" spans="5:18">
      <c r="E1489" s="147" t="s">
        <v>45</v>
      </c>
      <c r="F1489" t="str">
        <f>'RD'!CA69</f>
        <v>HPS</v>
      </c>
      <c r="G1489" t="str">
        <f>'RD'!CB69</f>
        <v>AC</v>
      </c>
      <c r="H1489" t="str">
        <f>'RD'!CC69</f>
        <v>Head</v>
      </c>
      <c r="I1489">
        <f>'RD'!CD69</f>
        <v>0</v>
      </c>
      <c r="J1489">
        <f>'RD'!CE69</f>
        <v>0</v>
      </c>
      <c r="K1489" t="str">
        <f>'RD'!CF69</f>
        <v>in-PSI</v>
      </c>
      <c r="L1489">
        <f>'RD'!CG69</f>
        <v>0</v>
      </c>
      <c r="M1489">
        <f>'RD'!CH69</f>
        <v>0</v>
      </c>
      <c r="N1489">
        <f>'RD'!CI69</f>
        <v>0</v>
      </c>
      <c r="O1489">
        <f>'RD'!CJ69</f>
        <v>0</v>
      </c>
      <c r="P1489" s="143" t="str">
        <f>'RD'!CK69</f>
        <v/>
      </c>
      <c r="R1489">
        <f t="shared" si="23"/>
        <v>1488</v>
      </c>
    </row>
    <row r="1490" spans="5:18">
      <c r="E1490" s="147" t="s">
        <v>45</v>
      </c>
      <c r="F1490" t="str">
        <f>'RD'!CA70</f>
        <v>HPS</v>
      </c>
      <c r="G1490" t="str">
        <f>'RD'!CB70</f>
        <v>AC</v>
      </c>
      <c r="H1490" t="str">
        <f>'RD'!CC70</f>
        <v>Head</v>
      </c>
      <c r="I1490">
        <f>'RD'!CD70</f>
        <v>0</v>
      </c>
      <c r="J1490">
        <f>'RD'!CE70</f>
        <v>0</v>
      </c>
      <c r="K1490" t="str">
        <f>'RD'!CF70</f>
        <v>in-PSI</v>
      </c>
      <c r="L1490">
        <f>'RD'!CG70</f>
        <v>0</v>
      </c>
      <c r="M1490">
        <f>'RD'!CH70</f>
        <v>0</v>
      </c>
      <c r="N1490">
        <f>'RD'!CI70</f>
        <v>0</v>
      </c>
      <c r="O1490">
        <f>'RD'!CJ70</f>
        <v>0</v>
      </c>
      <c r="P1490" s="143" t="str">
        <f>'RD'!CK70</f>
        <v/>
      </c>
      <c r="R1490">
        <f t="shared" si="23"/>
        <v>1489</v>
      </c>
    </row>
    <row r="1491" spans="5:18">
      <c r="E1491" s="147" t="s">
        <v>45</v>
      </c>
      <c r="F1491" t="str">
        <f>'RD'!CA71</f>
        <v>HPS</v>
      </c>
      <c r="G1491" t="str">
        <f>'RD'!CB71</f>
        <v>AC</v>
      </c>
      <c r="H1491" t="str">
        <f>'RD'!CC71</f>
        <v>Head</v>
      </c>
      <c r="I1491">
        <f>'RD'!CD71</f>
        <v>0</v>
      </c>
      <c r="J1491">
        <f>'RD'!CE71</f>
        <v>0</v>
      </c>
      <c r="K1491" t="str">
        <f>'RD'!CF71</f>
        <v>in-PSI</v>
      </c>
      <c r="L1491">
        <f>'RD'!CG71</f>
        <v>0</v>
      </c>
      <c r="M1491">
        <f>'RD'!CH71</f>
        <v>0</v>
      </c>
      <c r="N1491">
        <f>'RD'!CI71</f>
        <v>0</v>
      </c>
      <c r="O1491">
        <f>'RD'!CJ71</f>
        <v>0</v>
      </c>
      <c r="P1491" s="143" t="str">
        <f>'RD'!CK71</f>
        <v/>
      </c>
      <c r="R1491">
        <f t="shared" si="23"/>
        <v>1490</v>
      </c>
    </row>
    <row r="1492" spans="5:18">
      <c r="E1492" s="147" t="s">
        <v>45</v>
      </c>
      <c r="F1492" t="str">
        <f>'RD'!CA72</f>
        <v>HPS</v>
      </c>
      <c r="G1492" t="str">
        <f>'RD'!CB72</f>
        <v>AC</v>
      </c>
      <c r="H1492" t="str">
        <f>'RD'!CC72</f>
        <v>Head</v>
      </c>
      <c r="I1492">
        <f>'RD'!CD72</f>
        <v>0</v>
      </c>
      <c r="J1492">
        <f>'RD'!CE72</f>
        <v>0</v>
      </c>
      <c r="K1492" t="str">
        <f>'RD'!CF72</f>
        <v>in-PSI</v>
      </c>
      <c r="L1492">
        <f>'RD'!CG72</f>
        <v>0</v>
      </c>
      <c r="M1492">
        <f>'RD'!CH72</f>
        <v>0</v>
      </c>
      <c r="N1492">
        <f>'RD'!CI72</f>
        <v>0</v>
      </c>
      <c r="O1492">
        <f>'RD'!CJ72</f>
        <v>0</v>
      </c>
      <c r="P1492" s="143" t="str">
        <f>'RD'!CK72</f>
        <v/>
      </c>
      <c r="R1492">
        <f t="shared" si="23"/>
        <v>1491</v>
      </c>
    </row>
    <row r="1493" spans="5:18">
      <c r="E1493" s="147" t="s">
        <v>45</v>
      </c>
      <c r="F1493" t="str">
        <f>'RD'!CA73</f>
        <v>HPS</v>
      </c>
      <c r="G1493" t="str">
        <f>'RD'!CB73</f>
        <v>AC</v>
      </c>
      <c r="H1493" t="str">
        <f>'RD'!CC73</f>
        <v>Head</v>
      </c>
      <c r="I1493">
        <f>'RD'!CD73</f>
        <v>0</v>
      </c>
      <c r="J1493">
        <f>'RD'!CE73</f>
        <v>0</v>
      </c>
      <c r="K1493" t="str">
        <f>'RD'!CF73</f>
        <v>in-PSI</v>
      </c>
      <c r="L1493">
        <f>'RD'!CG73</f>
        <v>0</v>
      </c>
      <c r="M1493">
        <f>'RD'!CH73</f>
        <v>0</v>
      </c>
      <c r="N1493">
        <f>'RD'!CI73</f>
        <v>0</v>
      </c>
      <c r="O1493">
        <f>'RD'!CJ73</f>
        <v>0</v>
      </c>
      <c r="P1493" s="143" t="str">
        <f>'RD'!CK73</f>
        <v/>
      </c>
      <c r="R1493">
        <f t="shared" si="23"/>
        <v>1492</v>
      </c>
    </row>
    <row r="1494" spans="5:18">
      <c r="E1494" s="147" t="s">
        <v>45</v>
      </c>
      <c r="F1494" t="str">
        <f>'RD'!CA74</f>
        <v>HPS</v>
      </c>
      <c r="G1494" t="str">
        <f>'RD'!CB74</f>
        <v>AC</v>
      </c>
      <c r="H1494" t="str">
        <f>'RD'!CC74</f>
        <v>Head</v>
      </c>
      <c r="I1494">
        <f>'RD'!CD74</f>
        <v>0</v>
      </c>
      <c r="J1494">
        <f>'RD'!CE74</f>
        <v>0</v>
      </c>
      <c r="K1494" t="str">
        <f>'RD'!CF74</f>
        <v>in-PSI</v>
      </c>
      <c r="L1494">
        <f>'RD'!CG74</f>
        <v>0</v>
      </c>
      <c r="M1494">
        <f>'RD'!CH74</f>
        <v>0</v>
      </c>
      <c r="N1494">
        <f>'RD'!CI74</f>
        <v>0</v>
      </c>
      <c r="O1494">
        <f>'RD'!CJ74</f>
        <v>0</v>
      </c>
      <c r="P1494" s="143" t="str">
        <f>'RD'!CK74</f>
        <v/>
      </c>
      <c r="R1494">
        <f t="shared" si="23"/>
        <v>1493</v>
      </c>
    </row>
    <row r="1495" spans="5:18">
      <c r="E1495" s="147" t="s">
        <v>45</v>
      </c>
      <c r="F1495" t="str">
        <f>'RD'!CA75</f>
        <v>HPS</v>
      </c>
      <c r="G1495" t="str">
        <f>'RD'!CB75</f>
        <v>AC</v>
      </c>
      <c r="H1495" t="str">
        <f>'RD'!CC75</f>
        <v>Head</v>
      </c>
      <c r="I1495">
        <f>'RD'!CD75</f>
        <v>0</v>
      </c>
      <c r="J1495">
        <f>'RD'!CE75</f>
        <v>0</v>
      </c>
      <c r="K1495" t="str">
        <f>'RD'!CF75</f>
        <v>in-PSI</v>
      </c>
      <c r="L1495">
        <f>'RD'!CG75</f>
        <v>0</v>
      </c>
      <c r="M1495">
        <f>'RD'!CH75</f>
        <v>0</v>
      </c>
      <c r="N1495">
        <f>'RD'!CI75</f>
        <v>0</v>
      </c>
      <c r="O1495">
        <f>'RD'!CJ75</f>
        <v>0</v>
      </c>
      <c r="P1495" s="143" t="str">
        <f>'RD'!CK75</f>
        <v/>
      </c>
      <c r="R1495">
        <f t="shared" si="23"/>
        <v>1494</v>
      </c>
    </row>
    <row r="1496" spans="5:18">
      <c r="E1496" s="147" t="s">
        <v>45</v>
      </c>
      <c r="F1496" t="str">
        <f>'RD'!CA76</f>
        <v>HPS</v>
      </c>
      <c r="G1496" t="str">
        <f>'RD'!CB76</f>
        <v>AC</v>
      </c>
      <c r="H1496" t="str">
        <f>'RD'!CC76</f>
        <v>Head</v>
      </c>
      <c r="I1496">
        <f>'RD'!CD76</f>
        <v>0</v>
      </c>
      <c r="J1496">
        <f>'RD'!CE76</f>
        <v>0</v>
      </c>
      <c r="K1496" t="str">
        <f>'RD'!CF76</f>
        <v>in-PSI</v>
      </c>
      <c r="L1496">
        <f>'RD'!CG76</f>
        <v>0</v>
      </c>
      <c r="M1496">
        <f>'RD'!CH76</f>
        <v>0</v>
      </c>
      <c r="N1496">
        <f>'RD'!CI76</f>
        <v>0</v>
      </c>
      <c r="O1496">
        <f>'RD'!CJ76</f>
        <v>0</v>
      </c>
      <c r="P1496" s="143" t="str">
        <f>'RD'!CK76</f>
        <v/>
      </c>
      <c r="R1496">
        <f t="shared" si="23"/>
        <v>1495</v>
      </c>
    </row>
    <row r="1497" spans="5:18">
      <c r="E1497" s="147" t="s">
        <v>45</v>
      </c>
      <c r="F1497" t="str">
        <f>'RD'!CA77</f>
        <v>HPS</v>
      </c>
      <c r="G1497" t="str">
        <f>'RD'!CB77</f>
        <v>AC</v>
      </c>
      <c r="H1497" t="str">
        <f>'RD'!CC77</f>
        <v>Head</v>
      </c>
      <c r="I1497">
        <f>'RD'!CD77</f>
        <v>0</v>
      </c>
      <c r="J1497">
        <f>'RD'!CE77</f>
        <v>0</v>
      </c>
      <c r="K1497" t="str">
        <f>'RD'!CF77</f>
        <v>in-PSI</v>
      </c>
      <c r="L1497">
        <f>'RD'!CG77</f>
        <v>0</v>
      </c>
      <c r="M1497">
        <f>'RD'!CH77</f>
        <v>0</v>
      </c>
      <c r="N1497">
        <f>'RD'!CI77</f>
        <v>0</v>
      </c>
      <c r="O1497">
        <f>'RD'!CJ77</f>
        <v>0</v>
      </c>
      <c r="P1497" s="143" t="str">
        <f>'RD'!CK77</f>
        <v/>
      </c>
      <c r="R1497">
        <f t="shared" si="23"/>
        <v>1496</v>
      </c>
    </row>
    <row r="1498" spans="5:18">
      <c r="E1498" s="147" t="s">
        <v>45</v>
      </c>
      <c r="F1498" t="str">
        <f>'RD'!CA78</f>
        <v>HPS</v>
      </c>
      <c r="G1498" t="str">
        <f>'RD'!CB78</f>
        <v>AC</v>
      </c>
      <c r="H1498" t="str">
        <f>'RD'!CC78</f>
        <v>Head</v>
      </c>
      <c r="I1498">
        <f>'RD'!CD78</f>
        <v>0</v>
      </c>
      <c r="J1498">
        <f>'RD'!CE78</f>
        <v>0</v>
      </c>
      <c r="K1498" t="str">
        <f>'RD'!CF78</f>
        <v>in-PSI</v>
      </c>
      <c r="L1498">
        <f>'RD'!CG78</f>
        <v>0</v>
      </c>
      <c r="M1498">
        <f>'RD'!CH78</f>
        <v>0</v>
      </c>
      <c r="N1498">
        <f>'RD'!CI78</f>
        <v>0</v>
      </c>
      <c r="O1498">
        <f>'RD'!CJ78</f>
        <v>0</v>
      </c>
      <c r="P1498" s="143" t="str">
        <f>'RD'!CK78</f>
        <v/>
      </c>
      <c r="R1498">
        <f t="shared" si="23"/>
        <v>1497</v>
      </c>
    </row>
    <row r="1499" spans="5:18">
      <c r="E1499" s="147" t="s">
        <v>45</v>
      </c>
      <c r="F1499" t="str">
        <f>'RD'!CA79</f>
        <v>HPS</v>
      </c>
      <c r="G1499" t="str">
        <f>'RD'!CB79</f>
        <v>AC</v>
      </c>
      <c r="H1499" t="str">
        <f>'RD'!CC79</f>
        <v>Head</v>
      </c>
      <c r="I1499">
        <f>'RD'!CD79</f>
        <v>0</v>
      </c>
      <c r="J1499">
        <f>'RD'!CE79</f>
        <v>0</v>
      </c>
      <c r="K1499" t="str">
        <f>'RD'!CF79</f>
        <v>in-PSI</v>
      </c>
      <c r="L1499">
        <f>'RD'!CG79</f>
        <v>0</v>
      </c>
      <c r="M1499">
        <f>'RD'!CH79</f>
        <v>0</v>
      </c>
      <c r="N1499">
        <f>'RD'!CI79</f>
        <v>0</v>
      </c>
      <c r="O1499">
        <f>'RD'!CJ79</f>
        <v>0</v>
      </c>
      <c r="P1499" s="143" t="str">
        <f>'RD'!CK79</f>
        <v/>
      </c>
      <c r="R1499">
        <f t="shared" si="23"/>
        <v>1498</v>
      </c>
    </row>
    <row r="1500" spans="5:18">
      <c r="E1500" s="147" t="s">
        <v>45</v>
      </c>
      <c r="F1500" t="str">
        <f>'RD'!CA80</f>
        <v>HPS</v>
      </c>
      <c r="G1500" t="str">
        <f>'RD'!CB80</f>
        <v>AC</v>
      </c>
      <c r="H1500" t="str">
        <f>'RD'!CC80</f>
        <v>Head</v>
      </c>
      <c r="I1500">
        <f>'RD'!CD80</f>
        <v>0</v>
      </c>
      <c r="J1500">
        <f>'RD'!CE80</f>
        <v>0</v>
      </c>
      <c r="K1500" t="str">
        <f>'RD'!CF80</f>
        <v>in-PSI</v>
      </c>
      <c r="L1500">
        <f>'RD'!CG80</f>
        <v>0</v>
      </c>
      <c r="M1500">
        <f>'RD'!CH80</f>
        <v>0</v>
      </c>
      <c r="N1500">
        <f>'RD'!CI80</f>
        <v>0</v>
      </c>
      <c r="O1500">
        <f>'RD'!CJ80</f>
        <v>0</v>
      </c>
      <c r="P1500" s="143" t="str">
        <f>'RD'!CK80</f>
        <v/>
      </c>
      <c r="R1500">
        <f t="shared" si="23"/>
        <v>1499</v>
      </c>
    </row>
    <row r="1501" spans="5:18">
      <c r="E1501" s="147" t="s">
        <v>45</v>
      </c>
      <c r="F1501" t="str">
        <f>'RD'!CA81</f>
        <v>HPS</v>
      </c>
      <c r="G1501" t="str">
        <f>'RD'!CB81</f>
        <v>AC</v>
      </c>
      <c r="H1501" t="str">
        <f>'RD'!CC81</f>
        <v>Head</v>
      </c>
      <c r="I1501">
        <f>'RD'!CD81</f>
        <v>0</v>
      </c>
      <c r="J1501">
        <f>'RD'!CE81</f>
        <v>0</v>
      </c>
      <c r="K1501" t="str">
        <f>'RD'!CF81</f>
        <v>in-PSI</v>
      </c>
      <c r="L1501">
        <f>'RD'!CG81</f>
        <v>0</v>
      </c>
      <c r="M1501">
        <f>'RD'!CH81</f>
        <v>0</v>
      </c>
      <c r="N1501">
        <f>'RD'!CI81</f>
        <v>0</v>
      </c>
      <c r="O1501">
        <f>'RD'!CJ81</f>
        <v>0</v>
      </c>
      <c r="P1501" s="143" t="str">
        <f>'RD'!CK81</f>
        <v/>
      </c>
      <c r="R1501">
        <f t="shared" si="23"/>
        <v>1500</v>
      </c>
    </row>
    <row r="1502" spans="5:18">
      <c r="E1502" s="147" t="s">
        <v>45</v>
      </c>
      <c r="F1502" t="str">
        <f>'RD'!CA82</f>
        <v>HPS</v>
      </c>
      <c r="G1502" t="str">
        <f>'RD'!CB82</f>
        <v>AC</v>
      </c>
      <c r="H1502" t="str">
        <f>'RD'!CC82</f>
        <v>Head</v>
      </c>
      <c r="I1502">
        <f>'RD'!CD82</f>
        <v>0</v>
      </c>
      <c r="J1502">
        <f>'RD'!CE82</f>
        <v>0</v>
      </c>
      <c r="K1502" t="str">
        <f>'RD'!CF82</f>
        <v>in-PSI</v>
      </c>
      <c r="L1502">
        <f>'RD'!CG82</f>
        <v>0</v>
      </c>
      <c r="M1502">
        <f>'RD'!CH82</f>
        <v>0</v>
      </c>
      <c r="N1502">
        <f>'RD'!CI82</f>
        <v>0</v>
      </c>
      <c r="O1502">
        <f>'RD'!CJ82</f>
        <v>0</v>
      </c>
      <c r="P1502" s="143" t="str">
        <f>'RD'!CK82</f>
        <v/>
      </c>
      <c r="R1502">
        <f t="shared" si="23"/>
        <v>1501</v>
      </c>
    </row>
    <row r="1503" spans="5:18">
      <c r="E1503" s="147" t="s">
        <v>45</v>
      </c>
      <c r="F1503" t="str">
        <f>'RD'!CA83</f>
        <v>HPS</v>
      </c>
      <c r="G1503" t="str">
        <f>'RD'!CB83</f>
        <v>AC</v>
      </c>
      <c r="H1503" t="str">
        <f>'RD'!CC83</f>
        <v>Head</v>
      </c>
      <c r="I1503">
        <f>'RD'!CD83</f>
        <v>0</v>
      </c>
      <c r="J1503">
        <f>'RD'!CE83</f>
        <v>0</v>
      </c>
      <c r="K1503" t="str">
        <f>'RD'!CF83</f>
        <v>in-PSI</v>
      </c>
      <c r="L1503">
        <f>'RD'!CG83</f>
        <v>0</v>
      </c>
      <c r="M1503">
        <f>'RD'!CH83</f>
        <v>0</v>
      </c>
      <c r="N1503">
        <f>'RD'!CI83</f>
        <v>0</v>
      </c>
      <c r="O1503">
        <f>'RD'!CJ83</f>
        <v>0</v>
      </c>
      <c r="P1503" s="143" t="str">
        <f>'RD'!CK83</f>
        <v/>
      </c>
      <c r="R1503">
        <f t="shared" si="23"/>
        <v>1502</v>
      </c>
    </row>
    <row r="1504" spans="5:18">
      <c r="E1504" s="147" t="s">
        <v>45</v>
      </c>
      <c r="F1504" t="str">
        <f>'RD'!CA84</f>
        <v>HPS</v>
      </c>
      <c r="G1504" t="str">
        <f>'RD'!CB84</f>
        <v>AC</v>
      </c>
      <c r="H1504" t="str">
        <f>'RD'!CC84</f>
        <v>Head</v>
      </c>
      <c r="I1504">
        <f>'RD'!CD84</f>
        <v>0</v>
      </c>
      <c r="J1504">
        <f>'RD'!CE84</f>
        <v>0</v>
      </c>
      <c r="K1504" t="str">
        <f>'RD'!CF84</f>
        <v>in-PSI</v>
      </c>
      <c r="L1504">
        <f>'RD'!CG84</f>
        <v>0</v>
      </c>
      <c r="M1504">
        <f>'RD'!CH84</f>
        <v>0</v>
      </c>
      <c r="N1504">
        <f>'RD'!CI84</f>
        <v>0</v>
      </c>
      <c r="O1504">
        <f>'RD'!CJ84</f>
        <v>0</v>
      </c>
      <c r="P1504" s="143" t="str">
        <f>'RD'!CK84</f>
        <v/>
      </c>
      <c r="R1504">
        <f t="shared" si="23"/>
        <v>1503</v>
      </c>
    </row>
    <row r="1505" spans="5:18">
      <c r="E1505" s="147" t="s">
        <v>45</v>
      </c>
      <c r="F1505" t="str">
        <f>'RD'!CA85</f>
        <v>HPS</v>
      </c>
      <c r="G1505" t="str">
        <f>'RD'!CB85</f>
        <v>AC</v>
      </c>
      <c r="H1505" t="str">
        <f>'RD'!CC85</f>
        <v>Head</v>
      </c>
      <c r="I1505">
        <f>'RD'!CD85</f>
        <v>0</v>
      </c>
      <c r="J1505">
        <f>'RD'!CE85</f>
        <v>0</v>
      </c>
      <c r="K1505" t="str">
        <f>'RD'!CF85</f>
        <v>in-PSI</v>
      </c>
      <c r="L1505">
        <f>'RD'!CG85</f>
        <v>0</v>
      </c>
      <c r="M1505">
        <f>'RD'!CH85</f>
        <v>0</v>
      </c>
      <c r="N1505">
        <f>'RD'!CI85</f>
        <v>0</v>
      </c>
      <c r="O1505">
        <f>'RD'!CJ85</f>
        <v>0</v>
      </c>
      <c r="P1505" s="143" t="str">
        <f>'RD'!CK85</f>
        <v/>
      </c>
      <c r="R1505">
        <f t="shared" si="23"/>
        <v>1504</v>
      </c>
    </row>
    <row r="1506" spans="5:18">
      <c r="E1506" s="147" t="s">
        <v>45</v>
      </c>
      <c r="F1506" t="str">
        <f>'RD'!CA86</f>
        <v>HPS</v>
      </c>
      <c r="G1506" t="str">
        <f>'RD'!CB86</f>
        <v>AC</v>
      </c>
      <c r="H1506" t="str">
        <f>'RD'!CC86</f>
        <v>Head</v>
      </c>
      <c r="I1506">
        <f>'RD'!CD86</f>
        <v>0</v>
      </c>
      <c r="J1506">
        <f>'RD'!CE86</f>
        <v>0</v>
      </c>
      <c r="K1506" t="str">
        <f>'RD'!CF86</f>
        <v>in-PSI</v>
      </c>
      <c r="L1506">
        <f>'RD'!CG86</f>
        <v>0</v>
      </c>
      <c r="M1506">
        <f>'RD'!CH86</f>
        <v>0</v>
      </c>
      <c r="N1506">
        <f>'RD'!CI86</f>
        <v>0</v>
      </c>
      <c r="O1506">
        <f>'RD'!CJ86</f>
        <v>0</v>
      </c>
      <c r="P1506" s="143" t="str">
        <f>'RD'!CK86</f>
        <v/>
      </c>
      <c r="R1506">
        <f t="shared" si="23"/>
        <v>1505</v>
      </c>
    </row>
    <row r="1507" spans="5:18">
      <c r="E1507" s="147" t="s">
        <v>45</v>
      </c>
      <c r="F1507" t="str">
        <f>'RD'!CA87</f>
        <v>HPS</v>
      </c>
      <c r="G1507" t="str">
        <f>'RD'!CB87</f>
        <v>AC</v>
      </c>
      <c r="H1507" t="str">
        <f>'RD'!CC87</f>
        <v>Head</v>
      </c>
      <c r="I1507">
        <f>'RD'!CD87</f>
        <v>0</v>
      </c>
      <c r="J1507">
        <f>'RD'!CE87</f>
        <v>0</v>
      </c>
      <c r="K1507" t="str">
        <f>'RD'!CF87</f>
        <v>in-PSI</v>
      </c>
      <c r="L1507">
        <f>'RD'!CG87</f>
        <v>0</v>
      </c>
      <c r="M1507">
        <f>'RD'!CH87</f>
        <v>0</v>
      </c>
      <c r="N1507">
        <f>'RD'!CI87</f>
        <v>0</v>
      </c>
      <c r="O1507">
        <f>'RD'!CJ87</f>
        <v>0</v>
      </c>
      <c r="P1507" s="143" t="str">
        <f>'RD'!CK87</f>
        <v/>
      </c>
      <c r="R1507">
        <f t="shared" si="23"/>
        <v>1506</v>
      </c>
    </row>
    <row r="1508" spans="5:18">
      <c r="E1508" s="147" t="s">
        <v>45</v>
      </c>
      <c r="F1508" t="str">
        <f>'RD'!CA88</f>
        <v>HPS</v>
      </c>
      <c r="G1508" t="str">
        <f>'RD'!CB88</f>
        <v>AC</v>
      </c>
      <c r="H1508" t="str">
        <f>'RD'!CC88</f>
        <v>Head</v>
      </c>
      <c r="I1508">
        <f>'RD'!CD88</f>
        <v>0</v>
      </c>
      <c r="J1508">
        <f>'RD'!CE88</f>
        <v>0</v>
      </c>
      <c r="K1508" t="str">
        <f>'RD'!CF88</f>
        <v>in-PSI</v>
      </c>
      <c r="L1508">
        <f>'RD'!CG88</f>
        <v>0</v>
      </c>
      <c r="M1508">
        <f>'RD'!CH88</f>
        <v>0</v>
      </c>
      <c r="N1508">
        <f>'RD'!CI88</f>
        <v>0</v>
      </c>
      <c r="O1508">
        <f>'RD'!CJ88</f>
        <v>0</v>
      </c>
      <c r="P1508" s="143" t="str">
        <f>'RD'!CK88</f>
        <v/>
      </c>
      <c r="R1508">
        <f t="shared" si="23"/>
        <v>1507</v>
      </c>
    </row>
    <row r="1509" spans="5:18">
      <c r="E1509" s="147" t="s">
        <v>45</v>
      </c>
      <c r="F1509" t="str">
        <f>'RD'!CA89</f>
        <v>HPS</v>
      </c>
      <c r="G1509" t="str">
        <f>'RD'!CB89</f>
        <v>AC</v>
      </c>
      <c r="H1509" t="str">
        <f>'RD'!CC89</f>
        <v>Head</v>
      </c>
      <c r="I1509">
        <f>'RD'!CD89</f>
        <v>0</v>
      </c>
      <c r="J1509">
        <f>'RD'!CE89</f>
        <v>0</v>
      </c>
      <c r="K1509" t="str">
        <f>'RD'!CF89</f>
        <v>in-PSI</v>
      </c>
      <c r="L1509">
        <f>'RD'!CG89</f>
        <v>0</v>
      </c>
      <c r="M1509">
        <f>'RD'!CH89</f>
        <v>0</v>
      </c>
      <c r="N1509">
        <f>'RD'!CI89</f>
        <v>0</v>
      </c>
      <c r="O1509">
        <f>'RD'!CJ89</f>
        <v>0</v>
      </c>
      <c r="P1509" s="143" t="str">
        <f>'RD'!CK89</f>
        <v/>
      </c>
      <c r="R1509">
        <f t="shared" si="23"/>
        <v>1508</v>
      </c>
    </row>
    <row r="1510" spans="5:18">
      <c r="E1510" s="147" t="s">
        <v>45</v>
      </c>
      <c r="F1510" t="str">
        <f>'RD'!CA90</f>
        <v>HPS</v>
      </c>
      <c r="G1510" t="str">
        <f>'RD'!CB90</f>
        <v>AC</v>
      </c>
      <c r="H1510" t="str">
        <f>'RD'!CC90</f>
        <v>Head</v>
      </c>
      <c r="I1510">
        <f>'RD'!CD90</f>
        <v>0</v>
      </c>
      <c r="J1510">
        <f>'RD'!CE90</f>
        <v>0</v>
      </c>
      <c r="K1510" t="str">
        <f>'RD'!CF90</f>
        <v>in-PSI</v>
      </c>
      <c r="L1510">
        <f>'RD'!CG90</f>
        <v>0</v>
      </c>
      <c r="M1510">
        <f>'RD'!CH90</f>
        <v>0</v>
      </c>
      <c r="N1510">
        <f>'RD'!CI90</f>
        <v>0</v>
      </c>
      <c r="O1510">
        <f>'RD'!CJ90</f>
        <v>0</v>
      </c>
      <c r="P1510" s="143" t="str">
        <f>'RD'!CK90</f>
        <v/>
      </c>
      <c r="R1510">
        <f t="shared" si="23"/>
        <v>1509</v>
      </c>
    </row>
    <row r="1511" spans="5:18">
      <c r="E1511" s="147" t="s">
        <v>45</v>
      </c>
      <c r="F1511" t="str">
        <f>'RD'!CA91</f>
        <v>HPS</v>
      </c>
      <c r="G1511" t="str">
        <f>'RD'!CB91</f>
        <v>AC</v>
      </c>
      <c r="H1511" t="str">
        <f>'RD'!CC91</f>
        <v>Head</v>
      </c>
      <c r="I1511">
        <f>'RD'!CD91</f>
        <v>0</v>
      </c>
      <c r="J1511">
        <f>'RD'!CE91</f>
        <v>0</v>
      </c>
      <c r="K1511" t="str">
        <f>'RD'!CF91</f>
        <v>in-PSI</v>
      </c>
      <c r="L1511">
        <f>'RD'!CG91</f>
        <v>0</v>
      </c>
      <c r="M1511">
        <f>'RD'!CH91</f>
        <v>0</v>
      </c>
      <c r="N1511">
        <f>'RD'!CI91</f>
        <v>0</v>
      </c>
      <c r="O1511">
        <f>'RD'!CJ91</f>
        <v>0</v>
      </c>
      <c r="P1511" s="143" t="str">
        <f>'RD'!CK91</f>
        <v/>
      </c>
      <c r="R1511">
        <f t="shared" si="23"/>
        <v>1510</v>
      </c>
    </row>
    <row r="1512" spans="5:18">
      <c r="E1512" s="147" t="s">
        <v>45</v>
      </c>
      <c r="F1512" t="str">
        <f>'RD'!CA92</f>
        <v>HPS</v>
      </c>
      <c r="G1512" t="str">
        <f>'RD'!CB92</f>
        <v>AC</v>
      </c>
      <c r="H1512" t="str">
        <f>'RD'!CC92</f>
        <v>Head</v>
      </c>
      <c r="I1512">
        <f>'RD'!CD92</f>
        <v>0</v>
      </c>
      <c r="J1512">
        <f>'RD'!CE92</f>
        <v>0</v>
      </c>
      <c r="K1512" t="str">
        <f>'RD'!CF92</f>
        <v>in-PSI</v>
      </c>
      <c r="L1512">
        <f>'RD'!CG92</f>
        <v>0</v>
      </c>
      <c r="M1512">
        <f>'RD'!CH92</f>
        <v>0</v>
      </c>
      <c r="N1512">
        <f>'RD'!CI92</f>
        <v>0</v>
      </c>
      <c r="O1512">
        <f>'RD'!CJ92</f>
        <v>0</v>
      </c>
      <c r="P1512" s="143" t="str">
        <f>'RD'!CK92</f>
        <v/>
      </c>
      <c r="R1512">
        <f t="shared" si="23"/>
        <v>1511</v>
      </c>
    </row>
    <row r="1513" spans="5:18">
      <c r="E1513" s="147" t="s">
        <v>45</v>
      </c>
      <c r="F1513" t="str">
        <f>'RD'!CA93</f>
        <v>HPS</v>
      </c>
      <c r="G1513" t="str">
        <f>'RD'!CB93</f>
        <v>AC</v>
      </c>
      <c r="H1513" t="str">
        <f>'RD'!CC93</f>
        <v>Head</v>
      </c>
      <c r="I1513">
        <f>'RD'!CD93</f>
        <v>0</v>
      </c>
      <c r="J1513">
        <f>'RD'!CE93</f>
        <v>0</v>
      </c>
      <c r="K1513" t="str">
        <f>'RD'!CF93</f>
        <v>in-PSI</v>
      </c>
      <c r="L1513">
        <f>'RD'!CG93</f>
        <v>0</v>
      </c>
      <c r="M1513">
        <f>'RD'!CH93</f>
        <v>0</v>
      </c>
      <c r="N1513">
        <f>'RD'!CI93</f>
        <v>0</v>
      </c>
      <c r="O1513">
        <f>'RD'!CJ93</f>
        <v>0</v>
      </c>
      <c r="P1513" s="143" t="str">
        <f>'RD'!CK93</f>
        <v/>
      </c>
      <c r="R1513">
        <f t="shared" si="23"/>
        <v>1512</v>
      </c>
    </row>
    <row r="1514" spans="5:18">
      <c r="E1514" s="147" t="s">
        <v>45</v>
      </c>
      <c r="F1514" t="str">
        <f>'RD'!CA94</f>
        <v>HPS</v>
      </c>
      <c r="G1514" t="str">
        <f>'RD'!CB94</f>
        <v>AC</v>
      </c>
      <c r="H1514" t="str">
        <f>'RD'!CC94</f>
        <v>Head</v>
      </c>
      <c r="I1514">
        <f>'RD'!CD94</f>
        <v>0</v>
      </c>
      <c r="J1514">
        <f>'RD'!CE94</f>
        <v>0</v>
      </c>
      <c r="K1514" t="str">
        <f>'RD'!CF94</f>
        <v>in-PSI</v>
      </c>
      <c r="L1514">
        <f>'RD'!CG94</f>
        <v>0</v>
      </c>
      <c r="M1514">
        <f>'RD'!CH94</f>
        <v>0</v>
      </c>
      <c r="N1514">
        <f>'RD'!CI94</f>
        <v>0</v>
      </c>
      <c r="O1514">
        <f>'RD'!CJ94</f>
        <v>0</v>
      </c>
      <c r="P1514" s="143" t="str">
        <f>'RD'!CK94</f>
        <v/>
      </c>
      <c r="R1514">
        <f t="shared" si="23"/>
        <v>1513</v>
      </c>
    </row>
    <row r="1515" spans="5:18">
      <c r="E1515" s="147" t="s">
        <v>45</v>
      </c>
      <c r="F1515" t="str">
        <f>'RD'!CA95</f>
        <v>HPS</v>
      </c>
      <c r="G1515" t="str">
        <f>'RD'!CB95</f>
        <v>AC</v>
      </c>
      <c r="H1515" t="str">
        <f>'RD'!CC95</f>
        <v>Head</v>
      </c>
      <c r="I1515">
        <f>'RD'!CD95</f>
        <v>0</v>
      </c>
      <c r="J1515">
        <f>'RD'!CE95</f>
        <v>0</v>
      </c>
      <c r="K1515" t="str">
        <f>'RD'!CF95</f>
        <v>in-PSI</v>
      </c>
      <c r="L1515">
        <f>'RD'!CG95</f>
        <v>0</v>
      </c>
      <c r="M1515">
        <f>'RD'!CH95</f>
        <v>0</v>
      </c>
      <c r="N1515">
        <f>'RD'!CI95</f>
        <v>0</v>
      </c>
      <c r="O1515">
        <f>'RD'!CJ95</f>
        <v>0</v>
      </c>
      <c r="P1515" s="143" t="str">
        <f>'RD'!CK95</f>
        <v/>
      </c>
      <c r="R1515">
        <f t="shared" si="23"/>
        <v>1514</v>
      </c>
    </row>
    <row r="1516" spans="5:18">
      <c r="E1516" s="147" t="s">
        <v>45</v>
      </c>
      <c r="F1516" t="str">
        <f>'RD'!CA96</f>
        <v>HPS</v>
      </c>
      <c r="G1516" t="str">
        <f>'RD'!CB96</f>
        <v>AC</v>
      </c>
      <c r="H1516" t="str">
        <f>'RD'!CC96</f>
        <v>Head</v>
      </c>
      <c r="I1516">
        <f>'RD'!CD96</f>
        <v>0</v>
      </c>
      <c r="J1516">
        <f>'RD'!CE96</f>
        <v>0</v>
      </c>
      <c r="K1516" t="str">
        <f>'RD'!CF96</f>
        <v>in-PSI</v>
      </c>
      <c r="L1516">
        <f>'RD'!CG96</f>
        <v>0</v>
      </c>
      <c r="M1516">
        <f>'RD'!CH96</f>
        <v>0</v>
      </c>
      <c r="N1516">
        <f>'RD'!CI96</f>
        <v>0</v>
      </c>
      <c r="O1516">
        <f>'RD'!CJ96</f>
        <v>0</v>
      </c>
      <c r="P1516" s="143" t="str">
        <f>'RD'!CK96</f>
        <v/>
      </c>
      <c r="R1516">
        <f t="shared" si="23"/>
        <v>1515</v>
      </c>
    </row>
    <row r="1517" spans="5:18">
      <c r="E1517" s="147" t="s">
        <v>45</v>
      </c>
      <c r="F1517" t="str">
        <f>'RD'!CA97</f>
        <v>HPS</v>
      </c>
      <c r="G1517" t="str">
        <f>'RD'!CB97</f>
        <v>AC</v>
      </c>
      <c r="H1517" t="str">
        <f>'RD'!CC97</f>
        <v>Head</v>
      </c>
      <c r="I1517">
        <f>'RD'!CD97</f>
        <v>0</v>
      </c>
      <c r="J1517">
        <f>'RD'!CE97</f>
        <v>0</v>
      </c>
      <c r="K1517" t="str">
        <f>'RD'!CF97</f>
        <v>in-PSI</v>
      </c>
      <c r="L1517">
        <f>'RD'!CG97</f>
        <v>0</v>
      </c>
      <c r="M1517">
        <f>'RD'!CH97</f>
        <v>0</v>
      </c>
      <c r="N1517">
        <f>'RD'!CI97</f>
        <v>0</v>
      </c>
      <c r="O1517">
        <f>'RD'!CJ97</f>
        <v>0</v>
      </c>
      <c r="P1517" s="143" t="str">
        <f>'RD'!CK97</f>
        <v/>
      </c>
      <c r="R1517">
        <f t="shared" si="23"/>
        <v>1516</v>
      </c>
    </row>
    <row r="1518" spans="5:18">
      <c r="E1518" s="147" t="s">
        <v>45</v>
      </c>
      <c r="F1518" t="str">
        <f>'RD'!CA98</f>
        <v>HPS</v>
      </c>
      <c r="G1518" t="str">
        <f>'RD'!CB98</f>
        <v>AC</v>
      </c>
      <c r="H1518" t="str">
        <f>'RD'!CC98</f>
        <v>Head</v>
      </c>
      <c r="I1518">
        <f>'RD'!CD98</f>
        <v>0</v>
      </c>
      <c r="J1518">
        <f>'RD'!CE98</f>
        <v>0</v>
      </c>
      <c r="K1518" t="str">
        <f>'RD'!CF98</f>
        <v>in-PSI</v>
      </c>
      <c r="L1518">
        <f>'RD'!CG98</f>
        <v>0</v>
      </c>
      <c r="M1518">
        <f>'RD'!CH98</f>
        <v>0</v>
      </c>
      <c r="N1518">
        <f>'RD'!CI98</f>
        <v>0</v>
      </c>
      <c r="O1518">
        <f>'RD'!CJ98</f>
        <v>0</v>
      </c>
      <c r="P1518" s="143" t="str">
        <f>'RD'!CK98</f>
        <v/>
      </c>
      <c r="R1518">
        <f t="shared" si="23"/>
        <v>1517</v>
      </c>
    </row>
    <row r="1519" spans="5:18">
      <c r="E1519" s="147" t="s">
        <v>45</v>
      </c>
      <c r="F1519" t="str">
        <f>'RD'!CA99</f>
        <v>HPS</v>
      </c>
      <c r="G1519" t="str">
        <f>'RD'!CB99</f>
        <v>AC</v>
      </c>
      <c r="H1519" t="str">
        <f>'RD'!CC99</f>
        <v>Head</v>
      </c>
      <c r="I1519">
        <f>'RD'!CD99</f>
        <v>0</v>
      </c>
      <c r="J1519">
        <f>'RD'!CE99</f>
        <v>0</v>
      </c>
      <c r="K1519" t="str">
        <f>'RD'!CF99</f>
        <v>in-PSI</v>
      </c>
      <c r="L1519">
        <f>'RD'!CG99</f>
        <v>0</v>
      </c>
      <c r="M1519">
        <f>'RD'!CH99</f>
        <v>0</v>
      </c>
      <c r="N1519">
        <f>'RD'!CI99</f>
        <v>0</v>
      </c>
      <c r="O1519">
        <f>'RD'!CJ99</f>
        <v>0</v>
      </c>
      <c r="P1519" s="143" t="str">
        <f>'RD'!CK99</f>
        <v/>
      </c>
      <c r="R1519">
        <f t="shared" si="23"/>
        <v>1518</v>
      </c>
    </row>
    <row r="1520" spans="5:18">
      <c r="E1520" s="147" t="s">
        <v>45</v>
      </c>
      <c r="F1520" t="str">
        <f>'RD'!CA100</f>
        <v>HPS</v>
      </c>
      <c r="G1520" t="str">
        <f>'RD'!CB100</f>
        <v>AC</v>
      </c>
      <c r="H1520" t="str">
        <f>'RD'!CC100</f>
        <v>Head</v>
      </c>
      <c r="I1520">
        <f>'RD'!CD100</f>
        <v>0</v>
      </c>
      <c r="J1520">
        <f>'RD'!CE100</f>
        <v>0</v>
      </c>
      <c r="K1520" t="str">
        <f>'RD'!CF100</f>
        <v>in-PSI</v>
      </c>
      <c r="L1520">
        <f>'RD'!CG100</f>
        <v>0</v>
      </c>
      <c r="M1520">
        <f>'RD'!CH100</f>
        <v>0</v>
      </c>
      <c r="N1520">
        <f>'RD'!CI100</f>
        <v>0</v>
      </c>
      <c r="O1520">
        <f>'RD'!CJ100</f>
        <v>0</v>
      </c>
      <c r="P1520" s="143" t="str">
        <f>'RD'!CK100</f>
        <v/>
      </c>
      <c r="R1520">
        <f t="shared" si="23"/>
        <v>1519</v>
      </c>
    </row>
    <row r="1521" spans="5:18" ht="17.100000000000001" thickBot="1">
      <c r="E1521" s="148" t="s">
        <v>45</v>
      </c>
      <c r="F1521" s="144" t="str">
        <f>'RD'!CA101</f>
        <v>HPS</v>
      </c>
      <c r="G1521" s="144" t="str">
        <f>'RD'!CB101</f>
        <v>AC</v>
      </c>
      <c r="H1521" s="144" t="str">
        <f>'RD'!CC101</f>
        <v>Head</v>
      </c>
      <c r="I1521" s="144">
        <f>'RD'!CD101</f>
        <v>0</v>
      </c>
      <c r="J1521" s="144">
        <f>'RD'!CE101</f>
        <v>0</v>
      </c>
      <c r="K1521" s="144" t="str">
        <f>'RD'!CF101</f>
        <v>in-PSI</v>
      </c>
      <c r="L1521" s="144">
        <f>'RD'!CG101</f>
        <v>0</v>
      </c>
      <c r="M1521" s="144">
        <f>'RD'!CH101</f>
        <v>0</v>
      </c>
      <c r="N1521" s="144">
        <f>'RD'!CI101</f>
        <v>0</v>
      </c>
      <c r="O1521" s="144">
        <f>'RD'!CJ101</f>
        <v>0</v>
      </c>
      <c r="P1521" s="145" t="str">
        <f>'RD'!CK101</f>
        <v/>
      </c>
      <c r="R1521">
        <f t="shared" si="23"/>
        <v>1520</v>
      </c>
    </row>
    <row r="1522" spans="5:18">
      <c r="E1522" s="146" t="s">
        <v>47</v>
      </c>
      <c r="F1522" s="141" t="str">
        <f>SH!CA2</f>
        <v>HPS</v>
      </c>
      <c r="G1522" s="141" t="str">
        <f>SH!CB2</f>
        <v>AC</v>
      </c>
      <c r="H1522" s="141" t="str">
        <f>SH!CC2</f>
        <v>Head</v>
      </c>
      <c r="I1522" s="141">
        <f>SH!CD2</f>
        <v>0</v>
      </c>
      <c r="J1522" s="141" t="str">
        <f>SH!CE2</f>
        <v>Safety Head</v>
      </c>
      <c r="K1522" s="141" t="str">
        <f>SH!CF2</f>
        <v>60-61HM4</v>
      </c>
      <c r="L1522" s="141" t="str">
        <f>SH!CG2</f>
        <v>SH-A1</v>
      </c>
      <c r="M1522" s="141">
        <f>SH!CH2</f>
        <v>0</v>
      </c>
      <c r="N1522" s="141">
        <f>SH!CI2</f>
        <v>0</v>
      </c>
      <c r="O1522" s="141">
        <f>SH!CJ2</f>
        <v>0</v>
      </c>
      <c r="P1522" s="142" t="str">
        <f>SH!CK2</f>
        <v>RD Failed</v>
      </c>
      <c r="R1522">
        <f t="shared" si="23"/>
        <v>1521</v>
      </c>
    </row>
    <row r="1523" spans="5:18">
      <c r="E1523" s="147" t="s">
        <v>47</v>
      </c>
      <c r="F1523" t="str">
        <f>SH!CA3</f>
        <v>HPS</v>
      </c>
      <c r="G1523" t="str">
        <f>SH!CB3</f>
        <v>AC</v>
      </c>
      <c r="H1523" t="str">
        <f>SH!CC3</f>
        <v>Head</v>
      </c>
      <c r="I1523">
        <f>SH!CD3</f>
        <v>0</v>
      </c>
      <c r="J1523" t="str">
        <f>SH!CE3</f>
        <v>Safety Head</v>
      </c>
      <c r="K1523" t="str">
        <f>SH!CF3</f>
        <v>60-61HM4</v>
      </c>
      <c r="L1523" t="str">
        <f>SH!CG3</f>
        <v>SH-A2</v>
      </c>
      <c r="M1523">
        <f>SH!CH3</f>
        <v>0</v>
      </c>
      <c r="N1523">
        <f>SH!CI3</f>
        <v>0</v>
      </c>
      <c r="O1523">
        <f>SH!CJ3</f>
        <v>0</v>
      </c>
      <c r="P1523" s="143" t="str">
        <f>SH!CK3</f>
        <v>Retired</v>
      </c>
      <c r="R1523">
        <f t="shared" si="23"/>
        <v>1522</v>
      </c>
    </row>
    <row r="1524" spans="5:18">
      <c r="E1524" s="147" t="s">
        <v>47</v>
      </c>
      <c r="F1524" t="str">
        <f>SH!CA4</f>
        <v>HPS</v>
      </c>
      <c r="G1524" t="str">
        <f>SH!CB4</f>
        <v>AC</v>
      </c>
      <c r="H1524" t="str">
        <f>SH!CC4</f>
        <v>Head</v>
      </c>
      <c r="I1524">
        <f>SH!CD4</f>
        <v>0</v>
      </c>
      <c r="J1524" t="str">
        <f>SH!CE4</f>
        <v>Safety Head</v>
      </c>
      <c r="K1524" t="str">
        <f>SH!CF4</f>
        <v>60-61HF4</v>
      </c>
      <c r="L1524" t="str">
        <f>SH!CG4</f>
        <v>SH-A3</v>
      </c>
      <c r="M1524">
        <f>SH!CH4</f>
        <v>0</v>
      </c>
      <c r="N1524">
        <f>SH!CI4</f>
        <v>0</v>
      </c>
      <c r="O1524">
        <f>SH!CJ4</f>
        <v>0</v>
      </c>
      <c r="P1524" s="143" t="str">
        <f>SH!CK4</f>
        <v>Superseded</v>
      </c>
      <c r="R1524">
        <f t="shared" si="23"/>
        <v>1523</v>
      </c>
    </row>
    <row r="1525" spans="5:18">
      <c r="E1525" s="147" t="s">
        <v>47</v>
      </c>
      <c r="F1525" t="str">
        <f>SH!CA5</f>
        <v>HPS</v>
      </c>
      <c r="G1525" t="str">
        <f>SH!CB5</f>
        <v>AC</v>
      </c>
      <c r="H1525" t="str">
        <f>SH!CC5</f>
        <v>Head</v>
      </c>
      <c r="I1525">
        <f>SH!CD5</f>
        <v>0</v>
      </c>
      <c r="J1525" t="str">
        <f>SH!CE5</f>
        <v>Safety Head</v>
      </c>
      <c r="K1525" t="str">
        <f>SH!CF5</f>
        <v>60-61HF4</v>
      </c>
      <c r="L1525" t="str">
        <f>SH!CG5</f>
        <v>SH-A4</v>
      </c>
      <c r="M1525">
        <f>SH!CH5</f>
        <v>0</v>
      </c>
      <c r="N1525">
        <f>SH!CI5</f>
        <v>0</v>
      </c>
      <c r="O1525">
        <f>SH!CJ5</f>
        <v>0</v>
      </c>
      <c r="P1525" s="143" t="str">
        <f>SH!CK5</f>
        <v>Superseded</v>
      </c>
      <c r="R1525">
        <f t="shared" si="23"/>
        <v>1524</v>
      </c>
    </row>
    <row r="1526" spans="5:18">
      <c r="E1526" s="147" t="s">
        <v>47</v>
      </c>
      <c r="F1526" t="str">
        <f>SH!CA6</f>
        <v>HPS</v>
      </c>
      <c r="G1526" t="str">
        <f>SH!CB6</f>
        <v>AC</v>
      </c>
      <c r="H1526" t="str">
        <f>SH!CC6</f>
        <v>Head</v>
      </c>
      <c r="I1526">
        <f>SH!CD6</f>
        <v>0</v>
      </c>
      <c r="J1526" t="str">
        <f>SH!CE6</f>
        <v>Safety Head</v>
      </c>
      <c r="K1526" t="str">
        <f>SH!CF6</f>
        <v>60-61HF4</v>
      </c>
      <c r="L1526" t="str">
        <f>SH!CG6</f>
        <v>SH-B1</v>
      </c>
      <c r="M1526">
        <f>SH!CH6</f>
        <v>0</v>
      </c>
      <c r="N1526">
        <f>SH!CI6</f>
        <v>0</v>
      </c>
      <c r="O1526">
        <f>SH!CJ6</f>
        <v>0</v>
      </c>
      <c r="P1526" s="143" t="str">
        <f>SH!CK6</f>
        <v>Superseded</v>
      </c>
      <c r="R1526">
        <f t="shared" si="23"/>
        <v>1525</v>
      </c>
    </row>
    <row r="1527" spans="5:18">
      <c r="E1527" s="147" t="s">
        <v>47</v>
      </c>
      <c r="F1527" t="str">
        <f>SH!CA7</f>
        <v>HPS</v>
      </c>
      <c r="G1527" t="str">
        <f>SH!CB7</f>
        <v>AC</v>
      </c>
      <c r="H1527" t="str">
        <f>SH!CC7</f>
        <v>Head</v>
      </c>
      <c r="I1527">
        <f>SH!CD7</f>
        <v>0</v>
      </c>
      <c r="J1527" t="str">
        <f>SH!CE7</f>
        <v>Safety Head</v>
      </c>
      <c r="K1527" t="str">
        <f>SH!CF7</f>
        <v>60-61HF4</v>
      </c>
      <c r="L1527" t="str">
        <f>SH!CG7</f>
        <v>SH-B2</v>
      </c>
      <c r="M1527">
        <f>SH!CH7</f>
        <v>0</v>
      </c>
      <c r="N1527">
        <f>SH!CI7</f>
        <v>0</v>
      </c>
      <c r="O1527">
        <f>SH!CJ7</f>
        <v>0</v>
      </c>
      <c r="P1527" s="143" t="str">
        <f>SH!CK7</f>
        <v>Superseded</v>
      </c>
      <c r="R1527">
        <f t="shared" si="23"/>
        <v>1526</v>
      </c>
    </row>
    <row r="1528" spans="5:18">
      <c r="E1528" s="147" t="s">
        <v>47</v>
      </c>
      <c r="F1528" t="str">
        <f>SH!CA8</f>
        <v>HPS</v>
      </c>
      <c r="G1528" t="str">
        <f>SH!CB8</f>
        <v>AC</v>
      </c>
      <c r="H1528" t="str">
        <f>SH!CC8</f>
        <v>Head</v>
      </c>
      <c r="I1528">
        <f>SH!CD8</f>
        <v>0</v>
      </c>
      <c r="J1528" t="str">
        <f>SH!CE8</f>
        <v>Safety Head</v>
      </c>
      <c r="K1528" t="str">
        <f>SH!CF8</f>
        <v>60-61HM4</v>
      </c>
      <c r="L1528" t="str">
        <f>SH!CG8</f>
        <v>SH-C1</v>
      </c>
      <c r="M1528">
        <f>SH!CH8</f>
        <v>0</v>
      </c>
      <c r="N1528">
        <f>SH!CI8</f>
        <v>0</v>
      </c>
      <c r="O1528">
        <f>SH!CJ8</f>
        <v>0</v>
      </c>
      <c r="P1528" s="143" t="str">
        <f>SH!CK8</f>
        <v>Retired</v>
      </c>
      <c r="R1528">
        <f t="shared" si="23"/>
        <v>1527</v>
      </c>
    </row>
    <row r="1529" spans="5:18">
      <c r="E1529" s="147" t="s">
        <v>47</v>
      </c>
      <c r="F1529" t="str">
        <f>SH!CA9</f>
        <v>HPS</v>
      </c>
      <c r="G1529" t="str">
        <f>SH!CB9</f>
        <v>AC</v>
      </c>
      <c r="H1529" t="str">
        <f>SH!CC9</f>
        <v>Head</v>
      </c>
      <c r="I1529">
        <f>SH!CD9</f>
        <v>0</v>
      </c>
      <c r="J1529" t="str">
        <f>SH!CE9</f>
        <v>Safety Head</v>
      </c>
      <c r="K1529" t="str">
        <f>SH!CF9</f>
        <v>60-61HF4</v>
      </c>
      <c r="L1529" t="str">
        <f>SH!CG9</f>
        <v>SH-C2</v>
      </c>
      <c r="M1529">
        <f>SH!CH9</f>
        <v>0</v>
      </c>
      <c r="N1529">
        <f>SH!CI9</f>
        <v>0</v>
      </c>
      <c r="O1529">
        <f>SH!CJ9</f>
        <v>0</v>
      </c>
      <c r="P1529" s="143" t="str">
        <f>SH!CK9</f>
        <v>Superseded</v>
      </c>
      <c r="R1529">
        <f t="shared" si="23"/>
        <v>1528</v>
      </c>
    </row>
    <row r="1530" spans="5:18">
      <c r="E1530" s="147" t="s">
        <v>47</v>
      </c>
      <c r="F1530" t="str">
        <f>SH!CA10</f>
        <v>HPS</v>
      </c>
      <c r="G1530" t="str">
        <f>SH!CB10</f>
        <v>AC</v>
      </c>
      <c r="H1530" t="str">
        <f>SH!CC10</f>
        <v>Head</v>
      </c>
      <c r="I1530">
        <f>SH!CD10</f>
        <v>0</v>
      </c>
      <c r="J1530" t="str">
        <f>SH!CE10</f>
        <v>Safety Head</v>
      </c>
      <c r="K1530" t="str">
        <f>SH!CF10</f>
        <v>60-61HF4</v>
      </c>
      <c r="L1530" t="str">
        <f>SH!CG10</f>
        <v>SH-C3</v>
      </c>
      <c r="M1530">
        <f>SH!CH10</f>
        <v>0</v>
      </c>
      <c r="N1530">
        <f>SH!CI10</f>
        <v>0</v>
      </c>
      <c r="O1530">
        <f>SH!CJ10</f>
        <v>0</v>
      </c>
      <c r="P1530" s="143" t="str">
        <f>SH!CK10</f>
        <v>Superseded</v>
      </c>
      <c r="R1530">
        <f t="shared" si="23"/>
        <v>1529</v>
      </c>
    </row>
    <row r="1531" spans="5:18">
      <c r="E1531" s="147" t="s">
        <v>47</v>
      </c>
      <c r="F1531" t="str">
        <f>SH!CA11</f>
        <v>HPS</v>
      </c>
      <c r="G1531" t="str">
        <f>SH!CB11</f>
        <v>AC</v>
      </c>
      <c r="H1531" t="str">
        <f>SH!CC11</f>
        <v>Head</v>
      </c>
      <c r="I1531">
        <f>SH!CD11</f>
        <v>0</v>
      </c>
      <c r="J1531" t="str">
        <f>SH!CE11</f>
        <v>Safety Head</v>
      </c>
      <c r="K1531" t="str">
        <f>SH!CF11</f>
        <v>60-61HF4</v>
      </c>
      <c r="L1531" t="str">
        <f>SH!CG11</f>
        <v>SH-D1</v>
      </c>
      <c r="M1531">
        <f>SH!CH11</f>
        <v>0</v>
      </c>
      <c r="N1531">
        <f>SH!CI11</f>
        <v>0</v>
      </c>
      <c r="O1531">
        <f>SH!CJ11</f>
        <v>0</v>
      </c>
      <c r="P1531" s="143" t="str">
        <f>SH!CK11</f>
        <v>Superseded</v>
      </c>
      <c r="R1531">
        <f t="shared" si="23"/>
        <v>1530</v>
      </c>
    </row>
    <row r="1532" spans="5:18">
      <c r="E1532" s="147" t="s">
        <v>47</v>
      </c>
      <c r="F1532" t="str">
        <f>SH!CA12</f>
        <v>HPS</v>
      </c>
      <c r="G1532" t="str">
        <f>SH!CB12</f>
        <v>AC</v>
      </c>
      <c r="H1532" t="str">
        <f>SH!CC12</f>
        <v>Head</v>
      </c>
      <c r="I1532">
        <f>SH!CD12</f>
        <v>0</v>
      </c>
      <c r="J1532" t="str">
        <f>SH!CE12</f>
        <v>Safety Head</v>
      </c>
      <c r="K1532" t="str">
        <f>SH!CF12</f>
        <v>60-61HF4</v>
      </c>
      <c r="L1532" t="str">
        <f>SH!CG12</f>
        <v>SH-D2</v>
      </c>
      <c r="M1532">
        <f>SH!CH12</f>
        <v>0</v>
      </c>
      <c r="N1532">
        <f>SH!CI12</f>
        <v>0</v>
      </c>
      <c r="O1532">
        <f>SH!CJ12</f>
        <v>0</v>
      </c>
      <c r="P1532" s="143" t="str">
        <f>SH!CK12</f>
        <v>Superseded</v>
      </c>
      <c r="R1532">
        <f t="shared" si="23"/>
        <v>1531</v>
      </c>
    </row>
    <row r="1533" spans="5:18">
      <c r="E1533" s="147" t="s">
        <v>47</v>
      </c>
      <c r="F1533" t="str">
        <f>SH!CA13</f>
        <v>HPS</v>
      </c>
      <c r="G1533" t="str">
        <f>SH!CB13</f>
        <v>AC</v>
      </c>
      <c r="H1533" t="str">
        <f>SH!CC13</f>
        <v>Head</v>
      </c>
      <c r="I1533">
        <f>SH!CD13</f>
        <v>0</v>
      </c>
      <c r="J1533" t="str">
        <f>SH!CE13</f>
        <v>Safety Head</v>
      </c>
      <c r="K1533" t="str">
        <f>SH!CF13</f>
        <v>60-61HF4</v>
      </c>
      <c r="L1533" t="str">
        <f>SH!CG13</f>
        <v>SH-E1</v>
      </c>
      <c r="M1533">
        <f>SH!CH13</f>
        <v>0</v>
      </c>
      <c r="N1533">
        <f>SH!CI13</f>
        <v>0</v>
      </c>
      <c r="O1533">
        <f>SH!CJ13</f>
        <v>0</v>
      </c>
      <c r="P1533" s="143" t="str">
        <f>SH!CK13</f>
        <v>Superseded</v>
      </c>
      <c r="R1533">
        <f t="shared" si="23"/>
        <v>1532</v>
      </c>
    </row>
    <row r="1534" spans="5:18">
      <c r="E1534" s="147" t="s">
        <v>47</v>
      </c>
      <c r="F1534" t="str">
        <f>SH!CA14</f>
        <v>HPS</v>
      </c>
      <c r="G1534" t="str">
        <f>SH!CB14</f>
        <v>AC</v>
      </c>
      <c r="H1534" t="str">
        <f>SH!CC14</f>
        <v>Head</v>
      </c>
      <c r="I1534">
        <f>SH!CD14</f>
        <v>0</v>
      </c>
      <c r="J1534" t="str">
        <f>SH!CE14</f>
        <v>Safety Head</v>
      </c>
      <c r="K1534" t="str">
        <f>SH!CF14</f>
        <v>60-61HF4</v>
      </c>
      <c r="L1534" t="str">
        <f>SH!CG14</f>
        <v>SH-E2</v>
      </c>
      <c r="M1534">
        <f>SH!CH14</f>
        <v>0</v>
      </c>
      <c r="N1534">
        <f>SH!CI14</f>
        <v>0</v>
      </c>
      <c r="O1534">
        <f>SH!CJ14</f>
        <v>0</v>
      </c>
      <c r="P1534" s="143" t="str">
        <f>SH!CK14</f>
        <v>RD Failed</v>
      </c>
      <c r="R1534">
        <f t="shared" si="23"/>
        <v>1533</v>
      </c>
    </row>
    <row r="1535" spans="5:18">
      <c r="E1535" s="147" t="s">
        <v>47</v>
      </c>
      <c r="F1535" t="str">
        <f>SH!CA15</f>
        <v>HPS</v>
      </c>
      <c r="G1535" t="str">
        <f>SH!CB15</f>
        <v>AC</v>
      </c>
      <c r="H1535" t="str">
        <f>SH!CC15</f>
        <v>Head</v>
      </c>
      <c r="I1535">
        <f>SH!CD15</f>
        <v>0</v>
      </c>
      <c r="J1535" t="str">
        <f>SH!CE15</f>
        <v>Safety Head</v>
      </c>
      <c r="K1535" t="str">
        <f>SH!CF15</f>
        <v>60-61HF4</v>
      </c>
      <c r="L1535" t="str">
        <f>SH!CG15</f>
        <v>SH-E3</v>
      </c>
      <c r="M1535">
        <f>SH!CH15</f>
        <v>0</v>
      </c>
      <c r="N1535">
        <f>SH!CI15</f>
        <v>0</v>
      </c>
      <c r="O1535">
        <f>SH!CJ15</f>
        <v>0</v>
      </c>
      <c r="P1535" s="143" t="str">
        <f>SH!CK15</f>
        <v>Superseded</v>
      </c>
      <c r="R1535">
        <f t="shared" si="23"/>
        <v>1534</v>
      </c>
    </row>
    <row r="1536" spans="5:18">
      <c r="E1536" s="147" t="s">
        <v>47</v>
      </c>
      <c r="F1536" t="str">
        <f>SH!CA16</f>
        <v>HPS</v>
      </c>
      <c r="G1536" t="str">
        <f>SH!CB16</f>
        <v>AC</v>
      </c>
      <c r="H1536" t="str">
        <f>SH!CC16</f>
        <v>Head</v>
      </c>
      <c r="I1536">
        <f>SH!CD16</f>
        <v>0</v>
      </c>
      <c r="J1536" t="str">
        <f>SH!CE16</f>
        <v>Safety Head</v>
      </c>
      <c r="K1536" t="str">
        <f>SH!CF16</f>
        <v>60-61HF4</v>
      </c>
      <c r="L1536" t="str">
        <f>SH!CG16</f>
        <v>SH-F1</v>
      </c>
      <c r="M1536">
        <f>SH!CH16</f>
        <v>0</v>
      </c>
      <c r="N1536">
        <f>SH!CI16</f>
        <v>0</v>
      </c>
      <c r="O1536">
        <f>SH!CJ16</f>
        <v>0</v>
      </c>
      <c r="P1536" s="143" t="str">
        <f>SH!CK16</f>
        <v>Superseded</v>
      </c>
      <c r="R1536">
        <f t="shared" si="23"/>
        <v>1535</v>
      </c>
    </row>
    <row r="1537" spans="5:18">
      <c r="E1537" s="147" t="s">
        <v>47</v>
      </c>
      <c r="F1537" t="str">
        <f>SH!CA17</f>
        <v>HPS</v>
      </c>
      <c r="G1537" t="str">
        <f>SH!CB17</f>
        <v>AC</v>
      </c>
      <c r="H1537" t="str">
        <f>SH!CC17</f>
        <v>Head</v>
      </c>
      <c r="I1537">
        <f>SH!CD17</f>
        <v>0</v>
      </c>
      <c r="J1537" t="str">
        <f>SH!CE17</f>
        <v>Safety Head</v>
      </c>
      <c r="K1537" t="str">
        <f>SH!CF17</f>
        <v>60-61HF4</v>
      </c>
      <c r="L1537" t="str">
        <f>SH!CG17</f>
        <v>SH-F2</v>
      </c>
      <c r="M1537">
        <f>SH!CH17</f>
        <v>0</v>
      </c>
      <c r="N1537">
        <f>SH!CI17</f>
        <v>0</v>
      </c>
      <c r="O1537">
        <f>SH!CJ17</f>
        <v>0</v>
      </c>
      <c r="P1537" s="143" t="str">
        <f>SH!CK17</f>
        <v>Superseded</v>
      </c>
      <c r="R1537">
        <f t="shared" si="23"/>
        <v>1536</v>
      </c>
    </row>
    <row r="1538" spans="5:18">
      <c r="E1538" s="147" t="s">
        <v>47</v>
      </c>
      <c r="F1538" t="str">
        <f>SH!CA18</f>
        <v>HPS</v>
      </c>
      <c r="G1538" t="str">
        <f>SH!CB18</f>
        <v>AC</v>
      </c>
      <c r="H1538" t="str">
        <f>SH!CC18</f>
        <v>Head</v>
      </c>
      <c r="I1538">
        <f>SH!CD18</f>
        <v>0</v>
      </c>
      <c r="J1538" t="str">
        <f>SH!CE18</f>
        <v>Safety Head</v>
      </c>
      <c r="K1538" t="str">
        <f>SH!CF18</f>
        <v>60-61HF4</v>
      </c>
      <c r="L1538" t="str">
        <f>SH!CG18</f>
        <v>SH-G1</v>
      </c>
      <c r="M1538">
        <f>SH!CH18</f>
        <v>0</v>
      </c>
      <c r="N1538">
        <f>SH!CI18</f>
        <v>0</v>
      </c>
      <c r="O1538">
        <f>SH!CJ18</f>
        <v>0</v>
      </c>
      <c r="P1538" s="143" t="str">
        <f>SH!CK18</f>
        <v>Superseded</v>
      </c>
      <c r="R1538">
        <f t="shared" si="23"/>
        <v>1537</v>
      </c>
    </row>
    <row r="1539" spans="5:18">
      <c r="E1539" s="147" t="s">
        <v>47</v>
      </c>
      <c r="F1539" t="str">
        <f>SH!CA19</f>
        <v>HPS</v>
      </c>
      <c r="G1539" t="str">
        <f>SH!CB19</f>
        <v>AC</v>
      </c>
      <c r="H1539" t="str">
        <f>SH!CC19</f>
        <v>Head</v>
      </c>
      <c r="I1539">
        <f>SH!CD19</f>
        <v>0</v>
      </c>
      <c r="J1539" t="str">
        <f>SH!CE19</f>
        <v>Safety Head</v>
      </c>
      <c r="K1539" t="str">
        <f>SH!CF19</f>
        <v>60-61HF4</v>
      </c>
      <c r="L1539" t="str">
        <f>SH!CG19</f>
        <v>SH-G2</v>
      </c>
      <c r="M1539">
        <f>SH!CH19</f>
        <v>0</v>
      </c>
      <c r="N1539">
        <f>SH!CI19</f>
        <v>0</v>
      </c>
      <c r="O1539">
        <f>SH!CJ19</f>
        <v>0</v>
      </c>
      <c r="P1539" s="143" t="str">
        <f>SH!CK19</f>
        <v>Superseded</v>
      </c>
      <c r="R1539">
        <f t="shared" si="23"/>
        <v>1538</v>
      </c>
    </row>
    <row r="1540" spans="5:18">
      <c r="E1540" s="147" t="s">
        <v>47</v>
      </c>
      <c r="F1540" t="str">
        <f>SH!CA20</f>
        <v>HPS</v>
      </c>
      <c r="G1540" t="str">
        <f>SH!CB20</f>
        <v>AC</v>
      </c>
      <c r="H1540" t="str">
        <f>SH!CC20</f>
        <v>Head</v>
      </c>
      <c r="I1540">
        <f>SH!CD20</f>
        <v>0</v>
      </c>
      <c r="J1540" t="str">
        <f>SH!CE20</f>
        <v>Safety Head</v>
      </c>
      <c r="K1540" t="str">
        <f>SH!CF20</f>
        <v>60-61HF4</v>
      </c>
      <c r="L1540" t="str">
        <f>SH!CG20</f>
        <v>SH-K1</v>
      </c>
      <c r="M1540">
        <f>SH!CH20</f>
        <v>0</v>
      </c>
      <c r="N1540">
        <f>SH!CI20</f>
        <v>0</v>
      </c>
      <c r="O1540">
        <f>SH!CJ20</f>
        <v>0</v>
      </c>
      <c r="P1540" s="143" t="str">
        <f>SH!CK20</f>
        <v>RD Failed</v>
      </c>
      <c r="R1540">
        <f t="shared" ref="R1540:R1603" si="24">R1539+1</f>
        <v>1539</v>
      </c>
    </row>
    <row r="1541" spans="5:18">
      <c r="E1541" s="147" t="s">
        <v>47</v>
      </c>
      <c r="F1541" t="str">
        <f>SH!CA21</f>
        <v>HPS</v>
      </c>
      <c r="G1541" t="str">
        <f>SH!CB21</f>
        <v>AC</v>
      </c>
      <c r="H1541" t="str">
        <f>SH!CC21</f>
        <v>Head</v>
      </c>
      <c r="I1541">
        <f>SH!CD21</f>
        <v>0</v>
      </c>
      <c r="J1541" t="str">
        <f>SH!CE21</f>
        <v>Safety Head</v>
      </c>
      <c r="K1541" t="str">
        <f>SH!CF21</f>
        <v>60-61HF4</v>
      </c>
      <c r="L1541" t="str">
        <f>SH!CG21</f>
        <v>SH-K2</v>
      </c>
      <c r="M1541">
        <f>SH!CH21</f>
        <v>0</v>
      </c>
      <c r="N1541">
        <f>SH!CI21</f>
        <v>0</v>
      </c>
      <c r="O1541">
        <f>SH!CJ21</f>
        <v>0</v>
      </c>
      <c r="P1541" s="143" t="str">
        <f>SH!CK21</f>
        <v>Superseded</v>
      </c>
      <c r="R1541">
        <f t="shared" si="24"/>
        <v>1540</v>
      </c>
    </row>
    <row r="1542" spans="5:18">
      <c r="E1542" s="147" t="s">
        <v>47</v>
      </c>
      <c r="F1542" t="str">
        <f>SH!CA22</f>
        <v>HPS</v>
      </c>
      <c r="G1542" t="str">
        <f>SH!CB22</f>
        <v>AC</v>
      </c>
      <c r="H1542" t="str">
        <f>SH!CC22</f>
        <v>Head</v>
      </c>
      <c r="I1542">
        <f>SH!CD22</f>
        <v>0</v>
      </c>
      <c r="J1542" t="str">
        <f>SH!CE22</f>
        <v>Safety Head</v>
      </c>
      <c r="K1542" t="str">
        <f>SH!CF22</f>
        <v>60-61HF4</v>
      </c>
      <c r="L1542" t="str">
        <f>SH!CG22</f>
        <v>SH-K3</v>
      </c>
      <c r="M1542">
        <f>SH!CH22</f>
        <v>0</v>
      </c>
      <c r="N1542">
        <f>SH!CI22</f>
        <v>0</v>
      </c>
      <c r="O1542">
        <f>SH!CJ22</f>
        <v>0</v>
      </c>
      <c r="P1542" s="143" t="str">
        <f>SH!CK22</f>
        <v>Superseded</v>
      </c>
      <c r="R1542">
        <f t="shared" si="24"/>
        <v>1541</v>
      </c>
    </row>
    <row r="1543" spans="5:18">
      <c r="E1543" s="147" t="s">
        <v>47</v>
      </c>
      <c r="F1543" t="str">
        <f>SH!CA23</f>
        <v>HPS</v>
      </c>
      <c r="G1543" t="str">
        <f>SH!CB23</f>
        <v>AC</v>
      </c>
      <c r="H1543" t="str">
        <f>SH!CC23</f>
        <v>Head</v>
      </c>
      <c r="I1543">
        <f>SH!CD23</f>
        <v>0</v>
      </c>
      <c r="J1543" t="str">
        <f>SH!CE23</f>
        <v>Safety Head</v>
      </c>
      <c r="K1543" t="str">
        <f>SH!CF23</f>
        <v>100-61XF4</v>
      </c>
      <c r="L1543" t="str">
        <f>SH!CG23</f>
        <v>SH-L1</v>
      </c>
      <c r="M1543">
        <f>SH!CH23</f>
        <v>0</v>
      </c>
      <c r="N1543">
        <f>SH!CI23</f>
        <v>0</v>
      </c>
      <c r="O1543">
        <f>SH!CJ23</f>
        <v>0</v>
      </c>
      <c r="P1543" s="143" t="str">
        <f>SH!CK23</f>
        <v>Superseded</v>
      </c>
      <c r="R1543">
        <f t="shared" si="24"/>
        <v>1542</v>
      </c>
    </row>
    <row r="1544" spans="5:18">
      <c r="E1544" s="147" t="s">
        <v>47</v>
      </c>
      <c r="F1544" t="str">
        <f>SH!CA24</f>
        <v>HPS</v>
      </c>
      <c r="G1544" t="str">
        <f>SH!CB24</f>
        <v>AC</v>
      </c>
      <c r="H1544" t="str">
        <f>SH!CC24</f>
        <v>Head</v>
      </c>
      <c r="I1544">
        <f>SH!CD24</f>
        <v>0</v>
      </c>
      <c r="J1544" t="str">
        <f>SH!CE24</f>
        <v>Safety Head</v>
      </c>
      <c r="K1544" t="str">
        <f>SH!CF24</f>
        <v>100-61XF4</v>
      </c>
      <c r="L1544" t="str">
        <f>SH!CG24</f>
        <v>SH-L2</v>
      </c>
      <c r="M1544">
        <f>SH!CH24</f>
        <v>0</v>
      </c>
      <c r="N1544">
        <f>SH!CI24</f>
        <v>0</v>
      </c>
      <c r="O1544">
        <f>SH!CJ24</f>
        <v>0</v>
      </c>
      <c r="P1544" s="143" t="str">
        <f>SH!CK24</f>
        <v>Superseded</v>
      </c>
      <c r="R1544">
        <f t="shared" si="24"/>
        <v>1543</v>
      </c>
    </row>
    <row r="1545" spans="5:18">
      <c r="E1545" s="147" t="s">
        <v>47</v>
      </c>
      <c r="F1545" t="str">
        <f>SH!CA25</f>
        <v>HPS</v>
      </c>
      <c r="G1545" t="str">
        <f>SH!CB25</f>
        <v>AC</v>
      </c>
      <c r="H1545" t="str">
        <f>SH!CC25</f>
        <v>Head</v>
      </c>
      <c r="I1545">
        <f>SH!CD25</f>
        <v>0</v>
      </c>
      <c r="J1545" t="str">
        <f>SH!CE25</f>
        <v>Safety Head</v>
      </c>
      <c r="K1545" t="str">
        <f>SH!CF25</f>
        <v>60-61HF4</v>
      </c>
      <c r="L1545" t="str">
        <f>SH!CG25</f>
        <v>SH-M1</v>
      </c>
      <c r="M1545">
        <f>SH!CH25</f>
        <v>0</v>
      </c>
      <c r="N1545">
        <f>SH!CI25</f>
        <v>0</v>
      </c>
      <c r="O1545">
        <f>SH!CJ25</f>
        <v>0</v>
      </c>
      <c r="P1545" s="143" t="str">
        <f>SH!CK25</f>
        <v>Superseded</v>
      </c>
      <c r="R1545">
        <f t="shared" si="24"/>
        <v>1544</v>
      </c>
    </row>
    <row r="1546" spans="5:18">
      <c r="E1546" s="147" t="s">
        <v>47</v>
      </c>
      <c r="F1546" t="str">
        <f>SH!CA26</f>
        <v>HPS</v>
      </c>
      <c r="G1546" t="str">
        <f>SH!CB26</f>
        <v>AC</v>
      </c>
      <c r="H1546" t="str">
        <f>SH!CC26</f>
        <v>Head</v>
      </c>
      <c r="I1546">
        <f>SH!CD26</f>
        <v>0</v>
      </c>
      <c r="J1546" t="str">
        <f>SH!CE26</f>
        <v>Safety Head</v>
      </c>
      <c r="K1546" t="str">
        <f>SH!CF26</f>
        <v>60-61HF4</v>
      </c>
      <c r="L1546" t="str">
        <f>SH!CG26</f>
        <v>SH-M2</v>
      </c>
      <c r="M1546">
        <f>SH!CH26</f>
        <v>0</v>
      </c>
      <c r="N1546">
        <f>SH!CI26</f>
        <v>0</v>
      </c>
      <c r="O1546">
        <f>SH!CJ26</f>
        <v>0</v>
      </c>
      <c r="P1546" s="143" t="str">
        <f>SH!CK26</f>
        <v>Superseded</v>
      </c>
      <c r="R1546">
        <f t="shared" si="24"/>
        <v>1545</v>
      </c>
    </row>
    <row r="1547" spans="5:18">
      <c r="E1547" s="147" t="s">
        <v>47</v>
      </c>
      <c r="F1547" t="str">
        <f>SH!CA27</f>
        <v>HPS</v>
      </c>
      <c r="G1547" t="str">
        <f>SH!CB27</f>
        <v>AC</v>
      </c>
      <c r="H1547" t="str">
        <f>SH!CC27</f>
        <v>Head</v>
      </c>
      <c r="I1547">
        <f>SH!CD27</f>
        <v>0</v>
      </c>
      <c r="J1547" t="str">
        <f>SH!CE27</f>
        <v>Safety Head</v>
      </c>
      <c r="K1547" t="str">
        <f>SH!CF27</f>
        <v>60-61HF4</v>
      </c>
      <c r="L1547" t="str">
        <f>SH!CG27</f>
        <v>SH-N1</v>
      </c>
      <c r="M1547">
        <f>SH!CH27</f>
        <v>0</v>
      </c>
      <c r="N1547">
        <f>SH!CI27</f>
        <v>0</v>
      </c>
      <c r="O1547">
        <f>SH!CJ27</f>
        <v>0</v>
      </c>
      <c r="P1547" s="143" t="str">
        <f>SH!CK27</f>
        <v>Superseded</v>
      </c>
      <c r="R1547">
        <f t="shared" si="24"/>
        <v>1546</v>
      </c>
    </row>
    <row r="1548" spans="5:18">
      <c r="E1548" s="147" t="s">
        <v>47</v>
      </c>
      <c r="F1548" t="str">
        <f>SH!CA28</f>
        <v>HPS</v>
      </c>
      <c r="G1548" t="str">
        <f>SH!CB28</f>
        <v>AC</v>
      </c>
      <c r="H1548" t="str">
        <f>SH!CC28</f>
        <v>Head</v>
      </c>
      <c r="I1548">
        <f>SH!CD28</f>
        <v>0</v>
      </c>
      <c r="J1548" t="str">
        <f>SH!CE28</f>
        <v>Safety Head</v>
      </c>
      <c r="K1548" t="str">
        <f>SH!CF28</f>
        <v>60-61HF4</v>
      </c>
      <c r="L1548" t="str">
        <f>SH!CG28</f>
        <v>SH-N2</v>
      </c>
      <c r="M1548">
        <f>SH!CH28</f>
        <v>0</v>
      </c>
      <c r="N1548">
        <f>SH!CI28</f>
        <v>0</v>
      </c>
      <c r="O1548">
        <f>SH!CJ28</f>
        <v>0</v>
      </c>
      <c r="P1548" s="143" t="str">
        <f>SH!CK28</f>
        <v>Superseded</v>
      </c>
      <c r="R1548">
        <f t="shared" si="24"/>
        <v>1547</v>
      </c>
    </row>
    <row r="1549" spans="5:18">
      <c r="E1549" s="147" t="s">
        <v>47</v>
      </c>
      <c r="F1549" t="str">
        <f>SH!CA29</f>
        <v>HPS</v>
      </c>
      <c r="G1549" t="str">
        <f>SH!CB29</f>
        <v>AC</v>
      </c>
      <c r="H1549" t="str">
        <f>SH!CC29</f>
        <v>Head</v>
      </c>
      <c r="I1549">
        <f>SH!CD29</f>
        <v>0</v>
      </c>
      <c r="J1549" t="str">
        <f>SH!CE29</f>
        <v>Safety Head</v>
      </c>
      <c r="K1549" t="str">
        <f>SH!CF29</f>
        <v>60-61HF4</v>
      </c>
      <c r="L1549" t="str">
        <f>SH!CG29</f>
        <v>SH-P1</v>
      </c>
      <c r="M1549">
        <f>SH!CH29</f>
        <v>0</v>
      </c>
      <c r="N1549">
        <f>SH!CI29</f>
        <v>0</v>
      </c>
      <c r="O1549">
        <f>SH!CJ29</f>
        <v>0</v>
      </c>
      <c r="P1549" s="143" t="str">
        <f>SH!CK29</f>
        <v>Superseded</v>
      </c>
      <c r="R1549">
        <f t="shared" si="24"/>
        <v>1548</v>
      </c>
    </row>
    <row r="1550" spans="5:18">
      <c r="E1550" s="147" t="s">
        <v>47</v>
      </c>
      <c r="F1550" t="str">
        <f>SH!CA30</f>
        <v>HPS</v>
      </c>
      <c r="G1550" t="str">
        <f>SH!CB30</f>
        <v>AC</v>
      </c>
      <c r="H1550" t="str">
        <f>SH!CC30</f>
        <v>Head</v>
      </c>
      <c r="I1550">
        <f>SH!CD30</f>
        <v>0</v>
      </c>
      <c r="J1550" t="str">
        <f>SH!CE30</f>
        <v>Safety Head</v>
      </c>
      <c r="K1550" t="str">
        <f>SH!CF30</f>
        <v>60-61HF4</v>
      </c>
      <c r="L1550" t="str">
        <f>SH!CG30</f>
        <v>SH-P2</v>
      </c>
      <c r="M1550">
        <f>SH!CH30</f>
        <v>0</v>
      </c>
      <c r="N1550">
        <f>SH!CI30</f>
        <v>0</v>
      </c>
      <c r="O1550">
        <f>SH!CJ30</f>
        <v>0</v>
      </c>
      <c r="P1550" s="143" t="str">
        <f>SH!CK30</f>
        <v>Superseded</v>
      </c>
      <c r="R1550">
        <f t="shared" si="24"/>
        <v>1549</v>
      </c>
    </row>
    <row r="1551" spans="5:18">
      <c r="E1551" s="147" t="s">
        <v>47</v>
      </c>
      <c r="F1551" t="str">
        <f>SH!CA31</f>
        <v>HPS</v>
      </c>
      <c r="G1551" t="str">
        <f>SH!CB31</f>
        <v>AC</v>
      </c>
      <c r="H1551" t="str">
        <f>SH!CC31</f>
        <v>Head</v>
      </c>
      <c r="I1551">
        <f>SH!CD31</f>
        <v>0</v>
      </c>
      <c r="J1551" t="str">
        <f>SH!CE31</f>
        <v>Safety Head</v>
      </c>
      <c r="K1551" t="str">
        <f>SH!CF31</f>
        <v>60-61HF4</v>
      </c>
      <c r="L1551" t="str">
        <f>SH!CG31</f>
        <v>SH-Q1</v>
      </c>
      <c r="M1551">
        <f>SH!CH31</f>
        <v>0</v>
      </c>
      <c r="N1551">
        <f>SH!CI31</f>
        <v>0</v>
      </c>
      <c r="O1551">
        <f>SH!CJ31</f>
        <v>0</v>
      </c>
      <c r="P1551" s="143" t="str">
        <f>SH!CK31</f>
        <v>Superseded</v>
      </c>
      <c r="R1551">
        <f t="shared" si="24"/>
        <v>1550</v>
      </c>
    </row>
    <row r="1552" spans="5:18">
      <c r="E1552" s="147" t="s">
        <v>47</v>
      </c>
      <c r="F1552" t="str">
        <f>SH!CA32</f>
        <v>HPS</v>
      </c>
      <c r="G1552" t="str">
        <f>SH!CB32</f>
        <v>AC</v>
      </c>
      <c r="H1552" t="str">
        <f>SH!CC32</f>
        <v>Head</v>
      </c>
      <c r="I1552">
        <f>SH!CD32</f>
        <v>0</v>
      </c>
      <c r="J1552" t="str">
        <f>SH!CE32</f>
        <v>Safety Head</v>
      </c>
      <c r="K1552" t="str">
        <f>SH!CF32</f>
        <v>60-61HF4</v>
      </c>
      <c r="L1552" t="str">
        <f>SH!CG32</f>
        <v>SH-Q2</v>
      </c>
      <c r="M1552">
        <f>SH!CH32</f>
        <v>0</v>
      </c>
      <c r="N1552">
        <f>SH!CI32</f>
        <v>0</v>
      </c>
      <c r="O1552">
        <f>SH!CJ32</f>
        <v>0</v>
      </c>
      <c r="P1552" s="143" t="str">
        <f>SH!CK32</f>
        <v>Superseded</v>
      </c>
      <c r="R1552">
        <f t="shared" si="24"/>
        <v>1551</v>
      </c>
    </row>
    <row r="1553" spans="5:18">
      <c r="E1553" s="147" t="s">
        <v>47</v>
      </c>
      <c r="F1553" t="str">
        <f>SH!CA33</f>
        <v>HPS</v>
      </c>
      <c r="G1553" t="str">
        <f>SH!CB33</f>
        <v>AC</v>
      </c>
      <c r="H1553" t="str">
        <f>SH!CC33</f>
        <v>Head</v>
      </c>
      <c r="I1553">
        <f>SH!CD33</f>
        <v>0</v>
      </c>
      <c r="J1553" t="str">
        <f>SH!CE33</f>
        <v>Safety Head</v>
      </c>
      <c r="K1553" t="str">
        <f>SH!CF33</f>
        <v>60-61HF4</v>
      </c>
      <c r="L1553" t="str">
        <f>SH!CG33</f>
        <v>SH-R1</v>
      </c>
      <c r="M1553">
        <f>SH!CH33</f>
        <v>0</v>
      </c>
      <c r="N1553">
        <f>SH!CI33</f>
        <v>0</v>
      </c>
      <c r="O1553">
        <f>SH!CJ33</f>
        <v>0</v>
      </c>
      <c r="P1553" s="143" t="str">
        <f>SH!CK33</f>
        <v>Superseded</v>
      </c>
      <c r="R1553">
        <f t="shared" si="24"/>
        <v>1552</v>
      </c>
    </row>
    <row r="1554" spans="5:18">
      <c r="E1554" s="147" t="s">
        <v>47</v>
      </c>
      <c r="F1554" t="str">
        <f>SH!CA34</f>
        <v>HPS</v>
      </c>
      <c r="G1554" t="str">
        <f>SH!CB34</f>
        <v>AC</v>
      </c>
      <c r="H1554" t="str">
        <f>SH!CC34</f>
        <v>Head</v>
      </c>
      <c r="I1554">
        <f>SH!CD34</f>
        <v>0</v>
      </c>
      <c r="J1554" t="str">
        <f>SH!CE34</f>
        <v>Safety Head</v>
      </c>
      <c r="K1554" t="str">
        <f>SH!CF34</f>
        <v>60-61HF4</v>
      </c>
      <c r="L1554" t="str">
        <f>SH!CG34</f>
        <v>SH-R2</v>
      </c>
      <c r="M1554">
        <f>SH!CH34</f>
        <v>0</v>
      </c>
      <c r="N1554">
        <f>SH!CI34</f>
        <v>0</v>
      </c>
      <c r="O1554">
        <f>SH!CJ34</f>
        <v>0</v>
      </c>
      <c r="P1554" s="143" t="str">
        <f>SH!CK34</f>
        <v>Superseded</v>
      </c>
      <c r="R1554">
        <f t="shared" si="24"/>
        <v>1553</v>
      </c>
    </row>
    <row r="1555" spans="5:18">
      <c r="E1555" s="147" t="s">
        <v>47</v>
      </c>
      <c r="F1555" t="str">
        <f>SH!CA35</f>
        <v>HPS</v>
      </c>
      <c r="G1555" t="str">
        <f>SH!CB35</f>
        <v>AC</v>
      </c>
      <c r="H1555" t="str">
        <f>SH!CC35</f>
        <v>Head</v>
      </c>
      <c r="I1555">
        <f>SH!CD35</f>
        <v>0</v>
      </c>
      <c r="J1555" t="str">
        <f>SH!CE35</f>
        <v>Safety Head</v>
      </c>
      <c r="K1555" t="str">
        <f>SH!CF35</f>
        <v>60-61HF4</v>
      </c>
      <c r="L1555" t="str">
        <f>SH!CG35</f>
        <v>SH-Z1</v>
      </c>
      <c r="M1555">
        <f>SH!CH35</f>
        <v>0</v>
      </c>
      <c r="N1555">
        <f>SH!CI35</f>
        <v>0</v>
      </c>
      <c r="O1555">
        <f>SH!CJ35</f>
        <v>0</v>
      </c>
      <c r="P1555" s="143" t="str">
        <f>SH!CK35</f>
        <v>Superseded</v>
      </c>
      <c r="R1555">
        <f t="shared" si="24"/>
        <v>1554</v>
      </c>
    </row>
    <row r="1556" spans="5:18">
      <c r="E1556" s="147" t="s">
        <v>47</v>
      </c>
      <c r="F1556" t="str">
        <f>SH!CA36</f>
        <v>HPS</v>
      </c>
      <c r="G1556" t="str">
        <f>SH!CB36</f>
        <v>AC</v>
      </c>
      <c r="H1556" t="str">
        <f>SH!CC36</f>
        <v>Head</v>
      </c>
      <c r="I1556">
        <f>SH!CD36</f>
        <v>0</v>
      </c>
      <c r="J1556" t="str">
        <f>SH!CE36</f>
        <v>Safety Head</v>
      </c>
      <c r="K1556" t="str">
        <f>SH!CF36</f>
        <v>60-61HF4</v>
      </c>
      <c r="L1556" t="str">
        <f>SH!CG36</f>
        <v>SH-Z2</v>
      </c>
      <c r="M1556">
        <f>SH!CH36</f>
        <v>0</v>
      </c>
      <c r="N1556">
        <f>SH!CI36</f>
        <v>0</v>
      </c>
      <c r="O1556">
        <f>SH!CJ36</f>
        <v>0</v>
      </c>
      <c r="P1556" s="143" t="str">
        <f>SH!CK36</f>
        <v>Superseded</v>
      </c>
      <c r="R1556">
        <f t="shared" si="24"/>
        <v>1555</v>
      </c>
    </row>
    <row r="1557" spans="5:18">
      <c r="E1557" s="147" t="s">
        <v>47</v>
      </c>
      <c r="F1557" t="str">
        <f>SH!CA37</f>
        <v>HPS</v>
      </c>
      <c r="G1557" t="str">
        <f>SH!CB37</f>
        <v>AC</v>
      </c>
      <c r="H1557" t="str">
        <f>SH!CC37</f>
        <v>Head</v>
      </c>
      <c r="I1557">
        <f>SH!CD37</f>
        <v>0</v>
      </c>
      <c r="J1557" t="str">
        <f>SH!CE37</f>
        <v>Safety Head</v>
      </c>
      <c r="K1557" t="str">
        <f>SH!CF37</f>
        <v>60-61HF4</v>
      </c>
      <c r="L1557" t="str">
        <f>SH!CG37</f>
        <v>SH-1</v>
      </c>
      <c r="M1557">
        <f>SH!CH37</f>
        <v>0</v>
      </c>
      <c r="N1557">
        <f>SH!CI37</f>
        <v>0</v>
      </c>
      <c r="O1557">
        <f>SH!CJ37</f>
        <v>0</v>
      </c>
      <c r="P1557" s="143" t="str">
        <f>SH!CK37</f>
        <v>Active</v>
      </c>
      <c r="R1557">
        <f t="shared" si="24"/>
        <v>1556</v>
      </c>
    </row>
    <row r="1558" spans="5:18">
      <c r="E1558" s="147" t="s">
        <v>47</v>
      </c>
      <c r="F1558" t="str">
        <f>SH!CA38</f>
        <v>HPS</v>
      </c>
      <c r="G1558" t="str">
        <f>SH!CB38</f>
        <v>AC</v>
      </c>
      <c r="H1558" t="str">
        <f>SH!CC38</f>
        <v>Head</v>
      </c>
      <c r="I1558">
        <f>SH!CD38</f>
        <v>0</v>
      </c>
      <c r="J1558" t="str">
        <f>SH!CE38</f>
        <v>Safety Head</v>
      </c>
      <c r="K1558" t="str">
        <f>SH!CF38</f>
        <v>60-61HF4</v>
      </c>
      <c r="L1558" t="str">
        <f>SH!CG38</f>
        <v>SH-2</v>
      </c>
      <c r="M1558">
        <f>SH!CH38</f>
        <v>0</v>
      </c>
      <c r="N1558">
        <f>SH!CI38</f>
        <v>0</v>
      </c>
      <c r="O1558">
        <f>SH!CJ38</f>
        <v>0</v>
      </c>
      <c r="P1558" s="143" t="str">
        <f>SH!CK38</f>
        <v>Active</v>
      </c>
      <c r="R1558">
        <f t="shared" si="24"/>
        <v>1557</v>
      </c>
    </row>
    <row r="1559" spans="5:18">
      <c r="E1559" s="147" t="s">
        <v>47</v>
      </c>
      <c r="F1559" t="str">
        <f>SH!CA39</f>
        <v>HPS</v>
      </c>
      <c r="G1559" t="str">
        <f>SH!CB39</f>
        <v>AC</v>
      </c>
      <c r="H1559" t="str">
        <f>SH!CC39</f>
        <v>Head</v>
      </c>
      <c r="I1559">
        <f>SH!CD39</f>
        <v>0</v>
      </c>
      <c r="J1559" t="str">
        <f>SH!CE39</f>
        <v>Safety Head</v>
      </c>
      <c r="K1559" t="str">
        <f>SH!CF39</f>
        <v>60-61HF4</v>
      </c>
      <c r="L1559" t="str">
        <f>SH!CG39</f>
        <v>SH-3</v>
      </c>
      <c r="M1559">
        <f>SH!CH39</f>
        <v>0</v>
      </c>
      <c r="N1559">
        <f>SH!CI39</f>
        <v>0</v>
      </c>
      <c r="O1559">
        <f>SH!CJ39</f>
        <v>0</v>
      </c>
      <c r="P1559" s="143" t="str">
        <f>SH!CK39</f>
        <v>Active</v>
      </c>
      <c r="R1559">
        <f t="shared" si="24"/>
        <v>1558</v>
      </c>
    </row>
    <row r="1560" spans="5:18">
      <c r="E1560" s="147" t="s">
        <v>47</v>
      </c>
      <c r="F1560" t="str">
        <f>SH!CA40</f>
        <v>HPS</v>
      </c>
      <c r="G1560" t="str">
        <f>SH!CB40</f>
        <v>AC</v>
      </c>
      <c r="H1560" t="str">
        <f>SH!CC40</f>
        <v>Head</v>
      </c>
      <c r="I1560">
        <f>SH!CD40</f>
        <v>0</v>
      </c>
      <c r="J1560" t="str">
        <f>SH!CE40</f>
        <v>Safety Head</v>
      </c>
      <c r="K1560" t="str">
        <f>SH!CF40</f>
        <v>60-61HF4</v>
      </c>
      <c r="L1560" t="str">
        <f>SH!CG40</f>
        <v>SH-4</v>
      </c>
      <c r="M1560">
        <f>SH!CH40</f>
        <v>0</v>
      </c>
      <c r="N1560">
        <f>SH!CI40</f>
        <v>0</v>
      </c>
      <c r="O1560">
        <f>SH!CJ40</f>
        <v>0</v>
      </c>
      <c r="P1560" s="143" t="str">
        <f>SH!CK40</f>
        <v>Active</v>
      </c>
      <c r="R1560">
        <f t="shared" si="24"/>
        <v>1559</v>
      </c>
    </row>
    <row r="1561" spans="5:18">
      <c r="E1561" s="147" t="s">
        <v>47</v>
      </c>
      <c r="F1561" t="str">
        <f>SH!CA41</f>
        <v>HPS</v>
      </c>
      <c r="G1561" t="str">
        <f>SH!CB41</f>
        <v>AC</v>
      </c>
      <c r="H1561" t="str">
        <f>SH!CC41</f>
        <v>Head</v>
      </c>
      <c r="I1561">
        <f>SH!CD41</f>
        <v>0</v>
      </c>
      <c r="J1561" t="str">
        <f>SH!CE41</f>
        <v>Safety Head</v>
      </c>
      <c r="K1561" t="str">
        <f>SH!CF41</f>
        <v>60-61HF4</v>
      </c>
      <c r="L1561" t="str">
        <f>SH!CG41</f>
        <v>SH-5</v>
      </c>
      <c r="M1561">
        <f>SH!CH41</f>
        <v>0</v>
      </c>
      <c r="N1561">
        <f>SH!CI41</f>
        <v>0</v>
      </c>
      <c r="O1561">
        <f>SH!CJ41</f>
        <v>0</v>
      </c>
      <c r="P1561" s="143" t="str">
        <f>SH!CK41</f>
        <v>Active</v>
      </c>
      <c r="R1561">
        <f t="shared" si="24"/>
        <v>1560</v>
      </c>
    </row>
    <row r="1562" spans="5:18">
      <c r="E1562" s="147" t="s">
        <v>47</v>
      </c>
      <c r="F1562" t="str">
        <f>SH!CA42</f>
        <v>HPS</v>
      </c>
      <c r="G1562" t="str">
        <f>SH!CB42</f>
        <v>AC</v>
      </c>
      <c r="H1562" t="str">
        <f>SH!CC42</f>
        <v>Head</v>
      </c>
      <c r="I1562">
        <f>SH!CD42</f>
        <v>0</v>
      </c>
      <c r="J1562" t="str">
        <f>SH!CE42</f>
        <v>Safety Head</v>
      </c>
      <c r="K1562" t="str">
        <f>SH!CF42</f>
        <v>60-61HF4</v>
      </c>
      <c r="L1562" t="str">
        <f>SH!CG42</f>
        <v>SH-6</v>
      </c>
      <c r="M1562">
        <f>SH!CH42</f>
        <v>0</v>
      </c>
      <c r="N1562">
        <f>SH!CI42</f>
        <v>0</v>
      </c>
      <c r="O1562">
        <f>SH!CJ42</f>
        <v>0</v>
      </c>
      <c r="P1562" s="143" t="str">
        <f>SH!CK42</f>
        <v>Active</v>
      </c>
      <c r="R1562">
        <f t="shared" si="24"/>
        <v>1561</v>
      </c>
    </row>
    <row r="1563" spans="5:18">
      <c r="E1563" s="147" t="s">
        <v>47</v>
      </c>
      <c r="F1563" t="str">
        <f>SH!CA43</f>
        <v>HPS</v>
      </c>
      <c r="G1563" t="str">
        <f>SH!CB43</f>
        <v>AC</v>
      </c>
      <c r="H1563" t="str">
        <f>SH!CC43</f>
        <v>Head</v>
      </c>
      <c r="I1563">
        <f>SH!CD43</f>
        <v>0</v>
      </c>
      <c r="J1563" t="str">
        <f>SH!CE43</f>
        <v>Safety Head</v>
      </c>
      <c r="K1563" t="str">
        <f>SH!CF43</f>
        <v>60-61HF4</v>
      </c>
      <c r="L1563" t="str">
        <f>SH!CG43</f>
        <v>SH-7</v>
      </c>
      <c r="M1563">
        <f>SH!CH43</f>
        <v>0</v>
      </c>
      <c r="N1563">
        <f>SH!CI43</f>
        <v>0</v>
      </c>
      <c r="O1563">
        <f>SH!CJ43</f>
        <v>0</v>
      </c>
      <c r="P1563" s="143" t="str">
        <f>SH!CK43</f>
        <v>Active</v>
      </c>
      <c r="R1563">
        <f t="shared" si="24"/>
        <v>1562</v>
      </c>
    </row>
    <row r="1564" spans="5:18">
      <c r="E1564" s="147" t="s">
        <v>47</v>
      </c>
      <c r="F1564" t="str">
        <f>SH!CA44</f>
        <v>HPS</v>
      </c>
      <c r="G1564" t="str">
        <f>SH!CB44</f>
        <v>AC</v>
      </c>
      <c r="H1564" t="str">
        <f>SH!CC44</f>
        <v>Head</v>
      </c>
      <c r="I1564">
        <f>SH!CD44</f>
        <v>0</v>
      </c>
      <c r="J1564" t="str">
        <f>SH!CE44</f>
        <v>Safety Head</v>
      </c>
      <c r="K1564" t="str">
        <f>SH!CF44</f>
        <v>60-61HF4</v>
      </c>
      <c r="L1564" t="str">
        <f>SH!CG44</f>
        <v>SH-8</v>
      </c>
      <c r="M1564">
        <f>SH!CH44</f>
        <v>0</v>
      </c>
      <c r="N1564">
        <f>SH!CI44</f>
        <v>0</v>
      </c>
      <c r="O1564">
        <f>SH!CJ44</f>
        <v>0</v>
      </c>
      <c r="P1564" s="143" t="str">
        <f>SH!CK44</f>
        <v>Active</v>
      </c>
      <c r="R1564">
        <f t="shared" si="24"/>
        <v>1563</v>
      </c>
    </row>
    <row r="1565" spans="5:18">
      <c r="E1565" s="147" t="s">
        <v>47</v>
      </c>
      <c r="F1565" t="str">
        <f>SH!CA45</f>
        <v>HPS</v>
      </c>
      <c r="G1565" t="str">
        <f>SH!CB45</f>
        <v>AC</v>
      </c>
      <c r="H1565" t="str">
        <f>SH!CC45</f>
        <v>Head</v>
      </c>
      <c r="I1565">
        <f>SH!CD45</f>
        <v>0</v>
      </c>
      <c r="J1565" t="str">
        <f>SH!CE45</f>
        <v>Safety Head</v>
      </c>
      <c r="K1565" t="str">
        <f>SH!CF45</f>
        <v>60-61HF4</v>
      </c>
      <c r="L1565" t="str">
        <f>SH!CG45</f>
        <v>SH-9</v>
      </c>
      <c r="M1565">
        <f>SH!CH45</f>
        <v>0</v>
      </c>
      <c r="N1565">
        <f>SH!CI45</f>
        <v>0</v>
      </c>
      <c r="O1565">
        <f>SH!CJ45</f>
        <v>0</v>
      </c>
      <c r="P1565" s="143" t="str">
        <f>SH!CK45</f>
        <v>RD Failed</v>
      </c>
      <c r="R1565">
        <f t="shared" si="24"/>
        <v>1564</v>
      </c>
    </row>
    <row r="1566" spans="5:18">
      <c r="E1566" s="147" t="s">
        <v>47</v>
      </c>
      <c r="F1566" t="str">
        <f>SH!CA46</f>
        <v>HPS</v>
      </c>
      <c r="G1566" t="str">
        <f>SH!CB46</f>
        <v>AC</v>
      </c>
      <c r="H1566" t="str">
        <f>SH!CC46</f>
        <v>Head</v>
      </c>
      <c r="I1566">
        <f>SH!CD46</f>
        <v>0</v>
      </c>
      <c r="J1566" t="str">
        <f>SH!CE46</f>
        <v>Safety Head</v>
      </c>
      <c r="K1566" t="str">
        <f>SH!CF46</f>
        <v>60-61HF4</v>
      </c>
      <c r="L1566" t="str">
        <f>SH!CG46</f>
        <v>SH-10</v>
      </c>
      <c r="M1566">
        <f>SH!CH46</f>
        <v>0</v>
      </c>
      <c r="N1566">
        <f>SH!CI46</f>
        <v>0</v>
      </c>
      <c r="O1566">
        <f>SH!CJ46</f>
        <v>0</v>
      </c>
      <c r="P1566" s="143" t="str">
        <f>SH!CK46</f>
        <v>Active</v>
      </c>
      <c r="R1566">
        <f t="shared" si="24"/>
        <v>1565</v>
      </c>
    </row>
    <row r="1567" spans="5:18">
      <c r="E1567" s="147" t="s">
        <v>47</v>
      </c>
      <c r="F1567" t="str">
        <f>SH!CA47</f>
        <v>HPS</v>
      </c>
      <c r="G1567" t="str">
        <f>SH!CB47</f>
        <v>AC</v>
      </c>
      <c r="H1567" t="str">
        <f>SH!CC47</f>
        <v>Head</v>
      </c>
      <c r="I1567">
        <f>SH!CD47</f>
        <v>0</v>
      </c>
      <c r="J1567" t="str">
        <f>SH!CE47</f>
        <v>Safety Head</v>
      </c>
      <c r="K1567" t="str">
        <f>SH!CF47</f>
        <v>60-61HF4</v>
      </c>
      <c r="L1567" t="str">
        <f>SH!CG47</f>
        <v>SH-11</v>
      </c>
      <c r="M1567">
        <f>SH!CH47</f>
        <v>0</v>
      </c>
      <c r="N1567">
        <f>SH!CI47</f>
        <v>0</v>
      </c>
      <c r="O1567">
        <f>SH!CJ47</f>
        <v>0</v>
      </c>
      <c r="P1567" s="143" t="str">
        <f>SH!CK47</f>
        <v>Active</v>
      </c>
      <c r="R1567">
        <f t="shared" si="24"/>
        <v>1566</v>
      </c>
    </row>
    <row r="1568" spans="5:18">
      <c r="E1568" s="147" t="s">
        <v>47</v>
      </c>
      <c r="F1568" t="str">
        <f>SH!CA48</f>
        <v>HPS</v>
      </c>
      <c r="G1568" t="str">
        <f>SH!CB48</f>
        <v>AC</v>
      </c>
      <c r="H1568" t="str">
        <f>SH!CC48</f>
        <v>Head</v>
      </c>
      <c r="I1568">
        <f>SH!CD48</f>
        <v>0</v>
      </c>
      <c r="J1568" t="str">
        <f>SH!CE48</f>
        <v>Safety Head</v>
      </c>
      <c r="K1568" t="str">
        <f>SH!CF48</f>
        <v>60-61HF4</v>
      </c>
      <c r="L1568" t="str">
        <f>SH!CG48</f>
        <v>SH-12</v>
      </c>
      <c r="M1568">
        <f>SH!CH48</f>
        <v>0</v>
      </c>
      <c r="N1568">
        <f>SH!CI48</f>
        <v>0</v>
      </c>
      <c r="O1568">
        <f>SH!CJ48</f>
        <v>0</v>
      </c>
      <c r="P1568" s="143" t="str">
        <f>SH!CK48</f>
        <v>Active</v>
      </c>
      <c r="R1568">
        <f t="shared" si="24"/>
        <v>1567</v>
      </c>
    </row>
    <row r="1569" spans="5:18">
      <c r="E1569" s="147" t="s">
        <v>47</v>
      </c>
      <c r="F1569" t="str">
        <f>SH!CA49</f>
        <v>HPS</v>
      </c>
      <c r="G1569" t="str">
        <f>SH!CB49</f>
        <v>AC</v>
      </c>
      <c r="H1569" t="str">
        <f>SH!CC49</f>
        <v>Head</v>
      </c>
      <c r="I1569">
        <f>SH!CD49</f>
        <v>0</v>
      </c>
      <c r="J1569" t="str">
        <f>SH!CE49</f>
        <v>Safety Head</v>
      </c>
      <c r="K1569" t="str">
        <f>SH!CF49</f>
        <v>60-61HF4</v>
      </c>
      <c r="L1569" t="str">
        <f>SH!CG49</f>
        <v>SH-13</v>
      </c>
      <c r="M1569">
        <f>SH!CH49</f>
        <v>0</v>
      </c>
      <c r="N1569">
        <f>SH!CI49</f>
        <v>0</v>
      </c>
      <c r="O1569">
        <f>SH!CJ49</f>
        <v>0</v>
      </c>
      <c r="P1569" s="143" t="str">
        <f>SH!CK49</f>
        <v>Active</v>
      </c>
      <c r="R1569">
        <f t="shared" si="24"/>
        <v>1568</v>
      </c>
    </row>
    <row r="1570" spans="5:18">
      <c r="E1570" s="147" t="s">
        <v>47</v>
      </c>
      <c r="F1570" t="str">
        <f>SH!CA50</f>
        <v>HPS</v>
      </c>
      <c r="G1570" t="str">
        <f>SH!CB50</f>
        <v>AC</v>
      </c>
      <c r="H1570" t="str">
        <f>SH!CC50</f>
        <v>Head</v>
      </c>
      <c r="I1570">
        <f>SH!CD50</f>
        <v>0</v>
      </c>
      <c r="J1570" t="str">
        <f>SH!CE50</f>
        <v>Safety Head</v>
      </c>
      <c r="K1570" t="str">
        <f>SH!CF50</f>
        <v>60-61HF4</v>
      </c>
      <c r="L1570" t="str">
        <f>SH!CG50</f>
        <v>SH-14</v>
      </c>
      <c r="M1570">
        <f>SH!CH50</f>
        <v>0</v>
      </c>
      <c r="N1570">
        <f>SH!CI50</f>
        <v>0</v>
      </c>
      <c r="O1570">
        <f>SH!CJ50</f>
        <v>0</v>
      </c>
      <c r="P1570" s="143" t="str">
        <f>SH!CK50</f>
        <v>Active</v>
      </c>
      <c r="R1570">
        <f t="shared" si="24"/>
        <v>1569</v>
      </c>
    </row>
    <row r="1571" spans="5:18">
      <c r="E1571" s="147" t="s">
        <v>47</v>
      </c>
      <c r="F1571" t="str">
        <f>SH!CA51</f>
        <v>HPS</v>
      </c>
      <c r="G1571" t="str">
        <f>SH!CB51</f>
        <v>AC</v>
      </c>
      <c r="H1571" t="str">
        <f>SH!CC51</f>
        <v>Head</v>
      </c>
      <c r="I1571">
        <f>SH!CD51</f>
        <v>0</v>
      </c>
      <c r="J1571" t="str">
        <f>SH!CE51</f>
        <v>Safety Head</v>
      </c>
      <c r="K1571" t="str">
        <f>SH!CF51</f>
        <v>60-61HF4</v>
      </c>
      <c r="L1571" t="str">
        <f>SH!CG51</f>
        <v>SH-15</v>
      </c>
      <c r="M1571">
        <f>SH!CH51</f>
        <v>0</v>
      </c>
      <c r="N1571">
        <f>SH!CI51</f>
        <v>0</v>
      </c>
      <c r="O1571">
        <f>SH!CJ51</f>
        <v>0</v>
      </c>
      <c r="P1571" s="143" t="str">
        <f>SH!CK51</f>
        <v>RD Failed</v>
      </c>
      <c r="R1571">
        <f t="shared" si="24"/>
        <v>1570</v>
      </c>
    </row>
    <row r="1572" spans="5:18">
      <c r="E1572" s="147" t="s">
        <v>47</v>
      </c>
      <c r="F1572" t="str">
        <f>SH!CA52</f>
        <v>HPS</v>
      </c>
      <c r="G1572" t="str">
        <f>SH!CB52</f>
        <v>AC</v>
      </c>
      <c r="H1572" t="str">
        <f>SH!CC52</f>
        <v>Head</v>
      </c>
      <c r="I1572">
        <f>SH!CD52</f>
        <v>0</v>
      </c>
      <c r="J1572" t="str">
        <f>SH!CE52</f>
        <v>Safety Head</v>
      </c>
      <c r="K1572" t="str">
        <f>SH!CF52</f>
        <v>60-61HF4</v>
      </c>
      <c r="L1572" t="str">
        <f>SH!CG52</f>
        <v>SH-16</v>
      </c>
      <c r="M1572">
        <f>SH!CH52</f>
        <v>0</v>
      </c>
      <c r="N1572">
        <f>SH!CI52</f>
        <v>0</v>
      </c>
      <c r="O1572">
        <f>SH!CJ52</f>
        <v>0</v>
      </c>
      <c r="P1572" s="143" t="str">
        <f>SH!CK52</f>
        <v>Active</v>
      </c>
      <c r="R1572">
        <f t="shared" si="24"/>
        <v>1571</v>
      </c>
    </row>
    <row r="1573" spans="5:18">
      <c r="E1573" s="147" t="s">
        <v>47</v>
      </c>
      <c r="F1573" t="str">
        <f>SH!CA53</f>
        <v>HPS</v>
      </c>
      <c r="G1573" t="str">
        <f>SH!CB53</f>
        <v>AC</v>
      </c>
      <c r="H1573" t="str">
        <f>SH!CC53</f>
        <v>Head</v>
      </c>
      <c r="I1573">
        <f>SH!CD53</f>
        <v>0</v>
      </c>
      <c r="J1573" t="str">
        <f>SH!CE53</f>
        <v>Safety Head</v>
      </c>
      <c r="K1573" t="str">
        <f>SH!CF53</f>
        <v>60-61HF4</v>
      </c>
      <c r="L1573" t="str">
        <f>SH!CG53</f>
        <v>SH-17</v>
      </c>
      <c r="M1573">
        <f>SH!CH53</f>
        <v>0</v>
      </c>
      <c r="N1573">
        <f>SH!CI53</f>
        <v>0</v>
      </c>
      <c r="O1573">
        <f>SH!CJ53</f>
        <v>0</v>
      </c>
      <c r="P1573" s="143" t="str">
        <f>SH!CK53</f>
        <v>Active</v>
      </c>
      <c r="R1573">
        <f t="shared" si="24"/>
        <v>1572</v>
      </c>
    </row>
    <row r="1574" spans="5:18">
      <c r="E1574" s="147" t="s">
        <v>47</v>
      </c>
      <c r="F1574" t="str">
        <f>SH!CA54</f>
        <v>HPS</v>
      </c>
      <c r="G1574" t="str">
        <f>SH!CB54</f>
        <v>AC</v>
      </c>
      <c r="H1574" t="str">
        <f>SH!CC54</f>
        <v>Head</v>
      </c>
      <c r="I1574">
        <f>SH!CD54</f>
        <v>0</v>
      </c>
      <c r="J1574" t="str">
        <f>SH!CE54</f>
        <v>Safety Head</v>
      </c>
      <c r="K1574" t="str">
        <f>SH!CF54</f>
        <v>60-61HF4</v>
      </c>
      <c r="L1574" t="str">
        <f>SH!CG54</f>
        <v>SH-18</v>
      </c>
      <c r="M1574">
        <f>SH!CH54</f>
        <v>0</v>
      </c>
      <c r="N1574">
        <f>SH!CI54</f>
        <v>0</v>
      </c>
      <c r="O1574">
        <f>SH!CJ54</f>
        <v>0</v>
      </c>
      <c r="P1574" s="143" t="str">
        <f>SH!CK54</f>
        <v>Active</v>
      </c>
      <c r="R1574">
        <f t="shared" si="24"/>
        <v>1573</v>
      </c>
    </row>
    <row r="1575" spans="5:18">
      <c r="E1575" s="147" t="s">
        <v>47</v>
      </c>
      <c r="F1575" t="str">
        <f>SH!CA55</f>
        <v>HPS</v>
      </c>
      <c r="G1575" t="str">
        <f>SH!CB55</f>
        <v>AC</v>
      </c>
      <c r="H1575" t="str">
        <f>SH!CC55</f>
        <v>Head</v>
      </c>
      <c r="I1575">
        <f>SH!CD55</f>
        <v>0</v>
      </c>
      <c r="J1575" t="str">
        <f>SH!CE55</f>
        <v>Safety Head</v>
      </c>
      <c r="K1575" t="str">
        <f>SH!CF55</f>
        <v>60-61HF4</v>
      </c>
      <c r="L1575" t="str">
        <f>SH!CG55</f>
        <v>SH-19</v>
      </c>
      <c r="M1575">
        <f>SH!CH55</f>
        <v>0</v>
      </c>
      <c r="N1575">
        <f>SH!CI55</f>
        <v>0</v>
      </c>
      <c r="O1575">
        <f>SH!CJ55</f>
        <v>0</v>
      </c>
      <c r="P1575" s="143" t="str">
        <f>SH!CK55</f>
        <v>Active</v>
      </c>
      <c r="R1575">
        <f t="shared" si="24"/>
        <v>1574</v>
      </c>
    </row>
    <row r="1576" spans="5:18">
      <c r="E1576" s="147" t="s">
        <v>47</v>
      </c>
      <c r="F1576" t="str">
        <f>SH!CA56</f>
        <v>HPS</v>
      </c>
      <c r="G1576" t="str">
        <f>SH!CB56</f>
        <v>AC</v>
      </c>
      <c r="H1576" t="str">
        <f>SH!CC56</f>
        <v>Head</v>
      </c>
      <c r="I1576">
        <f>SH!CD56</f>
        <v>0</v>
      </c>
      <c r="J1576" t="str">
        <f>SH!CE56</f>
        <v>Safety Head</v>
      </c>
      <c r="K1576" t="str">
        <f>SH!CF56</f>
        <v>60-61HF4</v>
      </c>
      <c r="L1576" t="str">
        <f>SH!CG56</f>
        <v>SH-20</v>
      </c>
      <c r="M1576">
        <f>SH!CH56</f>
        <v>0</v>
      </c>
      <c r="N1576">
        <f>SH!CI56</f>
        <v>0</v>
      </c>
      <c r="O1576">
        <f>SH!CJ56</f>
        <v>0</v>
      </c>
      <c r="P1576" s="143" t="str">
        <f>SH!CK56</f>
        <v>Active</v>
      </c>
      <c r="R1576">
        <f t="shared" si="24"/>
        <v>1575</v>
      </c>
    </row>
    <row r="1577" spans="5:18">
      <c r="E1577" s="147" t="s">
        <v>47</v>
      </c>
      <c r="F1577" t="str">
        <f>SH!CA57</f>
        <v>HPS</v>
      </c>
      <c r="G1577" t="str">
        <f>SH!CB57</f>
        <v>AC</v>
      </c>
      <c r="H1577" t="str">
        <f>SH!CC57</f>
        <v>Head</v>
      </c>
      <c r="I1577">
        <f>SH!CD57</f>
        <v>0</v>
      </c>
      <c r="J1577" t="str">
        <f>SH!CE57</f>
        <v>Safety Head</v>
      </c>
      <c r="K1577" t="str">
        <f>SH!CF57</f>
        <v>60-61HF4</v>
      </c>
      <c r="L1577" t="str">
        <f>SH!CG57</f>
        <v>SH-21</v>
      </c>
      <c r="M1577">
        <f>SH!CH57</f>
        <v>0</v>
      </c>
      <c r="N1577">
        <f>SH!CI57</f>
        <v>0</v>
      </c>
      <c r="O1577">
        <f>SH!CJ57</f>
        <v>0</v>
      </c>
      <c r="P1577" s="143" t="str">
        <f>SH!CK57</f>
        <v>Active</v>
      </c>
      <c r="R1577">
        <f t="shared" si="24"/>
        <v>1576</v>
      </c>
    </row>
    <row r="1578" spans="5:18">
      <c r="E1578" s="147" t="s">
        <v>47</v>
      </c>
      <c r="F1578" t="str">
        <f>SH!CA58</f>
        <v>HPS</v>
      </c>
      <c r="G1578" t="str">
        <f>SH!CB58</f>
        <v>AC</v>
      </c>
      <c r="H1578" t="str">
        <f>SH!CC58</f>
        <v>Head</v>
      </c>
      <c r="I1578">
        <f>SH!CD58</f>
        <v>0</v>
      </c>
      <c r="J1578" t="str">
        <f>SH!CE58</f>
        <v>Safety Head</v>
      </c>
      <c r="K1578" t="str">
        <f>SH!CF58</f>
        <v>60-61HF4</v>
      </c>
      <c r="L1578" t="str">
        <f>SH!CG58</f>
        <v>SH-22</v>
      </c>
      <c r="M1578">
        <f>SH!CH58</f>
        <v>0</v>
      </c>
      <c r="N1578">
        <f>SH!CI58</f>
        <v>0</v>
      </c>
      <c r="O1578">
        <f>SH!CJ58</f>
        <v>0</v>
      </c>
      <c r="P1578" s="143" t="str">
        <f>SH!CK58</f>
        <v>Active</v>
      </c>
      <c r="R1578">
        <f t="shared" si="24"/>
        <v>1577</v>
      </c>
    </row>
    <row r="1579" spans="5:18">
      <c r="E1579" s="147" t="s">
        <v>47</v>
      </c>
      <c r="F1579" t="str">
        <f>SH!CA59</f>
        <v>HPS</v>
      </c>
      <c r="G1579" t="str">
        <f>SH!CB59</f>
        <v>AC</v>
      </c>
      <c r="H1579" t="str">
        <f>SH!CC59</f>
        <v>Head</v>
      </c>
      <c r="I1579">
        <f>SH!CD59</f>
        <v>0</v>
      </c>
      <c r="J1579" t="str">
        <f>SH!CE59</f>
        <v>Safety Head</v>
      </c>
      <c r="K1579" t="str">
        <f>SH!CF59</f>
        <v>60-61HF4</v>
      </c>
      <c r="L1579" t="str">
        <f>SH!CG59</f>
        <v>SH-23</v>
      </c>
      <c r="M1579">
        <f>SH!CH59</f>
        <v>0</v>
      </c>
      <c r="N1579">
        <f>SH!CI59</f>
        <v>0</v>
      </c>
      <c r="O1579">
        <f>SH!CJ59</f>
        <v>0</v>
      </c>
      <c r="P1579" s="143" t="str">
        <f>SH!CK59</f>
        <v>Active</v>
      </c>
      <c r="R1579">
        <f t="shared" si="24"/>
        <v>1578</v>
      </c>
    </row>
    <row r="1580" spans="5:18">
      <c r="E1580" s="147" t="s">
        <v>47</v>
      </c>
      <c r="F1580" t="str">
        <f>SH!CA60</f>
        <v>HPS</v>
      </c>
      <c r="G1580" t="str">
        <f>SH!CB60</f>
        <v>AC</v>
      </c>
      <c r="H1580" t="str">
        <f>SH!CC60</f>
        <v>Head</v>
      </c>
      <c r="I1580">
        <f>SH!CD60</f>
        <v>0</v>
      </c>
      <c r="J1580" t="str">
        <f>SH!CE60</f>
        <v>Safety Head</v>
      </c>
      <c r="K1580" t="str">
        <f>SH!CF60</f>
        <v>60-61HF4</v>
      </c>
      <c r="L1580" t="str">
        <f>SH!CG60</f>
        <v>SH-24</v>
      </c>
      <c r="M1580">
        <f>SH!CH60</f>
        <v>0</v>
      </c>
      <c r="N1580">
        <f>SH!CI60</f>
        <v>0</v>
      </c>
      <c r="O1580">
        <f>SH!CJ60</f>
        <v>0</v>
      </c>
      <c r="P1580" s="143" t="str">
        <f>SH!CK60</f>
        <v>Active</v>
      </c>
      <c r="R1580">
        <f t="shared" si="24"/>
        <v>1579</v>
      </c>
    </row>
    <row r="1581" spans="5:18">
      <c r="E1581" s="147" t="s">
        <v>47</v>
      </c>
      <c r="F1581" t="str">
        <f>SH!CA61</f>
        <v>HPS</v>
      </c>
      <c r="G1581" t="str">
        <f>SH!CB61</f>
        <v>AC</v>
      </c>
      <c r="H1581" t="str">
        <f>SH!CC61</f>
        <v>Head</v>
      </c>
      <c r="I1581">
        <f>SH!CD61</f>
        <v>0</v>
      </c>
      <c r="J1581" t="str">
        <f>SH!CE61</f>
        <v>Safety Head</v>
      </c>
      <c r="K1581" t="str">
        <f>SH!CF61</f>
        <v>60-61HF4</v>
      </c>
      <c r="L1581" t="str">
        <f>SH!CG61</f>
        <v>SH-25</v>
      </c>
      <c r="M1581">
        <f>SH!CH61</f>
        <v>0</v>
      </c>
      <c r="N1581">
        <f>SH!CI61</f>
        <v>0</v>
      </c>
      <c r="O1581">
        <f>SH!CJ61</f>
        <v>0</v>
      </c>
      <c r="P1581" s="143" t="str">
        <f>SH!CK61</f>
        <v>Active</v>
      </c>
      <c r="R1581">
        <f t="shared" si="24"/>
        <v>1580</v>
      </c>
    </row>
    <row r="1582" spans="5:18">
      <c r="E1582" s="147" t="s">
        <v>47</v>
      </c>
      <c r="F1582" t="str">
        <f>SH!CA62</f>
        <v>HPS</v>
      </c>
      <c r="G1582" t="str">
        <f>SH!CB62</f>
        <v>AC</v>
      </c>
      <c r="H1582" t="str">
        <f>SH!CC62</f>
        <v>Head</v>
      </c>
      <c r="I1582">
        <f>SH!CD62</f>
        <v>0</v>
      </c>
      <c r="J1582" t="str">
        <f>SH!CE62</f>
        <v>Safety Head</v>
      </c>
      <c r="K1582" t="str">
        <f>SH!CF62</f>
        <v>60-61HF4</v>
      </c>
      <c r="L1582" t="str">
        <f>SH!CG62</f>
        <v>SH-26</v>
      </c>
      <c r="M1582">
        <f>SH!CH62</f>
        <v>0</v>
      </c>
      <c r="N1582">
        <f>SH!CI62</f>
        <v>0</v>
      </c>
      <c r="O1582">
        <f>SH!CJ62</f>
        <v>0</v>
      </c>
      <c r="P1582" s="143" t="str">
        <f>SH!CK62</f>
        <v>Active</v>
      </c>
      <c r="R1582">
        <f t="shared" si="24"/>
        <v>1581</v>
      </c>
    </row>
    <row r="1583" spans="5:18">
      <c r="E1583" s="147" t="s">
        <v>47</v>
      </c>
      <c r="F1583" t="str">
        <f>SH!CA63</f>
        <v>HPS</v>
      </c>
      <c r="G1583" t="str">
        <f>SH!CB63</f>
        <v>AC</v>
      </c>
      <c r="H1583" t="str">
        <f>SH!CC63</f>
        <v>Head</v>
      </c>
      <c r="I1583">
        <f>SH!CD63</f>
        <v>0</v>
      </c>
      <c r="J1583" t="str">
        <f>SH!CE63</f>
        <v>Safety Head</v>
      </c>
      <c r="K1583" t="str">
        <f>SH!CF63</f>
        <v>60-61HF4</v>
      </c>
      <c r="L1583" t="str">
        <f>SH!CG63</f>
        <v>SH-27</v>
      </c>
      <c r="M1583">
        <f>SH!CH63</f>
        <v>0</v>
      </c>
      <c r="N1583">
        <f>SH!CI63</f>
        <v>0</v>
      </c>
      <c r="O1583">
        <f>SH!CJ63</f>
        <v>0</v>
      </c>
      <c r="P1583" s="143" t="str">
        <f>SH!CK63</f>
        <v>Active</v>
      </c>
      <c r="R1583">
        <f t="shared" si="24"/>
        <v>1582</v>
      </c>
    </row>
    <row r="1584" spans="5:18">
      <c r="E1584" s="147" t="s">
        <v>47</v>
      </c>
      <c r="F1584" t="str">
        <f>SH!CA64</f>
        <v>HPS</v>
      </c>
      <c r="G1584" t="str">
        <f>SH!CB64</f>
        <v>AC</v>
      </c>
      <c r="H1584" t="str">
        <f>SH!CC64</f>
        <v>Head</v>
      </c>
      <c r="I1584">
        <f>SH!CD64</f>
        <v>0</v>
      </c>
      <c r="J1584" t="str">
        <f>SH!CE64</f>
        <v>Safety Head</v>
      </c>
      <c r="K1584" t="str">
        <f>SH!CF64</f>
        <v>60-61HF4</v>
      </c>
      <c r="L1584" t="str">
        <f>SH!CG64</f>
        <v>SH-28</v>
      </c>
      <c r="M1584">
        <f>SH!CH64</f>
        <v>0</v>
      </c>
      <c r="N1584">
        <f>SH!CI64</f>
        <v>0</v>
      </c>
      <c r="O1584">
        <f>SH!CJ64</f>
        <v>0</v>
      </c>
      <c r="P1584" s="143" t="str">
        <f>SH!CK64</f>
        <v>Active</v>
      </c>
      <c r="R1584">
        <f t="shared" si="24"/>
        <v>1583</v>
      </c>
    </row>
    <row r="1585" spans="5:18">
      <c r="E1585" s="147" t="s">
        <v>47</v>
      </c>
      <c r="F1585" t="str">
        <f>SH!CA65</f>
        <v>HPS</v>
      </c>
      <c r="G1585" t="str">
        <f>SH!CB65</f>
        <v>AC</v>
      </c>
      <c r="H1585" t="str">
        <f>SH!CC65</f>
        <v>Head</v>
      </c>
      <c r="I1585">
        <f>SH!CD65</f>
        <v>0</v>
      </c>
      <c r="J1585" t="str">
        <f>SH!CE65</f>
        <v>Safety Head</v>
      </c>
      <c r="K1585" t="str">
        <f>SH!CF65</f>
        <v>60-61HF4</v>
      </c>
      <c r="L1585" t="str">
        <f>SH!CG65</f>
        <v>SH-29</v>
      </c>
      <c r="M1585">
        <f>SH!CH65</f>
        <v>0</v>
      </c>
      <c r="N1585">
        <f>SH!CI65</f>
        <v>0</v>
      </c>
      <c r="O1585">
        <f>SH!CJ65</f>
        <v>0</v>
      </c>
      <c r="P1585" s="143" t="str">
        <f>SH!CK65</f>
        <v>New</v>
      </c>
      <c r="R1585">
        <f t="shared" si="24"/>
        <v>1584</v>
      </c>
    </row>
    <row r="1586" spans="5:18">
      <c r="E1586" s="147" t="s">
        <v>47</v>
      </c>
      <c r="F1586" t="str">
        <f>SH!CA66</f>
        <v>HPS</v>
      </c>
      <c r="G1586" t="str">
        <f>SH!CB66</f>
        <v>AC</v>
      </c>
      <c r="H1586" t="str">
        <f>SH!CC66</f>
        <v>Head</v>
      </c>
      <c r="I1586">
        <f>SH!CD66</f>
        <v>0</v>
      </c>
      <c r="J1586" t="str">
        <f>SH!CE66</f>
        <v>Safety Head</v>
      </c>
      <c r="K1586" t="str">
        <f>SH!CF66</f>
        <v>60-61HF4</v>
      </c>
      <c r="L1586" t="str">
        <f>SH!CG66</f>
        <v>SH-30</v>
      </c>
      <c r="M1586">
        <f>SH!CH66</f>
        <v>0</v>
      </c>
      <c r="N1586">
        <f>SH!CI66</f>
        <v>0</v>
      </c>
      <c r="O1586">
        <f>SH!CJ66</f>
        <v>0</v>
      </c>
      <c r="P1586" s="143" t="str">
        <f>SH!CK66</f>
        <v>New</v>
      </c>
      <c r="R1586">
        <f t="shared" si="24"/>
        <v>1585</v>
      </c>
    </row>
    <row r="1587" spans="5:18">
      <c r="E1587" s="147" t="s">
        <v>47</v>
      </c>
      <c r="F1587" t="str">
        <f>SH!CA67</f>
        <v>HPS</v>
      </c>
      <c r="G1587" t="str">
        <f>SH!CB67</f>
        <v>AC</v>
      </c>
      <c r="H1587" t="str">
        <f>SH!CC67</f>
        <v>Head</v>
      </c>
      <c r="I1587">
        <f>SH!CD67</f>
        <v>0</v>
      </c>
      <c r="J1587" t="str">
        <f>SH!CE67</f>
        <v>Safety Head</v>
      </c>
      <c r="K1587" t="str">
        <f>SH!CF67</f>
        <v>60-61HF4</v>
      </c>
      <c r="L1587" t="str">
        <f>SH!CG67</f>
        <v>SH-31</v>
      </c>
      <c r="M1587">
        <f>SH!CH67</f>
        <v>0</v>
      </c>
      <c r="N1587">
        <f>SH!CI67</f>
        <v>0</v>
      </c>
      <c r="O1587">
        <f>SH!CJ67</f>
        <v>0</v>
      </c>
      <c r="P1587" s="143" t="str">
        <f>SH!CK67</f>
        <v>New</v>
      </c>
      <c r="R1587">
        <f t="shared" si="24"/>
        <v>1586</v>
      </c>
    </row>
    <row r="1588" spans="5:18">
      <c r="E1588" s="147" t="s">
        <v>47</v>
      </c>
      <c r="F1588" t="str">
        <f>SH!CA68</f>
        <v>HPS</v>
      </c>
      <c r="G1588" t="str">
        <f>SH!CB68</f>
        <v>AC</v>
      </c>
      <c r="H1588" t="str">
        <f>SH!CC68</f>
        <v>Head</v>
      </c>
      <c r="I1588">
        <f>SH!CD68</f>
        <v>0</v>
      </c>
      <c r="J1588" t="str">
        <f>SH!CE68</f>
        <v>Safety Head</v>
      </c>
      <c r="K1588" t="str">
        <f>SH!CF68</f>
        <v>100-61XF4</v>
      </c>
      <c r="L1588" t="str">
        <f>SH!CG68</f>
        <v>SH-32</v>
      </c>
      <c r="M1588">
        <f>SH!CH68</f>
        <v>0</v>
      </c>
      <c r="N1588">
        <f>SH!CI68</f>
        <v>0</v>
      </c>
      <c r="O1588">
        <f>SH!CJ68</f>
        <v>0</v>
      </c>
      <c r="P1588" s="143" t="str">
        <f>SH!CK68</f>
        <v>Active</v>
      </c>
      <c r="R1588">
        <f t="shared" si="24"/>
        <v>1587</v>
      </c>
    </row>
    <row r="1589" spans="5:18">
      <c r="E1589" s="147" t="s">
        <v>47</v>
      </c>
      <c r="F1589" t="str">
        <f>SH!CA69</f>
        <v>HPS</v>
      </c>
      <c r="G1589" t="str">
        <f>SH!CB69</f>
        <v>AC</v>
      </c>
      <c r="H1589" t="str">
        <f>SH!CC69</f>
        <v>Head</v>
      </c>
      <c r="I1589">
        <f>SH!CD69</f>
        <v>0</v>
      </c>
      <c r="J1589" t="str">
        <f>SH!CE69</f>
        <v>Safety Head</v>
      </c>
      <c r="K1589" t="str">
        <f>SH!CF69</f>
        <v>100-61XF4</v>
      </c>
      <c r="L1589" t="str">
        <f>SH!CG69</f>
        <v>SH-33</v>
      </c>
      <c r="M1589">
        <f>SH!CH69</f>
        <v>0</v>
      </c>
      <c r="N1589">
        <f>SH!CI69</f>
        <v>0</v>
      </c>
      <c r="O1589">
        <f>SH!CJ69</f>
        <v>0</v>
      </c>
      <c r="P1589" s="143" t="str">
        <f>SH!CK69</f>
        <v>Active</v>
      </c>
      <c r="R1589">
        <f t="shared" si="24"/>
        <v>1588</v>
      </c>
    </row>
    <row r="1590" spans="5:18">
      <c r="E1590" s="147" t="s">
        <v>47</v>
      </c>
      <c r="F1590" t="str">
        <f>SH!CA70</f>
        <v>HPS</v>
      </c>
      <c r="G1590" t="str">
        <f>SH!CB70</f>
        <v>AC</v>
      </c>
      <c r="H1590" t="str">
        <f>SH!CC70</f>
        <v>Head</v>
      </c>
      <c r="I1590">
        <f>SH!CD70</f>
        <v>0</v>
      </c>
      <c r="J1590" t="str">
        <f>SH!CE70</f>
        <v>Safety Head</v>
      </c>
      <c r="K1590" t="str">
        <f>SH!CF70</f>
        <v>100-61XF4</v>
      </c>
      <c r="L1590" t="str">
        <f>SH!CG70</f>
        <v>SH-34</v>
      </c>
      <c r="M1590">
        <f>SH!CH70</f>
        <v>0</v>
      </c>
      <c r="N1590">
        <f>SH!CI70</f>
        <v>0</v>
      </c>
      <c r="O1590">
        <f>SH!CJ70</f>
        <v>0</v>
      </c>
      <c r="P1590" s="143" t="str">
        <f>SH!CK70</f>
        <v>New</v>
      </c>
      <c r="R1590">
        <f t="shared" si="24"/>
        <v>1589</v>
      </c>
    </row>
    <row r="1591" spans="5:18">
      <c r="E1591" s="147" t="s">
        <v>47</v>
      </c>
      <c r="F1591" t="str">
        <f>SH!CA71</f>
        <v>HPS</v>
      </c>
      <c r="G1591" t="str">
        <f>SH!CB71</f>
        <v>AC</v>
      </c>
      <c r="H1591" t="str">
        <f>SH!CC71</f>
        <v>Head</v>
      </c>
      <c r="I1591">
        <f>SH!CD71</f>
        <v>0</v>
      </c>
      <c r="J1591" t="str">
        <f>SH!CE71</f>
        <v>Safety Head</v>
      </c>
      <c r="K1591" t="str">
        <f>SH!CF71</f>
        <v>100-61XF4</v>
      </c>
      <c r="L1591" t="str">
        <f>SH!CG71</f>
        <v>SH-35</v>
      </c>
      <c r="M1591">
        <f>SH!CH71</f>
        <v>0</v>
      </c>
      <c r="N1591">
        <f>SH!CI71</f>
        <v>0</v>
      </c>
      <c r="O1591">
        <f>SH!CJ71</f>
        <v>0</v>
      </c>
      <c r="P1591" s="143" t="str">
        <f>SH!CK71</f>
        <v>New</v>
      </c>
      <c r="R1591">
        <f t="shared" si="24"/>
        <v>1590</v>
      </c>
    </row>
    <row r="1592" spans="5:18">
      <c r="E1592" s="147" t="s">
        <v>47</v>
      </c>
      <c r="F1592" t="str">
        <f>SH!CA72</f>
        <v>HPS</v>
      </c>
      <c r="G1592" t="str">
        <f>SH!CB72</f>
        <v>AC</v>
      </c>
      <c r="H1592" t="str">
        <f>SH!CC72</f>
        <v>Head</v>
      </c>
      <c r="I1592">
        <f>SH!CD72</f>
        <v>0</v>
      </c>
      <c r="J1592" t="str">
        <f>SH!CE72</f>
        <v>Safety Head</v>
      </c>
      <c r="K1592" t="str">
        <f>SH!CF72</f>
        <v>100-61XF4</v>
      </c>
      <c r="L1592" t="str">
        <f>SH!CG72</f>
        <v>SH-36</v>
      </c>
      <c r="M1592">
        <f>SH!CH72</f>
        <v>0</v>
      </c>
      <c r="N1592">
        <f>SH!CI72</f>
        <v>0</v>
      </c>
      <c r="O1592">
        <f>SH!CJ72</f>
        <v>0</v>
      </c>
      <c r="P1592" s="143" t="str">
        <f>SH!CK72</f>
        <v>New</v>
      </c>
      <c r="R1592">
        <f t="shared" si="24"/>
        <v>1591</v>
      </c>
    </row>
    <row r="1593" spans="5:18">
      <c r="E1593" s="147" t="s">
        <v>47</v>
      </c>
      <c r="F1593" t="str">
        <f>SH!CA73</f>
        <v>HPS</v>
      </c>
      <c r="G1593" t="str">
        <f>SH!CB73</f>
        <v>AC</v>
      </c>
      <c r="H1593" t="str">
        <f>SH!CC73</f>
        <v>Head</v>
      </c>
      <c r="I1593">
        <f>SH!CD73</f>
        <v>0</v>
      </c>
      <c r="J1593" t="str">
        <f>SH!CE73</f>
        <v>Safety Head</v>
      </c>
      <c r="K1593" t="str">
        <f>SH!CF73</f>
        <v>100-61XF4</v>
      </c>
      <c r="L1593" t="str">
        <f>SH!CG73</f>
        <v>SH-37</v>
      </c>
      <c r="M1593">
        <f>SH!CH73</f>
        <v>0</v>
      </c>
      <c r="N1593">
        <f>SH!CI73</f>
        <v>0</v>
      </c>
      <c r="O1593">
        <f>SH!CJ73</f>
        <v>0</v>
      </c>
      <c r="P1593" s="143" t="str">
        <f>SH!CK73</f>
        <v>New</v>
      </c>
      <c r="R1593">
        <f t="shared" si="24"/>
        <v>1592</v>
      </c>
    </row>
    <row r="1594" spans="5:18">
      <c r="E1594" s="147" t="s">
        <v>47</v>
      </c>
      <c r="F1594" t="str">
        <f>SH!CA74</f>
        <v>HPS</v>
      </c>
      <c r="G1594" t="str">
        <f>SH!CB74</f>
        <v>AC</v>
      </c>
      <c r="H1594" t="str">
        <f>SH!CC74</f>
        <v>Head</v>
      </c>
      <c r="I1594">
        <f>SH!CD74</f>
        <v>0</v>
      </c>
      <c r="J1594" t="str">
        <f>SH!CE74</f>
        <v>Safety Head</v>
      </c>
      <c r="K1594" t="str">
        <f>SH!CF74</f>
        <v>60-61HM6</v>
      </c>
      <c r="L1594" t="str">
        <f>SH!CG74</f>
        <v>SH-38</v>
      </c>
      <c r="M1594">
        <f>SH!CH74</f>
        <v>0</v>
      </c>
      <c r="N1594">
        <f>SH!CI74</f>
        <v>0</v>
      </c>
      <c r="O1594">
        <f>SH!CJ74</f>
        <v>0</v>
      </c>
      <c r="P1594" s="143" t="str">
        <f>SH!CK74</f>
        <v>New</v>
      </c>
      <c r="R1594">
        <f t="shared" si="24"/>
        <v>1593</v>
      </c>
    </row>
    <row r="1595" spans="5:18">
      <c r="E1595" s="147" t="s">
        <v>47</v>
      </c>
      <c r="F1595" t="str">
        <f>SH!CA75</f>
        <v>HPS</v>
      </c>
      <c r="G1595" t="str">
        <f>SH!CB75</f>
        <v>AC</v>
      </c>
      <c r="H1595" t="str">
        <f>SH!CC75</f>
        <v>Head</v>
      </c>
      <c r="I1595">
        <f>SH!CD75</f>
        <v>0</v>
      </c>
      <c r="J1595" t="str">
        <f>SH!CE75</f>
        <v>Safety Head</v>
      </c>
      <c r="K1595" t="str">
        <f>SH!CF75</f>
        <v>60-61HM6</v>
      </c>
      <c r="L1595" t="str">
        <f>SH!CG75</f>
        <v>SH-39</v>
      </c>
      <c r="M1595">
        <f>SH!CH75</f>
        <v>0</v>
      </c>
      <c r="N1595">
        <f>SH!CI75</f>
        <v>0</v>
      </c>
      <c r="O1595">
        <f>SH!CJ75</f>
        <v>0</v>
      </c>
      <c r="P1595" s="143" t="str">
        <f>SH!CK75</f>
        <v>New</v>
      </c>
      <c r="R1595">
        <f t="shared" si="24"/>
        <v>1594</v>
      </c>
    </row>
    <row r="1596" spans="5:18">
      <c r="E1596" s="147" t="s">
        <v>47</v>
      </c>
      <c r="F1596" t="str">
        <f>SH!CA76</f>
        <v>HPS</v>
      </c>
      <c r="G1596" t="str">
        <f>SH!CB76</f>
        <v>AC</v>
      </c>
      <c r="H1596" t="str">
        <f>SH!CC76</f>
        <v>Head</v>
      </c>
      <c r="I1596">
        <f>SH!CD76</f>
        <v>0</v>
      </c>
      <c r="J1596" t="str">
        <f>SH!CE76</f>
        <v>Safety Head</v>
      </c>
      <c r="K1596" t="str">
        <f>SH!CF76</f>
        <v>60-63HF4</v>
      </c>
      <c r="L1596" t="str">
        <f>SH!CG76</f>
        <v>SH-40</v>
      </c>
      <c r="M1596">
        <f>SH!CH76</f>
        <v>0</v>
      </c>
      <c r="N1596">
        <f>SH!CI76</f>
        <v>0</v>
      </c>
      <c r="O1596">
        <f>SH!CJ76</f>
        <v>0</v>
      </c>
      <c r="P1596" s="143" t="str">
        <f>SH!CK76</f>
        <v>New</v>
      </c>
      <c r="R1596">
        <f t="shared" si="24"/>
        <v>1595</v>
      </c>
    </row>
    <row r="1597" spans="5:18">
      <c r="E1597" s="147" t="s">
        <v>47</v>
      </c>
      <c r="F1597" t="str">
        <f>SH!CA77</f>
        <v>HPS</v>
      </c>
      <c r="G1597" t="str">
        <f>SH!CB77</f>
        <v>AC</v>
      </c>
      <c r="H1597" t="str">
        <f>SH!CC77</f>
        <v>Head</v>
      </c>
      <c r="I1597">
        <f>SH!CD77</f>
        <v>0</v>
      </c>
      <c r="J1597">
        <f>SH!CE77</f>
        <v>0</v>
      </c>
      <c r="K1597">
        <f>SH!CF77</f>
        <v>0</v>
      </c>
      <c r="L1597">
        <f>SH!CG77</f>
        <v>0</v>
      </c>
      <c r="M1597">
        <f>SH!CH77</f>
        <v>0</v>
      </c>
      <c r="N1597">
        <f>SH!CI77</f>
        <v>0</v>
      </c>
      <c r="O1597">
        <f>SH!CJ77</f>
        <v>0</v>
      </c>
      <c r="P1597" s="143" t="str">
        <f>SH!CK77</f>
        <v/>
      </c>
      <c r="R1597">
        <f t="shared" si="24"/>
        <v>1596</v>
      </c>
    </row>
    <row r="1598" spans="5:18">
      <c r="E1598" s="147" t="s">
        <v>47</v>
      </c>
      <c r="F1598" t="str">
        <f>SH!CA78</f>
        <v>HPS</v>
      </c>
      <c r="G1598" t="str">
        <f>SH!CB78</f>
        <v>AC</v>
      </c>
      <c r="H1598" t="str">
        <f>SH!CC78</f>
        <v>Head</v>
      </c>
      <c r="I1598">
        <f>SH!CD78</f>
        <v>0</v>
      </c>
      <c r="J1598">
        <f>SH!CE78</f>
        <v>0</v>
      </c>
      <c r="K1598">
        <f>SH!CF78</f>
        <v>0</v>
      </c>
      <c r="L1598">
        <f>SH!CG78</f>
        <v>0</v>
      </c>
      <c r="M1598">
        <f>SH!CH78</f>
        <v>0</v>
      </c>
      <c r="N1598">
        <f>SH!CI78</f>
        <v>0</v>
      </c>
      <c r="O1598">
        <f>SH!CJ78</f>
        <v>0</v>
      </c>
      <c r="P1598" s="143" t="str">
        <f>SH!CK78</f>
        <v/>
      </c>
      <c r="R1598">
        <f t="shared" si="24"/>
        <v>1597</v>
      </c>
    </row>
    <row r="1599" spans="5:18">
      <c r="E1599" s="147" t="s">
        <v>47</v>
      </c>
      <c r="F1599" t="str">
        <f>SH!CA79</f>
        <v>HPS</v>
      </c>
      <c r="G1599" t="str">
        <f>SH!CB79</f>
        <v>AC</v>
      </c>
      <c r="H1599" t="str">
        <f>SH!CC79</f>
        <v>Head</v>
      </c>
      <c r="I1599">
        <f>SH!CD79</f>
        <v>0</v>
      </c>
      <c r="J1599">
        <f>SH!CE79</f>
        <v>0</v>
      </c>
      <c r="K1599">
        <f>SH!CF79</f>
        <v>0</v>
      </c>
      <c r="L1599">
        <f>SH!CG79</f>
        <v>0</v>
      </c>
      <c r="M1599">
        <f>SH!CH79</f>
        <v>0</v>
      </c>
      <c r="N1599">
        <f>SH!CI79</f>
        <v>0</v>
      </c>
      <c r="O1599">
        <f>SH!CJ79</f>
        <v>0</v>
      </c>
      <c r="P1599" s="143" t="str">
        <f>SH!CK79</f>
        <v/>
      </c>
      <c r="R1599">
        <f t="shared" si="24"/>
        <v>1598</v>
      </c>
    </row>
    <row r="1600" spans="5:18">
      <c r="E1600" s="147" t="s">
        <v>47</v>
      </c>
      <c r="F1600" t="str">
        <f>SH!CA80</f>
        <v>HPS</v>
      </c>
      <c r="G1600" t="str">
        <f>SH!CB80</f>
        <v>AC</v>
      </c>
      <c r="H1600" t="str">
        <f>SH!CC80</f>
        <v>Head</v>
      </c>
      <c r="I1600">
        <f>SH!CD80</f>
        <v>0</v>
      </c>
      <c r="J1600">
        <f>SH!CE80</f>
        <v>0</v>
      </c>
      <c r="K1600">
        <f>SH!CF80</f>
        <v>0</v>
      </c>
      <c r="L1600">
        <f>SH!CG80</f>
        <v>0</v>
      </c>
      <c r="M1600">
        <f>SH!CH80</f>
        <v>0</v>
      </c>
      <c r="N1600">
        <f>SH!CI80</f>
        <v>0</v>
      </c>
      <c r="O1600">
        <f>SH!CJ80</f>
        <v>0</v>
      </c>
      <c r="P1600" s="143" t="str">
        <f>SH!CK80</f>
        <v/>
      </c>
      <c r="R1600">
        <f t="shared" si="24"/>
        <v>1599</v>
      </c>
    </row>
    <row r="1601" spans="5:18">
      <c r="E1601" s="147" t="s">
        <v>47</v>
      </c>
      <c r="F1601" t="str">
        <f>SH!CA81</f>
        <v>HPS</v>
      </c>
      <c r="G1601" t="str">
        <f>SH!CB81</f>
        <v>AC</v>
      </c>
      <c r="H1601" t="str">
        <f>SH!CC81</f>
        <v>Head</v>
      </c>
      <c r="I1601">
        <f>SH!CD81</f>
        <v>0</v>
      </c>
      <c r="J1601">
        <f>SH!CE81</f>
        <v>0</v>
      </c>
      <c r="K1601">
        <f>SH!CF81</f>
        <v>0</v>
      </c>
      <c r="L1601">
        <f>SH!CG81</f>
        <v>0</v>
      </c>
      <c r="M1601">
        <f>SH!CH81</f>
        <v>0</v>
      </c>
      <c r="N1601">
        <f>SH!CI81</f>
        <v>0</v>
      </c>
      <c r="O1601">
        <f>SH!CJ81</f>
        <v>0</v>
      </c>
      <c r="P1601" s="143" t="str">
        <f>SH!CK81</f>
        <v/>
      </c>
      <c r="R1601">
        <f t="shared" si="24"/>
        <v>1600</v>
      </c>
    </row>
    <row r="1602" spans="5:18">
      <c r="E1602" s="147" t="s">
        <v>47</v>
      </c>
      <c r="F1602" t="str">
        <f>SH!CA82</f>
        <v>HPS</v>
      </c>
      <c r="G1602" t="str">
        <f>SH!CB82</f>
        <v>AC</v>
      </c>
      <c r="H1602" t="str">
        <f>SH!CC82</f>
        <v>Head</v>
      </c>
      <c r="I1602">
        <f>SH!CD82</f>
        <v>0</v>
      </c>
      <c r="J1602">
        <f>SH!CE82</f>
        <v>0</v>
      </c>
      <c r="K1602">
        <f>SH!CF82</f>
        <v>0</v>
      </c>
      <c r="L1602">
        <f>SH!CG82</f>
        <v>0</v>
      </c>
      <c r="M1602">
        <f>SH!CH82</f>
        <v>0</v>
      </c>
      <c r="N1602">
        <f>SH!CI82</f>
        <v>0</v>
      </c>
      <c r="O1602">
        <f>SH!CJ82</f>
        <v>0</v>
      </c>
      <c r="P1602" s="143" t="str">
        <f>SH!CK82</f>
        <v/>
      </c>
      <c r="R1602">
        <f t="shared" si="24"/>
        <v>1601</v>
      </c>
    </row>
    <row r="1603" spans="5:18">
      <c r="E1603" s="147" t="s">
        <v>47</v>
      </c>
      <c r="F1603" t="str">
        <f>SH!CA83</f>
        <v>HPS</v>
      </c>
      <c r="G1603" t="str">
        <f>SH!CB83</f>
        <v>AC</v>
      </c>
      <c r="H1603" t="str">
        <f>SH!CC83</f>
        <v>Head</v>
      </c>
      <c r="I1603">
        <f>SH!CD83</f>
        <v>0</v>
      </c>
      <c r="J1603">
        <f>SH!CE83</f>
        <v>0</v>
      </c>
      <c r="K1603">
        <f>SH!CF83</f>
        <v>0</v>
      </c>
      <c r="L1603">
        <f>SH!CG83</f>
        <v>0</v>
      </c>
      <c r="M1603">
        <f>SH!CH83</f>
        <v>0</v>
      </c>
      <c r="N1603">
        <f>SH!CI83</f>
        <v>0</v>
      </c>
      <c r="O1603">
        <f>SH!CJ83</f>
        <v>0</v>
      </c>
      <c r="P1603" s="143" t="str">
        <f>SH!CK83</f>
        <v/>
      </c>
      <c r="R1603">
        <f t="shared" si="24"/>
        <v>1602</v>
      </c>
    </row>
    <row r="1604" spans="5:18">
      <c r="E1604" s="147" t="s">
        <v>47</v>
      </c>
      <c r="F1604" t="str">
        <f>SH!CA84</f>
        <v>HPS</v>
      </c>
      <c r="G1604" t="str">
        <f>SH!CB84</f>
        <v>AC</v>
      </c>
      <c r="H1604" t="str">
        <f>SH!CC84</f>
        <v>Head</v>
      </c>
      <c r="I1604">
        <f>SH!CD84</f>
        <v>0</v>
      </c>
      <c r="J1604">
        <f>SH!CE84</f>
        <v>0</v>
      </c>
      <c r="K1604">
        <f>SH!CF84</f>
        <v>0</v>
      </c>
      <c r="L1604">
        <f>SH!CG84</f>
        <v>0</v>
      </c>
      <c r="M1604">
        <f>SH!CH84</f>
        <v>0</v>
      </c>
      <c r="N1604">
        <f>SH!CI84</f>
        <v>0</v>
      </c>
      <c r="O1604">
        <f>SH!CJ84</f>
        <v>0</v>
      </c>
      <c r="P1604" s="143" t="str">
        <f>SH!CK84</f>
        <v/>
      </c>
      <c r="R1604">
        <f t="shared" ref="R1604:R1667" si="25">R1603+1</f>
        <v>1603</v>
      </c>
    </row>
    <row r="1605" spans="5:18">
      <c r="E1605" s="147" t="s">
        <v>47</v>
      </c>
      <c r="F1605" t="str">
        <f>SH!CA85</f>
        <v>HPS</v>
      </c>
      <c r="G1605" t="str">
        <f>SH!CB85</f>
        <v>AC</v>
      </c>
      <c r="H1605" t="str">
        <f>SH!CC85</f>
        <v>Head</v>
      </c>
      <c r="I1605">
        <f>SH!CD85</f>
        <v>0</v>
      </c>
      <c r="J1605">
        <f>SH!CE85</f>
        <v>0</v>
      </c>
      <c r="K1605">
        <f>SH!CF85</f>
        <v>0</v>
      </c>
      <c r="L1605">
        <f>SH!CG85</f>
        <v>0</v>
      </c>
      <c r="M1605">
        <f>SH!CH85</f>
        <v>0</v>
      </c>
      <c r="N1605">
        <f>SH!CI85</f>
        <v>0</v>
      </c>
      <c r="O1605">
        <f>SH!CJ85</f>
        <v>0</v>
      </c>
      <c r="P1605" s="143" t="str">
        <f>SH!CK85</f>
        <v/>
      </c>
      <c r="R1605">
        <f t="shared" si="25"/>
        <v>1604</v>
      </c>
    </row>
    <row r="1606" spans="5:18">
      <c r="E1606" s="147" t="s">
        <v>47</v>
      </c>
      <c r="F1606" t="str">
        <f>SH!CA86</f>
        <v>HPS</v>
      </c>
      <c r="G1606" t="str">
        <f>SH!CB86</f>
        <v>AC</v>
      </c>
      <c r="H1606" t="str">
        <f>SH!CC86</f>
        <v>Head</v>
      </c>
      <c r="I1606">
        <f>SH!CD86</f>
        <v>0</v>
      </c>
      <c r="J1606">
        <f>SH!CE86</f>
        <v>0</v>
      </c>
      <c r="K1606">
        <f>SH!CF86</f>
        <v>0</v>
      </c>
      <c r="L1606">
        <f>SH!CG86</f>
        <v>0</v>
      </c>
      <c r="M1606">
        <f>SH!CH86</f>
        <v>0</v>
      </c>
      <c r="N1606">
        <f>SH!CI86</f>
        <v>0</v>
      </c>
      <c r="O1606">
        <f>SH!CJ86</f>
        <v>0</v>
      </c>
      <c r="P1606" s="143" t="str">
        <f>SH!CK86</f>
        <v/>
      </c>
      <c r="R1606">
        <f t="shared" si="25"/>
        <v>1605</v>
      </c>
    </row>
    <row r="1607" spans="5:18">
      <c r="E1607" s="147" t="s">
        <v>47</v>
      </c>
      <c r="F1607" t="str">
        <f>SH!CA87</f>
        <v>HPS</v>
      </c>
      <c r="G1607" t="str">
        <f>SH!CB87</f>
        <v>AC</v>
      </c>
      <c r="H1607" t="str">
        <f>SH!CC87</f>
        <v>Head</v>
      </c>
      <c r="I1607">
        <f>SH!CD87</f>
        <v>0</v>
      </c>
      <c r="J1607">
        <f>SH!CE87</f>
        <v>0</v>
      </c>
      <c r="K1607">
        <f>SH!CF87</f>
        <v>0</v>
      </c>
      <c r="L1607">
        <f>SH!CG87</f>
        <v>0</v>
      </c>
      <c r="M1607">
        <f>SH!CH87</f>
        <v>0</v>
      </c>
      <c r="N1607">
        <f>SH!CI87</f>
        <v>0</v>
      </c>
      <c r="O1607">
        <f>SH!CJ87</f>
        <v>0</v>
      </c>
      <c r="P1607" s="143" t="str">
        <f>SH!CK87</f>
        <v/>
      </c>
      <c r="R1607">
        <f t="shared" si="25"/>
        <v>1606</v>
      </c>
    </row>
    <row r="1608" spans="5:18">
      <c r="E1608" s="147" t="s">
        <v>47</v>
      </c>
      <c r="F1608" t="str">
        <f>SH!CA88</f>
        <v>HPS</v>
      </c>
      <c r="G1608" t="str">
        <f>SH!CB88</f>
        <v>AC</v>
      </c>
      <c r="H1608" t="str">
        <f>SH!CC88</f>
        <v>Head</v>
      </c>
      <c r="I1608">
        <f>SH!CD88</f>
        <v>0</v>
      </c>
      <c r="J1608">
        <f>SH!CE88</f>
        <v>0</v>
      </c>
      <c r="K1608">
        <f>SH!CF88</f>
        <v>0</v>
      </c>
      <c r="L1608">
        <f>SH!CG88</f>
        <v>0</v>
      </c>
      <c r="M1608">
        <f>SH!CH88</f>
        <v>0</v>
      </c>
      <c r="N1608">
        <f>SH!CI88</f>
        <v>0</v>
      </c>
      <c r="O1608">
        <f>SH!CJ88</f>
        <v>0</v>
      </c>
      <c r="P1608" s="143" t="str">
        <f>SH!CK88</f>
        <v/>
      </c>
      <c r="R1608">
        <f t="shared" si="25"/>
        <v>1607</v>
      </c>
    </row>
    <row r="1609" spans="5:18">
      <c r="E1609" s="147" t="s">
        <v>47</v>
      </c>
      <c r="F1609" t="str">
        <f>SH!CA89</f>
        <v>HPS</v>
      </c>
      <c r="G1609" t="str">
        <f>SH!CB89</f>
        <v>AC</v>
      </c>
      <c r="H1609" t="str">
        <f>SH!CC89</f>
        <v>Head</v>
      </c>
      <c r="I1609">
        <f>SH!CD89</f>
        <v>0</v>
      </c>
      <c r="J1609">
        <f>SH!CE89</f>
        <v>0</v>
      </c>
      <c r="K1609">
        <f>SH!CF89</f>
        <v>0</v>
      </c>
      <c r="L1609">
        <f>SH!CG89</f>
        <v>0</v>
      </c>
      <c r="M1609">
        <f>SH!CH89</f>
        <v>0</v>
      </c>
      <c r="N1609">
        <f>SH!CI89</f>
        <v>0</v>
      </c>
      <c r="O1609">
        <f>SH!CJ89</f>
        <v>0</v>
      </c>
      <c r="P1609" s="143" t="str">
        <f>SH!CK89</f>
        <v/>
      </c>
      <c r="R1609">
        <f t="shared" si="25"/>
        <v>1608</v>
      </c>
    </row>
    <row r="1610" spans="5:18">
      <c r="E1610" s="147" t="s">
        <v>47</v>
      </c>
      <c r="F1610" t="str">
        <f>SH!CA90</f>
        <v>HPS</v>
      </c>
      <c r="G1610" t="str">
        <f>SH!CB90</f>
        <v>AC</v>
      </c>
      <c r="H1610" t="str">
        <f>SH!CC90</f>
        <v>Head</v>
      </c>
      <c r="I1610">
        <f>SH!CD90</f>
        <v>0</v>
      </c>
      <c r="J1610">
        <f>SH!CE90</f>
        <v>0</v>
      </c>
      <c r="K1610">
        <f>SH!CF90</f>
        <v>0</v>
      </c>
      <c r="L1610">
        <f>SH!CG90</f>
        <v>0</v>
      </c>
      <c r="M1610">
        <f>SH!CH90</f>
        <v>0</v>
      </c>
      <c r="N1610">
        <f>SH!CI90</f>
        <v>0</v>
      </c>
      <c r="O1610">
        <f>SH!CJ90</f>
        <v>0</v>
      </c>
      <c r="P1610" s="143" t="str">
        <f>SH!CK90</f>
        <v/>
      </c>
      <c r="R1610">
        <f t="shared" si="25"/>
        <v>1609</v>
      </c>
    </row>
    <row r="1611" spans="5:18">
      <c r="E1611" s="147" t="s">
        <v>47</v>
      </c>
      <c r="F1611" t="str">
        <f>SH!CA91</f>
        <v>HPS</v>
      </c>
      <c r="G1611" t="str">
        <f>SH!CB91</f>
        <v>AC</v>
      </c>
      <c r="H1611" t="str">
        <f>SH!CC91</f>
        <v>Head</v>
      </c>
      <c r="I1611">
        <f>SH!CD91</f>
        <v>0</v>
      </c>
      <c r="J1611">
        <f>SH!CE91</f>
        <v>0</v>
      </c>
      <c r="K1611">
        <f>SH!CF91</f>
        <v>0</v>
      </c>
      <c r="L1611">
        <f>SH!CG91</f>
        <v>0</v>
      </c>
      <c r="M1611">
        <f>SH!CH91</f>
        <v>0</v>
      </c>
      <c r="N1611">
        <f>SH!CI91</f>
        <v>0</v>
      </c>
      <c r="O1611">
        <f>SH!CJ91</f>
        <v>0</v>
      </c>
      <c r="P1611" s="143" t="str">
        <f>SH!CK91</f>
        <v/>
      </c>
      <c r="R1611">
        <f t="shared" si="25"/>
        <v>1610</v>
      </c>
    </row>
    <row r="1612" spans="5:18">
      <c r="E1612" s="147" t="s">
        <v>47</v>
      </c>
      <c r="F1612" t="str">
        <f>SH!CA92</f>
        <v>HPS</v>
      </c>
      <c r="G1612" t="str">
        <f>SH!CB92</f>
        <v>AC</v>
      </c>
      <c r="H1612" t="str">
        <f>SH!CC92</f>
        <v>Head</v>
      </c>
      <c r="I1612">
        <f>SH!CD92</f>
        <v>0</v>
      </c>
      <c r="J1612">
        <f>SH!CE92</f>
        <v>0</v>
      </c>
      <c r="K1612">
        <f>SH!CF92</f>
        <v>0</v>
      </c>
      <c r="L1612">
        <f>SH!CG92</f>
        <v>0</v>
      </c>
      <c r="M1612">
        <f>SH!CH92</f>
        <v>0</v>
      </c>
      <c r="N1612">
        <f>SH!CI92</f>
        <v>0</v>
      </c>
      <c r="O1612">
        <f>SH!CJ92</f>
        <v>0</v>
      </c>
      <c r="P1612" s="143" t="str">
        <f>SH!CK92</f>
        <v/>
      </c>
      <c r="R1612">
        <f t="shared" si="25"/>
        <v>1611</v>
      </c>
    </row>
    <row r="1613" spans="5:18">
      <c r="E1613" s="147" t="s">
        <v>47</v>
      </c>
      <c r="F1613" t="str">
        <f>SH!CA93</f>
        <v>HPS</v>
      </c>
      <c r="G1613" t="str">
        <f>SH!CB93</f>
        <v>AC</v>
      </c>
      <c r="H1613" t="str">
        <f>SH!CC93</f>
        <v>Head</v>
      </c>
      <c r="I1613">
        <f>SH!CD93</f>
        <v>0</v>
      </c>
      <c r="J1613">
        <f>SH!CE93</f>
        <v>0</v>
      </c>
      <c r="K1613">
        <f>SH!CF93</f>
        <v>0</v>
      </c>
      <c r="L1613">
        <f>SH!CG93</f>
        <v>0</v>
      </c>
      <c r="M1613">
        <f>SH!CH93</f>
        <v>0</v>
      </c>
      <c r="N1613">
        <f>SH!CI93</f>
        <v>0</v>
      </c>
      <c r="O1613">
        <f>SH!CJ93</f>
        <v>0</v>
      </c>
      <c r="P1613" s="143" t="str">
        <f>SH!CK93</f>
        <v/>
      </c>
      <c r="R1613">
        <f t="shared" si="25"/>
        <v>1612</v>
      </c>
    </row>
    <row r="1614" spans="5:18">
      <c r="E1614" s="147" t="s">
        <v>47</v>
      </c>
      <c r="F1614" t="str">
        <f>SH!CA94</f>
        <v>HPS</v>
      </c>
      <c r="G1614" t="str">
        <f>SH!CB94</f>
        <v>AC</v>
      </c>
      <c r="H1614" t="str">
        <f>SH!CC94</f>
        <v>Head</v>
      </c>
      <c r="I1614">
        <f>SH!CD94</f>
        <v>0</v>
      </c>
      <c r="J1614">
        <f>SH!CE94</f>
        <v>0</v>
      </c>
      <c r="K1614">
        <f>SH!CF94</f>
        <v>0</v>
      </c>
      <c r="L1614">
        <f>SH!CG94</f>
        <v>0</v>
      </c>
      <c r="M1614">
        <f>SH!CH94</f>
        <v>0</v>
      </c>
      <c r="N1614">
        <f>SH!CI94</f>
        <v>0</v>
      </c>
      <c r="O1614">
        <f>SH!CJ94</f>
        <v>0</v>
      </c>
      <c r="P1614" s="143" t="str">
        <f>SH!CK94</f>
        <v/>
      </c>
      <c r="R1614">
        <f t="shared" si="25"/>
        <v>1613</v>
      </c>
    </row>
    <row r="1615" spans="5:18">
      <c r="E1615" s="147" t="s">
        <v>47</v>
      </c>
      <c r="F1615" t="str">
        <f>SH!CA95</f>
        <v>HPS</v>
      </c>
      <c r="G1615" t="str">
        <f>SH!CB95</f>
        <v>AC</v>
      </c>
      <c r="H1615" t="str">
        <f>SH!CC95</f>
        <v>Head</v>
      </c>
      <c r="I1615">
        <f>SH!CD95</f>
        <v>0</v>
      </c>
      <c r="J1615">
        <f>SH!CE95</f>
        <v>0</v>
      </c>
      <c r="K1615">
        <f>SH!CF95</f>
        <v>0</v>
      </c>
      <c r="L1615">
        <f>SH!CG95</f>
        <v>0</v>
      </c>
      <c r="M1615">
        <f>SH!CH95</f>
        <v>0</v>
      </c>
      <c r="N1615">
        <f>SH!CI95</f>
        <v>0</v>
      </c>
      <c r="O1615">
        <f>SH!CJ95</f>
        <v>0</v>
      </c>
      <c r="P1615" s="143" t="str">
        <f>SH!CK95</f>
        <v/>
      </c>
      <c r="R1615">
        <f t="shared" si="25"/>
        <v>1614</v>
      </c>
    </row>
    <row r="1616" spans="5:18">
      <c r="E1616" s="147" t="s">
        <v>47</v>
      </c>
      <c r="F1616" t="str">
        <f>SH!CA96</f>
        <v>HPS</v>
      </c>
      <c r="G1616" t="str">
        <f>SH!CB96</f>
        <v>AC</v>
      </c>
      <c r="H1616" t="str">
        <f>SH!CC96</f>
        <v>Head</v>
      </c>
      <c r="I1616">
        <f>SH!CD96</f>
        <v>0</v>
      </c>
      <c r="J1616">
        <f>SH!CE96</f>
        <v>0</v>
      </c>
      <c r="K1616">
        <f>SH!CF96</f>
        <v>0</v>
      </c>
      <c r="L1616">
        <f>SH!CG96</f>
        <v>0</v>
      </c>
      <c r="M1616">
        <f>SH!CH96</f>
        <v>0</v>
      </c>
      <c r="N1616">
        <f>SH!CI96</f>
        <v>0</v>
      </c>
      <c r="O1616">
        <f>SH!CJ96</f>
        <v>0</v>
      </c>
      <c r="P1616" s="143" t="str">
        <f>SH!CK96</f>
        <v/>
      </c>
      <c r="R1616">
        <f t="shared" si="25"/>
        <v>1615</v>
      </c>
    </row>
    <row r="1617" spans="5:18">
      <c r="E1617" s="147" t="s">
        <v>47</v>
      </c>
      <c r="F1617" t="str">
        <f>SH!CA97</f>
        <v>HPS</v>
      </c>
      <c r="G1617" t="str">
        <f>SH!CB97</f>
        <v>AC</v>
      </c>
      <c r="H1617" t="str">
        <f>SH!CC97</f>
        <v>Head</v>
      </c>
      <c r="I1617">
        <f>SH!CD97</f>
        <v>0</v>
      </c>
      <c r="J1617">
        <f>SH!CE97</f>
        <v>0</v>
      </c>
      <c r="K1617">
        <f>SH!CF97</f>
        <v>0</v>
      </c>
      <c r="L1617">
        <f>SH!CG97</f>
        <v>0</v>
      </c>
      <c r="M1617">
        <f>SH!CH97</f>
        <v>0</v>
      </c>
      <c r="N1617">
        <f>SH!CI97</f>
        <v>0</v>
      </c>
      <c r="O1617">
        <f>SH!CJ97</f>
        <v>0</v>
      </c>
      <c r="P1617" s="143" t="str">
        <f>SH!CK97</f>
        <v/>
      </c>
      <c r="R1617">
        <f t="shared" si="25"/>
        <v>1616</v>
      </c>
    </row>
    <row r="1618" spans="5:18">
      <c r="E1618" s="147" t="s">
        <v>47</v>
      </c>
      <c r="F1618" t="str">
        <f>SH!CA98</f>
        <v>HPS</v>
      </c>
      <c r="G1618" t="str">
        <f>SH!CB98</f>
        <v>AC</v>
      </c>
      <c r="H1618" t="str">
        <f>SH!CC98</f>
        <v>Head</v>
      </c>
      <c r="I1618">
        <f>SH!CD98</f>
        <v>0</v>
      </c>
      <c r="J1618">
        <f>SH!CE98</f>
        <v>0</v>
      </c>
      <c r="K1618">
        <f>SH!CF98</f>
        <v>0</v>
      </c>
      <c r="L1618">
        <f>SH!CG98</f>
        <v>0</v>
      </c>
      <c r="M1618">
        <f>SH!CH98</f>
        <v>0</v>
      </c>
      <c r="N1618">
        <f>SH!CI98</f>
        <v>0</v>
      </c>
      <c r="O1618">
        <f>SH!CJ98</f>
        <v>0</v>
      </c>
      <c r="P1618" s="143" t="str">
        <f>SH!CK98</f>
        <v/>
      </c>
      <c r="R1618">
        <f t="shared" si="25"/>
        <v>1617</v>
      </c>
    </row>
    <row r="1619" spans="5:18">
      <c r="E1619" s="147" t="s">
        <v>47</v>
      </c>
      <c r="F1619" t="str">
        <f>SH!CA99</f>
        <v>HPS</v>
      </c>
      <c r="G1619" t="str">
        <f>SH!CB99</f>
        <v>AC</v>
      </c>
      <c r="H1619" t="str">
        <f>SH!CC99</f>
        <v>Head</v>
      </c>
      <c r="I1619">
        <f>SH!CD99</f>
        <v>0</v>
      </c>
      <c r="J1619">
        <f>SH!CE99</f>
        <v>0</v>
      </c>
      <c r="K1619">
        <f>SH!CF99</f>
        <v>0</v>
      </c>
      <c r="L1619">
        <f>SH!CG99</f>
        <v>0</v>
      </c>
      <c r="M1619">
        <f>SH!CH99</f>
        <v>0</v>
      </c>
      <c r="N1619">
        <f>SH!CI99</f>
        <v>0</v>
      </c>
      <c r="O1619">
        <f>SH!CJ99</f>
        <v>0</v>
      </c>
      <c r="P1619" s="143" t="str">
        <f>SH!CK99</f>
        <v/>
      </c>
      <c r="R1619">
        <f t="shared" si="25"/>
        <v>1618</v>
      </c>
    </row>
    <row r="1620" spans="5:18">
      <c r="E1620" s="147" t="s">
        <v>47</v>
      </c>
      <c r="F1620" t="str">
        <f>SH!CA100</f>
        <v>HPS</v>
      </c>
      <c r="G1620" t="str">
        <f>SH!CB100</f>
        <v>AC</v>
      </c>
      <c r="H1620" t="str">
        <f>SH!CC100</f>
        <v>Head</v>
      </c>
      <c r="I1620">
        <f>SH!CD100</f>
        <v>0</v>
      </c>
      <c r="J1620">
        <f>SH!CE100</f>
        <v>0</v>
      </c>
      <c r="K1620">
        <f>SH!CF100</f>
        <v>0</v>
      </c>
      <c r="L1620">
        <f>SH!CG100</f>
        <v>0</v>
      </c>
      <c r="M1620">
        <f>SH!CH100</f>
        <v>0</v>
      </c>
      <c r="N1620">
        <f>SH!CI100</f>
        <v>0</v>
      </c>
      <c r="O1620">
        <f>SH!CJ100</f>
        <v>0</v>
      </c>
      <c r="P1620" s="143" t="str">
        <f>SH!CK100</f>
        <v/>
      </c>
      <c r="R1620">
        <f t="shared" si="25"/>
        <v>1619</v>
      </c>
    </row>
    <row r="1621" spans="5:18">
      <c r="E1621" s="147" t="s">
        <v>47</v>
      </c>
      <c r="F1621" t="str">
        <f>SH!CA101</f>
        <v>HPS</v>
      </c>
      <c r="G1621" t="str">
        <f>SH!CB101</f>
        <v>AC</v>
      </c>
      <c r="H1621" t="str">
        <f>SH!CC101</f>
        <v>Head</v>
      </c>
      <c r="I1621">
        <f>SH!CD101</f>
        <v>0</v>
      </c>
      <c r="J1621">
        <f>SH!CE101</f>
        <v>0</v>
      </c>
      <c r="K1621">
        <f>SH!CF101</f>
        <v>0</v>
      </c>
      <c r="L1621">
        <f>SH!CG101</f>
        <v>0</v>
      </c>
      <c r="M1621">
        <f>SH!CH101</f>
        <v>0</v>
      </c>
      <c r="N1621">
        <f>SH!CI101</f>
        <v>0</v>
      </c>
      <c r="O1621">
        <f>SH!CJ101</f>
        <v>0</v>
      </c>
      <c r="P1621" s="143" t="str">
        <f>SH!CK101</f>
        <v/>
      </c>
      <c r="R1621">
        <f t="shared" si="25"/>
        <v>1620</v>
      </c>
    </row>
    <row r="1622" spans="5:18">
      <c r="E1622" s="147" t="s">
        <v>47</v>
      </c>
      <c r="F1622" t="str">
        <f>SH!CA102</f>
        <v>HPS</v>
      </c>
      <c r="G1622" t="str">
        <f>SH!CB102</f>
        <v>AC</v>
      </c>
      <c r="H1622" t="str">
        <f>SH!CC102</f>
        <v>Head</v>
      </c>
      <c r="I1622">
        <f>SH!CD102</f>
        <v>0</v>
      </c>
      <c r="J1622">
        <f>SH!CE102</f>
        <v>0</v>
      </c>
      <c r="K1622">
        <f>SH!CF102</f>
        <v>0</v>
      </c>
      <c r="L1622">
        <f>SH!CG102</f>
        <v>0</v>
      </c>
      <c r="M1622">
        <f>SH!CH102</f>
        <v>0</v>
      </c>
      <c r="N1622">
        <f>SH!CI102</f>
        <v>0</v>
      </c>
      <c r="O1622">
        <f>SH!CJ102</f>
        <v>0</v>
      </c>
      <c r="P1622" s="143" t="str">
        <f>SH!CK102</f>
        <v/>
      </c>
      <c r="R1622">
        <f t="shared" si="25"/>
        <v>1621</v>
      </c>
    </row>
    <row r="1623" spans="5:18">
      <c r="E1623" s="147" t="s">
        <v>47</v>
      </c>
      <c r="F1623" t="str">
        <f>SH!CA103</f>
        <v>HPS</v>
      </c>
      <c r="G1623" t="str">
        <f>SH!CB103</f>
        <v>AC</v>
      </c>
      <c r="H1623" t="str">
        <f>SH!CC103</f>
        <v>Head</v>
      </c>
      <c r="I1623">
        <f>SH!CD103</f>
        <v>0</v>
      </c>
      <c r="J1623">
        <f>SH!CE103</f>
        <v>0</v>
      </c>
      <c r="K1623">
        <f>SH!CF103</f>
        <v>0</v>
      </c>
      <c r="L1623">
        <f>SH!CG103</f>
        <v>0</v>
      </c>
      <c r="M1623">
        <f>SH!CH103</f>
        <v>0</v>
      </c>
      <c r="N1623">
        <f>SH!CI103</f>
        <v>0</v>
      </c>
      <c r="O1623">
        <f>SH!CJ103</f>
        <v>0</v>
      </c>
      <c r="P1623" s="143" t="str">
        <f>SH!CK103</f>
        <v/>
      </c>
      <c r="R1623">
        <f t="shared" si="25"/>
        <v>1622</v>
      </c>
    </row>
    <row r="1624" spans="5:18">
      <c r="E1624" s="147" t="s">
        <v>47</v>
      </c>
      <c r="F1624" t="str">
        <f>SH!CA104</f>
        <v>HPS</v>
      </c>
      <c r="G1624" t="str">
        <f>SH!CB104</f>
        <v>AC</v>
      </c>
      <c r="H1624" t="str">
        <f>SH!CC104</f>
        <v>Head</v>
      </c>
      <c r="I1624">
        <f>SH!CD104</f>
        <v>0</v>
      </c>
      <c r="J1624">
        <f>SH!CE104</f>
        <v>0</v>
      </c>
      <c r="K1624">
        <f>SH!CF104</f>
        <v>0</v>
      </c>
      <c r="L1624">
        <f>SH!CG104</f>
        <v>0</v>
      </c>
      <c r="M1624">
        <f>SH!CH104</f>
        <v>0</v>
      </c>
      <c r="N1624">
        <f>SH!CI104</f>
        <v>0</v>
      </c>
      <c r="O1624">
        <f>SH!CJ104</f>
        <v>0</v>
      </c>
      <c r="P1624" s="143" t="str">
        <f>SH!CK104</f>
        <v/>
      </c>
      <c r="R1624">
        <f t="shared" si="25"/>
        <v>1623</v>
      </c>
    </row>
    <row r="1625" spans="5:18">
      <c r="E1625" s="147" t="s">
        <v>47</v>
      </c>
      <c r="F1625" t="str">
        <f>SH!CA105</f>
        <v>HPS</v>
      </c>
      <c r="G1625" t="str">
        <f>SH!CB105</f>
        <v>AC</v>
      </c>
      <c r="H1625" t="str">
        <f>SH!CC105</f>
        <v>Head</v>
      </c>
      <c r="I1625">
        <f>SH!CD105</f>
        <v>0</v>
      </c>
      <c r="J1625">
        <f>SH!CE105</f>
        <v>0</v>
      </c>
      <c r="K1625">
        <f>SH!CF105</f>
        <v>0</v>
      </c>
      <c r="L1625">
        <f>SH!CG105</f>
        <v>0</v>
      </c>
      <c r="M1625">
        <f>SH!CH105</f>
        <v>0</v>
      </c>
      <c r="N1625">
        <f>SH!CI105</f>
        <v>0</v>
      </c>
      <c r="O1625">
        <f>SH!CJ105</f>
        <v>0</v>
      </c>
      <c r="P1625" s="143" t="str">
        <f>SH!CK105</f>
        <v/>
      </c>
      <c r="R1625">
        <f t="shared" si="25"/>
        <v>1624</v>
      </c>
    </row>
    <row r="1626" spans="5:18">
      <c r="E1626" s="147" t="s">
        <v>47</v>
      </c>
      <c r="F1626" t="str">
        <f>SH!CA106</f>
        <v>HPS</v>
      </c>
      <c r="G1626" t="str">
        <f>SH!CB106</f>
        <v>AC</v>
      </c>
      <c r="H1626" t="str">
        <f>SH!CC106</f>
        <v>Head</v>
      </c>
      <c r="I1626">
        <f>SH!CD106</f>
        <v>0</v>
      </c>
      <c r="J1626">
        <f>SH!CE106</f>
        <v>0</v>
      </c>
      <c r="K1626">
        <f>SH!CF106</f>
        <v>0</v>
      </c>
      <c r="L1626">
        <f>SH!CG106</f>
        <v>0</v>
      </c>
      <c r="M1626">
        <f>SH!CH106</f>
        <v>0</v>
      </c>
      <c r="N1626">
        <f>SH!CI106</f>
        <v>0</v>
      </c>
      <c r="O1626">
        <f>SH!CJ106</f>
        <v>0</v>
      </c>
      <c r="P1626" s="143" t="str">
        <f>SH!CK106</f>
        <v/>
      </c>
      <c r="R1626">
        <f t="shared" si="25"/>
        <v>1625</v>
      </c>
    </row>
    <row r="1627" spans="5:18">
      <c r="E1627" s="147" t="s">
        <v>47</v>
      </c>
      <c r="F1627" t="str">
        <f>SH!CA107</f>
        <v>HPS</v>
      </c>
      <c r="G1627" t="str">
        <f>SH!CB107</f>
        <v>AC</v>
      </c>
      <c r="H1627" t="str">
        <f>SH!CC107</f>
        <v>Head</v>
      </c>
      <c r="I1627">
        <f>SH!CD107</f>
        <v>0</v>
      </c>
      <c r="J1627">
        <f>SH!CE107</f>
        <v>0</v>
      </c>
      <c r="K1627">
        <f>SH!CF107</f>
        <v>0</v>
      </c>
      <c r="L1627">
        <f>SH!CG107</f>
        <v>0</v>
      </c>
      <c r="M1627">
        <f>SH!CH107</f>
        <v>0</v>
      </c>
      <c r="N1627">
        <f>SH!CI107</f>
        <v>0</v>
      </c>
      <c r="O1627">
        <f>SH!CJ107</f>
        <v>0</v>
      </c>
      <c r="P1627" s="143" t="str">
        <f>SH!CK107</f>
        <v/>
      </c>
      <c r="R1627">
        <f t="shared" si="25"/>
        <v>1626</v>
      </c>
    </row>
    <row r="1628" spans="5:18">
      <c r="E1628" s="147" t="s">
        <v>47</v>
      </c>
      <c r="F1628" t="str">
        <f>SH!CA108</f>
        <v>HPS</v>
      </c>
      <c r="G1628" t="str">
        <f>SH!CB108</f>
        <v>AC</v>
      </c>
      <c r="H1628" t="str">
        <f>SH!CC108</f>
        <v>Head</v>
      </c>
      <c r="I1628">
        <f>SH!CD108</f>
        <v>0</v>
      </c>
      <c r="J1628">
        <f>SH!CE108</f>
        <v>0</v>
      </c>
      <c r="K1628">
        <f>SH!CF108</f>
        <v>0</v>
      </c>
      <c r="L1628">
        <f>SH!CG108</f>
        <v>0</v>
      </c>
      <c r="M1628">
        <f>SH!CH108</f>
        <v>0</v>
      </c>
      <c r="N1628">
        <f>SH!CI108</f>
        <v>0</v>
      </c>
      <c r="O1628">
        <f>SH!CJ108</f>
        <v>0</v>
      </c>
      <c r="P1628" s="143" t="str">
        <f>SH!CK108</f>
        <v/>
      </c>
      <c r="R1628">
        <f t="shared" si="25"/>
        <v>1627</v>
      </c>
    </row>
    <row r="1629" spans="5:18">
      <c r="E1629" s="147" t="s">
        <v>47</v>
      </c>
      <c r="F1629" t="str">
        <f>SH!CA109</f>
        <v>HPS</v>
      </c>
      <c r="G1629" t="str">
        <f>SH!CB109</f>
        <v>AC</v>
      </c>
      <c r="H1629" t="str">
        <f>SH!CC109</f>
        <v>Head</v>
      </c>
      <c r="I1629">
        <f>SH!CD109</f>
        <v>0</v>
      </c>
      <c r="J1629">
        <f>SH!CE109</f>
        <v>0</v>
      </c>
      <c r="K1629">
        <f>SH!CF109</f>
        <v>0</v>
      </c>
      <c r="L1629">
        <f>SH!CG109</f>
        <v>0</v>
      </c>
      <c r="M1629">
        <f>SH!CH109</f>
        <v>0</v>
      </c>
      <c r="N1629">
        <f>SH!CI109</f>
        <v>0</v>
      </c>
      <c r="O1629">
        <f>SH!CJ109</f>
        <v>0</v>
      </c>
      <c r="P1629" s="143" t="str">
        <f>SH!CK109</f>
        <v/>
      </c>
      <c r="R1629">
        <f t="shared" si="25"/>
        <v>1628</v>
      </c>
    </row>
    <row r="1630" spans="5:18">
      <c r="E1630" s="147" t="s">
        <v>47</v>
      </c>
      <c r="F1630" t="str">
        <f>SH!CA110</f>
        <v>HPS</v>
      </c>
      <c r="G1630" t="str">
        <f>SH!CB110</f>
        <v>AC</v>
      </c>
      <c r="H1630" t="str">
        <f>SH!CC110</f>
        <v>Head</v>
      </c>
      <c r="I1630">
        <f>SH!CD110</f>
        <v>0</v>
      </c>
      <c r="J1630">
        <f>SH!CE110</f>
        <v>0</v>
      </c>
      <c r="K1630">
        <f>SH!CF110</f>
        <v>0</v>
      </c>
      <c r="L1630">
        <f>SH!CG110</f>
        <v>0</v>
      </c>
      <c r="M1630">
        <f>SH!CH110</f>
        <v>0</v>
      </c>
      <c r="N1630">
        <f>SH!CI110</f>
        <v>0</v>
      </c>
      <c r="O1630">
        <f>SH!CJ110</f>
        <v>0</v>
      </c>
      <c r="P1630" s="143" t="str">
        <f>SH!CK110</f>
        <v/>
      </c>
      <c r="R1630">
        <f t="shared" si="25"/>
        <v>1629</v>
      </c>
    </row>
    <row r="1631" spans="5:18">
      <c r="E1631" s="147" t="s">
        <v>47</v>
      </c>
      <c r="F1631" t="str">
        <f>SH!CA111</f>
        <v>HPS</v>
      </c>
      <c r="G1631" t="str">
        <f>SH!CB111</f>
        <v>AC</v>
      </c>
      <c r="H1631" t="str">
        <f>SH!CC111</f>
        <v>Head</v>
      </c>
      <c r="I1631">
        <f>SH!CD111</f>
        <v>0</v>
      </c>
      <c r="J1631">
        <f>SH!CE111</f>
        <v>0</v>
      </c>
      <c r="K1631">
        <f>SH!CF111</f>
        <v>0</v>
      </c>
      <c r="L1631">
        <f>SH!CG111</f>
        <v>0</v>
      </c>
      <c r="M1631">
        <f>SH!CH111</f>
        <v>0</v>
      </c>
      <c r="N1631">
        <f>SH!CI111</f>
        <v>0</v>
      </c>
      <c r="O1631">
        <f>SH!CJ111</f>
        <v>0</v>
      </c>
      <c r="P1631" s="143" t="str">
        <f>SH!CK111</f>
        <v/>
      </c>
      <c r="R1631">
        <f t="shared" si="25"/>
        <v>1630</v>
      </c>
    </row>
    <row r="1632" spans="5:18">
      <c r="E1632" s="147" t="s">
        <v>47</v>
      </c>
      <c r="F1632" t="str">
        <f>SH!CA112</f>
        <v>HPS</v>
      </c>
      <c r="G1632" t="str">
        <f>SH!CB112</f>
        <v>AC</v>
      </c>
      <c r="H1632" t="str">
        <f>SH!CC112</f>
        <v>Head</v>
      </c>
      <c r="I1632">
        <f>SH!CD112</f>
        <v>0</v>
      </c>
      <c r="J1632">
        <f>SH!CE112</f>
        <v>0</v>
      </c>
      <c r="K1632">
        <f>SH!CF112</f>
        <v>0</v>
      </c>
      <c r="L1632">
        <f>SH!CG112</f>
        <v>0</v>
      </c>
      <c r="M1632">
        <f>SH!CH112</f>
        <v>0</v>
      </c>
      <c r="N1632">
        <f>SH!CI112</f>
        <v>0</v>
      </c>
      <c r="O1632">
        <f>SH!CJ112</f>
        <v>0</v>
      </c>
      <c r="P1632" s="143" t="str">
        <f>SH!CK112</f>
        <v/>
      </c>
      <c r="R1632">
        <f t="shared" si="25"/>
        <v>1631</v>
      </c>
    </row>
    <row r="1633" spans="5:18">
      <c r="E1633" s="147" t="s">
        <v>47</v>
      </c>
      <c r="F1633" t="str">
        <f>SH!CA113</f>
        <v>HPS</v>
      </c>
      <c r="G1633" t="str">
        <f>SH!CB113</f>
        <v>AC</v>
      </c>
      <c r="H1633" t="str">
        <f>SH!CC113</f>
        <v>Head</v>
      </c>
      <c r="I1633">
        <f>SH!CD113</f>
        <v>0</v>
      </c>
      <c r="J1633">
        <f>SH!CE113</f>
        <v>0</v>
      </c>
      <c r="K1633">
        <f>SH!CF113</f>
        <v>0</v>
      </c>
      <c r="L1633">
        <f>SH!CG113</f>
        <v>0</v>
      </c>
      <c r="M1633">
        <f>SH!CH113</f>
        <v>0</v>
      </c>
      <c r="N1633">
        <f>SH!CI113</f>
        <v>0</v>
      </c>
      <c r="O1633">
        <f>SH!CJ113</f>
        <v>0</v>
      </c>
      <c r="P1633" s="143" t="str">
        <f>SH!CK113</f>
        <v/>
      </c>
      <c r="R1633">
        <f t="shared" si="25"/>
        <v>1632</v>
      </c>
    </row>
    <row r="1634" spans="5:18">
      <c r="E1634" s="147" t="s">
        <v>47</v>
      </c>
      <c r="F1634" t="str">
        <f>SH!CA114</f>
        <v>HPS</v>
      </c>
      <c r="G1634" t="str">
        <f>SH!CB114</f>
        <v>AC</v>
      </c>
      <c r="H1634" t="str">
        <f>SH!CC114</f>
        <v>Head</v>
      </c>
      <c r="I1634">
        <f>SH!CD114</f>
        <v>0</v>
      </c>
      <c r="J1634">
        <f>SH!CE114</f>
        <v>0</v>
      </c>
      <c r="K1634">
        <f>SH!CF114</f>
        <v>0</v>
      </c>
      <c r="L1634">
        <f>SH!CG114</f>
        <v>0</v>
      </c>
      <c r="M1634">
        <f>SH!CH114</f>
        <v>0</v>
      </c>
      <c r="N1634">
        <f>SH!CI114</f>
        <v>0</v>
      </c>
      <c r="O1634">
        <f>SH!CJ114</f>
        <v>0</v>
      </c>
      <c r="P1634" s="143" t="str">
        <f>SH!CK114</f>
        <v/>
      </c>
      <c r="R1634">
        <f t="shared" si="25"/>
        <v>1633</v>
      </c>
    </row>
    <row r="1635" spans="5:18">
      <c r="E1635" s="147" t="s">
        <v>47</v>
      </c>
      <c r="F1635" t="str">
        <f>SH!CA115</f>
        <v>HPS</v>
      </c>
      <c r="G1635" t="str">
        <f>SH!CB115</f>
        <v>AC</v>
      </c>
      <c r="H1635" t="str">
        <f>SH!CC115</f>
        <v>Head</v>
      </c>
      <c r="I1635">
        <f>SH!CD115</f>
        <v>0</v>
      </c>
      <c r="J1635">
        <f>SH!CE115</f>
        <v>0</v>
      </c>
      <c r="K1635">
        <f>SH!CF115</f>
        <v>0</v>
      </c>
      <c r="L1635">
        <f>SH!CG115</f>
        <v>0</v>
      </c>
      <c r="M1635">
        <f>SH!CH115</f>
        <v>0</v>
      </c>
      <c r="N1635">
        <f>SH!CI115</f>
        <v>0</v>
      </c>
      <c r="O1635">
        <f>SH!CJ115</f>
        <v>0</v>
      </c>
      <c r="P1635" s="143" t="str">
        <f>SH!CK115</f>
        <v/>
      </c>
      <c r="R1635">
        <f t="shared" si="25"/>
        <v>1634</v>
      </c>
    </row>
    <row r="1636" spans="5:18">
      <c r="E1636" s="147" t="s">
        <v>47</v>
      </c>
      <c r="F1636" t="str">
        <f>SH!CA116</f>
        <v>HPS</v>
      </c>
      <c r="G1636" t="str">
        <f>SH!CB116</f>
        <v>AC</v>
      </c>
      <c r="H1636" t="str">
        <f>SH!CC116</f>
        <v>Head</v>
      </c>
      <c r="I1636">
        <f>SH!CD116</f>
        <v>0</v>
      </c>
      <c r="J1636">
        <f>SH!CE116</f>
        <v>0</v>
      </c>
      <c r="K1636">
        <f>SH!CF116</f>
        <v>0</v>
      </c>
      <c r="L1636">
        <f>SH!CG116</f>
        <v>0</v>
      </c>
      <c r="M1636">
        <f>SH!CH116</f>
        <v>0</v>
      </c>
      <c r="N1636">
        <f>SH!CI116</f>
        <v>0</v>
      </c>
      <c r="O1636">
        <f>SH!CJ116</f>
        <v>0</v>
      </c>
      <c r="P1636" s="143" t="str">
        <f>SH!CK116</f>
        <v/>
      </c>
      <c r="R1636">
        <f t="shared" si="25"/>
        <v>1635</v>
      </c>
    </row>
    <row r="1637" spans="5:18">
      <c r="E1637" s="147" t="s">
        <v>47</v>
      </c>
      <c r="F1637" t="str">
        <f>SH!CA117</f>
        <v>HPS</v>
      </c>
      <c r="G1637" t="str">
        <f>SH!CB117</f>
        <v>AC</v>
      </c>
      <c r="H1637" t="str">
        <f>SH!CC117</f>
        <v>Head</v>
      </c>
      <c r="I1637">
        <f>SH!CD117</f>
        <v>0</v>
      </c>
      <c r="J1637">
        <f>SH!CE117</f>
        <v>0</v>
      </c>
      <c r="K1637">
        <f>SH!CF117</f>
        <v>0</v>
      </c>
      <c r="L1637">
        <f>SH!CG117</f>
        <v>0</v>
      </c>
      <c r="M1637">
        <f>SH!CH117</f>
        <v>0</v>
      </c>
      <c r="N1637">
        <f>SH!CI117</f>
        <v>0</v>
      </c>
      <c r="O1637">
        <f>SH!CJ117</f>
        <v>0</v>
      </c>
      <c r="P1637" s="143" t="str">
        <f>SH!CK117</f>
        <v/>
      </c>
      <c r="R1637">
        <f t="shared" si="25"/>
        <v>1636</v>
      </c>
    </row>
    <row r="1638" spans="5:18">
      <c r="E1638" s="147" t="s">
        <v>47</v>
      </c>
      <c r="F1638" t="str">
        <f>SH!CA118</f>
        <v>HPS</v>
      </c>
      <c r="G1638" t="str">
        <f>SH!CB118</f>
        <v>AC</v>
      </c>
      <c r="H1638" t="str">
        <f>SH!CC118</f>
        <v>Head</v>
      </c>
      <c r="I1638">
        <f>SH!CD118</f>
        <v>0</v>
      </c>
      <c r="J1638">
        <f>SH!CE118</f>
        <v>0</v>
      </c>
      <c r="K1638">
        <f>SH!CF118</f>
        <v>0</v>
      </c>
      <c r="L1638">
        <f>SH!CG118</f>
        <v>0</v>
      </c>
      <c r="M1638">
        <f>SH!CH118</f>
        <v>0</v>
      </c>
      <c r="N1638">
        <f>SH!CI118</f>
        <v>0</v>
      </c>
      <c r="O1638">
        <f>SH!CJ118</f>
        <v>0</v>
      </c>
      <c r="P1638" s="143" t="str">
        <f>SH!CK118</f>
        <v/>
      </c>
      <c r="R1638">
        <f t="shared" si="25"/>
        <v>1637</v>
      </c>
    </row>
    <row r="1639" spans="5:18">
      <c r="E1639" s="147" t="s">
        <v>47</v>
      </c>
      <c r="F1639" t="str">
        <f>SH!CA119</f>
        <v>HPS</v>
      </c>
      <c r="G1639" t="str">
        <f>SH!CB119</f>
        <v>AC</v>
      </c>
      <c r="H1639" t="str">
        <f>SH!CC119</f>
        <v>Head</v>
      </c>
      <c r="I1639">
        <f>SH!CD119</f>
        <v>0</v>
      </c>
      <c r="J1639">
        <f>SH!CE119</f>
        <v>0</v>
      </c>
      <c r="K1639">
        <f>SH!CF119</f>
        <v>0</v>
      </c>
      <c r="L1639">
        <f>SH!CG119</f>
        <v>0</v>
      </c>
      <c r="M1639">
        <f>SH!CH119</f>
        <v>0</v>
      </c>
      <c r="N1639">
        <f>SH!CI119</f>
        <v>0</v>
      </c>
      <c r="O1639">
        <f>SH!CJ119</f>
        <v>0</v>
      </c>
      <c r="P1639" s="143" t="str">
        <f>SH!CK119</f>
        <v/>
      </c>
      <c r="R1639">
        <f t="shared" si="25"/>
        <v>1638</v>
      </c>
    </row>
    <row r="1640" spans="5:18">
      <c r="E1640" s="147" t="s">
        <v>47</v>
      </c>
      <c r="F1640" t="str">
        <f>SH!CA120</f>
        <v>HPS</v>
      </c>
      <c r="G1640" t="str">
        <f>SH!CB120</f>
        <v>AC</v>
      </c>
      <c r="H1640" t="str">
        <f>SH!CC120</f>
        <v>Head</v>
      </c>
      <c r="I1640">
        <f>SH!CD120</f>
        <v>0</v>
      </c>
      <c r="J1640">
        <f>SH!CE120</f>
        <v>0</v>
      </c>
      <c r="K1640">
        <f>SH!CF120</f>
        <v>0</v>
      </c>
      <c r="L1640">
        <f>SH!CG120</f>
        <v>0</v>
      </c>
      <c r="M1640">
        <f>SH!CH120</f>
        <v>0</v>
      </c>
      <c r="N1640">
        <f>SH!CI120</f>
        <v>0</v>
      </c>
      <c r="O1640">
        <f>SH!CJ120</f>
        <v>0</v>
      </c>
      <c r="P1640" s="143" t="str">
        <f>SH!CK120</f>
        <v/>
      </c>
      <c r="R1640">
        <f t="shared" si="25"/>
        <v>1639</v>
      </c>
    </row>
    <row r="1641" spans="5:18">
      <c r="E1641" s="147" t="s">
        <v>47</v>
      </c>
      <c r="F1641" t="str">
        <f>SH!CA121</f>
        <v>HPS</v>
      </c>
      <c r="G1641" t="str">
        <f>SH!CB121</f>
        <v>AC</v>
      </c>
      <c r="H1641" t="str">
        <f>SH!CC121</f>
        <v>Head</v>
      </c>
      <c r="I1641">
        <f>SH!CD121</f>
        <v>0</v>
      </c>
      <c r="J1641">
        <f>SH!CE121</f>
        <v>0</v>
      </c>
      <c r="K1641">
        <f>SH!CF121</f>
        <v>0</v>
      </c>
      <c r="L1641">
        <f>SH!CG121</f>
        <v>0</v>
      </c>
      <c r="M1641">
        <f>SH!CH121</f>
        <v>0</v>
      </c>
      <c r="N1641">
        <f>SH!CI121</f>
        <v>0</v>
      </c>
      <c r="O1641">
        <f>SH!CJ121</f>
        <v>0</v>
      </c>
      <c r="P1641" s="143" t="str">
        <f>SH!CK121</f>
        <v/>
      </c>
      <c r="R1641">
        <f t="shared" si="25"/>
        <v>1640</v>
      </c>
    </row>
    <row r="1642" spans="5:18">
      <c r="E1642" s="147" t="s">
        <v>47</v>
      </c>
      <c r="F1642" t="str">
        <f>SH!CA122</f>
        <v>HPS</v>
      </c>
      <c r="G1642" t="str">
        <f>SH!CB122</f>
        <v>AC</v>
      </c>
      <c r="H1642" t="str">
        <f>SH!CC122</f>
        <v>Head</v>
      </c>
      <c r="I1642">
        <f>SH!CD122</f>
        <v>0</v>
      </c>
      <c r="J1642">
        <f>SH!CE122</f>
        <v>0</v>
      </c>
      <c r="K1642">
        <f>SH!CF122</f>
        <v>0</v>
      </c>
      <c r="L1642">
        <f>SH!CG122</f>
        <v>0</v>
      </c>
      <c r="M1642">
        <f>SH!CH122</f>
        <v>0</v>
      </c>
      <c r="N1642">
        <f>SH!CI122</f>
        <v>0</v>
      </c>
      <c r="O1642">
        <f>SH!CJ122</f>
        <v>0</v>
      </c>
      <c r="P1642" s="143" t="str">
        <f>SH!CK122</f>
        <v/>
      </c>
      <c r="R1642">
        <f t="shared" si="25"/>
        <v>1641</v>
      </c>
    </row>
    <row r="1643" spans="5:18">
      <c r="E1643" s="147" t="s">
        <v>47</v>
      </c>
      <c r="F1643" t="str">
        <f>SH!CA123</f>
        <v>HPS</v>
      </c>
      <c r="G1643" t="str">
        <f>SH!CB123</f>
        <v>AC</v>
      </c>
      <c r="H1643" t="str">
        <f>SH!CC123</f>
        <v>Head</v>
      </c>
      <c r="I1643">
        <f>SH!CD123</f>
        <v>0</v>
      </c>
      <c r="J1643">
        <f>SH!CE123</f>
        <v>0</v>
      </c>
      <c r="K1643">
        <f>SH!CF123</f>
        <v>0</v>
      </c>
      <c r="L1643">
        <f>SH!CG123</f>
        <v>0</v>
      </c>
      <c r="M1643">
        <f>SH!CH123</f>
        <v>0</v>
      </c>
      <c r="N1643">
        <f>SH!CI123</f>
        <v>0</v>
      </c>
      <c r="O1643">
        <f>SH!CJ123</f>
        <v>0</v>
      </c>
      <c r="P1643" s="143" t="str">
        <f>SH!CK123</f>
        <v/>
      </c>
      <c r="R1643">
        <f t="shared" si="25"/>
        <v>1642</v>
      </c>
    </row>
    <row r="1644" spans="5:18">
      <c r="E1644" s="147" t="s">
        <v>47</v>
      </c>
      <c r="F1644" t="str">
        <f>SH!CA124</f>
        <v>HPS</v>
      </c>
      <c r="G1644" t="str">
        <f>SH!CB124</f>
        <v>AC</v>
      </c>
      <c r="H1644" t="str">
        <f>SH!CC124</f>
        <v>Head</v>
      </c>
      <c r="I1644">
        <f>SH!CD124</f>
        <v>0</v>
      </c>
      <c r="J1644">
        <f>SH!CE124</f>
        <v>0</v>
      </c>
      <c r="K1644">
        <f>SH!CF124</f>
        <v>0</v>
      </c>
      <c r="L1644">
        <f>SH!CG124</f>
        <v>0</v>
      </c>
      <c r="M1644">
        <f>SH!CH124</f>
        <v>0</v>
      </c>
      <c r="N1644">
        <f>SH!CI124</f>
        <v>0</v>
      </c>
      <c r="O1644">
        <f>SH!CJ124</f>
        <v>0</v>
      </c>
      <c r="P1644" s="143" t="str">
        <f>SH!CK124</f>
        <v/>
      </c>
      <c r="R1644">
        <f t="shared" si="25"/>
        <v>1643</v>
      </c>
    </row>
    <row r="1645" spans="5:18">
      <c r="E1645" s="147" t="s">
        <v>47</v>
      </c>
      <c r="F1645" t="str">
        <f>SH!CA125</f>
        <v>HPS</v>
      </c>
      <c r="G1645" t="str">
        <f>SH!CB125</f>
        <v>AC</v>
      </c>
      <c r="H1645" t="str">
        <f>SH!CC125</f>
        <v>Head</v>
      </c>
      <c r="I1645">
        <f>SH!CD125</f>
        <v>0</v>
      </c>
      <c r="J1645">
        <f>SH!CE125</f>
        <v>0</v>
      </c>
      <c r="K1645">
        <f>SH!CF125</f>
        <v>0</v>
      </c>
      <c r="L1645">
        <f>SH!CG125</f>
        <v>0</v>
      </c>
      <c r="M1645">
        <f>SH!CH125</f>
        <v>0</v>
      </c>
      <c r="N1645">
        <f>SH!CI125</f>
        <v>0</v>
      </c>
      <c r="O1645">
        <f>SH!CJ125</f>
        <v>0</v>
      </c>
      <c r="P1645" s="143" t="str">
        <f>SH!CK125</f>
        <v/>
      </c>
      <c r="R1645">
        <f t="shared" si="25"/>
        <v>1644</v>
      </c>
    </row>
    <row r="1646" spans="5:18">
      <c r="E1646" s="147" t="s">
        <v>47</v>
      </c>
      <c r="F1646" t="str">
        <f>SH!CA126</f>
        <v>HPS</v>
      </c>
      <c r="G1646" t="str">
        <f>SH!CB126</f>
        <v>AC</v>
      </c>
      <c r="H1646" t="str">
        <f>SH!CC126</f>
        <v>Head</v>
      </c>
      <c r="I1646">
        <f>SH!CD126</f>
        <v>0</v>
      </c>
      <c r="J1646">
        <f>SH!CE126</f>
        <v>0</v>
      </c>
      <c r="K1646">
        <f>SH!CF126</f>
        <v>0</v>
      </c>
      <c r="L1646">
        <f>SH!CG126</f>
        <v>0</v>
      </c>
      <c r="M1646">
        <f>SH!CH126</f>
        <v>0</v>
      </c>
      <c r="N1646">
        <f>SH!CI126</f>
        <v>0</v>
      </c>
      <c r="O1646">
        <f>SH!CJ126</f>
        <v>0</v>
      </c>
      <c r="P1646" s="143" t="str">
        <f>SH!CK126</f>
        <v/>
      </c>
      <c r="R1646">
        <f t="shared" si="25"/>
        <v>1645</v>
      </c>
    </row>
    <row r="1647" spans="5:18">
      <c r="E1647" s="147" t="s">
        <v>47</v>
      </c>
      <c r="F1647" t="str">
        <f>SH!CA127</f>
        <v>HPS</v>
      </c>
      <c r="G1647" t="str">
        <f>SH!CB127</f>
        <v>AC</v>
      </c>
      <c r="H1647" t="str">
        <f>SH!CC127</f>
        <v>Head</v>
      </c>
      <c r="I1647">
        <f>SH!CD127</f>
        <v>0</v>
      </c>
      <c r="J1647">
        <f>SH!CE127</f>
        <v>0</v>
      </c>
      <c r="K1647">
        <f>SH!CF127</f>
        <v>0</v>
      </c>
      <c r="L1647">
        <f>SH!CG127</f>
        <v>0</v>
      </c>
      <c r="M1647">
        <f>SH!CH127</f>
        <v>0</v>
      </c>
      <c r="N1647">
        <f>SH!CI127</f>
        <v>0</v>
      </c>
      <c r="O1647">
        <f>SH!CJ127</f>
        <v>0</v>
      </c>
      <c r="P1647" s="143" t="str">
        <f>SH!CK127</f>
        <v/>
      </c>
      <c r="R1647">
        <f t="shared" si="25"/>
        <v>1646</v>
      </c>
    </row>
    <row r="1648" spans="5:18">
      <c r="E1648" s="147" t="s">
        <v>47</v>
      </c>
      <c r="F1648" t="str">
        <f>SH!CA128</f>
        <v>HPS</v>
      </c>
      <c r="G1648" t="str">
        <f>SH!CB128</f>
        <v>AC</v>
      </c>
      <c r="H1648" t="str">
        <f>SH!CC128</f>
        <v>Head</v>
      </c>
      <c r="I1648">
        <f>SH!CD128</f>
        <v>0</v>
      </c>
      <c r="J1648">
        <f>SH!CE128</f>
        <v>0</v>
      </c>
      <c r="K1648">
        <f>SH!CF128</f>
        <v>0</v>
      </c>
      <c r="L1648">
        <f>SH!CG128</f>
        <v>0</v>
      </c>
      <c r="M1648">
        <f>SH!CH128</f>
        <v>0</v>
      </c>
      <c r="N1648">
        <f>SH!CI128</f>
        <v>0</v>
      </c>
      <c r="O1648">
        <f>SH!CJ128</f>
        <v>0</v>
      </c>
      <c r="P1648" s="143" t="str">
        <f>SH!CK128</f>
        <v/>
      </c>
      <c r="R1648">
        <f t="shared" si="25"/>
        <v>1647</v>
      </c>
    </row>
    <row r="1649" spans="5:18">
      <c r="E1649" s="147" t="s">
        <v>47</v>
      </c>
      <c r="F1649" t="str">
        <f>SH!CA129</f>
        <v>HPS</v>
      </c>
      <c r="G1649" t="str">
        <f>SH!CB129</f>
        <v>AC</v>
      </c>
      <c r="H1649" t="str">
        <f>SH!CC129</f>
        <v>Head</v>
      </c>
      <c r="I1649">
        <f>SH!CD129</f>
        <v>0</v>
      </c>
      <c r="J1649">
        <f>SH!CE129</f>
        <v>0</v>
      </c>
      <c r="K1649">
        <f>SH!CF129</f>
        <v>0</v>
      </c>
      <c r="L1649">
        <f>SH!CG129</f>
        <v>0</v>
      </c>
      <c r="M1649">
        <f>SH!CH129</f>
        <v>0</v>
      </c>
      <c r="N1649">
        <f>SH!CI129</f>
        <v>0</v>
      </c>
      <c r="O1649">
        <f>SH!CJ129</f>
        <v>0</v>
      </c>
      <c r="P1649" s="143" t="str">
        <f>SH!CK129</f>
        <v/>
      </c>
      <c r="R1649">
        <f t="shared" si="25"/>
        <v>1648</v>
      </c>
    </row>
    <row r="1650" spans="5:18">
      <c r="E1650" s="147" t="s">
        <v>47</v>
      </c>
      <c r="F1650" t="str">
        <f>SH!CA130</f>
        <v>HPS</v>
      </c>
      <c r="G1650" t="str">
        <f>SH!CB130</f>
        <v>AC</v>
      </c>
      <c r="H1650" t="str">
        <f>SH!CC130</f>
        <v>Head</v>
      </c>
      <c r="I1650">
        <f>SH!CD130</f>
        <v>0</v>
      </c>
      <c r="J1650">
        <f>SH!CE130</f>
        <v>0</v>
      </c>
      <c r="K1650">
        <f>SH!CF130</f>
        <v>0</v>
      </c>
      <c r="L1650">
        <f>SH!CG130</f>
        <v>0</v>
      </c>
      <c r="M1650">
        <f>SH!CH130</f>
        <v>0</v>
      </c>
      <c r="N1650">
        <f>SH!CI130</f>
        <v>0</v>
      </c>
      <c r="O1650">
        <f>SH!CJ130</f>
        <v>0</v>
      </c>
      <c r="P1650" s="143" t="str">
        <f>SH!CK130</f>
        <v/>
      </c>
      <c r="R1650">
        <f t="shared" si="25"/>
        <v>1649</v>
      </c>
    </row>
    <row r="1651" spans="5:18">
      <c r="E1651" s="147" t="s">
        <v>47</v>
      </c>
      <c r="F1651" t="str">
        <f>SH!CA131</f>
        <v>HPS</v>
      </c>
      <c r="G1651" t="str">
        <f>SH!CB131</f>
        <v>AC</v>
      </c>
      <c r="H1651" t="str">
        <f>SH!CC131</f>
        <v>Head</v>
      </c>
      <c r="I1651">
        <f>SH!CD131</f>
        <v>0</v>
      </c>
      <c r="J1651">
        <f>SH!CE131</f>
        <v>0</v>
      </c>
      <c r="K1651">
        <f>SH!CF131</f>
        <v>0</v>
      </c>
      <c r="L1651">
        <f>SH!CG131</f>
        <v>0</v>
      </c>
      <c r="M1651">
        <f>SH!CH131</f>
        <v>0</v>
      </c>
      <c r="N1651">
        <f>SH!CI131</f>
        <v>0</v>
      </c>
      <c r="O1651">
        <f>SH!CJ131</f>
        <v>0</v>
      </c>
      <c r="P1651" s="143" t="str">
        <f>SH!CK131</f>
        <v/>
      </c>
      <c r="R1651">
        <f t="shared" si="25"/>
        <v>1650</v>
      </c>
    </row>
    <row r="1652" spans="5:18">
      <c r="E1652" s="147" t="s">
        <v>47</v>
      </c>
      <c r="F1652" t="str">
        <f>SH!CA132</f>
        <v>HPS</v>
      </c>
      <c r="G1652" t="str">
        <f>SH!CB132</f>
        <v>AC</v>
      </c>
      <c r="H1652" t="str">
        <f>SH!CC132</f>
        <v>Head</v>
      </c>
      <c r="I1652">
        <f>SH!CD132</f>
        <v>0</v>
      </c>
      <c r="J1652">
        <f>SH!CE132</f>
        <v>0</v>
      </c>
      <c r="K1652">
        <f>SH!CF132</f>
        <v>0</v>
      </c>
      <c r="L1652">
        <f>SH!CG132</f>
        <v>0</v>
      </c>
      <c r="M1652">
        <f>SH!CH132</f>
        <v>0</v>
      </c>
      <c r="N1652">
        <f>SH!CI132</f>
        <v>0</v>
      </c>
      <c r="O1652">
        <f>SH!CJ132</f>
        <v>0</v>
      </c>
      <c r="P1652" s="143" t="str">
        <f>SH!CK132</f>
        <v/>
      </c>
      <c r="R1652">
        <f t="shared" si="25"/>
        <v>1651</v>
      </c>
    </row>
    <row r="1653" spans="5:18">
      <c r="E1653" s="147" t="s">
        <v>47</v>
      </c>
      <c r="F1653" t="str">
        <f>SH!CA133</f>
        <v>HPS</v>
      </c>
      <c r="G1653" t="str">
        <f>SH!CB133</f>
        <v>AC</v>
      </c>
      <c r="H1653" t="str">
        <f>SH!CC133</f>
        <v>Head</v>
      </c>
      <c r="I1653">
        <f>SH!CD133</f>
        <v>0</v>
      </c>
      <c r="J1653">
        <f>SH!CE133</f>
        <v>0</v>
      </c>
      <c r="K1653">
        <f>SH!CF133</f>
        <v>0</v>
      </c>
      <c r="L1653">
        <f>SH!CG133</f>
        <v>0</v>
      </c>
      <c r="M1653">
        <f>SH!CH133</f>
        <v>0</v>
      </c>
      <c r="N1653">
        <f>SH!CI133</f>
        <v>0</v>
      </c>
      <c r="O1653">
        <f>SH!CJ133</f>
        <v>0</v>
      </c>
      <c r="P1653" s="143" t="str">
        <f>SH!CK133</f>
        <v/>
      </c>
      <c r="R1653">
        <f t="shared" si="25"/>
        <v>1652</v>
      </c>
    </row>
    <row r="1654" spans="5:18">
      <c r="E1654" s="147" t="s">
        <v>47</v>
      </c>
      <c r="F1654" t="str">
        <f>SH!CA134</f>
        <v>HPS</v>
      </c>
      <c r="G1654" t="str">
        <f>SH!CB134</f>
        <v>AC</v>
      </c>
      <c r="H1654" t="str">
        <f>SH!CC134</f>
        <v>Head</v>
      </c>
      <c r="I1654">
        <f>SH!CD134</f>
        <v>0</v>
      </c>
      <c r="J1654">
        <f>SH!CE134</f>
        <v>0</v>
      </c>
      <c r="K1654">
        <f>SH!CF134</f>
        <v>0</v>
      </c>
      <c r="L1654">
        <f>SH!CG134</f>
        <v>0</v>
      </c>
      <c r="M1654">
        <f>SH!CH134</f>
        <v>0</v>
      </c>
      <c r="N1654">
        <f>SH!CI134</f>
        <v>0</v>
      </c>
      <c r="O1654">
        <f>SH!CJ134</f>
        <v>0</v>
      </c>
      <c r="P1654" s="143" t="str">
        <f>SH!CK134</f>
        <v/>
      </c>
      <c r="R1654">
        <f t="shared" si="25"/>
        <v>1653</v>
      </c>
    </row>
    <row r="1655" spans="5:18">
      <c r="E1655" s="147" t="s">
        <v>47</v>
      </c>
      <c r="F1655" t="str">
        <f>SH!CA135</f>
        <v>HPS</v>
      </c>
      <c r="G1655" t="str">
        <f>SH!CB135</f>
        <v>AC</v>
      </c>
      <c r="H1655" t="str">
        <f>SH!CC135</f>
        <v>Head</v>
      </c>
      <c r="I1655">
        <f>SH!CD135</f>
        <v>0</v>
      </c>
      <c r="J1655">
        <f>SH!CE135</f>
        <v>0</v>
      </c>
      <c r="K1655">
        <f>SH!CF135</f>
        <v>0</v>
      </c>
      <c r="L1655">
        <f>SH!CG135</f>
        <v>0</v>
      </c>
      <c r="M1655">
        <f>SH!CH135</f>
        <v>0</v>
      </c>
      <c r="N1655">
        <f>SH!CI135</f>
        <v>0</v>
      </c>
      <c r="O1655">
        <f>SH!CJ135</f>
        <v>0</v>
      </c>
      <c r="P1655" s="143" t="str">
        <f>SH!CK135</f>
        <v/>
      </c>
      <c r="R1655">
        <f t="shared" si="25"/>
        <v>1654</v>
      </c>
    </row>
    <row r="1656" spans="5:18">
      <c r="E1656" s="147" t="s">
        <v>47</v>
      </c>
      <c r="F1656" t="str">
        <f>SH!CA136</f>
        <v>HPS</v>
      </c>
      <c r="G1656" t="str">
        <f>SH!CB136</f>
        <v>AC</v>
      </c>
      <c r="H1656" t="str">
        <f>SH!CC136</f>
        <v>Head</v>
      </c>
      <c r="I1656">
        <f>SH!CD136</f>
        <v>0</v>
      </c>
      <c r="J1656">
        <f>SH!CE136</f>
        <v>0</v>
      </c>
      <c r="K1656">
        <f>SH!CF136</f>
        <v>0</v>
      </c>
      <c r="L1656">
        <f>SH!CG136</f>
        <v>0</v>
      </c>
      <c r="M1656">
        <f>SH!CH136</f>
        <v>0</v>
      </c>
      <c r="N1656">
        <f>SH!CI136</f>
        <v>0</v>
      </c>
      <c r="O1656">
        <f>SH!CJ136</f>
        <v>0</v>
      </c>
      <c r="P1656" s="143" t="str">
        <f>SH!CK136</f>
        <v/>
      </c>
      <c r="R1656">
        <f t="shared" si="25"/>
        <v>1655</v>
      </c>
    </row>
    <row r="1657" spans="5:18">
      <c r="E1657" s="147" t="s">
        <v>47</v>
      </c>
      <c r="F1657" t="str">
        <f>SH!CA137</f>
        <v>HPS</v>
      </c>
      <c r="G1657" t="str">
        <f>SH!CB137</f>
        <v>AC</v>
      </c>
      <c r="H1657" t="str">
        <f>SH!CC137</f>
        <v>Head</v>
      </c>
      <c r="I1657">
        <f>SH!CD137</f>
        <v>0</v>
      </c>
      <c r="J1657">
        <f>SH!CE137</f>
        <v>0</v>
      </c>
      <c r="K1657">
        <f>SH!CF137</f>
        <v>0</v>
      </c>
      <c r="L1657">
        <f>SH!CG137</f>
        <v>0</v>
      </c>
      <c r="M1657">
        <f>SH!CH137</f>
        <v>0</v>
      </c>
      <c r="N1657">
        <f>SH!CI137</f>
        <v>0</v>
      </c>
      <c r="O1657">
        <f>SH!CJ137</f>
        <v>0</v>
      </c>
      <c r="P1657" s="143" t="str">
        <f>SH!CK137</f>
        <v/>
      </c>
      <c r="R1657">
        <f t="shared" si="25"/>
        <v>1656</v>
      </c>
    </row>
    <row r="1658" spans="5:18">
      <c r="E1658" s="147" t="s">
        <v>47</v>
      </c>
      <c r="F1658" t="str">
        <f>SH!CA138</f>
        <v>HPS</v>
      </c>
      <c r="G1658" t="str">
        <f>SH!CB138</f>
        <v>AC</v>
      </c>
      <c r="H1658" t="str">
        <f>SH!CC138</f>
        <v>Head</v>
      </c>
      <c r="I1658">
        <f>SH!CD138</f>
        <v>0</v>
      </c>
      <c r="J1658">
        <f>SH!CE138</f>
        <v>0</v>
      </c>
      <c r="K1658">
        <f>SH!CF138</f>
        <v>0</v>
      </c>
      <c r="L1658">
        <f>SH!CG138</f>
        <v>0</v>
      </c>
      <c r="M1658">
        <f>SH!CH138</f>
        <v>0</v>
      </c>
      <c r="N1658">
        <f>SH!CI138</f>
        <v>0</v>
      </c>
      <c r="O1658">
        <f>SH!CJ138</f>
        <v>0</v>
      </c>
      <c r="P1658" s="143" t="str">
        <f>SH!CK138</f>
        <v/>
      </c>
      <c r="R1658">
        <f t="shared" si="25"/>
        <v>1657</v>
      </c>
    </row>
    <row r="1659" spans="5:18">
      <c r="E1659" s="147" t="s">
        <v>47</v>
      </c>
      <c r="F1659" t="str">
        <f>SH!CA139</f>
        <v>HPS</v>
      </c>
      <c r="G1659" t="str">
        <f>SH!CB139</f>
        <v>AC</v>
      </c>
      <c r="H1659" t="str">
        <f>SH!CC139</f>
        <v>Head</v>
      </c>
      <c r="I1659">
        <f>SH!CD139</f>
        <v>0</v>
      </c>
      <c r="J1659">
        <f>SH!CE139</f>
        <v>0</v>
      </c>
      <c r="K1659">
        <f>SH!CF139</f>
        <v>0</v>
      </c>
      <c r="L1659">
        <f>SH!CG139</f>
        <v>0</v>
      </c>
      <c r="M1659">
        <f>SH!CH139</f>
        <v>0</v>
      </c>
      <c r="N1659">
        <f>SH!CI139</f>
        <v>0</v>
      </c>
      <c r="O1659">
        <f>SH!CJ139</f>
        <v>0</v>
      </c>
      <c r="P1659" s="143" t="str">
        <f>SH!CK139</f>
        <v/>
      </c>
      <c r="R1659">
        <f t="shared" si="25"/>
        <v>1658</v>
      </c>
    </row>
    <row r="1660" spans="5:18">
      <c r="E1660" s="147" t="s">
        <v>47</v>
      </c>
      <c r="F1660" t="str">
        <f>SH!CA140</f>
        <v>HPS</v>
      </c>
      <c r="G1660" t="str">
        <f>SH!CB140</f>
        <v>AC</v>
      </c>
      <c r="H1660" t="str">
        <f>SH!CC140</f>
        <v>Head</v>
      </c>
      <c r="I1660">
        <f>SH!CD140</f>
        <v>0</v>
      </c>
      <c r="J1660">
        <f>SH!CE140</f>
        <v>0</v>
      </c>
      <c r="K1660">
        <f>SH!CF140</f>
        <v>0</v>
      </c>
      <c r="L1660">
        <f>SH!CG140</f>
        <v>0</v>
      </c>
      <c r="M1660">
        <f>SH!CH140</f>
        <v>0</v>
      </c>
      <c r="N1660">
        <f>SH!CI140</f>
        <v>0</v>
      </c>
      <c r="O1660">
        <f>SH!CJ140</f>
        <v>0</v>
      </c>
      <c r="P1660" s="143" t="str">
        <f>SH!CK140</f>
        <v/>
      </c>
      <c r="R1660">
        <f t="shared" si="25"/>
        <v>1659</v>
      </c>
    </row>
    <row r="1661" spans="5:18">
      <c r="E1661" s="147" t="s">
        <v>47</v>
      </c>
      <c r="F1661" t="str">
        <f>SH!CA141</f>
        <v>HPS</v>
      </c>
      <c r="G1661" t="str">
        <f>SH!CB141</f>
        <v>AC</v>
      </c>
      <c r="H1661" t="str">
        <f>SH!CC141</f>
        <v>Head</v>
      </c>
      <c r="I1661">
        <f>SH!CD141</f>
        <v>0</v>
      </c>
      <c r="J1661">
        <f>SH!CE141</f>
        <v>0</v>
      </c>
      <c r="K1661">
        <f>SH!CF141</f>
        <v>0</v>
      </c>
      <c r="L1661">
        <f>SH!CG141</f>
        <v>0</v>
      </c>
      <c r="M1661">
        <f>SH!CH141</f>
        <v>0</v>
      </c>
      <c r="N1661">
        <f>SH!CI141</f>
        <v>0</v>
      </c>
      <c r="O1661">
        <f>SH!CJ141</f>
        <v>0</v>
      </c>
      <c r="P1661" s="143" t="str">
        <f>SH!CK141</f>
        <v/>
      </c>
      <c r="R1661">
        <f t="shared" si="25"/>
        <v>1660</v>
      </c>
    </row>
    <row r="1662" spans="5:18">
      <c r="E1662" s="147" t="s">
        <v>47</v>
      </c>
      <c r="F1662" t="str">
        <f>SH!CA142</f>
        <v>HPS</v>
      </c>
      <c r="G1662" t="str">
        <f>SH!CB142</f>
        <v>AC</v>
      </c>
      <c r="H1662" t="str">
        <f>SH!CC142</f>
        <v>Head</v>
      </c>
      <c r="I1662">
        <f>SH!CD142</f>
        <v>0</v>
      </c>
      <c r="J1662">
        <f>SH!CE142</f>
        <v>0</v>
      </c>
      <c r="K1662">
        <f>SH!CF142</f>
        <v>0</v>
      </c>
      <c r="L1662">
        <f>SH!CG142</f>
        <v>0</v>
      </c>
      <c r="M1662">
        <f>SH!CH142</f>
        <v>0</v>
      </c>
      <c r="N1662">
        <f>SH!CI142</f>
        <v>0</v>
      </c>
      <c r="O1662">
        <f>SH!CJ142</f>
        <v>0</v>
      </c>
      <c r="P1662" s="143" t="str">
        <f>SH!CK142</f>
        <v/>
      </c>
      <c r="R1662">
        <f t="shared" si="25"/>
        <v>1661</v>
      </c>
    </row>
    <row r="1663" spans="5:18">
      <c r="E1663" s="147" t="s">
        <v>47</v>
      </c>
      <c r="F1663" t="str">
        <f>SH!CA143</f>
        <v>HPS</v>
      </c>
      <c r="G1663" t="str">
        <f>SH!CB143</f>
        <v>AC</v>
      </c>
      <c r="H1663" t="str">
        <f>SH!CC143</f>
        <v>Head</v>
      </c>
      <c r="I1663">
        <f>SH!CD143</f>
        <v>0</v>
      </c>
      <c r="J1663">
        <f>SH!CE143</f>
        <v>0</v>
      </c>
      <c r="K1663">
        <f>SH!CF143</f>
        <v>0</v>
      </c>
      <c r="L1663">
        <f>SH!CG143</f>
        <v>0</v>
      </c>
      <c r="M1663">
        <f>SH!CH143</f>
        <v>0</v>
      </c>
      <c r="N1663">
        <f>SH!CI143</f>
        <v>0</v>
      </c>
      <c r="O1663">
        <f>SH!CJ143</f>
        <v>0</v>
      </c>
      <c r="P1663" s="143" t="str">
        <f>SH!CK143</f>
        <v/>
      </c>
      <c r="R1663">
        <f t="shared" si="25"/>
        <v>1662</v>
      </c>
    </row>
    <row r="1664" spans="5:18">
      <c r="E1664" s="147" t="s">
        <v>47</v>
      </c>
      <c r="F1664" t="str">
        <f>SH!CA144</f>
        <v>HPS</v>
      </c>
      <c r="G1664" t="str">
        <f>SH!CB144</f>
        <v>AC</v>
      </c>
      <c r="H1664" t="str">
        <f>SH!CC144</f>
        <v>Head</v>
      </c>
      <c r="I1664">
        <f>SH!CD144</f>
        <v>0</v>
      </c>
      <c r="J1664">
        <f>SH!CE144</f>
        <v>0</v>
      </c>
      <c r="K1664">
        <f>SH!CF144</f>
        <v>0</v>
      </c>
      <c r="L1664">
        <f>SH!CG144</f>
        <v>0</v>
      </c>
      <c r="M1664">
        <f>SH!CH144</f>
        <v>0</v>
      </c>
      <c r="N1664">
        <f>SH!CI144</f>
        <v>0</v>
      </c>
      <c r="O1664">
        <f>SH!CJ144</f>
        <v>0</v>
      </c>
      <c r="P1664" s="143" t="str">
        <f>SH!CK144</f>
        <v/>
      </c>
      <c r="R1664">
        <f t="shared" si="25"/>
        <v>1663</v>
      </c>
    </row>
    <row r="1665" spans="5:18">
      <c r="E1665" s="147" t="s">
        <v>47</v>
      </c>
      <c r="F1665" t="str">
        <f>SH!CA145</f>
        <v>HPS</v>
      </c>
      <c r="G1665" t="str">
        <f>SH!CB145</f>
        <v>AC</v>
      </c>
      <c r="H1665" t="str">
        <f>SH!CC145</f>
        <v>Head</v>
      </c>
      <c r="I1665">
        <f>SH!CD145</f>
        <v>0</v>
      </c>
      <c r="J1665">
        <f>SH!CE145</f>
        <v>0</v>
      </c>
      <c r="K1665">
        <f>SH!CF145</f>
        <v>0</v>
      </c>
      <c r="L1665">
        <f>SH!CG145</f>
        <v>0</v>
      </c>
      <c r="M1665">
        <f>SH!CH145</f>
        <v>0</v>
      </c>
      <c r="N1665">
        <f>SH!CI145</f>
        <v>0</v>
      </c>
      <c r="O1665">
        <f>SH!CJ145</f>
        <v>0</v>
      </c>
      <c r="P1665" s="143" t="str">
        <f>SH!CK145</f>
        <v/>
      </c>
      <c r="R1665">
        <f t="shared" si="25"/>
        <v>1664</v>
      </c>
    </row>
    <row r="1666" spans="5:18">
      <c r="E1666" s="147" t="s">
        <v>47</v>
      </c>
      <c r="F1666" t="str">
        <f>SH!CA146</f>
        <v>HPS</v>
      </c>
      <c r="G1666" t="str">
        <f>SH!CB146</f>
        <v>AC</v>
      </c>
      <c r="H1666" t="str">
        <f>SH!CC146</f>
        <v>Head</v>
      </c>
      <c r="I1666">
        <f>SH!CD146</f>
        <v>0</v>
      </c>
      <c r="J1666">
        <f>SH!CE146</f>
        <v>0</v>
      </c>
      <c r="K1666">
        <f>SH!CF146</f>
        <v>0</v>
      </c>
      <c r="L1666">
        <f>SH!CG146</f>
        <v>0</v>
      </c>
      <c r="M1666">
        <f>SH!CH146</f>
        <v>0</v>
      </c>
      <c r="N1666">
        <f>SH!CI146</f>
        <v>0</v>
      </c>
      <c r="O1666">
        <f>SH!CJ146</f>
        <v>0</v>
      </c>
      <c r="P1666" s="143" t="str">
        <f>SH!CK146</f>
        <v/>
      </c>
      <c r="R1666">
        <f t="shared" si="25"/>
        <v>1665</v>
      </c>
    </row>
    <row r="1667" spans="5:18">
      <c r="E1667" s="147" t="s">
        <v>47</v>
      </c>
      <c r="F1667" t="str">
        <f>SH!CA147</f>
        <v>HPS</v>
      </c>
      <c r="G1667" t="str">
        <f>SH!CB147</f>
        <v>AC</v>
      </c>
      <c r="H1667" t="str">
        <f>SH!CC147</f>
        <v>Head</v>
      </c>
      <c r="I1667">
        <f>SH!CD147</f>
        <v>0</v>
      </c>
      <c r="J1667">
        <f>SH!CE147</f>
        <v>0</v>
      </c>
      <c r="K1667">
        <f>SH!CF147</f>
        <v>0</v>
      </c>
      <c r="L1667">
        <f>SH!CG147</f>
        <v>0</v>
      </c>
      <c r="M1667">
        <f>SH!CH147</f>
        <v>0</v>
      </c>
      <c r="N1667">
        <f>SH!CI147</f>
        <v>0</v>
      </c>
      <c r="O1667">
        <f>SH!CJ147</f>
        <v>0</v>
      </c>
      <c r="P1667" s="143" t="str">
        <f>SH!CK147</f>
        <v/>
      </c>
      <c r="R1667">
        <f t="shared" si="25"/>
        <v>1666</v>
      </c>
    </row>
    <row r="1668" spans="5:18">
      <c r="E1668" s="147" t="s">
        <v>47</v>
      </c>
      <c r="F1668" t="str">
        <f>SH!CA148</f>
        <v>HPS</v>
      </c>
      <c r="G1668" t="str">
        <f>SH!CB148</f>
        <v>AC</v>
      </c>
      <c r="H1668" t="str">
        <f>SH!CC148</f>
        <v>Head</v>
      </c>
      <c r="I1668">
        <f>SH!CD148</f>
        <v>0</v>
      </c>
      <c r="J1668">
        <f>SH!CE148</f>
        <v>0</v>
      </c>
      <c r="K1668">
        <f>SH!CF148</f>
        <v>0</v>
      </c>
      <c r="L1668">
        <f>SH!CG148</f>
        <v>0</v>
      </c>
      <c r="M1668">
        <f>SH!CH148</f>
        <v>0</v>
      </c>
      <c r="N1668">
        <f>SH!CI148</f>
        <v>0</v>
      </c>
      <c r="O1668">
        <f>SH!CJ148</f>
        <v>0</v>
      </c>
      <c r="P1668" s="143" t="str">
        <f>SH!CK148</f>
        <v/>
      </c>
      <c r="R1668">
        <f t="shared" ref="R1668:R1731" si="26">R1667+1</f>
        <v>1667</v>
      </c>
    </row>
    <row r="1669" spans="5:18">
      <c r="E1669" s="147" t="s">
        <v>47</v>
      </c>
      <c r="F1669" t="str">
        <f>SH!CA149</f>
        <v>HPS</v>
      </c>
      <c r="G1669" t="str">
        <f>SH!CB149</f>
        <v>AC</v>
      </c>
      <c r="H1669" t="str">
        <f>SH!CC149</f>
        <v>Head</v>
      </c>
      <c r="I1669">
        <f>SH!CD149</f>
        <v>0</v>
      </c>
      <c r="J1669">
        <f>SH!CE149</f>
        <v>0</v>
      </c>
      <c r="K1669">
        <f>SH!CF149</f>
        <v>0</v>
      </c>
      <c r="L1669">
        <f>SH!CG149</f>
        <v>0</v>
      </c>
      <c r="M1669">
        <f>SH!CH149</f>
        <v>0</v>
      </c>
      <c r="N1669">
        <f>SH!CI149</f>
        <v>0</v>
      </c>
      <c r="O1669">
        <f>SH!CJ149</f>
        <v>0</v>
      </c>
      <c r="P1669" s="143" t="str">
        <f>SH!CK149</f>
        <v/>
      </c>
      <c r="R1669">
        <f t="shared" si="26"/>
        <v>1668</v>
      </c>
    </row>
    <row r="1670" spans="5:18">
      <c r="E1670" s="147" t="s">
        <v>47</v>
      </c>
      <c r="F1670" t="str">
        <f>SH!CA150</f>
        <v>HPS</v>
      </c>
      <c r="G1670" t="str">
        <f>SH!CB150</f>
        <v>AC</v>
      </c>
      <c r="H1670" t="str">
        <f>SH!CC150</f>
        <v>Head</v>
      </c>
      <c r="I1670">
        <f>SH!CD150</f>
        <v>0</v>
      </c>
      <c r="J1670">
        <f>SH!CE150</f>
        <v>0</v>
      </c>
      <c r="K1670">
        <f>SH!CF150</f>
        <v>0</v>
      </c>
      <c r="L1670">
        <f>SH!CG150</f>
        <v>0</v>
      </c>
      <c r="M1670">
        <f>SH!CH150</f>
        <v>0</v>
      </c>
      <c r="N1670">
        <f>SH!CI150</f>
        <v>0</v>
      </c>
      <c r="O1670">
        <f>SH!CJ150</f>
        <v>0</v>
      </c>
      <c r="P1670" s="143" t="str">
        <f>SH!CK150</f>
        <v/>
      </c>
      <c r="R1670">
        <f t="shared" si="26"/>
        <v>1669</v>
      </c>
    </row>
    <row r="1671" spans="5:18" ht="17.100000000000001" thickBot="1">
      <c r="E1671" s="148" t="s">
        <v>47</v>
      </c>
      <c r="F1671" s="144" t="str">
        <f>SH!CA151</f>
        <v>HPS</v>
      </c>
      <c r="G1671" s="144" t="str">
        <f>SH!CB151</f>
        <v>AC</v>
      </c>
      <c r="H1671" s="144" t="str">
        <f>SH!CC151</f>
        <v>Head</v>
      </c>
      <c r="I1671" s="144">
        <f>SH!CD151</f>
        <v>0</v>
      </c>
      <c r="J1671" s="144">
        <f>SH!CE151</f>
        <v>0</v>
      </c>
      <c r="K1671" s="144">
        <f>SH!CF151</f>
        <v>0</v>
      </c>
      <c r="L1671" s="144">
        <f>SH!CG151</f>
        <v>0</v>
      </c>
      <c r="M1671" s="144">
        <f>SH!CH151</f>
        <v>0</v>
      </c>
      <c r="N1671" s="144">
        <f>SH!CI151</f>
        <v>0</v>
      </c>
      <c r="O1671" s="144">
        <f>SH!CJ151</f>
        <v>0</v>
      </c>
      <c r="P1671" s="145" t="str">
        <f>SH!CK151</f>
        <v/>
      </c>
      <c r="R1671">
        <f t="shared" si="26"/>
        <v>1670</v>
      </c>
    </row>
    <row r="1672" spans="5:18">
      <c r="E1672" s="146" t="s">
        <v>65</v>
      </c>
      <c r="F1672" s="141" t="str">
        <f>SSC!CA2</f>
        <v>HPS</v>
      </c>
      <c r="G1672" s="141" t="str">
        <f>SSC!CB2</f>
        <v>AC</v>
      </c>
      <c r="H1672" s="141" t="str">
        <f>SSC!CC2</f>
        <v>Vessel</v>
      </c>
      <c r="I1672" s="141">
        <f>SSC!CD2</f>
        <v>0</v>
      </c>
      <c r="J1672" s="141" t="str">
        <f>SSC!CE2</f>
        <v>Set Screw</v>
      </c>
      <c r="K1672" s="141" t="str">
        <f>SSC!CF2</f>
        <v>Rene 41</v>
      </c>
      <c r="L1672" s="141" t="str">
        <f>SSC!CG2</f>
        <v>SSC-1</v>
      </c>
      <c r="M1672" s="141">
        <f>SSC!CH2</f>
        <v>0</v>
      </c>
      <c r="N1672" s="141">
        <f>SSC!CI2</f>
        <v>0</v>
      </c>
      <c r="O1672" s="141">
        <f>SSC!CJ2</f>
        <v>0</v>
      </c>
      <c r="P1672" s="142" t="str">
        <f>SSC!CK2</f>
        <v>Active</v>
      </c>
      <c r="R1672">
        <f t="shared" si="26"/>
        <v>1671</v>
      </c>
    </row>
    <row r="1673" spans="5:18">
      <c r="E1673" s="147" t="s">
        <v>65</v>
      </c>
      <c r="F1673" t="str">
        <f>SSC!CA3</f>
        <v>HPS</v>
      </c>
      <c r="G1673" t="str">
        <f>SSC!CB3</f>
        <v>AC</v>
      </c>
      <c r="H1673" t="str">
        <f>SSC!CC3</f>
        <v>Vessel</v>
      </c>
      <c r="I1673">
        <f>SSC!CD3</f>
        <v>0</v>
      </c>
      <c r="J1673" t="str">
        <f>SSC!CE3</f>
        <v>Set Screw</v>
      </c>
      <c r="K1673" t="str">
        <f>SSC!CF3</f>
        <v>Rene 41</v>
      </c>
      <c r="L1673" t="str">
        <f>SSC!CG3</f>
        <v>SSC-2</v>
      </c>
      <c r="M1673">
        <f>SSC!CH3</f>
        <v>0</v>
      </c>
      <c r="N1673">
        <f>SSC!CI3</f>
        <v>0</v>
      </c>
      <c r="O1673">
        <f>SSC!CJ3</f>
        <v>0</v>
      </c>
      <c r="P1673" s="143" t="str">
        <f>SSC!CK3</f>
        <v>Active</v>
      </c>
      <c r="R1673">
        <f t="shared" si="26"/>
        <v>1672</v>
      </c>
    </row>
    <row r="1674" spans="5:18">
      <c r="E1674" s="147" t="s">
        <v>65</v>
      </c>
      <c r="F1674" t="str">
        <f>SSC!CA4</f>
        <v>HPS</v>
      </c>
      <c r="G1674" t="str">
        <f>SSC!CB4</f>
        <v>AC</v>
      </c>
      <c r="H1674" t="str">
        <f>SSC!CC4</f>
        <v>Vessel</v>
      </c>
      <c r="I1674">
        <f>SSC!CD4</f>
        <v>0</v>
      </c>
      <c r="J1674" t="str">
        <f>SSC!CE4</f>
        <v>Set Screw</v>
      </c>
      <c r="K1674" t="str">
        <f>SSC!CF4</f>
        <v>Inconel 625</v>
      </c>
      <c r="L1674" t="str">
        <f>SSC!CG4</f>
        <v>SSC-3</v>
      </c>
      <c r="M1674">
        <f>SSC!CH4</f>
        <v>0</v>
      </c>
      <c r="N1674">
        <f>SSC!CI4</f>
        <v>0</v>
      </c>
      <c r="O1674">
        <f>SSC!CJ4</f>
        <v>0</v>
      </c>
      <c r="P1674" s="143" t="str">
        <f>SSC!CK4</f>
        <v>Active</v>
      </c>
      <c r="R1674">
        <f t="shared" si="26"/>
        <v>1673</v>
      </c>
    </row>
    <row r="1675" spans="5:18">
      <c r="E1675" s="147" t="s">
        <v>65</v>
      </c>
      <c r="F1675" t="str">
        <f>SSC!CA5</f>
        <v>HPS</v>
      </c>
      <c r="G1675" t="str">
        <f>SSC!CB5</f>
        <v>AC</v>
      </c>
      <c r="H1675" t="str">
        <f>SSC!CC5</f>
        <v>Vessel</v>
      </c>
      <c r="I1675">
        <f>SSC!CD5</f>
        <v>0</v>
      </c>
      <c r="J1675" t="str">
        <f>SSC!CE5</f>
        <v>Set Screw</v>
      </c>
      <c r="K1675" t="str">
        <f>SSC!CF5</f>
        <v>unknown</v>
      </c>
      <c r="L1675" t="str">
        <f>SSC!CG5</f>
        <v>SSC-4</v>
      </c>
      <c r="M1675">
        <f>SSC!CH5</f>
        <v>0</v>
      </c>
      <c r="N1675">
        <f>SSC!CI5</f>
        <v>0</v>
      </c>
      <c r="O1675">
        <f>SSC!CJ5</f>
        <v>0</v>
      </c>
      <c r="P1675" s="143" t="str">
        <f>SSC!CK5</f>
        <v>Active</v>
      </c>
      <c r="R1675">
        <f t="shared" si="26"/>
        <v>1674</v>
      </c>
    </row>
    <row r="1676" spans="5:18">
      <c r="E1676" s="147" t="s">
        <v>65</v>
      </c>
      <c r="F1676" t="str">
        <f>SSC!CA6</f>
        <v>HPS</v>
      </c>
      <c r="G1676" t="str">
        <f>SSC!CB6</f>
        <v>AC</v>
      </c>
      <c r="H1676" t="str">
        <f>SSC!CC6</f>
        <v>Vessel</v>
      </c>
      <c r="I1676">
        <f>SSC!CD6</f>
        <v>0</v>
      </c>
      <c r="J1676" t="str">
        <f>SSC!CE6</f>
        <v>Set Screw</v>
      </c>
      <c r="K1676" t="str">
        <f>SSC!CF6</f>
        <v>Rene 41</v>
      </c>
      <c r="L1676" t="str">
        <f>SSC!CG6</f>
        <v>SSC-5</v>
      </c>
      <c r="M1676">
        <f>SSC!CH6</f>
        <v>0</v>
      </c>
      <c r="N1676">
        <f>SSC!CI6</f>
        <v>0</v>
      </c>
      <c r="O1676">
        <f>SSC!CJ6</f>
        <v>0</v>
      </c>
      <c r="P1676" s="143" t="str">
        <f>SSC!CK6</f>
        <v>Active</v>
      </c>
      <c r="R1676">
        <f t="shared" si="26"/>
        <v>1675</v>
      </c>
    </row>
    <row r="1677" spans="5:18">
      <c r="E1677" s="147" t="s">
        <v>65</v>
      </c>
      <c r="F1677" t="str">
        <f>SSC!CA7</f>
        <v>HPS</v>
      </c>
      <c r="G1677" t="str">
        <f>SSC!CB7</f>
        <v>AC</v>
      </c>
      <c r="H1677" t="str">
        <f>SSC!CC7</f>
        <v>Vessel</v>
      </c>
      <c r="I1677">
        <f>SSC!CD7</f>
        <v>0</v>
      </c>
      <c r="J1677" t="str">
        <f>SSC!CE7</f>
        <v>Set Screw</v>
      </c>
      <c r="K1677" t="str">
        <f>SSC!CF7</f>
        <v>Rene 41</v>
      </c>
      <c r="L1677" t="str">
        <f>SSC!CG7</f>
        <v>SSC-6</v>
      </c>
      <c r="M1677">
        <f>SSC!CH7</f>
        <v>0</v>
      </c>
      <c r="N1677">
        <f>SSC!CI7</f>
        <v>0</v>
      </c>
      <c r="O1677">
        <f>SSC!CJ7</f>
        <v>0</v>
      </c>
      <c r="P1677" s="143" t="str">
        <f>SSC!CK7</f>
        <v>Active</v>
      </c>
      <c r="R1677">
        <f t="shared" si="26"/>
        <v>1676</v>
      </c>
    </row>
    <row r="1678" spans="5:18">
      <c r="E1678" s="147" t="s">
        <v>65</v>
      </c>
      <c r="F1678" t="str">
        <f>SSC!CA8</f>
        <v>HPS</v>
      </c>
      <c r="G1678" t="str">
        <f>SSC!CB8</f>
        <v>AC</v>
      </c>
      <c r="H1678" t="str">
        <f>SSC!CC8</f>
        <v>Vessel</v>
      </c>
      <c r="I1678">
        <f>SSC!CD8</f>
        <v>0</v>
      </c>
      <c r="J1678" t="str">
        <f>SSC!CE8</f>
        <v>Set Screw</v>
      </c>
      <c r="K1678" t="str">
        <f>SSC!CF8</f>
        <v>Rene 41</v>
      </c>
      <c r="L1678" t="str">
        <f>SSC!CG8</f>
        <v>SSC-7</v>
      </c>
      <c r="M1678">
        <f>SSC!CH8</f>
        <v>0</v>
      </c>
      <c r="N1678">
        <f>SSC!CI8</f>
        <v>0</v>
      </c>
      <c r="O1678">
        <f>SSC!CJ8</f>
        <v>0</v>
      </c>
      <c r="P1678" s="143" t="str">
        <f>SSC!CK8</f>
        <v>Active</v>
      </c>
      <c r="R1678">
        <f t="shared" si="26"/>
        <v>1677</v>
      </c>
    </row>
    <row r="1679" spans="5:18">
      <c r="E1679" s="147" t="s">
        <v>65</v>
      </c>
      <c r="F1679" t="str">
        <f>SSC!CA9</f>
        <v>HPS</v>
      </c>
      <c r="G1679" t="str">
        <f>SSC!CB9</f>
        <v>AC</v>
      </c>
      <c r="H1679" t="str">
        <f>SSC!CC9</f>
        <v>Vessel</v>
      </c>
      <c r="I1679">
        <f>SSC!CD9</f>
        <v>0</v>
      </c>
      <c r="J1679" t="str">
        <f>SSC!CE9</f>
        <v>Set Screw</v>
      </c>
      <c r="K1679" t="str">
        <f>SSC!CF9</f>
        <v>Inconel 718</v>
      </c>
      <c r="L1679" t="str">
        <f>SSC!CG9</f>
        <v>SSC-8</v>
      </c>
      <c r="M1679">
        <f>SSC!CH9</f>
        <v>0</v>
      </c>
      <c r="N1679">
        <f>SSC!CI9</f>
        <v>0</v>
      </c>
      <c r="O1679">
        <f>SSC!CJ9</f>
        <v>0</v>
      </c>
      <c r="P1679" s="143" t="str">
        <f>SSC!CK9</f>
        <v>Active</v>
      </c>
      <c r="R1679">
        <f t="shared" si="26"/>
        <v>1678</v>
      </c>
    </row>
    <row r="1680" spans="5:18">
      <c r="E1680" s="147" t="s">
        <v>65</v>
      </c>
      <c r="F1680" t="str">
        <f>SSC!CA10</f>
        <v>HPS</v>
      </c>
      <c r="G1680" t="str">
        <f>SSC!CB10</f>
        <v>AC</v>
      </c>
      <c r="H1680" t="str">
        <f>SSC!CC10</f>
        <v>Vessel</v>
      </c>
      <c r="I1680">
        <f>SSC!CD10</f>
        <v>0</v>
      </c>
      <c r="J1680" t="str">
        <f>SSC!CE10</f>
        <v>Set Screw</v>
      </c>
      <c r="K1680" t="str">
        <f>SSC!CF10</f>
        <v>Rene 41</v>
      </c>
      <c r="L1680" t="str">
        <f>SSC!CG10</f>
        <v>SSC-9</v>
      </c>
      <c r="M1680">
        <f>SSC!CH10</f>
        <v>0</v>
      </c>
      <c r="N1680">
        <f>SSC!CI10</f>
        <v>0</v>
      </c>
      <c r="O1680">
        <f>SSC!CJ10</f>
        <v>0</v>
      </c>
      <c r="P1680" s="143" t="str">
        <f>SSC!CK10</f>
        <v>Active</v>
      </c>
      <c r="R1680">
        <f t="shared" si="26"/>
        <v>1679</v>
      </c>
    </row>
    <row r="1681" spans="5:18">
      <c r="E1681" s="147" t="s">
        <v>65</v>
      </c>
      <c r="F1681" t="str">
        <f>SSC!CA11</f>
        <v>HPS</v>
      </c>
      <c r="G1681" t="str">
        <f>SSC!CB11</f>
        <v>AC</v>
      </c>
      <c r="H1681" t="str">
        <f>SSC!CC11</f>
        <v>Vessel</v>
      </c>
      <c r="I1681">
        <f>SSC!CD11</f>
        <v>0</v>
      </c>
      <c r="J1681" t="str">
        <f>SSC!CE11</f>
        <v>Set Screw</v>
      </c>
      <c r="K1681" t="str">
        <f>SSC!CF11</f>
        <v>TZM</v>
      </c>
      <c r="L1681" t="str">
        <f>SSC!CG11</f>
        <v>SSC-10</v>
      </c>
      <c r="M1681">
        <f>SSC!CH11</f>
        <v>0</v>
      </c>
      <c r="N1681">
        <f>SSC!CI11</f>
        <v>0</v>
      </c>
      <c r="O1681">
        <f>SSC!CJ11</f>
        <v>0</v>
      </c>
      <c r="P1681" s="143" t="str">
        <f>SSC!CK11</f>
        <v>Active</v>
      </c>
      <c r="R1681">
        <f t="shared" si="26"/>
        <v>1680</v>
      </c>
    </row>
    <row r="1682" spans="5:18">
      <c r="E1682" s="147" t="s">
        <v>65</v>
      </c>
      <c r="F1682" t="str">
        <f>SSC!CA12</f>
        <v>HPS</v>
      </c>
      <c r="G1682" t="str">
        <f>SSC!CB12</f>
        <v>AC</v>
      </c>
      <c r="H1682" t="str">
        <f>SSC!CC12</f>
        <v>Vessel</v>
      </c>
      <c r="I1682">
        <f>SSC!CD12</f>
        <v>0</v>
      </c>
      <c r="J1682" t="str">
        <f>SSC!CE12</f>
        <v>Set Screw</v>
      </c>
      <c r="K1682" t="str">
        <f>SSC!CF12</f>
        <v>TZM</v>
      </c>
      <c r="L1682" t="str">
        <f>SSC!CG12</f>
        <v>SSC-11</v>
      </c>
      <c r="M1682">
        <f>SSC!CH12</f>
        <v>0</v>
      </c>
      <c r="N1682">
        <f>SSC!CI12</f>
        <v>0</v>
      </c>
      <c r="O1682">
        <f>SSC!CJ12</f>
        <v>0</v>
      </c>
      <c r="P1682" s="143" t="str">
        <f>SSC!CK12</f>
        <v>Active</v>
      </c>
      <c r="R1682">
        <f t="shared" si="26"/>
        <v>1681</v>
      </c>
    </row>
    <row r="1683" spans="5:18">
      <c r="E1683" s="147" t="s">
        <v>65</v>
      </c>
      <c r="F1683" t="str">
        <f>SSC!CA13</f>
        <v>HPS</v>
      </c>
      <c r="G1683" t="str">
        <f>SSC!CB13</f>
        <v>AC</v>
      </c>
      <c r="H1683" t="str">
        <f>SSC!CC13</f>
        <v>Vessel</v>
      </c>
      <c r="I1683">
        <f>SSC!CD13</f>
        <v>0</v>
      </c>
      <c r="J1683" t="str">
        <f>SSC!CE13</f>
        <v>Set Screw</v>
      </c>
      <c r="K1683" t="str">
        <f>SSC!CF13</f>
        <v>TZM</v>
      </c>
      <c r="L1683" t="str">
        <f>SSC!CG13</f>
        <v>SSC-12</v>
      </c>
      <c r="M1683">
        <f>SSC!CH13</f>
        <v>0</v>
      </c>
      <c r="N1683">
        <f>SSC!CI13</f>
        <v>0</v>
      </c>
      <c r="O1683">
        <f>SSC!CJ13</f>
        <v>0</v>
      </c>
      <c r="P1683" s="143" t="str">
        <f>SSC!CK13</f>
        <v>Active</v>
      </c>
      <c r="R1683">
        <f t="shared" si="26"/>
        <v>1682</v>
      </c>
    </row>
    <row r="1684" spans="5:18">
      <c r="E1684" s="147" t="s">
        <v>65</v>
      </c>
      <c r="F1684" t="str">
        <f>SSC!CA14</f>
        <v>HPS</v>
      </c>
      <c r="G1684" t="str">
        <f>SSC!CB14</f>
        <v>AC</v>
      </c>
      <c r="H1684" t="str">
        <f>SSC!CC14</f>
        <v>Vessel</v>
      </c>
      <c r="I1684">
        <f>SSC!CD14</f>
        <v>0</v>
      </c>
      <c r="J1684" t="str">
        <f>SSC!CE14</f>
        <v>Set Screw</v>
      </c>
      <c r="K1684" t="str">
        <f>SSC!CF14</f>
        <v>TZM</v>
      </c>
      <c r="L1684" t="str">
        <f>SSC!CG14</f>
        <v>SSC-13</v>
      </c>
      <c r="M1684">
        <f>SSC!CH14</f>
        <v>0</v>
      </c>
      <c r="N1684">
        <f>SSC!CI14</f>
        <v>0</v>
      </c>
      <c r="O1684">
        <f>SSC!CJ14</f>
        <v>0</v>
      </c>
      <c r="P1684" s="143" t="str">
        <f>SSC!CK14</f>
        <v>Design</v>
      </c>
      <c r="R1684">
        <f t="shared" si="26"/>
        <v>1683</v>
      </c>
    </row>
    <row r="1685" spans="5:18">
      <c r="E1685" s="147" t="s">
        <v>65</v>
      </c>
      <c r="F1685" t="str">
        <f>SSC!CA15</f>
        <v>HPS</v>
      </c>
      <c r="G1685" t="str">
        <f>SSC!CB15</f>
        <v>AC</v>
      </c>
      <c r="H1685" t="str">
        <f>SSC!CC15</f>
        <v>Vessel</v>
      </c>
      <c r="I1685">
        <f>SSC!CD15</f>
        <v>0</v>
      </c>
      <c r="J1685">
        <f>SSC!CE15</f>
        <v>0</v>
      </c>
      <c r="K1685">
        <f>SSC!CF15</f>
        <v>0</v>
      </c>
      <c r="L1685">
        <f>SSC!CG15</f>
        <v>0</v>
      </c>
      <c r="M1685">
        <f>SSC!CH15</f>
        <v>0</v>
      </c>
      <c r="N1685">
        <f>SSC!CI15</f>
        <v>0</v>
      </c>
      <c r="O1685">
        <f>SSC!CJ15</f>
        <v>0</v>
      </c>
      <c r="P1685" s="143" t="str">
        <f>SSC!CK15</f>
        <v/>
      </c>
      <c r="R1685">
        <f t="shared" si="26"/>
        <v>1684</v>
      </c>
    </row>
    <row r="1686" spans="5:18">
      <c r="E1686" s="147" t="s">
        <v>65</v>
      </c>
      <c r="F1686" t="str">
        <f>SSC!CA16</f>
        <v>HPS</v>
      </c>
      <c r="G1686" t="str">
        <f>SSC!CB16</f>
        <v>AC</v>
      </c>
      <c r="H1686" t="str">
        <f>SSC!CC16</f>
        <v>Vessel</v>
      </c>
      <c r="I1686">
        <f>SSC!CD16</f>
        <v>0</v>
      </c>
      <c r="J1686">
        <f>SSC!CE16</f>
        <v>0</v>
      </c>
      <c r="K1686">
        <f>SSC!CF16</f>
        <v>0</v>
      </c>
      <c r="L1686">
        <f>SSC!CG16</f>
        <v>0</v>
      </c>
      <c r="M1686">
        <f>SSC!CH16</f>
        <v>0</v>
      </c>
      <c r="N1686">
        <f>SSC!CI16</f>
        <v>0</v>
      </c>
      <c r="O1686">
        <f>SSC!CJ16</f>
        <v>0</v>
      </c>
      <c r="P1686" s="143" t="str">
        <f>SSC!CK16</f>
        <v/>
      </c>
      <c r="R1686">
        <f t="shared" si="26"/>
        <v>1685</v>
      </c>
    </row>
    <row r="1687" spans="5:18">
      <c r="E1687" s="147" t="s">
        <v>65</v>
      </c>
      <c r="F1687" t="str">
        <f>SSC!CA17</f>
        <v>HPS</v>
      </c>
      <c r="G1687" t="str">
        <f>SSC!CB17</f>
        <v>AC</v>
      </c>
      <c r="H1687" t="str">
        <f>SSC!CC17</f>
        <v>Vessel</v>
      </c>
      <c r="I1687">
        <f>SSC!CD17</f>
        <v>0</v>
      </c>
      <c r="J1687">
        <f>SSC!CE17</f>
        <v>0</v>
      </c>
      <c r="K1687">
        <f>SSC!CF17</f>
        <v>0</v>
      </c>
      <c r="L1687">
        <f>SSC!CG17</f>
        <v>0</v>
      </c>
      <c r="M1687">
        <f>SSC!CH17</f>
        <v>0</v>
      </c>
      <c r="N1687">
        <f>SSC!CI17</f>
        <v>0</v>
      </c>
      <c r="O1687">
        <f>SSC!CJ17</f>
        <v>0</v>
      </c>
      <c r="P1687" s="143" t="str">
        <f>SSC!CK17</f>
        <v/>
      </c>
      <c r="R1687">
        <f t="shared" si="26"/>
        <v>1686</v>
      </c>
    </row>
    <row r="1688" spans="5:18">
      <c r="E1688" s="147" t="s">
        <v>65</v>
      </c>
      <c r="F1688" t="str">
        <f>SSC!CA18</f>
        <v>HPS</v>
      </c>
      <c r="G1688" t="str">
        <f>SSC!CB18</f>
        <v>AC</v>
      </c>
      <c r="H1688" t="str">
        <f>SSC!CC18</f>
        <v>Vessel</v>
      </c>
      <c r="I1688">
        <f>SSC!CD18</f>
        <v>0</v>
      </c>
      <c r="J1688">
        <f>SSC!CE18</f>
        <v>0</v>
      </c>
      <c r="K1688">
        <f>SSC!CF18</f>
        <v>0</v>
      </c>
      <c r="L1688">
        <f>SSC!CG18</f>
        <v>0</v>
      </c>
      <c r="M1688">
        <f>SSC!CH18</f>
        <v>0</v>
      </c>
      <c r="N1688">
        <f>SSC!CI18</f>
        <v>0</v>
      </c>
      <c r="O1688">
        <f>SSC!CJ18</f>
        <v>0</v>
      </c>
      <c r="P1688" s="143" t="str">
        <f>SSC!CK18</f>
        <v/>
      </c>
      <c r="R1688">
        <f t="shared" si="26"/>
        <v>1687</v>
      </c>
    </row>
    <row r="1689" spans="5:18">
      <c r="E1689" s="147" t="s">
        <v>65</v>
      </c>
      <c r="F1689" t="str">
        <f>SSC!CA19</f>
        <v>HPS</v>
      </c>
      <c r="G1689" t="str">
        <f>SSC!CB19</f>
        <v>AC</v>
      </c>
      <c r="H1689" t="str">
        <f>SSC!CC19</f>
        <v>Vessel</v>
      </c>
      <c r="I1689">
        <f>SSC!CD19</f>
        <v>0</v>
      </c>
      <c r="J1689">
        <f>SSC!CE19</f>
        <v>0</v>
      </c>
      <c r="K1689">
        <f>SSC!CF19</f>
        <v>0</v>
      </c>
      <c r="L1689">
        <f>SSC!CG19</f>
        <v>0</v>
      </c>
      <c r="M1689">
        <f>SSC!CH19</f>
        <v>0</v>
      </c>
      <c r="N1689">
        <f>SSC!CI19</f>
        <v>0</v>
      </c>
      <c r="O1689">
        <f>SSC!CJ19</f>
        <v>0</v>
      </c>
      <c r="P1689" s="143" t="str">
        <f>SSC!CK19</f>
        <v/>
      </c>
      <c r="R1689">
        <f t="shared" si="26"/>
        <v>1688</v>
      </c>
    </row>
    <row r="1690" spans="5:18">
      <c r="E1690" s="147" t="s">
        <v>65</v>
      </c>
      <c r="F1690" t="str">
        <f>SSC!CA20</f>
        <v>HPS</v>
      </c>
      <c r="G1690" t="str">
        <f>SSC!CB20</f>
        <v>AC</v>
      </c>
      <c r="H1690" t="str">
        <f>SSC!CC20</f>
        <v>Vessel</v>
      </c>
      <c r="I1690">
        <f>SSC!CD20</f>
        <v>0</v>
      </c>
      <c r="J1690">
        <f>SSC!CE20</f>
        <v>0</v>
      </c>
      <c r="K1690">
        <f>SSC!CF20</f>
        <v>0</v>
      </c>
      <c r="L1690">
        <f>SSC!CG20</f>
        <v>0</v>
      </c>
      <c r="M1690">
        <f>SSC!CH20</f>
        <v>0</v>
      </c>
      <c r="N1690">
        <f>SSC!CI20</f>
        <v>0</v>
      </c>
      <c r="O1690">
        <f>SSC!CJ20</f>
        <v>0</v>
      </c>
      <c r="P1690" s="143" t="str">
        <f>SSC!CK20</f>
        <v/>
      </c>
      <c r="R1690">
        <f t="shared" si="26"/>
        <v>1689</v>
      </c>
    </row>
    <row r="1691" spans="5:18">
      <c r="E1691" s="147" t="s">
        <v>65</v>
      </c>
      <c r="F1691" t="str">
        <f>SSC!CA21</f>
        <v>HPS</v>
      </c>
      <c r="G1691" t="str">
        <f>SSC!CB21</f>
        <v>AC</v>
      </c>
      <c r="H1691" t="str">
        <f>SSC!CC21</f>
        <v>Vessel</v>
      </c>
      <c r="I1691">
        <f>SSC!CD21</f>
        <v>0</v>
      </c>
      <c r="J1691">
        <f>SSC!CE21</f>
        <v>0</v>
      </c>
      <c r="K1691">
        <f>SSC!CF21</f>
        <v>0</v>
      </c>
      <c r="L1691">
        <f>SSC!CG21</f>
        <v>0</v>
      </c>
      <c r="M1691">
        <f>SSC!CH21</f>
        <v>0</v>
      </c>
      <c r="N1691">
        <f>SSC!CI21</f>
        <v>0</v>
      </c>
      <c r="O1691">
        <f>SSC!CJ21</f>
        <v>0</v>
      </c>
      <c r="P1691" s="143" t="str">
        <f>SSC!CK21</f>
        <v/>
      </c>
      <c r="R1691">
        <f t="shared" si="26"/>
        <v>1690</v>
      </c>
    </row>
    <row r="1692" spans="5:18">
      <c r="E1692" s="147" t="s">
        <v>65</v>
      </c>
      <c r="F1692" t="str">
        <f>SSC!CA22</f>
        <v>HPS</v>
      </c>
      <c r="G1692" t="str">
        <f>SSC!CB22</f>
        <v>AC</v>
      </c>
      <c r="H1692" t="str">
        <f>SSC!CC22</f>
        <v>Vessel</v>
      </c>
      <c r="I1692">
        <f>SSC!CD22</f>
        <v>0</v>
      </c>
      <c r="J1692">
        <f>SSC!CE22</f>
        <v>0</v>
      </c>
      <c r="K1692">
        <f>SSC!CF22</f>
        <v>0</v>
      </c>
      <c r="L1692">
        <f>SSC!CG22</f>
        <v>0</v>
      </c>
      <c r="M1692">
        <f>SSC!CH22</f>
        <v>0</v>
      </c>
      <c r="N1692">
        <f>SSC!CI22</f>
        <v>0</v>
      </c>
      <c r="O1692">
        <f>SSC!CJ22</f>
        <v>0</v>
      </c>
      <c r="P1692" s="143" t="str">
        <f>SSC!CK22</f>
        <v/>
      </c>
      <c r="R1692">
        <f t="shared" si="26"/>
        <v>1691</v>
      </c>
    </row>
    <row r="1693" spans="5:18">
      <c r="E1693" s="147" t="s">
        <v>65</v>
      </c>
      <c r="F1693" t="str">
        <f>SSC!CA23</f>
        <v>HPS</v>
      </c>
      <c r="G1693" t="str">
        <f>SSC!CB23</f>
        <v>AC</v>
      </c>
      <c r="H1693" t="str">
        <f>SSC!CC23</f>
        <v>Vessel</v>
      </c>
      <c r="I1693">
        <f>SSC!CD23</f>
        <v>0</v>
      </c>
      <c r="J1693">
        <f>SSC!CE23</f>
        <v>0</v>
      </c>
      <c r="K1693">
        <f>SSC!CF23</f>
        <v>0</v>
      </c>
      <c r="L1693">
        <f>SSC!CG23</f>
        <v>0</v>
      </c>
      <c r="M1693">
        <f>SSC!CH23</f>
        <v>0</v>
      </c>
      <c r="N1693">
        <f>SSC!CI23</f>
        <v>0</v>
      </c>
      <c r="O1693">
        <f>SSC!CJ23</f>
        <v>0</v>
      </c>
      <c r="P1693" s="143" t="str">
        <f>SSC!CK23</f>
        <v/>
      </c>
      <c r="R1693">
        <f t="shared" si="26"/>
        <v>1692</v>
      </c>
    </row>
    <row r="1694" spans="5:18">
      <c r="E1694" s="147" t="s">
        <v>65</v>
      </c>
      <c r="F1694" t="str">
        <f>SSC!CA24</f>
        <v>HPS</v>
      </c>
      <c r="G1694" t="str">
        <f>SSC!CB24</f>
        <v>AC</v>
      </c>
      <c r="H1694" t="str">
        <f>SSC!CC24</f>
        <v>Vessel</v>
      </c>
      <c r="I1694">
        <f>SSC!CD24</f>
        <v>0</v>
      </c>
      <c r="J1694">
        <f>SSC!CE24</f>
        <v>0</v>
      </c>
      <c r="K1694">
        <f>SSC!CF24</f>
        <v>0</v>
      </c>
      <c r="L1694">
        <f>SSC!CG24</f>
        <v>0</v>
      </c>
      <c r="M1694">
        <f>SSC!CH24</f>
        <v>0</v>
      </c>
      <c r="N1694">
        <f>SSC!CI24</f>
        <v>0</v>
      </c>
      <c r="O1694">
        <f>SSC!CJ24</f>
        <v>0</v>
      </c>
      <c r="P1694" s="143" t="str">
        <f>SSC!CK24</f>
        <v/>
      </c>
      <c r="R1694">
        <f t="shared" si="26"/>
        <v>1693</v>
      </c>
    </row>
    <row r="1695" spans="5:18">
      <c r="E1695" s="147" t="s">
        <v>65</v>
      </c>
      <c r="F1695" t="str">
        <f>SSC!CA25</f>
        <v>HPS</v>
      </c>
      <c r="G1695" t="str">
        <f>SSC!CB25</f>
        <v>AC</v>
      </c>
      <c r="H1695" t="str">
        <f>SSC!CC25</f>
        <v>Vessel</v>
      </c>
      <c r="I1695">
        <f>SSC!CD25</f>
        <v>0</v>
      </c>
      <c r="J1695">
        <f>SSC!CE25</f>
        <v>0</v>
      </c>
      <c r="K1695">
        <f>SSC!CF25</f>
        <v>0</v>
      </c>
      <c r="L1695">
        <f>SSC!CG25</f>
        <v>0</v>
      </c>
      <c r="M1695">
        <f>SSC!CH25</f>
        <v>0</v>
      </c>
      <c r="N1695">
        <f>SSC!CI25</f>
        <v>0</v>
      </c>
      <c r="O1695">
        <f>SSC!CJ25</f>
        <v>0</v>
      </c>
      <c r="P1695" s="143" t="str">
        <f>SSC!CK25</f>
        <v/>
      </c>
      <c r="R1695">
        <f t="shared" si="26"/>
        <v>1694</v>
      </c>
    </row>
    <row r="1696" spans="5:18">
      <c r="E1696" s="147" t="s">
        <v>65</v>
      </c>
      <c r="F1696" t="str">
        <f>SSC!CA26</f>
        <v>HPS</v>
      </c>
      <c r="G1696" t="str">
        <f>SSC!CB26</f>
        <v>AC</v>
      </c>
      <c r="H1696" t="str">
        <f>SSC!CC26</f>
        <v>Vessel</v>
      </c>
      <c r="I1696">
        <f>SSC!CD26</f>
        <v>0</v>
      </c>
      <c r="J1696">
        <f>SSC!CE26</f>
        <v>0</v>
      </c>
      <c r="K1696">
        <f>SSC!CF26</f>
        <v>0</v>
      </c>
      <c r="L1696">
        <f>SSC!CG26</f>
        <v>0</v>
      </c>
      <c r="M1696">
        <f>SSC!CH26</f>
        <v>0</v>
      </c>
      <c r="N1696">
        <f>SSC!CI26</f>
        <v>0</v>
      </c>
      <c r="O1696">
        <f>SSC!CJ26</f>
        <v>0</v>
      </c>
      <c r="P1696" s="143" t="str">
        <f>SSC!CK26</f>
        <v/>
      </c>
      <c r="R1696">
        <f t="shared" si="26"/>
        <v>1695</v>
      </c>
    </row>
    <row r="1697" spans="5:18">
      <c r="E1697" s="147" t="s">
        <v>65</v>
      </c>
      <c r="F1697" t="str">
        <f>SSC!CA27</f>
        <v>HPS</v>
      </c>
      <c r="G1697" t="str">
        <f>SSC!CB27</f>
        <v>AC</v>
      </c>
      <c r="H1697" t="str">
        <f>SSC!CC27</f>
        <v>Vessel</v>
      </c>
      <c r="I1697">
        <f>SSC!CD27</f>
        <v>0</v>
      </c>
      <c r="J1697">
        <f>SSC!CE27</f>
        <v>0</v>
      </c>
      <c r="K1697">
        <f>SSC!CF27</f>
        <v>0</v>
      </c>
      <c r="L1697">
        <f>SSC!CG27</f>
        <v>0</v>
      </c>
      <c r="M1697">
        <f>SSC!CH27</f>
        <v>0</v>
      </c>
      <c r="N1697">
        <f>SSC!CI27</f>
        <v>0</v>
      </c>
      <c r="O1697">
        <f>SSC!CJ27</f>
        <v>0</v>
      </c>
      <c r="P1697" s="143" t="str">
        <f>SSC!CK27</f>
        <v/>
      </c>
      <c r="R1697">
        <f t="shared" si="26"/>
        <v>1696</v>
      </c>
    </row>
    <row r="1698" spans="5:18">
      <c r="E1698" s="147" t="s">
        <v>65</v>
      </c>
      <c r="F1698" t="str">
        <f>SSC!CA28</f>
        <v>HPS</v>
      </c>
      <c r="G1698" t="str">
        <f>SSC!CB28</f>
        <v>AC</v>
      </c>
      <c r="H1698" t="str">
        <f>SSC!CC28</f>
        <v>Vessel</v>
      </c>
      <c r="I1698">
        <f>SSC!CD28</f>
        <v>0</v>
      </c>
      <c r="J1698">
        <f>SSC!CE28</f>
        <v>0</v>
      </c>
      <c r="K1698">
        <f>SSC!CF28</f>
        <v>0</v>
      </c>
      <c r="L1698">
        <f>SSC!CG28</f>
        <v>0</v>
      </c>
      <c r="M1698">
        <f>SSC!CH28</f>
        <v>0</v>
      </c>
      <c r="N1698">
        <f>SSC!CI28</f>
        <v>0</v>
      </c>
      <c r="O1698">
        <f>SSC!CJ28</f>
        <v>0</v>
      </c>
      <c r="P1698" s="143" t="str">
        <f>SSC!CK28</f>
        <v/>
      </c>
      <c r="R1698">
        <f t="shared" si="26"/>
        <v>1697</v>
      </c>
    </row>
    <row r="1699" spans="5:18">
      <c r="E1699" s="147" t="s">
        <v>65</v>
      </c>
      <c r="F1699" t="str">
        <f>SSC!CA29</f>
        <v>HPS</v>
      </c>
      <c r="G1699" t="str">
        <f>SSC!CB29</f>
        <v>AC</v>
      </c>
      <c r="H1699" t="str">
        <f>SSC!CC29</f>
        <v>Vessel</v>
      </c>
      <c r="I1699">
        <f>SSC!CD29</f>
        <v>0</v>
      </c>
      <c r="J1699">
        <f>SSC!CE29</f>
        <v>0</v>
      </c>
      <c r="K1699">
        <f>SSC!CF29</f>
        <v>0</v>
      </c>
      <c r="L1699">
        <f>SSC!CG29</f>
        <v>0</v>
      </c>
      <c r="M1699">
        <f>SSC!CH29</f>
        <v>0</v>
      </c>
      <c r="N1699">
        <f>SSC!CI29</f>
        <v>0</v>
      </c>
      <c r="O1699">
        <f>SSC!CJ29</f>
        <v>0</v>
      </c>
      <c r="P1699" s="143" t="str">
        <f>SSC!CK29</f>
        <v/>
      </c>
      <c r="R1699">
        <f t="shared" si="26"/>
        <v>1698</v>
      </c>
    </row>
    <row r="1700" spans="5:18">
      <c r="E1700" s="147" t="s">
        <v>65</v>
      </c>
      <c r="F1700" t="str">
        <f>SSC!CA30</f>
        <v>HPS</v>
      </c>
      <c r="G1700" t="str">
        <f>SSC!CB30</f>
        <v>AC</v>
      </c>
      <c r="H1700" t="str">
        <f>SSC!CC30</f>
        <v>Vessel</v>
      </c>
      <c r="I1700">
        <f>SSC!CD30</f>
        <v>0</v>
      </c>
      <c r="J1700">
        <f>SSC!CE30</f>
        <v>0</v>
      </c>
      <c r="K1700">
        <f>SSC!CF30</f>
        <v>0</v>
      </c>
      <c r="L1700">
        <f>SSC!CG30</f>
        <v>0</v>
      </c>
      <c r="M1700">
        <f>SSC!CH30</f>
        <v>0</v>
      </c>
      <c r="N1700">
        <f>SSC!CI30</f>
        <v>0</v>
      </c>
      <c r="O1700">
        <f>SSC!CJ30</f>
        <v>0</v>
      </c>
      <c r="P1700" s="143" t="str">
        <f>SSC!CK30</f>
        <v/>
      </c>
      <c r="R1700">
        <f t="shared" si="26"/>
        <v>1699</v>
      </c>
    </row>
    <row r="1701" spans="5:18">
      <c r="E1701" s="147" t="s">
        <v>65</v>
      </c>
      <c r="F1701" t="str">
        <f>SSC!CA31</f>
        <v>HPS</v>
      </c>
      <c r="G1701" t="str">
        <f>SSC!CB31</f>
        <v>AC</v>
      </c>
      <c r="H1701" t="str">
        <f>SSC!CC31</f>
        <v>Vessel</v>
      </c>
      <c r="I1701">
        <f>SSC!CD31</f>
        <v>0</v>
      </c>
      <c r="J1701">
        <f>SSC!CE31</f>
        <v>0</v>
      </c>
      <c r="K1701">
        <f>SSC!CF31</f>
        <v>0</v>
      </c>
      <c r="L1701">
        <f>SSC!CG31</f>
        <v>0</v>
      </c>
      <c r="M1701">
        <f>SSC!CH31</f>
        <v>0</v>
      </c>
      <c r="N1701">
        <f>SSC!CI31</f>
        <v>0</v>
      </c>
      <c r="O1701">
        <f>SSC!CJ31</f>
        <v>0</v>
      </c>
      <c r="P1701" s="143" t="str">
        <f>SSC!CK31</f>
        <v/>
      </c>
      <c r="R1701">
        <f t="shared" si="26"/>
        <v>1700</v>
      </c>
    </row>
    <row r="1702" spans="5:18">
      <c r="E1702" s="147" t="s">
        <v>65</v>
      </c>
      <c r="F1702" t="str">
        <f>SSC!CA32</f>
        <v>HPS</v>
      </c>
      <c r="G1702" t="str">
        <f>SSC!CB32</f>
        <v>AC</v>
      </c>
      <c r="H1702" t="str">
        <f>SSC!CC32</f>
        <v>Vessel</v>
      </c>
      <c r="I1702">
        <f>SSC!CD32</f>
        <v>0</v>
      </c>
      <c r="J1702">
        <f>SSC!CE32</f>
        <v>0</v>
      </c>
      <c r="K1702">
        <f>SSC!CF32</f>
        <v>0</v>
      </c>
      <c r="L1702">
        <f>SSC!CG32</f>
        <v>0</v>
      </c>
      <c r="M1702">
        <f>SSC!CH32</f>
        <v>0</v>
      </c>
      <c r="N1702">
        <f>SSC!CI32</f>
        <v>0</v>
      </c>
      <c r="O1702">
        <f>SSC!CJ32</f>
        <v>0</v>
      </c>
      <c r="P1702" s="143" t="str">
        <f>SSC!CK32</f>
        <v/>
      </c>
      <c r="R1702">
        <f t="shared" si="26"/>
        <v>1701</v>
      </c>
    </row>
    <row r="1703" spans="5:18">
      <c r="E1703" s="147" t="s">
        <v>65</v>
      </c>
      <c r="F1703" t="str">
        <f>SSC!CA33</f>
        <v>HPS</v>
      </c>
      <c r="G1703" t="str">
        <f>SSC!CB33</f>
        <v>AC</v>
      </c>
      <c r="H1703" t="str">
        <f>SSC!CC33</f>
        <v>Vessel</v>
      </c>
      <c r="I1703">
        <f>SSC!CD33</f>
        <v>0</v>
      </c>
      <c r="J1703">
        <f>SSC!CE33</f>
        <v>0</v>
      </c>
      <c r="K1703">
        <f>SSC!CF33</f>
        <v>0</v>
      </c>
      <c r="L1703">
        <f>SSC!CG33</f>
        <v>0</v>
      </c>
      <c r="M1703">
        <f>SSC!CH33</f>
        <v>0</v>
      </c>
      <c r="N1703">
        <f>SSC!CI33</f>
        <v>0</v>
      </c>
      <c r="O1703">
        <f>SSC!CJ33</f>
        <v>0</v>
      </c>
      <c r="P1703" s="143" t="str">
        <f>SSC!CK33</f>
        <v/>
      </c>
      <c r="R1703">
        <f t="shared" si="26"/>
        <v>1702</v>
      </c>
    </row>
    <row r="1704" spans="5:18">
      <c r="E1704" s="147" t="s">
        <v>65</v>
      </c>
      <c r="F1704" t="str">
        <f>SSC!CA34</f>
        <v>HPS</v>
      </c>
      <c r="G1704" t="str">
        <f>SSC!CB34</f>
        <v>AC</v>
      </c>
      <c r="H1704" t="str">
        <f>SSC!CC34</f>
        <v>Vessel</v>
      </c>
      <c r="I1704">
        <f>SSC!CD34</f>
        <v>0</v>
      </c>
      <c r="J1704">
        <f>SSC!CE34</f>
        <v>0</v>
      </c>
      <c r="K1704">
        <f>SSC!CF34</f>
        <v>0</v>
      </c>
      <c r="L1704">
        <f>SSC!CG34</f>
        <v>0</v>
      </c>
      <c r="M1704">
        <f>SSC!CH34</f>
        <v>0</v>
      </c>
      <c r="N1704">
        <f>SSC!CI34</f>
        <v>0</v>
      </c>
      <c r="O1704">
        <f>SSC!CJ34</f>
        <v>0</v>
      </c>
      <c r="P1704" s="143" t="str">
        <f>SSC!CK34</f>
        <v/>
      </c>
      <c r="R1704">
        <f t="shared" si="26"/>
        <v>1703</v>
      </c>
    </row>
    <row r="1705" spans="5:18">
      <c r="E1705" s="147" t="s">
        <v>65</v>
      </c>
      <c r="F1705" t="str">
        <f>SSC!CA35</f>
        <v>HPS</v>
      </c>
      <c r="G1705" t="str">
        <f>SSC!CB35</f>
        <v>AC</v>
      </c>
      <c r="H1705" t="str">
        <f>SSC!CC35</f>
        <v>Vessel</v>
      </c>
      <c r="I1705">
        <f>SSC!CD35</f>
        <v>0</v>
      </c>
      <c r="J1705">
        <f>SSC!CE35</f>
        <v>0</v>
      </c>
      <c r="K1705">
        <f>SSC!CF35</f>
        <v>0</v>
      </c>
      <c r="L1705">
        <f>SSC!CG35</f>
        <v>0</v>
      </c>
      <c r="M1705">
        <f>SSC!CH35</f>
        <v>0</v>
      </c>
      <c r="N1705">
        <f>SSC!CI35</f>
        <v>0</v>
      </c>
      <c r="O1705">
        <f>SSC!CJ35</f>
        <v>0</v>
      </c>
      <c r="P1705" s="143" t="str">
        <f>SSC!CK35</f>
        <v/>
      </c>
      <c r="R1705">
        <f t="shared" si="26"/>
        <v>1704</v>
      </c>
    </row>
    <row r="1706" spans="5:18">
      <c r="E1706" s="147" t="s">
        <v>65</v>
      </c>
      <c r="F1706" t="str">
        <f>SSC!CA36</f>
        <v>HPS</v>
      </c>
      <c r="G1706" t="str">
        <f>SSC!CB36</f>
        <v>AC</v>
      </c>
      <c r="H1706" t="str">
        <f>SSC!CC36</f>
        <v>Vessel</v>
      </c>
      <c r="I1706">
        <f>SSC!CD36</f>
        <v>0</v>
      </c>
      <c r="J1706">
        <f>SSC!CE36</f>
        <v>0</v>
      </c>
      <c r="K1706">
        <f>SSC!CF36</f>
        <v>0</v>
      </c>
      <c r="L1706">
        <f>SSC!CG36</f>
        <v>0</v>
      </c>
      <c r="M1706">
        <f>SSC!CH36</f>
        <v>0</v>
      </c>
      <c r="N1706">
        <f>SSC!CI36</f>
        <v>0</v>
      </c>
      <c r="O1706">
        <f>SSC!CJ36</f>
        <v>0</v>
      </c>
      <c r="P1706" s="143" t="str">
        <f>SSC!CK36</f>
        <v/>
      </c>
      <c r="R1706">
        <f t="shared" si="26"/>
        <v>1705</v>
      </c>
    </row>
    <row r="1707" spans="5:18">
      <c r="E1707" s="147" t="s">
        <v>65</v>
      </c>
      <c r="F1707" t="str">
        <f>SSC!CA37</f>
        <v>HPS</v>
      </c>
      <c r="G1707" t="str">
        <f>SSC!CB37</f>
        <v>AC</v>
      </c>
      <c r="H1707" t="str">
        <f>SSC!CC37</f>
        <v>Vessel</v>
      </c>
      <c r="I1707">
        <f>SSC!CD37</f>
        <v>0</v>
      </c>
      <c r="J1707">
        <f>SSC!CE37</f>
        <v>0</v>
      </c>
      <c r="K1707">
        <f>SSC!CF37</f>
        <v>0</v>
      </c>
      <c r="L1707">
        <f>SSC!CG37</f>
        <v>0</v>
      </c>
      <c r="M1707">
        <f>SSC!CH37</f>
        <v>0</v>
      </c>
      <c r="N1707">
        <f>SSC!CI37</f>
        <v>0</v>
      </c>
      <c r="O1707">
        <f>SSC!CJ37</f>
        <v>0</v>
      </c>
      <c r="P1707" s="143" t="str">
        <f>SSC!CK37</f>
        <v/>
      </c>
      <c r="R1707">
        <f t="shared" si="26"/>
        <v>1706</v>
      </c>
    </row>
    <row r="1708" spans="5:18">
      <c r="E1708" s="147" t="s">
        <v>65</v>
      </c>
      <c r="F1708" t="str">
        <f>SSC!CA38</f>
        <v>HPS</v>
      </c>
      <c r="G1708" t="str">
        <f>SSC!CB38</f>
        <v>AC</v>
      </c>
      <c r="H1708" t="str">
        <f>SSC!CC38</f>
        <v>Vessel</v>
      </c>
      <c r="I1708">
        <f>SSC!CD38</f>
        <v>0</v>
      </c>
      <c r="J1708">
        <f>SSC!CE38</f>
        <v>0</v>
      </c>
      <c r="K1708">
        <f>SSC!CF38</f>
        <v>0</v>
      </c>
      <c r="L1708">
        <f>SSC!CG38</f>
        <v>0</v>
      </c>
      <c r="M1708">
        <f>SSC!CH38</f>
        <v>0</v>
      </c>
      <c r="N1708">
        <f>SSC!CI38</f>
        <v>0</v>
      </c>
      <c r="O1708">
        <f>SSC!CJ38</f>
        <v>0</v>
      </c>
      <c r="P1708" s="143" t="str">
        <f>SSC!CK38</f>
        <v/>
      </c>
      <c r="R1708">
        <f t="shared" si="26"/>
        <v>1707</v>
      </c>
    </row>
    <row r="1709" spans="5:18">
      <c r="E1709" s="147" t="s">
        <v>65</v>
      </c>
      <c r="F1709" t="str">
        <f>SSC!CA39</f>
        <v>HPS</v>
      </c>
      <c r="G1709" t="str">
        <f>SSC!CB39</f>
        <v>AC</v>
      </c>
      <c r="H1709" t="str">
        <f>SSC!CC39</f>
        <v>Vessel</v>
      </c>
      <c r="I1709">
        <f>SSC!CD39</f>
        <v>0</v>
      </c>
      <c r="J1709">
        <f>SSC!CE39</f>
        <v>0</v>
      </c>
      <c r="K1709">
        <f>SSC!CF39</f>
        <v>0</v>
      </c>
      <c r="L1709">
        <f>SSC!CG39</f>
        <v>0</v>
      </c>
      <c r="M1709">
        <f>SSC!CH39</f>
        <v>0</v>
      </c>
      <c r="N1709">
        <f>SSC!CI39</f>
        <v>0</v>
      </c>
      <c r="O1709">
        <f>SSC!CJ39</f>
        <v>0</v>
      </c>
      <c r="P1709" s="143" t="str">
        <f>SSC!CK39</f>
        <v/>
      </c>
      <c r="R1709">
        <f t="shared" si="26"/>
        <v>1708</v>
      </c>
    </row>
    <row r="1710" spans="5:18">
      <c r="E1710" s="147" t="s">
        <v>65</v>
      </c>
      <c r="F1710" t="str">
        <f>SSC!CA40</f>
        <v>HPS</v>
      </c>
      <c r="G1710" t="str">
        <f>SSC!CB40</f>
        <v>AC</v>
      </c>
      <c r="H1710" t="str">
        <f>SSC!CC40</f>
        <v>Vessel</v>
      </c>
      <c r="I1710">
        <f>SSC!CD40</f>
        <v>0</v>
      </c>
      <c r="J1710">
        <f>SSC!CE40</f>
        <v>0</v>
      </c>
      <c r="K1710">
        <f>SSC!CF40</f>
        <v>0</v>
      </c>
      <c r="L1710">
        <f>SSC!CG40</f>
        <v>0</v>
      </c>
      <c r="M1710">
        <f>SSC!CH40</f>
        <v>0</v>
      </c>
      <c r="N1710">
        <f>SSC!CI40</f>
        <v>0</v>
      </c>
      <c r="O1710">
        <f>SSC!CJ40</f>
        <v>0</v>
      </c>
      <c r="P1710" s="143" t="str">
        <f>SSC!CK40</f>
        <v/>
      </c>
      <c r="R1710">
        <f t="shared" si="26"/>
        <v>1709</v>
      </c>
    </row>
    <row r="1711" spans="5:18">
      <c r="E1711" s="147" t="s">
        <v>65</v>
      </c>
      <c r="F1711" t="str">
        <f>SSC!CA41</f>
        <v>HPS</v>
      </c>
      <c r="G1711" t="str">
        <f>SSC!CB41</f>
        <v>AC</v>
      </c>
      <c r="H1711" t="str">
        <f>SSC!CC41</f>
        <v>Vessel</v>
      </c>
      <c r="I1711">
        <f>SSC!CD41</f>
        <v>0</v>
      </c>
      <c r="J1711">
        <f>SSC!CE41</f>
        <v>0</v>
      </c>
      <c r="K1711">
        <f>SSC!CF41</f>
        <v>0</v>
      </c>
      <c r="L1711">
        <f>SSC!CG41</f>
        <v>0</v>
      </c>
      <c r="M1711">
        <f>SSC!CH41</f>
        <v>0</v>
      </c>
      <c r="N1711">
        <f>SSC!CI41</f>
        <v>0</v>
      </c>
      <c r="O1711">
        <f>SSC!CJ41</f>
        <v>0</v>
      </c>
      <c r="P1711" s="143" t="str">
        <f>SSC!CK41</f>
        <v/>
      </c>
      <c r="R1711">
        <f t="shared" si="26"/>
        <v>1710</v>
      </c>
    </row>
    <row r="1712" spans="5:18">
      <c r="E1712" s="147" t="s">
        <v>65</v>
      </c>
      <c r="F1712" t="str">
        <f>SSC!CA42</f>
        <v>HPS</v>
      </c>
      <c r="G1712" t="str">
        <f>SSC!CB42</f>
        <v>AC</v>
      </c>
      <c r="H1712" t="str">
        <f>SSC!CC42</f>
        <v>Vessel</v>
      </c>
      <c r="I1712">
        <f>SSC!CD42</f>
        <v>0</v>
      </c>
      <c r="J1712">
        <f>SSC!CE42</f>
        <v>0</v>
      </c>
      <c r="K1712">
        <f>SSC!CF42</f>
        <v>0</v>
      </c>
      <c r="L1712">
        <f>SSC!CG42</f>
        <v>0</v>
      </c>
      <c r="M1712">
        <f>SSC!CH42</f>
        <v>0</v>
      </c>
      <c r="N1712">
        <f>SSC!CI42</f>
        <v>0</v>
      </c>
      <c r="O1712">
        <f>SSC!CJ42</f>
        <v>0</v>
      </c>
      <c r="P1712" s="143" t="str">
        <f>SSC!CK42</f>
        <v/>
      </c>
      <c r="R1712">
        <f t="shared" si="26"/>
        <v>1711</v>
      </c>
    </row>
    <row r="1713" spans="5:18">
      <c r="E1713" s="147" t="s">
        <v>65</v>
      </c>
      <c r="F1713" t="str">
        <f>SSC!CA43</f>
        <v>HPS</v>
      </c>
      <c r="G1713" t="str">
        <f>SSC!CB43</f>
        <v>AC</v>
      </c>
      <c r="H1713" t="str">
        <f>SSC!CC43</f>
        <v>Vessel</v>
      </c>
      <c r="I1713">
        <f>SSC!CD43</f>
        <v>0</v>
      </c>
      <c r="J1713">
        <f>SSC!CE43</f>
        <v>0</v>
      </c>
      <c r="K1713">
        <f>SSC!CF43</f>
        <v>0</v>
      </c>
      <c r="L1713">
        <f>SSC!CG43</f>
        <v>0</v>
      </c>
      <c r="M1713">
        <f>SSC!CH43</f>
        <v>0</v>
      </c>
      <c r="N1713">
        <f>SSC!CI43</f>
        <v>0</v>
      </c>
      <c r="O1713">
        <f>SSC!CJ43</f>
        <v>0</v>
      </c>
      <c r="P1713" s="143" t="str">
        <f>SSC!CK43</f>
        <v/>
      </c>
      <c r="R1713">
        <f t="shared" si="26"/>
        <v>1712</v>
      </c>
    </row>
    <row r="1714" spans="5:18">
      <c r="E1714" s="147" t="s">
        <v>65</v>
      </c>
      <c r="F1714" t="str">
        <f>SSC!CA44</f>
        <v>HPS</v>
      </c>
      <c r="G1714" t="str">
        <f>SSC!CB44</f>
        <v>AC</v>
      </c>
      <c r="H1714" t="str">
        <f>SSC!CC44</f>
        <v>Vessel</v>
      </c>
      <c r="I1714">
        <f>SSC!CD44</f>
        <v>0</v>
      </c>
      <c r="J1714">
        <f>SSC!CE44</f>
        <v>0</v>
      </c>
      <c r="K1714">
        <f>SSC!CF44</f>
        <v>0</v>
      </c>
      <c r="L1714">
        <f>SSC!CG44</f>
        <v>0</v>
      </c>
      <c r="M1714">
        <f>SSC!CH44</f>
        <v>0</v>
      </c>
      <c r="N1714">
        <f>SSC!CI44</f>
        <v>0</v>
      </c>
      <c r="O1714">
        <f>SSC!CJ44</f>
        <v>0</v>
      </c>
      <c r="P1714" s="143" t="str">
        <f>SSC!CK44</f>
        <v/>
      </c>
      <c r="R1714">
        <f t="shared" si="26"/>
        <v>1713</v>
      </c>
    </row>
    <row r="1715" spans="5:18">
      <c r="E1715" s="147" t="s">
        <v>65</v>
      </c>
      <c r="F1715" t="str">
        <f>SSC!CA45</f>
        <v>HPS</v>
      </c>
      <c r="G1715" t="str">
        <f>SSC!CB45</f>
        <v>AC</v>
      </c>
      <c r="H1715" t="str">
        <f>SSC!CC45</f>
        <v>Vessel</v>
      </c>
      <c r="I1715">
        <f>SSC!CD45</f>
        <v>0</v>
      </c>
      <c r="J1715">
        <f>SSC!CE45</f>
        <v>0</v>
      </c>
      <c r="K1715">
        <f>SSC!CF45</f>
        <v>0</v>
      </c>
      <c r="L1715">
        <f>SSC!CG45</f>
        <v>0</v>
      </c>
      <c r="M1715">
        <f>SSC!CH45</f>
        <v>0</v>
      </c>
      <c r="N1715">
        <f>SSC!CI45</f>
        <v>0</v>
      </c>
      <c r="O1715">
        <f>SSC!CJ45</f>
        <v>0</v>
      </c>
      <c r="P1715" s="143" t="str">
        <f>SSC!CK45</f>
        <v/>
      </c>
      <c r="R1715">
        <f t="shared" si="26"/>
        <v>1714</v>
      </c>
    </row>
    <row r="1716" spans="5:18">
      <c r="E1716" s="147" t="s">
        <v>65</v>
      </c>
      <c r="F1716" t="str">
        <f>SSC!CA46</f>
        <v>HPS</v>
      </c>
      <c r="G1716" t="str">
        <f>SSC!CB46</f>
        <v>AC</v>
      </c>
      <c r="H1716" t="str">
        <f>SSC!CC46</f>
        <v>Vessel</v>
      </c>
      <c r="I1716">
        <f>SSC!CD46</f>
        <v>0</v>
      </c>
      <c r="J1716">
        <f>SSC!CE46</f>
        <v>0</v>
      </c>
      <c r="K1716">
        <f>SSC!CF46</f>
        <v>0</v>
      </c>
      <c r="L1716">
        <f>SSC!CG46</f>
        <v>0</v>
      </c>
      <c r="M1716">
        <f>SSC!CH46</f>
        <v>0</v>
      </c>
      <c r="N1716">
        <f>SSC!CI46</f>
        <v>0</v>
      </c>
      <c r="O1716">
        <f>SSC!CJ46</f>
        <v>0</v>
      </c>
      <c r="P1716" s="143" t="str">
        <f>SSC!CK46</f>
        <v/>
      </c>
      <c r="R1716">
        <f t="shared" si="26"/>
        <v>1715</v>
      </c>
    </row>
    <row r="1717" spans="5:18">
      <c r="E1717" s="147" t="s">
        <v>65</v>
      </c>
      <c r="F1717" t="str">
        <f>SSC!CA47</f>
        <v>HPS</v>
      </c>
      <c r="G1717" t="str">
        <f>SSC!CB47</f>
        <v>AC</v>
      </c>
      <c r="H1717" t="str">
        <f>SSC!CC47</f>
        <v>Vessel</v>
      </c>
      <c r="I1717">
        <f>SSC!CD47</f>
        <v>0</v>
      </c>
      <c r="J1717">
        <f>SSC!CE47</f>
        <v>0</v>
      </c>
      <c r="K1717">
        <f>SSC!CF47</f>
        <v>0</v>
      </c>
      <c r="L1717">
        <f>SSC!CG47</f>
        <v>0</v>
      </c>
      <c r="M1717">
        <f>SSC!CH47</f>
        <v>0</v>
      </c>
      <c r="N1717">
        <f>SSC!CI47</f>
        <v>0</v>
      </c>
      <c r="O1717">
        <f>SSC!CJ47</f>
        <v>0</v>
      </c>
      <c r="P1717" s="143" t="str">
        <f>SSC!CK47</f>
        <v/>
      </c>
      <c r="R1717">
        <f t="shared" si="26"/>
        <v>1716</v>
      </c>
    </row>
    <row r="1718" spans="5:18">
      <c r="E1718" s="147" t="s">
        <v>65</v>
      </c>
      <c r="F1718" t="str">
        <f>SSC!CA48</f>
        <v>HPS</v>
      </c>
      <c r="G1718" t="str">
        <f>SSC!CB48</f>
        <v>AC</v>
      </c>
      <c r="H1718" t="str">
        <f>SSC!CC48</f>
        <v>Vessel</v>
      </c>
      <c r="I1718">
        <f>SSC!CD48</f>
        <v>0</v>
      </c>
      <c r="J1718">
        <f>SSC!CE48</f>
        <v>0</v>
      </c>
      <c r="K1718">
        <f>SSC!CF48</f>
        <v>0</v>
      </c>
      <c r="L1718">
        <f>SSC!CG48</f>
        <v>0</v>
      </c>
      <c r="M1718">
        <f>SSC!CH48</f>
        <v>0</v>
      </c>
      <c r="N1718">
        <f>SSC!CI48</f>
        <v>0</v>
      </c>
      <c r="O1718">
        <f>SSC!CJ48</f>
        <v>0</v>
      </c>
      <c r="P1718" s="143" t="str">
        <f>SSC!CK48</f>
        <v/>
      </c>
      <c r="R1718">
        <f t="shared" si="26"/>
        <v>1717</v>
      </c>
    </row>
    <row r="1719" spans="5:18">
      <c r="E1719" s="147" t="s">
        <v>65</v>
      </c>
      <c r="F1719" t="str">
        <f>SSC!CA49</f>
        <v>HPS</v>
      </c>
      <c r="G1719" t="str">
        <f>SSC!CB49</f>
        <v>AC</v>
      </c>
      <c r="H1719" t="str">
        <f>SSC!CC49</f>
        <v>Vessel</v>
      </c>
      <c r="I1719">
        <f>SSC!CD49</f>
        <v>0</v>
      </c>
      <c r="J1719">
        <f>SSC!CE49</f>
        <v>0</v>
      </c>
      <c r="K1719">
        <f>SSC!CF49</f>
        <v>0</v>
      </c>
      <c r="L1719">
        <f>SSC!CG49</f>
        <v>0</v>
      </c>
      <c r="M1719">
        <f>SSC!CH49</f>
        <v>0</v>
      </c>
      <c r="N1719">
        <f>SSC!CI49</f>
        <v>0</v>
      </c>
      <c r="O1719">
        <f>SSC!CJ49</f>
        <v>0</v>
      </c>
      <c r="P1719" s="143" t="str">
        <f>SSC!CK49</f>
        <v/>
      </c>
      <c r="R1719">
        <f t="shared" si="26"/>
        <v>1718</v>
      </c>
    </row>
    <row r="1720" spans="5:18">
      <c r="E1720" s="147" t="s">
        <v>65</v>
      </c>
      <c r="F1720" t="str">
        <f>SSC!CA50</f>
        <v>HPS</v>
      </c>
      <c r="G1720" t="str">
        <f>SSC!CB50</f>
        <v>AC</v>
      </c>
      <c r="H1720" t="str">
        <f>SSC!CC50</f>
        <v>Vessel</v>
      </c>
      <c r="I1720">
        <f>SSC!CD50</f>
        <v>0</v>
      </c>
      <c r="J1720">
        <f>SSC!CE50</f>
        <v>0</v>
      </c>
      <c r="K1720">
        <f>SSC!CF50</f>
        <v>0</v>
      </c>
      <c r="L1720">
        <f>SSC!CG50</f>
        <v>0</v>
      </c>
      <c r="M1720">
        <f>SSC!CH50</f>
        <v>0</v>
      </c>
      <c r="N1720">
        <f>SSC!CI50</f>
        <v>0</v>
      </c>
      <c r="O1720">
        <f>SSC!CJ50</f>
        <v>0</v>
      </c>
      <c r="P1720" s="143" t="str">
        <f>SSC!CK50</f>
        <v/>
      </c>
      <c r="R1720">
        <f t="shared" si="26"/>
        <v>1719</v>
      </c>
    </row>
    <row r="1721" spans="5:18">
      <c r="E1721" s="147" t="s">
        <v>65</v>
      </c>
      <c r="F1721" t="str">
        <f>SSC!CA51</f>
        <v>HPS</v>
      </c>
      <c r="G1721" t="str">
        <f>SSC!CB51</f>
        <v>AC</v>
      </c>
      <c r="H1721" t="str">
        <f>SSC!CC51</f>
        <v>Vessel</v>
      </c>
      <c r="I1721">
        <f>SSC!CD51</f>
        <v>0</v>
      </c>
      <c r="J1721">
        <f>SSC!CE51</f>
        <v>0</v>
      </c>
      <c r="K1721">
        <f>SSC!CF51</f>
        <v>0</v>
      </c>
      <c r="L1721">
        <f>SSC!CG51</f>
        <v>0</v>
      </c>
      <c r="M1721">
        <f>SSC!CH51</f>
        <v>0</v>
      </c>
      <c r="N1721">
        <f>SSC!CI51</f>
        <v>0</v>
      </c>
      <c r="O1721">
        <f>SSC!CJ51</f>
        <v>0</v>
      </c>
      <c r="P1721" s="143" t="str">
        <f>SSC!CK51</f>
        <v/>
      </c>
      <c r="R1721">
        <f t="shared" si="26"/>
        <v>1720</v>
      </c>
    </row>
    <row r="1722" spans="5:18">
      <c r="E1722" s="147" t="s">
        <v>65</v>
      </c>
      <c r="F1722" t="str">
        <f>SSC!CA52</f>
        <v>HPS</v>
      </c>
      <c r="G1722" t="str">
        <f>SSC!CB52</f>
        <v>AC</v>
      </c>
      <c r="H1722" t="str">
        <f>SSC!CC52</f>
        <v>Vessel</v>
      </c>
      <c r="I1722">
        <f>SSC!CD52</f>
        <v>0</v>
      </c>
      <c r="J1722">
        <f>SSC!CE52</f>
        <v>0</v>
      </c>
      <c r="K1722">
        <f>SSC!CF52</f>
        <v>0</v>
      </c>
      <c r="L1722">
        <f>SSC!CG52</f>
        <v>0</v>
      </c>
      <c r="M1722">
        <f>SSC!CH52</f>
        <v>0</v>
      </c>
      <c r="N1722">
        <f>SSC!CI52</f>
        <v>0</v>
      </c>
      <c r="O1722">
        <f>SSC!CJ52</f>
        <v>0</v>
      </c>
      <c r="P1722" s="143" t="str">
        <f>SSC!CK52</f>
        <v/>
      </c>
      <c r="R1722">
        <f t="shared" si="26"/>
        <v>1721</v>
      </c>
    </row>
    <row r="1723" spans="5:18">
      <c r="E1723" s="147" t="s">
        <v>65</v>
      </c>
      <c r="F1723" t="str">
        <f>SSC!CA53</f>
        <v>HPS</v>
      </c>
      <c r="G1723" t="str">
        <f>SSC!CB53</f>
        <v>AC</v>
      </c>
      <c r="H1723" t="str">
        <f>SSC!CC53</f>
        <v>Vessel</v>
      </c>
      <c r="I1723">
        <f>SSC!CD53</f>
        <v>0</v>
      </c>
      <c r="J1723">
        <f>SSC!CE53</f>
        <v>0</v>
      </c>
      <c r="K1723">
        <f>SSC!CF53</f>
        <v>0</v>
      </c>
      <c r="L1723">
        <f>SSC!CG53</f>
        <v>0</v>
      </c>
      <c r="M1723">
        <f>SSC!CH53</f>
        <v>0</v>
      </c>
      <c r="N1723">
        <f>SSC!CI53</f>
        <v>0</v>
      </c>
      <c r="O1723">
        <f>SSC!CJ53</f>
        <v>0</v>
      </c>
      <c r="P1723" s="143" t="str">
        <f>SSC!CK53</f>
        <v/>
      </c>
      <c r="R1723">
        <f t="shared" si="26"/>
        <v>1722</v>
      </c>
    </row>
    <row r="1724" spans="5:18">
      <c r="E1724" s="147" t="s">
        <v>65</v>
      </c>
      <c r="F1724" t="str">
        <f>SSC!CA54</f>
        <v>HPS</v>
      </c>
      <c r="G1724" t="str">
        <f>SSC!CB54</f>
        <v>AC</v>
      </c>
      <c r="H1724" t="str">
        <f>SSC!CC54</f>
        <v>Vessel</v>
      </c>
      <c r="I1724">
        <f>SSC!CD54</f>
        <v>0</v>
      </c>
      <c r="J1724">
        <f>SSC!CE54</f>
        <v>0</v>
      </c>
      <c r="K1724">
        <f>SSC!CF54</f>
        <v>0</v>
      </c>
      <c r="L1724">
        <f>SSC!CG54</f>
        <v>0</v>
      </c>
      <c r="M1724">
        <f>SSC!CH54</f>
        <v>0</v>
      </c>
      <c r="N1724">
        <f>SSC!CI54</f>
        <v>0</v>
      </c>
      <c r="O1724">
        <f>SSC!CJ54</f>
        <v>0</v>
      </c>
      <c r="P1724" s="143" t="str">
        <f>SSC!CK54</f>
        <v/>
      </c>
      <c r="R1724">
        <f t="shared" si="26"/>
        <v>1723</v>
      </c>
    </row>
    <row r="1725" spans="5:18">
      <c r="E1725" s="147" t="s">
        <v>65</v>
      </c>
      <c r="F1725" t="str">
        <f>SSC!CA55</f>
        <v>HPS</v>
      </c>
      <c r="G1725" t="str">
        <f>SSC!CB55</f>
        <v>AC</v>
      </c>
      <c r="H1725" t="str">
        <f>SSC!CC55</f>
        <v>Vessel</v>
      </c>
      <c r="I1725">
        <f>SSC!CD55</f>
        <v>0</v>
      </c>
      <c r="J1725">
        <f>SSC!CE55</f>
        <v>0</v>
      </c>
      <c r="K1725">
        <f>SSC!CF55</f>
        <v>0</v>
      </c>
      <c r="L1725">
        <f>SSC!CG55</f>
        <v>0</v>
      </c>
      <c r="M1725">
        <f>SSC!CH55</f>
        <v>0</v>
      </c>
      <c r="N1725">
        <f>SSC!CI55</f>
        <v>0</v>
      </c>
      <c r="O1725">
        <f>SSC!CJ55</f>
        <v>0</v>
      </c>
      <c r="P1725" s="143" t="str">
        <f>SSC!CK55</f>
        <v/>
      </c>
      <c r="R1725">
        <f t="shared" si="26"/>
        <v>1724</v>
      </c>
    </row>
    <row r="1726" spans="5:18">
      <c r="E1726" s="147" t="s">
        <v>65</v>
      </c>
      <c r="F1726" t="str">
        <f>SSC!CA56</f>
        <v>HPS</v>
      </c>
      <c r="G1726" t="str">
        <f>SSC!CB56</f>
        <v>AC</v>
      </c>
      <c r="H1726" t="str">
        <f>SSC!CC56</f>
        <v>Vessel</v>
      </c>
      <c r="I1726">
        <f>SSC!CD56</f>
        <v>0</v>
      </c>
      <c r="J1726">
        <f>SSC!CE56</f>
        <v>0</v>
      </c>
      <c r="K1726">
        <f>SSC!CF56</f>
        <v>0</v>
      </c>
      <c r="L1726">
        <f>SSC!CG56</f>
        <v>0</v>
      </c>
      <c r="M1726">
        <f>SSC!CH56</f>
        <v>0</v>
      </c>
      <c r="N1726">
        <f>SSC!CI56</f>
        <v>0</v>
      </c>
      <c r="O1726">
        <f>SSC!CJ56</f>
        <v>0</v>
      </c>
      <c r="P1726" s="143" t="str">
        <f>SSC!CK56</f>
        <v/>
      </c>
      <c r="R1726">
        <f t="shared" si="26"/>
        <v>1725</v>
      </c>
    </row>
    <row r="1727" spans="5:18">
      <c r="E1727" s="147" t="s">
        <v>65</v>
      </c>
      <c r="F1727" t="str">
        <f>SSC!CA57</f>
        <v>HPS</v>
      </c>
      <c r="G1727" t="str">
        <f>SSC!CB57</f>
        <v>AC</v>
      </c>
      <c r="H1727" t="str">
        <f>SSC!CC57</f>
        <v>Vessel</v>
      </c>
      <c r="I1727">
        <f>SSC!CD57</f>
        <v>0</v>
      </c>
      <c r="J1727">
        <f>SSC!CE57</f>
        <v>0</v>
      </c>
      <c r="K1727">
        <f>SSC!CF57</f>
        <v>0</v>
      </c>
      <c r="L1727">
        <f>SSC!CG57</f>
        <v>0</v>
      </c>
      <c r="M1727">
        <f>SSC!CH57</f>
        <v>0</v>
      </c>
      <c r="N1727">
        <f>SSC!CI57</f>
        <v>0</v>
      </c>
      <c r="O1727">
        <f>SSC!CJ57</f>
        <v>0</v>
      </c>
      <c r="P1727" s="143" t="str">
        <f>SSC!CK57</f>
        <v/>
      </c>
      <c r="R1727">
        <f t="shared" si="26"/>
        <v>1726</v>
      </c>
    </row>
    <row r="1728" spans="5:18">
      <c r="E1728" s="147" t="s">
        <v>65</v>
      </c>
      <c r="F1728" t="str">
        <f>SSC!CA58</f>
        <v>HPS</v>
      </c>
      <c r="G1728" t="str">
        <f>SSC!CB58</f>
        <v>AC</v>
      </c>
      <c r="H1728" t="str">
        <f>SSC!CC58</f>
        <v>Vessel</v>
      </c>
      <c r="I1728">
        <f>SSC!CD58</f>
        <v>0</v>
      </c>
      <c r="J1728">
        <f>SSC!CE58</f>
        <v>0</v>
      </c>
      <c r="K1728">
        <f>SSC!CF58</f>
        <v>0</v>
      </c>
      <c r="L1728">
        <f>SSC!CG58</f>
        <v>0</v>
      </c>
      <c r="M1728">
        <f>SSC!CH58</f>
        <v>0</v>
      </c>
      <c r="N1728">
        <f>SSC!CI58</f>
        <v>0</v>
      </c>
      <c r="O1728">
        <f>SSC!CJ58</f>
        <v>0</v>
      </c>
      <c r="P1728" s="143" t="str">
        <f>SSC!CK58</f>
        <v/>
      </c>
      <c r="R1728">
        <f t="shared" si="26"/>
        <v>1727</v>
      </c>
    </row>
    <row r="1729" spans="5:18">
      <c r="E1729" s="147" t="s">
        <v>65</v>
      </c>
      <c r="F1729" t="str">
        <f>SSC!CA59</f>
        <v>HPS</v>
      </c>
      <c r="G1729" t="str">
        <f>SSC!CB59</f>
        <v>AC</v>
      </c>
      <c r="H1729" t="str">
        <f>SSC!CC59</f>
        <v>Vessel</v>
      </c>
      <c r="I1729">
        <f>SSC!CD59</f>
        <v>0</v>
      </c>
      <c r="J1729">
        <f>SSC!CE59</f>
        <v>0</v>
      </c>
      <c r="K1729">
        <f>SSC!CF59</f>
        <v>0</v>
      </c>
      <c r="L1729">
        <f>SSC!CG59</f>
        <v>0</v>
      </c>
      <c r="M1729">
        <f>SSC!CH59</f>
        <v>0</v>
      </c>
      <c r="N1729">
        <f>SSC!CI59</f>
        <v>0</v>
      </c>
      <c r="O1729">
        <f>SSC!CJ59</f>
        <v>0</v>
      </c>
      <c r="P1729" s="143" t="str">
        <f>SSC!CK59</f>
        <v/>
      </c>
      <c r="R1729">
        <f t="shared" si="26"/>
        <v>1728</v>
      </c>
    </row>
    <row r="1730" spans="5:18">
      <c r="E1730" s="147" t="s">
        <v>65</v>
      </c>
      <c r="F1730" t="str">
        <f>SSC!CA60</f>
        <v>HPS</v>
      </c>
      <c r="G1730" t="str">
        <f>SSC!CB60</f>
        <v>AC</v>
      </c>
      <c r="H1730" t="str">
        <f>SSC!CC60</f>
        <v>Vessel</v>
      </c>
      <c r="I1730">
        <f>SSC!CD60</f>
        <v>0</v>
      </c>
      <c r="J1730">
        <f>SSC!CE60</f>
        <v>0</v>
      </c>
      <c r="K1730">
        <f>SSC!CF60</f>
        <v>0</v>
      </c>
      <c r="L1730">
        <f>SSC!CG60</f>
        <v>0</v>
      </c>
      <c r="M1730">
        <f>SSC!CH60</f>
        <v>0</v>
      </c>
      <c r="N1730">
        <f>SSC!CI60</f>
        <v>0</v>
      </c>
      <c r="O1730">
        <f>SSC!CJ60</f>
        <v>0</v>
      </c>
      <c r="P1730" s="143" t="str">
        <f>SSC!CK60</f>
        <v/>
      </c>
      <c r="R1730">
        <f t="shared" si="26"/>
        <v>1729</v>
      </c>
    </row>
    <row r="1731" spans="5:18">
      <c r="E1731" s="147" t="s">
        <v>65</v>
      </c>
      <c r="F1731" t="str">
        <f>SSC!CA61</f>
        <v>HPS</v>
      </c>
      <c r="G1731" t="str">
        <f>SSC!CB61</f>
        <v>AC</v>
      </c>
      <c r="H1731" t="str">
        <f>SSC!CC61</f>
        <v>Vessel</v>
      </c>
      <c r="I1731">
        <f>SSC!CD61</f>
        <v>0</v>
      </c>
      <c r="J1731">
        <f>SSC!CE61</f>
        <v>0</v>
      </c>
      <c r="K1731">
        <f>SSC!CF61</f>
        <v>0</v>
      </c>
      <c r="L1731">
        <f>SSC!CG61</f>
        <v>0</v>
      </c>
      <c r="M1731">
        <f>SSC!CH61</f>
        <v>0</v>
      </c>
      <c r="N1731">
        <f>SSC!CI61</f>
        <v>0</v>
      </c>
      <c r="O1731">
        <f>SSC!CJ61</f>
        <v>0</v>
      </c>
      <c r="P1731" s="143" t="str">
        <f>SSC!CK61</f>
        <v/>
      </c>
      <c r="R1731">
        <f t="shared" si="26"/>
        <v>1730</v>
      </c>
    </row>
    <row r="1732" spans="5:18">
      <c r="E1732" s="147" t="s">
        <v>65</v>
      </c>
      <c r="F1732" t="str">
        <f>SSC!CA62</f>
        <v>HPS</v>
      </c>
      <c r="G1732" t="str">
        <f>SSC!CB62</f>
        <v>AC</v>
      </c>
      <c r="H1732" t="str">
        <f>SSC!CC62</f>
        <v>Vessel</v>
      </c>
      <c r="I1732">
        <f>SSC!CD62</f>
        <v>0</v>
      </c>
      <c r="J1732">
        <f>SSC!CE62</f>
        <v>0</v>
      </c>
      <c r="K1732">
        <f>SSC!CF62</f>
        <v>0</v>
      </c>
      <c r="L1732">
        <f>SSC!CG62</f>
        <v>0</v>
      </c>
      <c r="M1732">
        <f>SSC!CH62</f>
        <v>0</v>
      </c>
      <c r="N1732">
        <f>SSC!CI62</f>
        <v>0</v>
      </c>
      <c r="O1732">
        <f>SSC!CJ62</f>
        <v>0</v>
      </c>
      <c r="P1732" s="143" t="str">
        <f>SSC!CK62</f>
        <v/>
      </c>
      <c r="R1732">
        <f t="shared" ref="R1732:R1795" si="27">R1731+1</f>
        <v>1731</v>
      </c>
    </row>
    <row r="1733" spans="5:18">
      <c r="E1733" s="147" t="s">
        <v>65</v>
      </c>
      <c r="F1733" t="str">
        <f>SSC!CA63</f>
        <v>HPS</v>
      </c>
      <c r="G1733" t="str">
        <f>SSC!CB63</f>
        <v>AC</v>
      </c>
      <c r="H1733" t="str">
        <f>SSC!CC63</f>
        <v>Vessel</v>
      </c>
      <c r="I1733">
        <f>SSC!CD63</f>
        <v>0</v>
      </c>
      <c r="J1733">
        <f>SSC!CE63</f>
        <v>0</v>
      </c>
      <c r="K1733">
        <f>SSC!CF63</f>
        <v>0</v>
      </c>
      <c r="L1733">
        <f>SSC!CG63</f>
        <v>0</v>
      </c>
      <c r="M1733">
        <f>SSC!CH63</f>
        <v>0</v>
      </c>
      <c r="N1733">
        <f>SSC!CI63</f>
        <v>0</v>
      </c>
      <c r="O1733">
        <f>SSC!CJ63</f>
        <v>0</v>
      </c>
      <c r="P1733" s="143" t="str">
        <f>SSC!CK63</f>
        <v/>
      </c>
      <c r="R1733">
        <f t="shared" si="27"/>
        <v>1732</v>
      </c>
    </row>
    <row r="1734" spans="5:18">
      <c r="E1734" s="147" t="s">
        <v>65</v>
      </c>
      <c r="F1734" t="str">
        <f>SSC!CA64</f>
        <v>HPS</v>
      </c>
      <c r="G1734" t="str">
        <f>SSC!CB64</f>
        <v>AC</v>
      </c>
      <c r="H1734" t="str">
        <f>SSC!CC64</f>
        <v>Vessel</v>
      </c>
      <c r="I1734">
        <f>SSC!CD64</f>
        <v>0</v>
      </c>
      <c r="J1734">
        <f>SSC!CE64</f>
        <v>0</v>
      </c>
      <c r="K1734">
        <f>SSC!CF64</f>
        <v>0</v>
      </c>
      <c r="L1734">
        <f>SSC!CG64</f>
        <v>0</v>
      </c>
      <c r="M1734">
        <f>SSC!CH64</f>
        <v>0</v>
      </c>
      <c r="N1734">
        <f>SSC!CI64</f>
        <v>0</v>
      </c>
      <c r="O1734">
        <f>SSC!CJ64</f>
        <v>0</v>
      </c>
      <c r="P1734" s="143" t="str">
        <f>SSC!CK64</f>
        <v/>
      </c>
      <c r="R1734">
        <f t="shared" si="27"/>
        <v>1733</v>
      </c>
    </row>
    <row r="1735" spans="5:18">
      <c r="E1735" s="147" t="s">
        <v>65</v>
      </c>
      <c r="F1735" t="str">
        <f>SSC!CA65</f>
        <v>HPS</v>
      </c>
      <c r="G1735" t="str">
        <f>SSC!CB65</f>
        <v>AC</v>
      </c>
      <c r="H1735" t="str">
        <f>SSC!CC65</f>
        <v>Vessel</v>
      </c>
      <c r="I1735">
        <f>SSC!CD65</f>
        <v>0</v>
      </c>
      <c r="J1735">
        <f>SSC!CE65</f>
        <v>0</v>
      </c>
      <c r="K1735">
        <f>SSC!CF65</f>
        <v>0</v>
      </c>
      <c r="L1735">
        <f>SSC!CG65</f>
        <v>0</v>
      </c>
      <c r="M1735">
        <f>SSC!CH65</f>
        <v>0</v>
      </c>
      <c r="N1735">
        <f>SSC!CI65</f>
        <v>0</v>
      </c>
      <c r="O1735">
        <f>SSC!CJ65</f>
        <v>0</v>
      </c>
      <c r="P1735" s="143" t="str">
        <f>SSC!CK65</f>
        <v/>
      </c>
      <c r="R1735">
        <f t="shared" si="27"/>
        <v>1734</v>
      </c>
    </row>
    <row r="1736" spans="5:18">
      <c r="E1736" s="147" t="s">
        <v>65</v>
      </c>
      <c r="F1736" t="str">
        <f>SSC!CA66</f>
        <v>HPS</v>
      </c>
      <c r="G1736" t="str">
        <f>SSC!CB66</f>
        <v>AC</v>
      </c>
      <c r="H1736" t="str">
        <f>SSC!CC66</f>
        <v>Vessel</v>
      </c>
      <c r="I1736">
        <f>SSC!CD66</f>
        <v>0</v>
      </c>
      <c r="J1736">
        <f>SSC!CE66</f>
        <v>0</v>
      </c>
      <c r="K1736">
        <f>SSC!CF66</f>
        <v>0</v>
      </c>
      <c r="L1736">
        <f>SSC!CG66</f>
        <v>0</v>
      </c>
      <c r="M1736">
        <f>SSC!CH66</f>
        <v>0</v>
      </c>
      <c r="N1736">
        <f>SSC!CI66</f>
        <v>0</v>
      </c>
      <c r="O1736">
        <f>SSC!CJ66</f>
        <v>0</v>
      </c>
      <c r="P1736" s="143" t="str">
        <f>SSC!CK66</f>
        <v/>
      </c>
      <c r="R1736">
        <f t="shared" si="27"/>
        <v>1735</v>
      </c>
    </row>
    <row r="1737" spans="5:18">
      <c r="E1737" s="147" t="s">
        <v>65</v>
      </c>
      <c r="F1737" t="str">
        <f>SSC!CA67</f>
        <v>HPS</v>
      </c>
      <c r="G1737" t="str">
        <f>SSC!CB67</f>
        <v>AC</v>
      </c>
      <c r="H1737" t="str">
        <f>SSC!CC67</f>
        <v>Vessel</v>
      </c>
      <c r="I1737">
        <f>SSC!CD67</f>
        <v>0</v>
      </c>
      <c r="J1737">
        <f>SSC!CE67</f>
        <v>0</v>
      </c>
      <c r="K1737">
        <f>SSC!CF67</f>
        <v>0</v>
      </c>
      <c r="L1737">
        <f>SSC!CG67</f>
        <v>0</v>
      </c>
      <c r="M1737">
        <f>SSC!CH67</f>
        <v>0</v>
      </c>
      <c r="N1737">
        <f>SSC!CI67</f>
        <v>0</v>
      </c>
      <c r="O1737">
        <f>SSC!CJ67</f>
        <v>0</v>
      </c>
      <c r="P1737" s="143" t="str">
        <f>SSC!CK67</f>
        <v/>
      </c>
      <c r="R1737">
        <f t="shared" si="27"/>
        <v>1736</v>
      </c>
    </row>
    <row r="1738" spans="5:18">
      <c r="E1738" s="147" t="s">
        <v>65</v>
      </c>
      <c r="F1738" t="str">
        <f>SSC!CA68</f>
        <v>HPS</v>
      </c>
      <c r="G1738" t="str">
        <f>SSC!CB68</f>
        <v>AC</v>
      </c>
      <c r="H1738" t="str">
        <f>SSC!CC68</f>
        <v>Vessel</v>
      </c>
      <c r="I1738">
        <f>SSC!CD68</f>
        <v>0</v>
      </c>
      <c r="J1738">
        <f>SSC!CE68</f>
        <v>0</v>
      </c>
      <c r="K1738">
        <f>SSC!CF68</f>
        <v>0</v>
      </c>
      <c r="L1738">
        <f>SSC!CG68</f>
        <v>0</v>
      </c>
      <c r="M1738">
        <f>SSC!CH68</f>
        <v>0</v>
      </c>
      <c r="N1738">
        <f>SSC!CI68</f>
        <v>0</v>
      </c>
      <c r="O1738">
        <f>SSC!CJ68</f>
        <v>0</v>
      </c>
      <c r="P1738" s="143" t="str">
        <f>SSC!CK68</f>
        <v/>
      </c>
      <c r="R1738">
        <f t="shared" si="27"/>
        <v>1737</v>
      </c>
    </row>
    <row r="1739" spans="5:18">
      <c r="E1739" s="147" t="s">
        <v>65</v>
      </c>
      <c r="F1739" t="str">
        <f>SSC!CA69</f>
        <v>HPS</v>
      </c>
      <c r="G1739" t="str">
        <f>SSC!CB69</f>
        <v>AC</v>
      </c>
      <c r="H1739" t="str">
        <f>SSC!CC69</f>
        <v>Vessel</v>
      </c>
      <c r="I1739">
        <f>SSC!CD69</f>
        <v>0</v>
      </c>
      <c r="J1739">
        <f>SSC!CE69</f>
        <v>0</v>
      </c>
      <c r="K1739">
        <f>SSC!CF69</f>
        <v>0</v>
      </c>
      <c r="L1739">
        <f>SSC!CG69</f>
        <v>0</v>
      </c>
      <c r="M1739">
        <f>SSC!CH69</f>
        <v>0</v>
      </c>
      <c r="N1739">
        <f>SSC!CI69</f>
        <v>0</v>
      </c>
      <c r="O1739">
        <f>SSC!CJ69</f>
        <v>0</v>
      </c>
      <c r="P1739" s="143" t="str">
        <f>SSC!CK69</f>
        <v/>
      </c>
      <c r="R1739">
        <f t="shared" si="27"/>
        <v>1738</v>
      </c>
    </row>
    <row r="1740" spans="5:18">
      <c r="E1740" s="147" t="s">
        <v>65</v>
      </c>
      <c r="F1740" t="str">
        <f>SSC!CA70</f>
        <v>HPS</v>
      </c>
      <c r="G1740" t="str">
        <f>SSC!CB70</f>
        <v>AC</v>
      </c>
      <c r="H1740" t="str">
        <f>SSC!CC70</f>
        <v>Vessel</v>
      </c>
      <c r="I1740">
        <f>SSC!CD70</f>
        <v>0</v>
      </c>
      <c r="J1740">
        <f>SSC!CE70</f>
        <v>0</v>
      </c>
      <c r="K1740">
        <f>SSC!CF70</f>
        <v>0</v>
      </c>
      <c r="L1740">
        <f>SSC!CG70</f>
        <v>0</v>
      </c>
      <c r="M1740">
        <f>SSC!CH70</f>
        <v>0</v>
      </c>
      <c r="N1740">
        <f>SSC!CI70</f>
        <v>0</v>
      </c>
      <c r="O1740">
        <f>SSC!CJ70</f>
        <v>0</v>
      </c>
      <c r="P1740" s="143" t="str">
        <f>SSC!CK70</f>
        <v/>
      </c>
      <c r="R1740">
        <f t="shared" si="27"/>
        <v>1739</v>
      </c>
    </row>
    <row r="1741" spans="5:18">
      <c r="E1741" s="147" t="s">
        <v>65</v>
      </c>
      <c r="F1741" t="str">
        <f>SSC!CA71</f>
        <v>HPS</v>
      </c>
      <c r="G1741" t="str">
        <f>SSC!CB71</f>
        <v>AC</v>
      </c>
      <c r="H1741" t="str">
        <f>SSC!CC71</f>
        <v>Vessel</v>
      </c>
      <c r="I1741">
        <f>SSC!CD71</f>
        <v>0</v>
      </c>
      <c r="J1741">
        <f>SSC!CE71</f>
        <v>0</v>
      </c>
      <c r="K1741">
        <f>SSC!CF71</f>
        <v>0</v>
      </c>
      <c r="L1741">
        <f>SSC!CG71</f>
        <v>0</v>
      </c>
      <c r="M1741">
        <f>SSC!CH71</f>
        <v>0</v>
      </c>
      <c r="N1741">
        <f>SSC!CI71</f>
        <v>0</v>
      </c>
      <c r="O1741">
        <f>SSC!CJ71</f>
        <v>0</v>
      </c>
      <c r="P1741" s="143" t="str">
        <f>SSC!CK71</f>
        <v/>
      </c>
      <c r="R1741">
        <f t="shared" si="27"/>
        <v>1740</v>
      </c>
    </row>
    <row r="1742" spans="5:18">
      <c r="E1742" s="147" t="s">
        <v>65</v>
      </c>
      <c r="F1742" t="str">
        <f>SSC!CA72</f>
        <v>HPS</v>
      </c>
      <c r="G1742" t="str">
        <f>SSC!CB72</f>
        <v>AC</v>
      </c>
      <c r="H1742" t="str">
        <f>SSC!CC72</f>
        <v>Vessel</v>
      </c>
      <c r="I1742">
        <f>SSC!CD72</f>
        <v>0</v>
      </c>
      <c r="J1742">
        <f>SSC!CE72</f>
        <v>0</v>
      </c>
      <c r="K1742">
        <f>SSC!CF72</f>
        <v>0</v>
      </c>
      <c r="L1742">
        <f>SSC!CG72</f>
        <v>0</v>
      </c>
      <c r="M1742">
        <f>SSC!CH72</f>
        <v>0</v>
      </c>
      <c r="N1742">
        <f>SSC!CI72</f>
        <v>0</v>
      </c>
      <c r="O1742">
        <f>SSC!CJ72</f>
        <v>0</v>
      </c>
      <c r="P1742" s="143" t="str">
        <f>SSC!CK72</f>
        <v/>
      </c>
      <c r="R1742">
        <f t="shared" si="27"/>
        <v>1741</v>
      </c>
    </row>
    <row r="1743" spans="5:18">
      <c r="E1743" s="147" t="s">
        <v>65</v>
      </c>
      <c r="F1743" t="str">
        <f>SSC!CA73</f>
        <v>HPS</v>
      </c>
      <c r="G1743" t="str">
        <f>SSC!CB73</f>
        <v>AC</v>
      </c>
      <c r="H1743" t="str">
        <f>SSC!CC73</f>
        <v>Vessel</v>
      </c>
      <c r="I1743">
        <f>SSC!CD73</f>
        <v>0</v>
      </c>
      <c r="J1743">
        <f>SSC!CE73</f>
        <v>0</v>
      </c>
      <c r="K1743">
        <f>SSC!CF73</f>
        <v>0</v>
      </c>
      <c r="L1743">
        <f>SSC!CG73</f>
        <v>0</v>
      </c>
      <c r="M1743">
        <f>SSC!CH73</f>
        <v>0</v>
      </c>
      <c r="N1743">
        <f>SSC!CI73</f>
        <v>0</v>
      </c>
      <c r="O1743">
        <f>SSC!CJ73</f>
        <v>0</v>
      </c>
      <c r="P1743" s="143" t="str">
        <f>SSC!CK73</f>
        <v/>
      </c>
      <c r="R1743">
        <f t="shared" si="27"/>
        <v>1742</v>
      </c>
    </row>
    <row r="1744" spans="5:18">
      <c r="E1744" s="147" t="s">
        <v>65</v>
      </c>
      <c r="F1744" t="str">
        <f>SSC!CA74</f>
        <v>HPS</v>
      </c>
      <c r="G1744" t="str">
        <f>SSC!CB74</f>
        <v>AC</v>
      </c>
      <c r="H1744" t="str">
        <f>SSC!CC74</f>
        <v>Vessel</v>
      </c>
      <c r="I1744">
        <f>SSC!CD74</f>
        <v>0</v>
      </c>
      <c r="J1744">
        <f>SSC!CE74</f>
        <v>0</v>
      </c>
      <c r="K1744">
        <f>SSC!CF74</f>
        <v>0</v>
      </c>
      <c r="L1744">
        <f>SSC!CG74</f>
        <v>0</v>
      </c>
      <c r="M1744">
        <f>SSC!CH74</f>
        <v>0</v>
      </c>
      <c r="N1744">
        <f>SSC!CI74</f>
        <v>0</v>
      </c>
      <c r="O1744">
        <f>SSC!CJ74</f>
        <v>0</v>
      </c>
      <c r="P1744" s="143" t="str">
        <f>SSC!CK74</f>
        <v/>
      </c>
      <c r="R1744">
        <f t="shared" si="27"/>
        <v>1743</v>
      </c>
    </row>
    <row r="1745" spans="5:18">
      <c r="E1745" s="147" t="s">
        <v>65</v>
      </c>
      <c r="F1745" t="str">
        <f>SSC!CA75</f>
        <v>HPS</v>
      </c>
      <c r="G1745" t="str">
        <f>SSC!CB75</f>
        <v>AC</v>
      </c>
      <c r="H1745" t="str">
        <f>SSC!CC75</f>
        <v>Vessel</v>
      </c>
      <c r="I1745">
        <f>SSC!CD75</f>
        <v>0</v>
      </c>
      <c r="J1745">
        <f>SSC!CE75</f>
        <v>0</v>
      </c>
      <c r="K1745">
        <f>SSC!CF75</f>
        <v>0</v>
      </c>
      <c r="L1745">
        <f>SSC!CG75</f>
        <v>0</v>
      </c>
      <c r="M1745">
        <f>SSC!CH75</f>
        <v>0</v>
      </c>
      <c r="N1745">
        <f>SSC!CI75</f>
        <v>0</v>
      </c>
      <c r="O1745">
        <f>SSC!CJ75</f>
        <v>0</v>
      </c>
      <c r="P1745" s="143" t="str">
        <f>SSC!CK75</f>
        <v/>
      </c>
      <c r="R1745">
        <f t="shared" si="27"/>
        <v>1744</v>
      </c>
    </row>
    <row r="1746" spans="5:18">
      <c r="E1746" s="147" t="s">
        <v>65</v>
      </c>
      <c r="F1746" t="str">
        <f>SSC!CA76</f>
        <v>HPS</v>
      </c>
      <c r="G1746" t="str">
        <f>SSC!CB76</f>
        <v>AC</v>
      </c>
      <c r="H1746" t="str">
        <f>SSC!CC76</f>
        <v>Vessel</v>
      </c>
      <c r="I1746">
        <f>SSC!CD76</f>
        <v>0</v>
      </c>
      <c r="J1746">
        <f>SSC!CE76</f>
        <v>0</v>
      </c>
      <c r="K1746">
        <f>SSC!CF76</f>
        <v>0</v>
      </c>
      <c r="L1746">
        <f>SSC!CG76</f>
        <v>0</v>
      </c>
      <c r="M1746">
        <f>SSC!CH76</f>
        <v>0</v>
      </c>
      <c r="N1746">
        <f>SSC!CI76</f>
        <v>0</v>
      </c>
      <c r="O1746">
        <f>SSC!CJ76</f>
        <v>0</v>
      </c>
      <c r="P1746" s="143" t="str">
        <f>SSC!CK76</f>
        <v/>
      </c>
      <c r="R1746">
        <f t="shared" si="27"/>
        <v>1745</v>
      </c>
    </row>
    <row r="1747" spans="5:18">
      <c r="E1747" s="147" t="s">
        <v>65</v>
      </c>
      <c r="F1747" t="str">
        <f>SSC!CA77</f>
        <v>HPS</v>
      </c>
      <c r="G1747" t="str">
        <f>SSC!CB77</f>
        <v>AC</v>
      </c>
      <c r="H1747" t="str">
        <f>SSC!CC77</f>
        <v>Vessel</v>
      </c>
      <c r="I1747">
        <f>SSC!CD77</f>
        <v>0</v>
      </c>
      <c r="J1747">
        <f>SSC!CE77</f>
        <v>0</v>
      </c>
      <c r="K1747">
        <f>SSC!CF77</f>
        <v>0</v>
      </c>
      <c r="L1747">
        <f>SSC!CG77</f>
        <v>0</v>
      </c>
      <c r="M1747">
        <f>SSC!CH77</f>
        <v>0</v>
      </c>
      <c r="N1747">
        <f>SSC!CI77</f>
        <v>0</v>
      </c>
      <c r="O1747">
        <f>SSC!CJ77</f>
        <v>0</v>
      </c>
      <c r="P1747" s="143" t="str">
        <f>SSC!CK77</f>
        <v/>
      </c>
      <c r="R1747">
        <f t="shared" si="27"/>
        <v>1746</v>
      </c>
    </row>
    <row r="1748" spans="5:18">
      <c r="E1748" s="147" t="s">
        <v>65</v>
      </c>
      <c r="F1748" t="str">
        <f>SSC!CA78</f>
        <v>HPS</v>
      </c>
      <c r="G1748" t="str">
        <f>SSC!CB78</f>
        <v>AC</v>
      </c>
      <c r="H1748" t="str">
        <f>SSC!CC78</f>
        <v>Vessel</v>
      </c>
      <c r="I1748">
        <f>SSC!CD78</f>
        <v>0</v>
      </c>
      <c r="J1748">
        <f>SSC!CE78</f>
        <v>0</v>
      </c>
      <c r="K1748">
        <f>SSC!CF78</f>
        <v>0</v>
      </c>
      <c r="L1748">
        <f>SSC!CG78</f>
        <v>0</v>
      </c>
      <c r="M1748">
        <f>SSC!CH78</f>
        <v>0</v>
      </c>
      <c r="N1748">
        <f>SSC!CI78</f>
        <v>0</v>
      </c>
      <c r="O1748">
        <f>SSC!CJ78</f>
        <v>0</v>
      </c>
      <c r="P1748" s="143" t="str">
        <f>SSC!CK78</f>
        <v/>
      </c>
      <c r="R1748">
        <f t="shared" si="27"/>
        <v>1747</v>
      </c>
    </row>
    <row r="1749" spans="5:18">
      <c r="E1749" s="147" t="s">
        <v>65</v>
      </c>
      <c r="F1749" t="str">
        <f>SSC!CA79</f>
        <v>HPS</v>
      </c>
      <c r="G1749" t="str">
        <f>SSC!CB79</f>
        <v>AC</v>
      </c>
      <c r="H1749" t="str">
        <f>SSC!CC79</f>
        <v>Vessel</v>
      </c>
      <c r="I1749">
        <f>SSC!CD79</f>
        <v>0</v>
      </c>
      <c r="J1749">
        <f>SSC!CE79</f>
        <v>0</v>
      </c>
      <c r="K1749">
        <f>SSC!CF79</f>
        <v>0</v>
      </c>
      <c r="L1749">
        <f>SSC!CG79</f>
        <v>0</v>
      </c>
      <c r="M1749">
        <f>SSC!CH79</f>
        <v>0</v>
      </c>
      <c r="N1749">
        <f>SSC!CI79</f>
        <v>0</v>
      </c>
      <c r="O1749">
        <f>SSC!CJ79</f>
        <v>0</v>
      </c>
      <c r="P1749" s="143" t="str">
        <f>SSC!CK79</f>
        <v/>
      </c>
      <c r="R1749">
        <f t="shared" si="27"/>
        <v>1748</v>
      </c>
    </row>
    <row r="1750" spans="5:18">
      <c r="E1750" s="147" t="s">
        <v>65</v>
      </c>
      <c r="F1750" t="str">
        <f>SSC!CA80</f>
        <v>HPS</v>
      </c>
      <c r="G1750" t="str">
        <f>SSC!CB80</f>
        <v>AC</v>
      </c>
      <c r="H1750" t="str">
        <f>SSC!CC80</f>
        <v>Vessel</v>
      </c>
      <c r="I1750">
        <f>SSC!CD80</f>
        <v>0</v>
      </c>
      <c r="J1750">
        <f>SSC!CE80</f>
        <v>0</v>
      </c>
      <c r="K1750">
        <f>SSC!CF80</f>
        <v>0</v>
      </c>
      <c r="L1750">
        <f>SSC!CG80</f>
        <v>0</v>
      </c>
      <c r="M1750">
        <f>SSC!CH80</f>
        <v>0</v>
      </c>
      <c r="N1750">
        <f>SSC!CI80</f>
        <v>0</v>
      </c>
      <c r="O1750">
        <f>SSC!CJ80</f>
        <v>0</v>
      </c>
      <c r="P1750" s="143" t="str">
        <f>SSC!CK80</f>
        <v/>
      </c>
      <c r="R1750">
        <f t="shared" si="27"/>
        <v>1749</v>
      </c>
    </row>
    <row r="1751" spans="5:18">
      <c r="E1751" s="147" t="s">
        <v>65</v>
      </c>
      <c r="F1751" t="str">
        <f>SSC!CA81</f>
        <v>HPS</v>
      </c>
      <c r="G1751" t="str">
        <f>SSC!CB81</f>
        <v>AC</v>
      </c>
      <c r="H1751" t="str">
        <f>SSC!CC81</f>
        <v>Vessel</v>
      </c>
      <c r="I1751">
        <f>SSC!CD81</f>
        <v>0</v>
      </c>
      <c r="J1751">
        <f>SSC!CE81</f>
        <v>0</v>
      </c>
      <c r="K1751">
        <f>SSC!CF81</f>
        <v>0</v>
      </c>
      <c r="L1751">
        <f>SSC!CG81</f>
        <v>0</v>
      </c>
      <c r="M1751">
        <f>SSC!CH81</f>
        <v>0</v>
      </c>
      <c r="N1751">
        <f>SSC!CI81</f>
        <v>0</v>
      </c>
      <c r="O1751">
        <f>SSC!CJ81</f>
        <v>0</v>
      </c>
      <c r="P1751" s="143" t="str">
        <f>SSC!CK81</f>
        <v/>
      </c>
      <c r="R1751">
        <f t="shared" si="27"/>
        <v>1750</v>
      </c>
    </row>
    <row r="1752" spans="5:18">
      <c r="E1752" s="147" t="s">
        <v>65</v>
      </c>
      <c r="F1752" t="str">
        <f>SSC!CA82</f>
        <v>HPS</v>
      </c>
      <c r="G1752" t="str">
        <f>SSC!CB82</f>
        <v>AC</v>
      </c>
      <c r="H1752" t="str">
        <f>SSC!CC82</f>
        <v>Vessel</v>
      </c>
      <c r="I1752">
        <f>SSC!CD82</f>
        <v>0</v>
      </c>
      <c r="J1752">
        <f>SSC!CE82</f>
        <v>0</v>
      </c>
      <c r="K1752">
        <f>SSC!CF82</f>
        <v>0</v>
      </c>
      <c r="L1752">
        <f>SSC!CG82</f>
        <v>0</v>
      </c>
      <c r="M1752">
        <f>SSC!CH82</f>
        <v>0</v>
      </c>
      <c r="N1752">
        <f>SSC!CI82</f>
        <v>0</v>
      </c>
      <c r="O1752">
        <f>SSC!CJ82</f>
        <v>0</v>
      </c>
      <c r="P1752" s="143" t="str">
        <f>SSC!CK82</f>
        <v/>
      </c>
      <c r="R1752">
        <f t="shared" si="27"/>
        <v>1751</v>
      </c>
    </row>
    <row r="1753" spans="5:18">
      <c r="E1753" s="147" t="s">
        <v>65</v>
      </c>
      <c r="F1753" t="str">
        <f>SSC!CA83</f>
        <v>HPS</v>
      </c>
      <c r="G1753" t="str">
        <f>SSC!CB83</f>
        <v>AC</v>
      </c>
      <c r="H1753" t="str">
        <f>SSC!CC83</f>
        <v>Vessel</v>
      </c>
      <c r="I1753">
        <f>SSC!CD83</f>
        <v>0</v>
      </c>
      <c r="J1753">
        <f>SSC!CE83</f>
        <v>0</v>
      </c>
      <c r="K1753">
        <f>SSC!CF83</f>
        <v>0</v>
      </c>
      <c r="L1753">
        <f>SSC!CG83</f>
        <v>0</v>
      </c>
      <c r="M1753">
        <f>SSC!CH83</f>
        <v>0</v>
      </c>
      <c r="N1753">
        <f>SSC!CI83</f>
        <v>0</v>
      </c>
      <c r="O1753">
        <f>SSC!CJ83</f>
        <v>0</v>
      </c>
      <c r="P1753" s="143" t="str">
        <f>SSC!CK83</f>
        <v/>
      </c>
      <c r="R1753">
        <f t="shared" si="27"/>
        <v>1752</v>
      </c>
    </row>
    <row r="1754" spans="5:18">
      <c r="E1754" s="147" t="s">
        <v>65</v>
      </c>
      <c r="F1754" t="str">
        <f>SSC!CA84</f>
        <v>HPS</v>
      </c>
      <c r="G1754" t="str">
        <f>SSC!CB84</f>
        <v>AC</v>
      </c>
      <c r="H1754" t="str">
        <f>SSC!CC84</f>
        <v>Vessel</v>
      </c>
      <c r="I1754">
        <f>SSC!CD84</f>
        <v>0</v>
      </c>
      <c r="J1754">
        <f>SSC!CE84</f>
        <v>0</v>
      </c>
      <c r="K1754">
        <f>SSC!CF84</f>
        <v>0</v>
      </c>
      <c r="L1754">
        <f>SSC!CG84</f>
        <v>0</v>
      </c>
      <c r="M1754">
        <f>SSC!CH84</f>
        <v>0</v>
      </c>
      <c r="N1754">
        <f>SSC!CI84</f>
        <v>0</v>
      </c>
      <c r="O1754">
        <f>SSC!CJ84</f>
        <v>0</v>
      </c>
      <c r="P1754" s="143" t="str">
        <f>SSC!CK84</f>
        <v/>
      </c>
      <c r="R1754">
        <f t="shared" si="27"/>
        <v>1753</v>
      </c>
    </row>
    <row r="1755" spans="5:18">
      <c r="E1755" s="147" t="s">
        <v>65</v>
      </c>
      <c r="F1755" t="str">
        <f>SSC!CA85</f>
        <v>HPS</v>
      </c>
      <c r="G1755" t="str">
        <f>SSC!CB85</f>
        <v>AC</v>
      </c>
      <c r="H1755" t="str">
        <f>SSC!CC85</f>
        <v>Vessel</v>
      </c>
      <c r="I1755">
        <f>SSC!CD85</f>
        <v>0</v>
      </c>
      <c r="J1755">
        <f>SSC!CE85</f>
        <v>0</v>
      </c>
      <c r="K1755">
        <f>SSC!CF85</f>
        <v>0</v>
      </c>
      <c r="L1755">
        <f>SSC!CG85</f>
        <v>0</v>
      </c>
      <c r="M1755">
        <f>SSC!CH85</f>
        <v>0</v>
      </c>
      <c r="N1755">
        <f>SSC!CI85</f>
        <v>0</v>
      </c>
      <c r="O1755">
        <f>SSC!CJ85</f>
        <v>0</v>
      </c>
      <c r="P1755" s="143" t="str">
        <f>SSC!CK85</f>
        <v/>
      </c>
      <c r="R1755">
        <f t="shared" si="27"/>
        <v>1754</v>
      </c>
    </row>
    <row r="1756" spans="5:18">
      <c r="E1756" s="147" t="s">
        <v>65</v>
      </c>
      <c r="F1756" t="str">
        <f>SSC!CA86</f>
        <v>HPS</v>
      </c>
      <c r="G1756" t="str">
        <f>SSC!CB86</f>
        <v>AC</v>
      </c>
      <c r="H1756" t="str">
        <f>SSC!CC86</f>
        <v>Vessel</v>
      </c>
      <c r="I1756">
        <f>SSC!CD86</f>
        <v>0</v>
      </c>
      <c r="J1756">
        <f>SSC!CE86</f>
        <v>0</v>
      </c>
      <c r="K1756">
        <f>SSC!CF86</f>
        <v>0</v>
      </c>
      <c r="L1756">
        <f>SSC!CG86</f>
        <v>0</v>
      </c>
      <c r="M1756">
        <f>SSC!CH86</f>
        <v>0</v>
      </c>
      <c r="N1756">
        <f>SSC!CI86</f>
        <v>0</v>
      </c>
      <c r="O1756">
        <f>SSC!CJ86</f>
        <v>0</v>
      </c>
      <c r="P1756" s="143" t="str">
        <f>SSC!CK86</f>
        <v/>
      </c>
      <c r="R1756">
        <f t="shared" si="27"/>
        <v>1755</v>
      </c>
    </row>
    <row r="1757" spans="5:18">
      <c r="E1757" s="147" t="s">
        <v>65</v>
      </c>
      <c r="F1757" t="str">
        <f>SSC!CA87</f>
        <v>HPS</v>
      </c>
      <c r="G1757" t="str">
        <f>SSC!CB87</f>
        <v>AC</v>
      </c>
      <c r="H1757" t="str">
        <f>SSC!CC87</f>
        <v>Vessel</v>
      </c>
      <c r="I1757">
        <f>SSC!CD87</f>
        <v>0</v>
      </c>
      <c r="J1757">
        <f>SSC!CE87</f>
        <v>0</v>
      </c>
      <c r="K1757">
        <f>SSC!CF87</f>
        <v>0</v>
      </c>
      <c r="L1757">
        <f>SSC!CG87</f>
        <v>0</v>
      </c>
      <c r="M1757">
        <f>SSC!CH87</f>
        <v>0</v>
      </c>
      <c r="N1757">
        <f>SSC!CI87</f>
        <v>0</v>
      </c>
      <c r="O1757">
        <f>SSC!CJ87</f>
        <v>0</v>
      </c>
      <c r="P1757" s="143" t="str">
        <f>SSC!CK87</f>
        <v/>
      </c>
      <c r="R1757">
        <f t="shared" si="27"/>
        <v>1756</v>
      </c>
    </row>
    <row r="1758" spans="5:18">
      <c r="E1758" s="147" t="s">
        <v>65</v>
      </c>
      <c r="F1758" t="str">
        <f>SSC!CA88</f>
        <v>HPS</v>
      </c>
      <c r="G1758" t="str">
        <f>SSC!CB88</f>
        <v>AC</v>
      </c>
      <c r="H1758" t="str">
        <f>SSC!CC88</f>
        <v>Vessel</v>
      </c>
      <c r="I1758">
        <f>SSC!CD88</f>
        <v>0</v>
      </c>
      <c r="J1758">
        <f>SSC!CE88</f>
        <v>0</v>
      </c>
      <c r="K1758">
        <f>SSC!CF88</f>
        <v>0</v>
      </c>
      <c r="L1758">
        <f>SSC!CG88</f>
        <v>0</v>
      </c>
      <c r="M1758">
        <f>SSC!CH88</f>
        <v>0</v>
      </c>
      <c r="N1758">
        <f>SSC!CI88</f>
        <v>0</v>
      </c>
      <c r="O1758">
        <f>SSC!CJ88</f>
        <v>0</v>
      </c>
      <c r="P1758" s="143" t="str">
        <f>SSC!CK88</f>
        <v/>
      </c>
      <c r="R1758">
        <f t="shared" si="27"/>
        <v>1757</v>
      </c>
    </row>
    <row r="1759" spans="5:18">
      <c r="E1759" s="147" t="s">
        <v>65</v>
      </c>
      <c r="F1759" t="str">
        <f>SSC!CA89</f>
        <v>HPS</v>
      </c>
      <c r="G1759" t="str">
        <f>SSC!CB89</f>
        <v>AC</v>
      </c>
      <c r="H1759" t="str">
        <f>SSC!CC89</f>
        <v>Vessel</v>
      </c>
      <c r="I1759">
        <f>SSC!CD89</f>
        <v>0</v>
      </c>
      <c r="J1759">
        <f>SSC!CE89</f>
        <v>0</v>
      </c>
      <c r="K1759">
        <f>SSC!CF89</f>
        <v>0</v>
      </c>
      <c r="L1759">
        <f>SSC!CG89</f>
        <v>0</v>
      </c>
      <c r="M1759">
        <f>SSC!CH89</f>
        <v>0</v>
      </c>
      <c r="N1759">
        <f>SSC!CI89</f>
        <v>0</v>
      </c>
      <c r="O1759">
        <f>SSC!CJ89</f>
        <v>0</v>
      </c>
      <c r="P1759" s="143" t="str">
        <f>SSC!CK89</f>
        <v/>
      </c>
      <c r="R1759">
        <f t="shared" si="27"/>
        <v>1758</v>
      </c>
    </row>
    <row r="1760" spans="5:18">
      <c r="E1760" s="147" t="s">
        <v>65</v>
      </c>
      <c r="F1760" t="str">
        <f>SSC!CA90</f>
        <v>HPS</v>
      </c>
      <c r="G1760" t="str">
        <f>SSC!CB90</f>
        <v>AC</v>
      </c>
      <c r="H1760" t="str">
        <f>SSC!CC90</f>
        <v>Vessel</v>
      </c>
      <c r="I1760">
        <f>SSC!CD90</f>
        <v>0</v>
      </c>
      <c r="J1760">
        <f>SSC!CE90</f>
        <v>0</v>
      </c>
      <c r="K1760">
        <f>SSC!CF90</f>
        <v>0</v>
      </c>
      <c r="L1760">
        <f>SSC!CG90</f>
        <v>0</v>
      </c>
      <c r="M1760">
        <f>SSC!CH90</f>
        <v>0</v>
      </c>
      <c r="N1760">
        <f>SSC!CI90</f>
        <v>0</v>
      </c>
      <c r="O1760">
        <f>SSC!CJ90</f>
        <v>0</v>
      </c>
      <c r="P1760" s="143" t="str">
        <f>SSC!CK90</f>
        <v/>
      </c>
      <c r="R1760">
        <f t="shared" si="27"/>
        <v>1759</v>
      </c>
    </row>
    <row r="1761" spans="5:18">
      <c r="E1761" s="147" t="s">
        <v>65</v>
      </c>
      <c r="F1761" t="str">
        <f>SSC!CA91</f>
        <v>HPS</v>
      </c>
      <c r="G1761" t="str">
        <f>SSC!CB91</f>
        <v>AC</v>
      </c>
      <c r="H1761" t="str">
        <f>SSC!CC91</f>
        <v>Vessel</v>
      </c>
      <c r="I1761">
        <f>SSC!CD91</f>
        <v>0</v>
      </c>
      <c r="J1761">
        <f>SSC!CE91</f>
        <v>0</v>
      </c>
      <c r="K1761">
        <f>SSC!CF91</f>
        <v>0</v>
      </c>
      <c r="L1761">
        <f>SSC!CG91</f>
        <v>0</v>
      </c>
      <c r="M1761">
        <f>SSC!CH91</f>
        <v>0</v>
      </c>
      <c r="N1761">
        <f>SSC!CI91</f>
        <v>0</v>
      </c>
      <c r="O1761">
        <f>SSC!CJ91</f>
        <v>0</v>
      </c>
      <c r="P1761" s="143" t="str">
        <f>SSC!CK91</f>
        <v/>
      </c>
      <c r="R1761">
        <f t="shared" si="27"/>
        <v>1760</v>
      </c>
    </row>
    <row r="1762" spans="5:18">
      <c r="E1762" s="147" t="s">
        <v>65</v>
      </c>
      <c r="F1762" t="str">
        <f>SSC!CA92</f>
        <v>HPS</v>
      </c>
      <c r="G1762" t="str">
        <f>SSC!CB92</f>
        <v>AC</v>
      </c>
      <c r="H1762" t="str">
        <f>SSC!CC92</f>
        <v>Vessel</v>
      </c>
      <c r="I1762">
        <f>SSC!CD92</f>
        <v>0</v>
      </c>
      <c r="J1762">
        <f>SSC!CE92</f>
        <v>0</v>
      </c>
      <c r="K1762">
        <f>SSC!CF92</f>
        <v>0</v>
      </c>
      <c r="L1762">
        <f>SSC!CG92</f>
        <v>0</v>
      </c>
      <c r="M1762">
        <f>SSC!CH92</f>
        <v>0</v>
      </c>
      <c r="N1762">
        <f>SSC!CI92</f>
        <v>0</v>
      </c>
      <c r="O1762">
        <f>SSC!CJ92</f>
        <v>0</v>
      </c>
      <c r="P1762" s="143" t="str">
        <f>SSC!CK92</f>
        <v/>
      </c>
      <c r="R1762">
        <f t="shared" si="27"/>
        <v>1761</v>
      </c>
    </row>
    <row r="1763" spans="5:18">
      <c r="E1763" s="147" t="s">
        <v>65</v>
      </c>
      <c r="F1763" t="str">
        <f>SSC!CA93</f>
        <v>HPS</v>
      </c>
      <c r="G1763" t="str">
        <f>SSC!CB93</f>
        <v>AC</v>
      </c>
      <c r="H1763" t="str">
        <f>SSC!CC93</f>
        <v>Vessel</v>
      </c>
      <c r="I1763">
        <f>SSC!CD93</f>
        <v>0</v>
      </c>
      <c r="J1763">
        <f>SSC!CE93</f>
        <v>0</v>
      </c>
      <c r="K1763">
        <f>SSC!CF93</f>
        <v>0</v>
      </c>
      <c r="L1763">
        <f>SSC!CG93</f>
        <v>0</v>
      </c>
      <c r="M1763">
        <f>SSC!CH93</f>
        <v>0</v>
      </c>
      <c r="N1763">
        <f>SSC!CI93</f>
        <v>0</v>
      </c>
      <c r="O1763">
        <f>SSC!CJ93</f>
        <v>0</v>
      </c>
      <c r="P1763" s="143" t="str">
        <f>SSC!CK93</f>
        <v/>
      </c>
      <c r="R1763">
        <f t="shared" si="27"/>
        <v>1762</v>
      </c>
    </row>
    <row r="1764" spans="5:18">
      <c r="E1764" s="147" t="s">
        <v>65</v>
      </c>
      <c r="F1764" t="str">
        <f>SSC!CA94</f>
        <v>HPS</v>
      </c>
      <c r="G1764" t="str">
        <f>SSC!CB94</f>
        <v>AC</v>
      </c>
      <c r="H1764" t="str">
        <f>SSC!CC94</f>
        <v>Vessel</v>
      </c>
      <c r="I1764">
        <f>SSC!CD94</f>
        <v>0</v>
      </c>
      <c r="J1764">
        <f>SSC!CE94</f>
        <v>0</v>
      </c>
      <c r="K1764">
        <f>SSC!CF94</f>
        <v>0</v>
      </c>
      <c r="L1764">
        <f>SSC!CG94</f>
        <v>0</v>
      </c>
      <c r="M1764">
        <f>SSC!CH94</f>
        <v>0</v>
      </c>
      <c r="N1764">
        <f>SSC!CI94</f>
        <v>0</v>
      </c>
      <c r="O1764">
        <f>SSC!CJ94</f>
        <v>0</v>
      </c>
      <c r="P1764" s="143" t="str">
        <f>SSC!CK94</f>
        <v/>
      </c>
      <c r="R1764">
        <f t="shared" si="27"/>
        <v>1763</v>
      </c>
    </row>
    <row r="1765" spans="5:18">
      <c r="E1765" s="147" t="s">
        <v>65</v>
      </c>
      <c r="F1765" t="str">
        <f>SSC!CA95</f>
        <v>HPS</v>
      </c>
      <c r="G1765" t="str">
        <f>SSC!CB95</f>
        <v>AC</v>
      </c>
      <c r="H1765" t="str">
        <f>SSC!CC95</f>
        <v>Vessel</v>
      </c>
      <c r="I1765">
        <f>SSC!CD95</f>
        <v>0</v>
      </c>
      <c r="J1765">
        <f>SSC!CE95</f>
        <v>0</v>
      </c>
      <c r="K1765">
        <f>SSC!CF95</f>
        <v>0</v>
      </c>
      <c r="L1765">
        <f>SSC!CG95</f>
        <v>0</v>
      </c>
      <c r="M1765">
        <f>SSC!CH95</f>
        <v>0</v>
      </c>
      <c r="N1765">
        <f>SSC!CI95</f>
        <v>0</v>
      </c>
      <c r="O1765">
        <f>SSC!CJ95</f>
        <v>0</v>
      </c>
      <c r="P1765" s="143" t="str">
        <f>SSC!CK95</f>
        <v/>
      </c>
      <c r="R1765">
        <f t="shared" si="27"/>
        <v>1764</v>
      </c>
    </row>
    <row r="1766" spans="5:18">
      <c r="E1766" s="147" t="s">
        <v>65</v>
      </c>
      <c r="F1766" t="str">
        <f>SSC!CA96</f>
        <v>HPS</v>
      </c>
      <c r="G1766" t="str">
        <f>SSC!CB96</f>
        <v>AC</v>
      </c>
      <c r="H1766" t="str">
        <f>SSC!CC96</f>
        <v>Vessel</v>
      </c>
      <c r="I1766">
        <f>SSC!CD96</f>
        <v>0</v>
      </c>
      <c r="J1766">
        <f>SSC!CE96</f>
        <v>0</v>
      </c>
      <c r="K1766">
        <f>SSC!CF96</f>
        <v>0</v>
      </c>
      <c r="L1766">
        <f>SSC!CG96</f>
        <v>0</v>
      </c>
      <c r="M1766">
        <f>SSC!CH96</f>
        <v>0</v>
      </c>
      <c r="N1766">
        <f>SSC!CI96</f>
        <v>0</v>
      </c>
      <c r="O1766">
        <f>SSC!CJ96</f>
        <v>0</v>
      </c>
      <c r="P1766" s="143" t="str">
        <f>SSC!CK96</f>
        <v/>
      </c>
      <c r="R1766">
        <f t="shared" si="27"/>
        <v>1765</v>
      </c>
    </row>
    <row r="1767" spans="5:18">
      <c r="E1767" s="147" t="s">
        <v>65</v>
      </c>
      <c r="F1767" t="str">
        <f>SSC!CA97</f>
        <v>HPS</v>
      </c>
      <c r="G1767" t="str">
        <f>SSC!CB97</f>
        <v>AC</v>
      </c>
      <c r="H1767" t="str">
        <f>SSC!CC97</f>
        <v>Vessel</v>
      </c>
      <c r="I1767">
        <f>SSC!CD97</f>
        <v>0</v>
      </c>
      <c r="J1767">
        <f>SSC!CE97</f>
        <v>0</v>
      </c>
      <c r="K1767">
        <f>SSC!CF97</f>
        <v>0</v>
      </c>
      <c r="L1767">
        <f>SSC!CG97</f>
        <v>0</v>
      </c>
      <c r="M1767">
        <f>SSC!CH97</f>
        <v>0</v>
      </c>
      <c r="N1767">
        <f>SSC!CI97</f>
        <v>0</v>
      </c>
      <c r="O1767">
        <f>SSC!CJ97</f>
        <v>0</v>
      </c>
      <c r="P1767" s="143" t="str">
        <f>SSC!CK97</f>
        <v/>
      </c>
      <c r="R1767">
        <f t="shared" si="27"/>
        <v>1766</v>
      </c>
    </row>
    <row r="1768" spans="5:18">
      <c r="E1768" s="147" t="s">
        <v>65</v>
      </c>
      <c r="F1768" t="str">
        <f>SSC!CA98</f>
        <v>HPS</v>
      </c>
      <c r="G1768" t="str">
        <f>SSC!CB98</f>
        <v>AC</v>
      </c>
      <c r="H1768" t="str">
        <f>SSC!CC98</f>
        <v>Vessel</v>
      </c>
      <c r="I1768">
        <f>SSC!CD98</f>
        <v>0</v>
      </c>
      <c r="J1768">
        <f>SSC!CE98</f>
        <v>0</v>
      </c>
      <c r="K1768">
        <f>SSC!CF98</f>
        <v>0</v>
      </c>
      <c r="L1768">
        <f>SSC!CG98</f>
        <v>0</v>
      </c>
      <c r="M1768">
        <f>SSC!CH98</f>
        <v>0</v>
      </c>
      <c r="N1768">
        <f>SSC!CI98</f>
        <v>0</v>
      </c>
      <c r="O1768">
        <f>SSC!CJ98</f>
        <v>0</v>
      </c>
      <c r="P1768" s="143" t="str">
        <f>SSC!CK98</f>
        <v/>
      </c>
      <c r="R1768">
        <f t="shared" si="27"/>
        <v>1767</v>
      </c>
    </row>
    <row r="1769" spans="5:18">
      <c r="E1769" s="147" t="s">
        <v>65</v>
      </c>
      <c r="F1769" t="str">
        <f>SSC!CA99</f>
        <v>HPS</v>
      </c>
      <c r="G1769" t="str">
        <f>SSC!CB99</f>
        <v>AC</v>
      </c>
      <c r="H1769" t="str">
        <f>SSC!CC99</f>
        <v>Vessel</v>
      </c>
      <c r="I1769">
        <f>SSC!CD99</f>
        <v>0</v>
      </c>
      <c r="J1769">
        <f>SSC!CE99</f>
        <v>0</v>
      </c>
      <c r="K1769">
        <f>SSC!CF99</f>
        <v>0</v>
      </c>
      <c r="L1769">
        <f>SSC!CG99</f>
        <v>0</v>
      </c>
      <c r="M1769">
        <f>SSC!CH99</f>
        <v>0</v>
      </c>
      <c r="N1769">
        <f>SSC!CI99</f>
        <v>0</v>
      </c>
      <c r="O1769">
        <f>SSC!CJ99</f>
        <v>0</v>
      </c>
      <c r="P1769" s="143" t="str">
        <f>SSC!CK99</f>
        <v/>
      </c>
      <c r="R1769">
        <f t="shared" si="27"/>
        <v>1768</v>
      </c>
    </row>
    <row r="1770" spans="5:18">
      <c r="E1770" s="147" t="s">
        <v>65</v>
      </c>
      <c r="F1770" t="str">
        <f>SSC!CA100</f>
        <v>HPS</v>
      </c>
      <c r="G1770" t="str">
        <f>SSC!CB100</f>
        <v>AC</v>
      </c>
      <c r="H1770" t="str">
        <f>SSC!CC100</f>
        <v>Vessel</v>
      </c>
      <c r="I1770">
        <f>SSC!CD100</f>
        <v>0</v>
      </c>
      <c r="J1770">
        <f>SSC!CE100</f>
        <v>0</v>
      </c>
      <c r="K1770">
        <f>SSC!CF100</f>
        <v>0</v>
      </c>
      <c r="L1770">
        <f>SSC!CG100</f>
        <v>0</v>
      </c>
      <c r="M1770">
        <f>SSC!CH100</f>
        <v>0</v>
      </c>
      <c r="N1770">
        <f>SSC!CI100</f>
        <v>0</v>
      </c>
      <c r="O1770">
        <f>SSC!CJ100</f>
        <v>0</v>
      </c>
      <c r="P1770" s="143" t="str">
        <f>SSC!CK100</f>
        <v/>
      </c>
      <c r="R1770">
        <f t="shared" si="27"/>
        <v>1769</v>
      </c>
    </row>
    <row r="1771" spans="5:18" ht="17.100000000000001" thickBot="1">
      <c r="E1771" s="148" t="s">
        <v>65</v>
      </c>
      <c r="F1771" s="144" t="str">
        <f>SSC!CA101</f>
        <v>HPS</v>
      </c>
      <c r="G1771" s="144" t="str">
        <f>SSC!CB101</f>
        <v>AC</v>
      </c>
      <c r="H1771" s="144" t="str">
        <f>SSC!CC101</f>
        <v>Vessel</v>
      </c>
      <c r="I1771" s="144">
        <f>SSC!CD101</f>
        <v>0</v>
      </c>
      <c r="J1771" s="144">
        <f>SSC!CE101</f>
        <v>0</v>
      </c>
      <c r="K1771" s="144">
        <f>SSC!CF101</f>
        <v>0</v>
      </c>
      <c r="L1771" s="144">
        <f>SSC!CG101</f>
        <v>0</v>
      </c>
      <c r="M1771" s="144">
        <f>SSC!CH101</f>
        <v>0</v>
      </c>
      <c r="N1771" s="144">
        <f>SSC!CI101</f>
        <v>0</v>
      </c>
      <c r="O1771" s="144">
        <f>SSC!CJ101</f>
        <v>0</v>
      </c>
      <c r="P1771" s="145" t="str">
        <f>SSC!CK101</f>
        <v/>
      </c>
      <c r="R1771">
        <f t="shared" si="27"/>
        <v>1770</v>
      </c>
    </row>
    <row r="1772" spans="5:18">
      <c r="E1772" s="146" t="s">
        <v>66</v>
      </c>
      <c r="F1772" s="141" t="str">
        <f>TE!CA2</f>
        <v>HPS</v>
      </c>
      <c r="G1772" s="141" t="str">
        <f>TE!CB2</f>
        <v>AC</v>
      </c>
      <c r="H1772" s="141" t="str">
        <f>TE!CC2</f>
        <v>Vessel</v>
      </c>
      <c r="I1772" s="141">
        <f>TE!CD2</f>
        <v>0</v>
      </c>
      <c r="J1772" s="141" t="str">
        <f>TE!CE2</f>
        <v>Tee</v>
      </c>
      <c r="K1772" s="141" t="str">
        <f>TE!CF2</f>
        <v>100-23XF4</v>
      </c>
      <c r="L1772" s="141" t="str">
        <f>TE!CG2</f>
        <v>TE-1</v>
      </c>
      <c r="M1772" s="141">
        <f>TE!CH2</f>
        <v>0</v>
      </c>
      <c r="N1772" s="141">
        <f>TE!CI2</f>
        <v>0</v>
      </c>
      <c r="O1772" s="141">
        <f>TE!CJ2</f>
        <v>0</v>
      </c>
      <c r="P1772" s="142" t="str">
        <f>TE!CK2</f>
        <v>Active</v>
      </c>
      <c r="R1772">
        <f t="shared" si="27"/>
        <v>1771</v>
      </c>
    </row>
    <row r="1773" spans="5:18">
      <c r="E1773" s="147" t="s">
        <v>66</v>
      </c>
      <c r="F1773" t="str">
        <f>TE!CA3</f>
        <v>HPS</v>
      </c>
      <c r="G1773" t="str">
        <f>TE!CB3</f>
        <v>AC</v>
      </c>
      <c r="H1773" t="str">
        <f>TE!CC3</f>
        <v>Vessel</v>
      </c>
      <c r="I1773">
        <f>TE!CD3</f>
        <v>0</v>
      </c>
      <c r="J1773" t="str">
        <f>TE!CE3</f>
        <v>Tee</v>
      </c>
      <c r="K1773" t="str">
        <f>TE!CF3</f>
        <v>100-23XF4</v>
      </c>
      <c r="L1773" t="str">
        <f>TE!CG3</f>
        <v>TE-2</v>
      </c>
      <c r="M1773">
        <f>TE!CH3</f>
        <v>0</v>
      </c>
      <c r="N1773">
        <f>TE!CI3</f>
        <v>0</v>
      </c>
      <c r="O1773">
        <f>TE!CJ3</f>
        <v>0</v>
      </c>
      <c r="P1773" s="143" t="str">
        <f>TE!CK3</f>
        <v>Active</v>
      </c>
      <c r="R1773">
        <f t="shared" si="27"/>
        <v>1772</v>
      </c>
    </row>
    <row r="1774" spans="5:18">
      <c r="E1774" s="147" t="s">
        <v>66</v>
      </c>
      <c r="F1774" t="str">
        <f>TE!CA4</f>
        <v>HPS</v>
      </c>
      <c r="G1774" t="str">
        <f>TE!CB4</f>
        <v>AC</v>
      </c>
      <c r="H1774" t="str">
        <f>TE!CC4</f>
        <v>Vessel</v>
      </c>
      <c r="I1774">
        <f>TE!CD4</f>
        <v>0</v>
      </c>
      <c r="J1774" t="str">
        <f>TE!CE4</f>
        <v>Tee</v>
      </c>
      <c r="K1774" t="str">
        <f>TE!CF4</f>
        <v>60-23HF6</v>
      </c>
      <c r="L1774" t="str">
        <f>TE!CG4</f>
        <v>TE-3</v>
      </c>
      <c r="M1774">
        <f>TE!CH4</f>
        <v>0</v>
      </c>
      <c r="N1774">
        <f>TE!CI4</f>
        <v>0</v>
      </c>
      <c r="O1774">
        <f>TE!CJ4</f>
        <v>0</v>
      </c>
      <c r="P1774" s="143" t="str">
        <f>TE!CK4</f>
        <v>Active</v>
      </c>
      <c r="R1774">
        <f t="shared" si="27"/>
        <v>1773</v>
      </c>
    </row>
    <row r="1775" spans="5:18">
      <c r="E1775" s="147" t="s">
        <v>66</v>
      </c>
      <c r="F1775" t="str">
        <f>TE!CA5</f>
        <v>HPS</v>
      </c>
      <c r="G1775" t="str">
        <f>TE!CB5</f>
        <v>AC</v>
      </c>
      <c r="H1775" t="str">
        <f>TE!CC5</f>
        <v>Vessel</v>
      </c>
      <c r="I1775">
        <f>TE!CD5</f>
        <v>0</v>
      </c>
      <c r="J1775">
        <f>TE!CE5</f>
        <v>0</v>
      </c>
      <c r="K1775">
        <f>TE!CF5</f>
        <v>0</v>
      </c>
      <c r="L1775">
        <f>TE!CG5</f>
        <v>0</v>
      </c>
      <c r="M1775">
        <f>TE!CH5</f>
        <v>0</v>
      </c>
      <c r="N1775">
        <f>TE!CI5</f>
        <v>0</v>
      </c>
      <c r="O1775">
        <f>TE!CJ5</f>
        <v>0</v>
      </c>
      <c r="P1775" s="143" t="str">
        <f>TE!CK5</f>
        <v/>
      </c>
      <c r="R1775">
        <f t="shared" si="27"/>
        <v>1774</v>
      </c>
    </row>
    <row r="1776" spans="5:18">
      <c r="E1776" s="147" t="s">
        <v>66</v>
      </c>
      <c r="F1776" t="str">
        <f>TE!CA6</f>
        <v>HPS</v>
      </c>
      <c r="G1776" t="str">
        <f>TE!CB6</f>
        <v>AC</v>
      </c>
      <c r="H1776" t="str">
        <f>TE!CC6</f>
        <v>Vessel</v>
      </c>
      <c r="I1776">
        <f>TE!CD6</f>
        <v>0</v>
      </c>
      <c r="J1776">
        <f>TE!CE6</f>
        <v>0</v>
      </c>
      <c r="K1776">
        <f>TE!CF6</f>
        <v>0</v>
      </c>
      <c r="L1776">
        <f>TE!CG6</f>
        <v>0</v>
      </c>
      <c r="M1776">
        <f>TE!CH6</f>
        <v>0</v>
      </c>
      <c r="N1776">
        <f>TE!CI6</f>
        <v>0</v>
      </c>
      <c r="O1776">
        <f>TE!CJ6</f>
        <v>0</v>
      </c>
      <c r="P1776" s="143" t="str">
        <f>TE!CK6</f>
        <v/>
      </c>
      <c r="R1776">
        <f t="shared" si="27"/>
        <v>1775</v>
      </c>
    </row>
    <row r="1777" spans="5:18">
      <c r="E1777" s="147" t="s">
        <v>66</v>
      </c>
      <c r="F1777" t="str">
        <f>TE!CA7</f>
        <v>HPS</v>
      </c>
      <c r="G1777" t="str">
        <f>TE!CB7</f>
        <v>AC</v>
      </c>
      <c r="H1777" t="str">
        <f>TE!CC7</f>
        <v>Vessel</v>
      </c>
      <c r="I1777">
        <f>TE!CD7</f>
        <v>0</v>
      </c>
      <c r="J1777">
        <f>TE!CE7</f>
        <v>0</v>
      </c>
      <c r="K1777">
        <f>TE!CF7</f>
        <v>0</v>
      </c>
      <c r="L1777">
        <f>TE!CG7</f>
        <v>0</v>
      </c>
      <c r="M1777">
        <f>TE!CH7</f>
        <v>0</v>
      </c>
      <c r="N1777">
        <f>TE!CI7</f>
        <v>0</v>
      </c>
      <c r="O1777">
        <f>TE!CJ7</f>
        <v>0</v>
      </c>
      <c r="P1777" s="143" t="str">
        <f>TE!CK7</f>
        <v/>
      </c>
      <c r="R1777">
        <f t="shared" si="27"/>
        <v>1776</v>
      </c>
    </row>
    <row r="1778" spans="5:18">
      <c r="E1778" s="147" t="s">
        <v>66</v>
      </c>
      <c r="F1778" t="str">
        <f>TE!CA8</f>
        <v>HPS</v>
      </c>
      <c r="G1778" t="str">
        <f>TE!CB8</f>
        <v>AC</v>
      </c>
      <c r="H1778" t="str">
        <f>TE!CC8</f>
        <v>Vessel</v>
      </c>
      <c r="I1778">
        <f>TE!CD8</f>
        <v>0</v>
      </c>
      <c r="J1778">
        <f>TE!CE8</f>
        <v>0</v>
      </c>
      <c r="K1778">
        <f>TE!CF8</f>
        <v>0</v>
      </c>
      <c r="L1778">
        <f>TE!CG8</f>
        <v>0</v>
      </c>
      <c r="M1778">
        <f>TE!CH8</f>
        <v>0</v>
      </c>
      <c r="N1778">
        <f>TE!CI8</f>
        <v>0</v>
      </c>
      <c r="O1778">
        <f>TE!CJ8</f>
        <v>0</v>
      </c>
      <c r="P1778" s="143" t="str">
        <f>TE!CK8</f>
        <v/>
      </c>
      <c r="R1778">
        <f t="shared" si="27"/>
        <v>1777</v>
      </c>
    </row>
    <row r="1779" spans="5:18">
      <c r="E1779" s="147" t="s">
        <v>66</v>
      </c>
      <c r="F1779" t="str">
        <f>TE!CA9</f>
        <v>HPS</v>
      </c>
      <c r="G1779" t="str">
        <f>TE!CB9</f>
        <v>AC</v>
      </c>
      <c r="H1779" t="str">
        <f>TE!CC9</f>
        <v>Vessel</v>
      </c>
      <c r="I1779">
        <f>TE!CD9</f>
        <v>0</v>
      </c>
      <c r="J1779">
        <f>TE!CE9</f>
        <v>0</v>
      </c>
      <c r="K1779">
        <f>TE!CF9</f>
        <v>0</v>
      </c>
      <c r="L1779">
        <f>TE!CG9</f>
        <v>0</v>
      </c>
      <c r="M1779">
        <f>TE!CH9</f>
        <v>0</v>
      </c>
      <c r="N1779">
        <f>TE!CI9</f>
        <v>0</v>
      </c>
      <c r="O1779">
        <f>TE!CJ9</f>
        <v>0</v>
      </c>
      <c r="P1779" s="143" t="str">
        <f>TE!CK9</f>
        <v/>
      </c>
      <c r="R1779">
        <f t="shared" si="27"/>
        <v>1778</v>
      </c>
    </row>
    <row r="1780" spans="5:18">
      <c r="E1780" s="147" t="s">
        <v>66</v>
      </c>
      <c r="F1780" t="str">
        <f>TE!CA10</f>
        <v>HPS</v>
      </c>
      <c r="G1780" t="str">
        <f>TE!CB10</f>
        <v>AC</v>
      </c>
      <c r="H1780" t="str">
        <f>TE!CC10</f>
        <v>Vessel</v>
      </c>
      <c r="I1780">
        <f>TE!CD10</f>
        <v>0</v>
      </c>
      <c r="J1780">
        <f>TE!CE10</f>
        <v>0</v>
      </c>
      <c r="K1780">
        <f>TE!CF10</f>
        <v>0</v>
      </c>
      <c r="L1780">
        <f>TE!CG10</f>
        <v>0</v>
      </c>
      <c r="M1780">
        <f>TE!CH10</f>
        <v>0</v>
      </c>
      <c r="N1780">
        <f>TE!CI10</f>
        <v>0</v>
      </c>
      <c r="O1780">
        <f>TE!CJ10</f>
        <v>0</v>
      </c>
      <c r="P1780" s="143" t="str">
        <f>TE!CK10</f>
        <v/>
      </c>
      <c r="R1780">
        <f t="shared" si="27"/>
        <v>1779</v>
      </c>
    </row>
    <row r="1781" spans="5:18">
      <c r="E1781" s="147" t="s">
        <v>66</v>
      </c>
      <c r="F1781" t="str">
        <f>TE!CA11</f>
        <v>HPS</v>
      </c>
      <c r="G1781" t="str">
        <f>TE!CB11</f>
        <v>AC</v>
      </c>
      <c r="H1781" t="str">
        <f>TE!CC11</f>
        <v>Vessel</v>
      </c>
      <c r="I1781">
        <f>TE!CD11</f>
        <v>0</v>
      </c>
      <c r="J1781">
        <f>TE!CE11</f>
        <v>0</v>
      </c>
      <c r="K1781">
        <f>TE!CF11</f>
        <v>0</v>
      </c>
      <c r="L1781">
        <f>TE!CG11</f>
        <v>0</v>
      </c>
      <c r="M1781">
        <f>TE!CH11</f>
        <v>0</v>
      </c>
      <c r="N1781">
        <f>TE!CI11</f>
        <v>0</v>
      </c>
      <c r="O1781">
        <f>TE!CJ11</f>
        <v>0</v>
      </c>
      <c r="P1781" s="143" t="str">
        <f>TE!CK11</f>
        <v/>
      </c>
      <c r="R1781">
        <f t="shared" si="27"/>
        <v>1780</v>
      </c>
    </row>
    <row r="1782" spans="5:18">
      <c r="E1782" s="147" t="s">
        <v>66</v>
      </c>
      <c r="F1782" t="str">
        <f>TE!CA12</f>
        <v>HPS</v>
      </c>
      <c r="G1782" t="str">
        <f>TE!CB12</f>
        <v>AC</v>
      </c>
      <c r="H1782" t="str">
        <f>TE!CC12</f>
        <v>Vessel</v>
      </c>
      <c r="I1782">
        <f>TE!CD12</f>
        <v>0</v>
      </c>
      <c r="J1782">
        <f>TE!CE12</f>
        <v>0</v>
      </c>
      <c r="K1782">
        <f>TE!CF12</f>
        <v>0</v>
      </c>
      <c r="L1782">
        <f>TE!CG12</f>
        <v>0</v>
      </c>
      <c r="M1782">
        <f>TE!CH12</f>
        <v>0</v>
      </c>
      <c r="N1782">
        <f>TE!CI12</f>
        <v>0</v>
      </c>
      <c r="O1782">
        <f>TE!CJ12</f>
        <v>0</v>
      </c>
      <c r="P1782" s="143" t="str">
        <f>TE!CK12</f>
        <v/>
      </c>
      <c r="R1782">
        <f t="shared" si="27"/>
        <v>1781</v>
      </c>
    </row>
    <row r="1783" spans="5:18">
      <c r="E1783" s="147" t="s">
        <v>66</v>
      </c>
      <c r="F1783" t="str">
        <f>TE!CA13</f>
        <v>HPS</v>
      </c>
      <c r="G1783" t="str">
        <f>TE!CB13</f>
        <v>AC</v>
      </c>
      <c r="H1783" t="str">
        <f>TE!CC13</f>
        <v>Vessel</v>
      </c>
      <c r="I1783">
        <f>TE!CD13</f>
        <v>0</v>
      </c>
      <c r="J1783">
        <f>TE!CE13</f>
        <v>0</v>
      </c>
      <c r="K1783">
        <f>TE!CF13</f>
        <v>0</v>
      </c>
      <c r="L1783">
        <f>TE!CG13</f>
        <v>0</v>
      </c>
      <c r="M1783">
        <f>TE!CH13</f>
        <v>0</v>
      </c>
      <c r="N1783">
        <f>TE!CI13</f>
        <v>0</v>
      </c>
      <c r="O1783">
        <f>TE!CJ13</f>
        <v>0</v>
      </c>
      <c r="P1783" s="143" t="str">
        <f>TE!CK13</f>
        <v/>
      </c>
      <c r="R1783">
        <f t="shared" si="27"/>
        <v>1782</v>
      </c>
    </row>
    <row r="1784" spans="5:18">
      <c r="E1784" s="147" t="s">
        <v>66</v>
      </c>
      <c r="F1784" t="str">
        <f>TE!CA14</f>
        <v>HPS</v>
      </c>
      <c r="G1784" t="str">
        <f>TE!CB14</f>
        <v>AC</v>
      </c>
      <c r="H1784" t="str">
        <f>TE!CC14</f>
        <v>Vessel</v>
      </c>
      <c r="I1784">
        <f>TE!CD14</f>
        <v>0</v>
      </c>
      <c r="J1784">
        <f>TE!CE14</f>
        <v>0</v>
      </c>
      <c r="K1784">
        <f>TE!CF14</f>
        <v>0</v>
      </c>
      <c r="L1784">
        <f>TE!CG14</f>
        <v>0</v>
      </c>
      <c r="M1784">
        <f>TE!CH14</f>
        <v>0</v>
      </c>
      <c r="N1784">
        <f>TE!CI14</f>
        <v>0</v>
      </c>
      <c r="O1784">
        <f>TE!CJ14</f>
        <v>0</v>
      </c>
      <c r="P1784" s="143" t="str">
        <f>TE!CK14</f>
        <v/>
      </c>
      <c r="R1784">
        <f t="shared" si="27"/>
        <v>1783</v>
      </c>
    </row>
    <row r="1785" spans="5:18">
      <c r="E1785" s="147" t="s">
        <v>66</v>
      </c>
      <c r="F1785" t="str">
        <f>TE!CA15</f>
        <v>HPS</v>
      </c>
      <c r="G1785" t="str">
        <f>TE!CB15</f>
        <v>AC</v>
      </c>
      <c r="H1785" t="str">
        <f>TE!CC15</f>
        <v>Vessel</v>
      </c>
      <c r="I1785">
        <f>TE!CD15</f>
        <v>0</v>
      </c>
      <c r="J1785">
        <f>TE!CE15</f>
        <v>0</v>
      </c>
      <c r="K1785">
        <f>TE!CF15</f>
        <v>0</v>
      </c>
      <c r="L1785">
        <f>TE!CG15</f>
        <v>0</v>
      </c>
      <c r="M1785">
        <f>TE!CH15</f>
        <v>0</v>
      </c>
      <c r="N1785">
        <f>TE!CI15</f>
        <v>0</v>
      </c>
      <c r="O1785">
        <f>TE!CJ15</f>
        <v>0</v>
      </c>
      <c r="P1785" s="143" t="str">
        <f>TE!CK15</f>
        <v/>
      </c>
      <c r="R1785">
        <f t="shared" si="27"/>
        <v>1784</v>
      </c>
    </row>
    <row r="1786" spans="5:18">
      <c r="E1786" s="147" t="s">
        <v>66</v>
      </c>
      <c r="F1786" t="str">
        <f>TE!CA16</f>
        <v>HPS</v>
      </c>
      <c r="G1786" t="str">
        <f>TE!CB16</f>
        <v>AC</v>
      </c>
      <c r="H1786" t="str">
        <f>TE!CC16</f>
        <v>Vessel</v>
      </c>
      <c r="I1786">
        <f>TE!CD16</f>
        <v>0</v>
      </c>
      <c r="J1786">
        <f>TE!CE16</f>
        <v>0</v>
      </c>
      <c r="K1786">
        <f>TE!CF16</f>
        <v>0</v>
      </c>
      <c r="L1786">
        <f>TE!CG16</f>
        <v>0</v>
      </c>
      <c r="M1786">
        <f>TE!CH16</f>
        <v>0</v>
      </c>
      <c r="N1786">
        <f>TE!CI16</f>
        <v>0</v>
      </c>
      <c r="O1786">
        <f>TE!CJ16</f>
        <v>0</v>
      </c>
      <c r="P1786" s="143" t="str">
        <f>TE!CK16</f>
        <v/>
      </c>
      <c r="R1786">
        <f t="shared" si="27"/>
        <v>1785</v>
      </c>
    </row>
    <row r="1787" spans="5:18">
      <c r="E1787" s="147" t="s">
        <v>66</v>
      </c>
      <c r="F1787" t="str">
        <f>TE!CA17</f>
        <v>HPS</v>
      </c>
      <c r="G1787" t="str">
        <f>TE!CB17</f>
        <v>AC</v>
      </c>
      <c r="H1787" t="str">
        <f>TE!CC17</f>
        <v>Vessel</v>
      </c>
      <c r="I1787">
        <f>TE!CD17</f>
        <v>0</v>
      </c>
      <c r="J1787">
        <f>TE!CE17</f>
        <v>0</v>
      </c>
      <c r="K1787">
        <f>TE!CF17</f>
        <v>0</v>
      </c>
      <c r="L1787">
        <f>TE!CG17</f>
        <v>0</v>
      </c>
      <c r="M1787">
        <f>TE!CH17</f>
        <v>0</v>
      </c>
      <c r="N1787">
        <f>TE!CI17</f>
        <v>0</v>
      </c>
      <c r="O1787">
        <f>TE!CJ17</f>
        <v>0</v>
      </c>
      <c r="P1787" s="143" t="str">
        <f>TE!CK17</f>
        <v/>
      </c>
      <c r="R1787">
        <f t="shared" si="27"/>
        <v>1786</v>
      </c>
    </row>
    <row r="1788" spans="5:18">
      <c r="E1788" s="147" t="s">
        <v>66</v>
      </c>
      <c r="F1788" t="str">
        <f>TE!CA18</f>
        <v>HPS</v>
      </c>
      <c r="G1788" t="str">
        <f>TE!CB18</f>
        <v>AC</v>
      </c>
      <c r="H1788" t="str">
        <f>TE!CC18</f>
        <v>Vessel</v>
      </c>
      <c r="I1788">
        <f>TE!CD18</f>
        <v>0</v>
      </c>
      <c r="J1788">
        <f>TE!CE18</f>
        <v>0</v>
      </c>
      <c r="K1788">
        <f>TE!CF18</f>
        <v>0</v>
      </c>
      <c r="L1788">
        <f>TE!CG18</f>
        <v>0</v>
      </c>
      <c r="M1788">
        <f>TE!CH18</f>
        <v>0</v>
      </c>
      <c r="N1788">
        <f>TE!CI18</f>
        <v>0</v>
      </c>
      <c r="O1788">
        <f>TE!CJ18</f>
        <v>0</v>
      </c>
      <c r="P1788" s="143" t="str">
        <f>TE!CK18</f>
        <v/>
      </c>
      <c r="R1788">
        <f t="shared" si="27"/>
        <v>1787</v>
      </c>
    </row>
    <row r="1789" spans="5:18">
      <c r="E1789" s="147" t="s">
        <v>66</v>
      </c>
      <c r="F1789" t="str">
        <f>TE!CA19</f>
        <v>HPS</v>
      </c>
      <c r="G1789" t="str">
        <f>TE!CB19</f>
        <v>AC</v>
      </c>
      <c r="H1789" t="str">
        <f>TE!CC19</f>
        <v>Vessel</v>
      </c>
      <c r="I1789">
        <f>TE!CD19</f>
        <v>0</v>
      </c>
      <c r="J1789">
        <f>TE!CE19</f>
        <v>0</v>
      </c>
      <c r="K1789">
        <f>TE!CF19</f>
        <v>0</v>
      </c>
      <c r="L1789">
        <f>TE!CG19</f>
        <v>0</v>
      </c>
      <c r="M1789">
        <f>TE!CH19</f>
        <v>0</v>
      </c>
      <c r="N1789">
        <f>TE!CI19</f>
        <v>0</v>
      </c>
      <c r="O1789">
        <f>TE!CJ19</f>
        <v>0</v>
      </c>
      <c r="P1789" s="143" t="str">
        <f>TE!CK19</f>
        <v/>
      </c>
      <c r="R1789">
        <f t="shared" si="27"/>
        <v>1788</v>
      </c>
    </row>
    <row r="1790" spans="5:18">
      <c r="E1790" s="147" t="s">
        <v>66</v>
      </c>
      <c r="F1790" t="str">
        <f>TE!CA20</f>
        <v>HPS</v>
      </c>
      <c r="G1790" t="str">
        <f>TE!CB20</f>
        <v>AC</v>
      </c>
      <c r="H1790" t="str">
        <f>TE!CC20</f>
        <v>Vessel</v>
      </c>
      <c r="I1790">
        <f>TE!CD20</f>
        <v>0</v>
      </c>
      <c r="J1790">
        <f>TE!CE20</f>
        <v>0</v>
      </c>
      <c r="K1790">
        <f>TE!CF20</f>
        <v>0</v>
      </c>
      <c r="L1790">
        <f>TE!CG20</f>
        <v>0</v>
      </c>
      <c r="M1790">
        <f>TE!CH20</f>
        <v>0</v>
      </c>
      <c r="N1790">
        <f>TE!CI20</f>
        <v>0</v>
      </c>
      <c r="O1790">
        <f>TE!CJ20</f>
        <v>0</v>
      </c>
      <c r="P1790" s="143" t="str">
        <f>TE!CK20</f>
        <v/>
      </c>
      <c r="R1790">
        <f t="shared" si="27"/>
        <v>1789</v>
      </c>
    </row>
    <row r="1791" spans="5:18">
      <c r="E1791" s="147" t="s">
        <v>66</v>
      </c>
      <c r="F1791" t="str">
        <f>TE!CA21</f>
        <v>HPS</v>
      </c>
      <c r="G1791" t="str">
        <f>TE!CB21</f>
        <v>AC</v>
      </c>
      <c r="H1791" t="str">
        <f>TE!CC21</f>
        <v>Vessel</v>
      </c>
      <c r="I1791">
        <f>TE!CD21</f>
        <v>0</v>
      </c>
      <c r="J1791">
        <f>TE!CE21</f>
        <v>0</v>
      </c>
      <c r="K1791">
        <f>TE!CF21</f>
        <v>0</v>
      </c>
      <c r="L1791">
        <f>TE!CG21</f>
        <v>0</v>
      </c>
      <c r="M1791">
        <f>TE!CH21</f>
        <v>0</v>
      </c>
      <c r="N1791">
        <f>TE!CI21</f>
        <v>0</v>
      </c>
      <c r="O1791">
        <f>TE!CJ21</f>
        <v>0</v>
      </c>
      <c r="P1791" s="143" t="str">
        <f>TE!CK21</f>
        <v/>
      </c>
      <c r="R1791">
        <f t="shared" si="27"/>
        <v>1790</v>
      </c>
    </row>
    <row r="1792" spans="5:18">
      <c r="E1792" s="147" t="s">
        <v>66</v>
      </c>
      <c r="F1792" t="str">
        <f>TE!CA22</f>
        <v>HPS</v>
      </c>
      <c r="G1792" t="str">
        <f>TE!CB22</f>
        <v>AC</v>
      </c>
      <c r="H1792" t="str">
        <f>TE!CC22</f>
        <v>Vessel</v>
      </c>
      <c r="I1792">
        <f>TE!CD22</f>
        <v>0</v>
      </c>
      <c r="J1792">
        <f>TE!CE22</f>
        <v>0</v>
      </c>
      <c r="K1792">
        <f>TE!CF22</f>
        <v>0</v>
      </c>
      <c r="L1792">
        <f>TE!CG22</f>
        <v>0</v>
      </c>
      <c r="M1792">
        <f>TE!CH22</f>
        <v>0</v>
      </c>
      <c r="N1792">
        <f>TE!CI22</f>
        <v>0</v>
      </c>
      <c r="O1792">
        <f>TE!CJ22</f>
        <v>0</v>
      </c>
      <c r="P1792" s="143" t="str">
        <f>TE!CK22</f>
        <v/>
      </c>
      <c r="R1792">
        <f t="shared" si="27"/>
        <v>1791</v>
      </c>
    </row>
    <row r="1793" spans="5:18">
      <c r="E1793" s="147" t="s">
        <v>66</v>
      </c>
      <c r="F1793" t="str">
        <f>TE!CA23</f>
        <v>HPS</v>
      </c>
      <c r="G1793" t="str">
        <f>TE!CB23</f>
        <v>AC</v>
      </c>
      <c r="H1793" t="str">
        <f>TE!CC23</f>
        <v>Vessel</v>
      </c>
      <c r="I1793">
        <f>TE!CD23</f>
        <v>0</v>
      </c>
      <c r="J1793">
        <f>TE!CE23</f>
        <v>0</v>
      </c>
      <c r="K1793">
        <f>TE!CF23</f>
        <v>0</v>
      </c>
      <c r="L1793">
        <f>TE!CG23</f>
        <v>0</v>
      </c>
      <c r="M1793">
        <f>TE!CH23</f>
        <v>0</v>
      </c>
      <c r="N1793">
        <f>TE!CI23</f>
        <v>0</v>
      </c>
      <c r="O1793">
        <f>TE!CJ23</f>
        <v>0</v>
      </c>
      <c r="P1793" s="143" t="str">
        <f>TE!CK23</f>
        <v/>
      </c>
      <c r="R1793">
        <f t="shared" si="27"/>
        <v>1792</v>
      </c>
    </row>
    <row r="1794" spans="5:18">
      <c r="E1794" s="147" t="s">
        <v>66</v>
      </c>
      <c r="F1794" t="str">
        <f>TE!CA24</f>
        <v>HPS</v>
      </c>
      <c r="G1794" t="str">
        <f>TE!CB24</f>
        <v>AC</v>
      </c>
      <c r="H1794" t="str">
        <f>TE!CC24</f>
        <v>Vessel</v>
      </c>
      <c r="I1794">
        <f>TE!CD24</f>
        <v>0</v>
      </c>
      <c r="J1794">
        <f>TE!CE24</f>
        <v>0</v>
      </c>
      <c r="K1794">
        <f>TE!CF24</f>
        <v>0</v>
      </c>
      <c r="L1794">
        <f>TE!CG24</f>
        <v>0</v>
      </c>
      <c r="M1794">
        <f>TE!CH24</f>
        <v>0</v>
      </c>
      <c r="N1794">
        <f>TE!CI24</f>
        <v>0</v>
      </c>
      <c r="O1794">
        <f>TE!CJ24</f>
        <v>0</v>
      </c>
      <c r="P1794" s="143" t="str">
        <f>TE!CK24</f>
        <v/>
      </c>
      <c r="R1794">
        <f t="shared" si="27"/>
        <v>1793</v>
      </c>
    </row>
    <row r="1795" spans="5:18">
      <c r="E1795" s="147" t="s">
        <v>66</v>
      </c>
      <c r="F1795" t="str">
        <f>TE!CA25</f>
        <v>HPS</v>
      </c>
      <c r="G1795" t="str">
        <f>TE!CB25</f>
        <v>AC</v>
      </c>
      <c r="H1795" t="str">
        <f>TE!CC25</f>
        <v>Vessel</v>
      </c>
      <c r="I1795">
        <f>TE!CD25</f>
        <v>0</v>
      </c>
      <c r="J1795">
        <f>TE!CE25</f>
        <v>0</v>
      </c>
      <c r="K1795">
        <f>TE!CF25</f>
        <v>0</v>
      </c>
      <c r="L1795">
        <f>TE!CG25</f>
        <v>0</v>
      </c>
      <c r="M1795">
        <f>TE!CH25</f>
        <v>0</v>
      </c>
      <c r="N1795">
        <f>TE!CI25</f>
        <v>0</v>
      </c>
      <c r="O1795">
        <f>TE!CJ25</f>
        <v>0</v>
      </c>
      <c r="P1795" s="143" t="str">
        <f>TE!CK25</f>
        <v/>
      </c>
      <c r="R1795">
        <f t="shared" si="27"/>
        <v>1794</v>
      </c>
    </row>
    <row r="1796" spans="5:18">
      <c r="E1796" s="147" t="s">
        <v>66</v>
      </c>
      <c r="F1796" t="str">
        <f>TE!CA26</f>
        <v>HPS</v>
      </c>
      <c r="G1796" t="str">
        <f>TE!CB26</f>
        <v>AC</v>
      </c>
      <c r="H1796" t="str">
        <f>TE!CC26</f>
        <v>Vessel</v>
      </c>
      <c r="I1796">
        <f>TE!CD26</f>
        <v>0</v>
      </c>
      <c r="J1796">
        <f>TE!CE26</f>
        <v>0</v>
      </c>
      <c r="K1796">
        <f>TE!CF26</f>
        <v>0</v>
      </c>
      <c r="L1796">
        <f>TE!CG26</f>
        <v>0</v>
      </c>
      <c r="M1796">
        <f>TE!CH26</f>
        <v>0</v>
      </c>
      <c r="N1796">
        <f>TE!CI26</f>
        <v>0</v>
      </c>
      <c r="O1796">
        <f>TE!CJ26</f>
        <v>0</v>
      </c>
      <c r="P1796" s="143" t="str">
        <f>TE!CK26</f>
        <v/>
      </c>
      <c r="R1796">
        <f t="shared" ref="R1796:R1859" si="28">R1795+1</f>
        <v>1795</v>
      </c>
    </row>
    <row r="1797" spans="5:18">
      <c r="E1797" s="147" t="s">
        <v>66</v>
      </c>
      <c r="F1797" t="str">
        <f>TE!CA27</f>
        <v>HPS</v>
      </c>
      <c r="G1797" t="str">
        <f>TE!CB27</f>
        <v>AC</v>
      </c>
      <c r="H1797" t="str">
        <f>TE!CC27</f>
        <v>Vessel</v>
      </c>
      <c r="I1797">
        <f>TE!CD27</f>
        <v>0</v>
      </c>
      <c r="J1797">
        <f>TE!CE27</f>
        <v>0</v>
      </c>
      <c r="K1797">
        <f>TE!CF27</f>
        <v>0</v>
      </c>
      <c r="L1797">
        <f>TE!CG27</f>
        <v>0</v>
      </c>
      <c r="M1797">
        <f>TE!CH27</f>
        <v>0</v>
      </c>
      <c r="N1797">
        <f>TE!CI27</f>
        <v>0</v>
      </c>
      <c r="O1797">
        <f>TE!CJ27</f>
        <v>0</v>
      </c>
      <c r="P1797" s="143" t="str">
        <f>TE!CK27</f>
        <v/>
      </c>
      <c r="R1797">
        <f t="shared" si="28"/>
        <v>1796</v>
      </c>
    </row>
    <row r="1798" spans="5:18">
      <c r="E1798" s="147" t="s">
        <v>66</v>
      </c>
      <c r="F1798" t="str">
        <f>TE!CA28</f>
        <v>HPS</v>
      </c>
      <c r="G1798" t="str">
        <f>TE!CB28</f>
        <v>AC</v>
      </c>
      <c r="H1798" t="str">
        <f>TE!CC28</f>
        <v>Vessel</v>
      </c>
      <c r="I1798">
        <f>TE!CD28</f>
        <v>0</v>
      </c>
      <c r="J1798">
        <f>TE!CE28</f>
        <v>0</v>
      </c>
      <c r="K1798">
        <f>TE!CF28</f>
        <v>0</v>
      </c>
      <c r="L1798">
        <f>TE!CG28</f>
        <v>0</v>
      </c>
      <c r="M1798">
        <f>TE!CH28</f>
        <v>0</v>
      </c>
      <c r="N1798">
        <f>TE!CI28</f>
        <v>0</v>
      </c>
      <c r="O1798">
        <f>TE!CJ28</f>
        <v>0</v>
      </c>
      <c r="P1798" s="143" t="str">
        <f>TE!CK28</f>
        <v/>
      </c>
      <c r="R1798">
        <f t="shared" si="28"/>
        <v>1797</v>
      </c>
    </row>
    <row r="1799" spans="5:18">
      <c r="E1799" s="147" t="s">
        <v>66</v>
      </c>
      <c r="F1799" t="str">
        <f>TE!CA29</f>
        <v>HPS</v>
      </c>
      <c r="G1799" t="str">
        <f>TE!CB29</f>
        <v>AC</v>
      </c>
      <c r="H1799" t="str">
        <f>TE!CC29</f>
        <v>Vessel</v>
      </c>
      <c r="I1799">
        <f>TE!CD29</f>
        <v>0</v>
      </c>
      <c r="J1799">
        <f>TE!CE29</f>
        <v>0</v>
      </c>
      <c r="K1799">
        <f>TE!CF29</f>
        <v>0</v>
      </c>
      <c r="L1799">
        <f>TE!CG29</f>
        <v>0</v>
      </c>
      <c r="M1799">
        <f>TE!CH29</f>
        <v>0</v>
      </c>
      <c r="N1799">
        <f>TE!CI29</f>
        <v>0</v>
      </c>
      <c r="O1799">
        <f>TE!CJ29</f>
        <v>0</v>
      </c>
      <c r="P1799" s="143" t="str">
        <f>TE!CK29</f>
        <v/>
      </c>
      <c r="R1799">
        <f t="shared" si="28"/>
        <v>1798</v>
      </c>
    </row>
    <row r="1800" spans="5:18">
      <c r="E1800" s="147" t="s">
        <v>66</v>
      </c>
      <c r="F1800" t="str">
        <f>TE!CA30</f>
        <v>HPS</v>
      </c>
      <c r="G1800" t="str">
        <f>TE!CB30</f>
        <v>AC</v>
      </c>
      <c r="H1800" t="str">
        <f>TE!CC30</f>
        <v>Vessel</v>
      </c>
      <c r="I1800">
        <f>TE!CD30</f>
        <v>0</v>
      </c>
      <c r="J1800">
        <f>TE!CE30</f>
        <v>0</v>
      </c>
      <c r="K1800">
        <f>TE!CF30</f>
        <v>0</v>
      </c>
      <c r="L1800">
        <f>TE!CG30</f>
        <v>0</v>
      </c>
      <c r="M1800">
        <f>TE!CH30</f>
        <v>0</v>
      </c>
      <c r="N1800">
        <f>TE!CI30</f>
        <v>0</v>
      </c>
      <c r="O1800">
        <f>TE!CJ30</f>
        <v>0</v>
      </c>
      <c r="P1800" s="143" t="str">
        <f>TE!CK30</f>
        <v/>
      </c>
      <c r="R1800">
        <f t="shared" si="28"/>
        <v>1799</v>
      </c>
    </row>
    <row r="1801" spans="5:18">
      <c r="E1801" s="147" t="s">
        <v>66</v>
      </c>
      <c r="F1801" t="str">
        <f>TE!CA31</f>
        <v>HPS</v>
      </c>
      <c r="G1801" t="str">
        <f>TE!CB31</f>
        <v>AC</v>
      </c>
      <c r="H1801" t="str">
        <f>TE!CC31</f>
        <v>Vessel</v>
      </c>
      <c r="I1801">
        <f>TE!CD31</f>
        <v>0</v>
      </c>
      <c r="J1801">
        <f>TE!CE31</f>
        <v>0</v>
      </c>
      <c r="K1801">
        <f>TE!CF31</f>
        <v>0</v>
      </c>
      <c r="L1801">
        <f>TE!CG31</f>
        <v>0</v>
      </c>
      <c r="M1801">
        <f>TE!CH31</f>
        <v>0</v>
      </c>
      <c r="N1801">
        <f>TE!CI31</f>
        <v>0</v>
      </c>
      <c r="O1801">
        <f>TE!CJ31</f>
        <v>0</v>
      </c>
      <c r="P1801" s="143" t="str">
        <f>TE!CK31</f>
        <v/>
      </c>
      <c r="R1801">
        <f t="shared" si="28"/>
        <v>1800</v>
      </c>
    </row>
    <row r="1802" spans="5:18">
      <c r="E1802" s="147" t="s">
        <v>66</v>
      </c>
      <c r="F1802" t="str">
        <f>TE!CA32</f>
        <v>HPS</v>
      </c>
      <c r="G1802" t="str">
        <f>TE!CB32</f>
        <v>AC</v>
      </c>
      <c r="H1802" t="str">
        <f>TE!CC32</f>
        <v>Vessel</v>
      </c>
      <c r="I1802">
        <f>TE!CD32</f>
        <v>0</v>
      </c>
      <c r="J1802">
        <f>TE!CE32</f>
        <v>0</v>
      </c>
      <c r="K1802">
        <f>TE!CF32</f>
        <v>0</v>
      </c>
      <c r="L1802">
        <f>TE!CG32</f>
        <v>0</v>
      </c>
      <c r="M1802">
        <f>TE!CH32</f>
        <v>0</v>
      </c>
      <c r="N1802">
        <f>TE!CI32</f>
        <v>0</v>
      </c>
      <c r="O1802">
        <f>TE!CJ32</f>
        <v>0</v>
      </c>
      <c r="P1802" s="143" t="str">
        <f>TE!CK32</f>
        <v/>
      </c>
      <c r="R1802">
        <f t="shared" si="28"/>
        <v>1801</v>
      </c>
    </row>
    <row r="1803" spans="5:18">
      <c r="E1803" s="147" t="s">
        <v>66</v>
      </c>
      <c r="F1803" t="str">
        <f>TE!CA33</f>
        <v>HPS</v>
      </c>
      <c r="G1803" t="str">
        <f>TE!CB33</f>
        <v>AC</v>
      </c>
      <c r="H1803" t="str">
        <f>TE!CC33</f>
        <v>Vessel</v>
      </c>
      <c r="I1803">
        <f>TE!CD33</f>
        <v>0</v>
      </c>
      <c r="J1803">
        <f>TE!CE33</f>
        <v>0</v>
      </c>
      <c r="K1803">
        <f>TE!CF33</f>
        <v>0</v>
      </c>
      <c r="L1803">
        <f>TE!CG33</f>
        <v>0</v>
      </c>
      <c r="M1803">
        <f>TE!CH33</f>
        <v>0</v>
      </c>
      <c r="N1803">
        <f>TE!CI33</f>
        <v>0</v>
      </c>
      <c r="O1803">
        <f>TE!CJ33</f>
        <v>0</v>
      </c>
      <c r="P1803" s="143" t="str">
        <f>TE!CK33</f>
        <v/>
      </c>
      <c r="R1803">
        <f t="shared" si="28"/>
        <v>1802</v>
      </c>
    </row>
    <row r="1804" spans="5:18">
      <c r="E1804" s="147" t="s">
        <v>66</v>
      </c>
      <c r="F1804" t="str">
        <f>TE!CA34</f>
        <v>HPS</v>
      </c>
      <c r="G1804" t="str">
        <f>TE!CB34</f>
        <v>AC</v>
      </c>
      <c r="H1804" t="str">
        <f>TE!CC34</f>
        <v>Vessel</v>
      </c>
      <c r="I1804">
        <f>TE!CD34</f>
        <v>0</v>
      </c>
      <c r="J1804">
        <f>TE!CE34</f>
        <v>0</v>
      </c>
      <c r="K1804">
        <f>TE!CF34</f>
        <v>0</v>
      </c>
      <c r="L1804">
        <f>TE!CG34</f>
        <v>0</v>
      </c>
      <c r="M1804">
        <f>TE!CH34</f>
        <v>0</v>
      </c>
      <c r="N1804">
        <f>TE!CI34</f>
        <v>0</v>
      </c>
      <c r="O1804">
        <f>TE!CJ34</f>
        <v>0</v>
      </c>
      <c r="P1804" s="143" t="str">
        <f>TE!CK34</f>
        <v/>
      </c>
      <c r="R1804">
        <f t="shared" si="28"/>
        <v>1803</v>
      </c>
    </row>
    <row r="1805" spans="5:18">
      <c r="E1805" s="147" t="s">
        <v>66</v>
      </c>
      <c r="F1805" t="str">
        <f>TE!CA35</f>
        <v>HPS</v>
      </c>
      <c r="G1805" t="str">
        <f>TE!CB35</f>
        <v>AC</v>
      </c>
      <c r="H1805" t="str">
        <f>TE!CC35</f>
        <v>Vessel</v>
      </c>
      <c r="I1805">
        <f>TE!CD35</f>
        <v>0</v>
      </c>
      <c r="J1805">
        <f>TE!CE35</f>
        <v>0</v>
      </c>
      <c r="K1805">
        <f>TE!CF35</f>
        <v>0</v>
      </c>
      <c r="L1805">
        <f>TE!CG35</f>
        <v>0</v>
      </c>
      <c r="M1805">
        <f>TE!CH35</f>
        <v>0</v>
      </c>
      <c r="N1805">
        <f>TE!CI35</f>
        <v>0</v>
      </c>
      <c r="O1805">
        <f>TE!CJ35</f>
        <v>0</v>
      </c>
      <c r="P1805" s="143" t="str">
        <f>TE!CK35</f>
        <v/>
      </c>
      <c r="R1805">
        <f t="shared" si="28"/>
        <v>1804</v>
      </c>
    </row>
    <row r="1806" spans="5:18">
      <c r="E1806" s="147" t="s">
        <v>66</v>
      </c>
      <c r="F1806" t="str">
        <f>TE!CA36</f>
        <v>HPS</v>
      </c>
      <c r="G1806" t="str">
        <f>TE!CB36</f>
        <v>AC</v>
      </c>
      <c r="H1806" t="str">
        <f>TE!CC36</f>
        <v>Vessel</v>
      </c>
      <c r="I1806">
        <f>TE!CD36</f>
        <v>0</v>
      </c>
      <c r="J1806">
        <f>TE!CE36</f>
        <v>0</v>
      </c>
      <c r="K1806">
        <f>TE!CF36</f>
        <v>0</v>
      </c>
      <c r="L1806">
        <f>TE!CG36</f>
        <v>0</v>
      </c>
      <c r="M1806">
        <f>TE!CH36</f>
        <v>0</v>
      </c>
      <c r="N1806">
        <f>TE!CI36</f>
        <v>0</v>
      </c>
      <c r="O1806">
        <f>TE!CJ36</f>
        <v>0</v>
      </c>
      <c r="P1806" s="143" t="str">
        <f>TE!CK36</f>
        <v/>
      </c>
      <c r="R1806">
        <f t="shared" si="28"/>
        <v>1805</v>
      </c>
    </row>
    <row r="1807" spans="5:18">
      <c r="E1807" s="147" t="s">
        <v>66</v>
      </c>
      <c r="F1807" t="str">
        <f>TE!CA37</f>
        <v>HPS</v>
      </c>
      <c r="G1807" t="str">
        <f>TE!CB37</f>
        <v>AC</v>
      </c>
      <c r="H1807" t="str">
        <f>TE!CC37</f>
        <v>Vessel</v>
      </c>
      <c r="I1807">
        <f>TE!CD37</f>
        <v>0</v>
      </c>
      <c r="J1807">
        <f>TE!CE37</f>
        <v>0</v>
      </c>
      <c r="K1807">
        <f>TE!CF37</f>
        <v>0</v>
      </c>
      <c r="L1807">
        <f>TE!CG37</f>
        <v>0</v>
      </c>
      <c r="M1807">
        <f>TE!CH37</f>
        <v>0</v>
      </c>
      <c r="N1807">
        <f>TE!CI37</f>
        <v>0</v>
      </c>
      <c r="O1807">
        <f>TE!CJ37</f>
        <v>0</v>
      </c>
      <c r="P1807" s="143" t="str">
        <f>TE!CK37</f>
        <v/>
      </c>
      <c r="R1807">
        <f t="shared" si="28"/>
        <v>1806</v>
      </c>
    </row>
    <row r="1808" spans="5:18">
      <c r="E1808" s="147" t="s">
        <v>66</v>
      </c>
      <c r="F1808" t="str">
        <f>TE!CA38</f>
        <v>HPS</v>
      </c>
      <c r="G1808" t="str">
        <f>TE!CB38</f>
        <v>AC</v>
      </c>
      <c r="H1808" t="str">
        <f>TE!CC38</f>
        <v>Vessel</v>
      </c>
      <c r="I1808">
        <f>TE!CD38</f>
        <v>0</v>
      </c>
      <c r="J1808">
        <f>TE!CE38</f>
        <v>0</v>
      </c>
      <c r="K1808">
        <f>TE!CF38</f>
        <v>0</v>
      </c>
      <c r="L1808">
        <f>TE!CG38</f>
        <v>0</v>
      </c>
      <c r="M1808">
        <f>TE!CH38</f>
        <v>0</v>
      </c>
      <c r="N1808">
        <f>TE!CI38</f>
        <v>0</v>
      </c>
      <c r="O1808">
        <f>TE!CJ38</f>
        <v>0</v>
      </c>
      <c r="P1808" s="143" t="str">
        <f>TE!CK38</f>
        <v/>
      </c>
      <c r="R1808">
        <f t="shared" si="28"/>
        <v>1807</v>
      </c>
    </row>
    <row r="1809" spans="5:18">
      <c r="E1809" s="147" t="s">
        <v>66</v>
      </c>
      <c r="F1809" t="str">
        <f>TE!CA39</f>
        <v>HPS</v>
      </c>
      <c r="G1809" t="str">
        <f>TE!CB39</f>
        <v>AC</v>
      </c>
      <c r="H1809" t="str">
        <f>TE!CC39</f>
        <v>Vessel</v>
      </c>
      <c r="I1809">
        <f>TE!CD39</f>
        <v>0</v>
      </c>
      <c r="J1809">
        <f>TE!CE39</f>
        <v>0</v>
      </c>
      <c r="K1809">
        <f>TE!CF39</f>
        <v>0</v>
      </c>
      <c r="L1809">
        <f>TE!CG39</f>
        <v>0</v>
      </c>
      <c r="M1809">
        <f>TE!CH39</f>
        <v>0</v>
      </c>
      <c r="N1809">
        <f>TE!CI39</f>
        <v>0</v>
      </c>
      <c r="O1809">
        <f>TE!CJ39</f>
        <v>0</v>
      </c>
      <c r="P1809" s="143" t="str">
        <f>TE!CK39</f>
        <v/>
      </c>
      <c r="R1809">
        <f t="shared" si="28"/>
        <v>1808</v>
      </c>
    </row>
    <row r="1810" spans="5:18">
      <c r="E1810" s="147" t="s">
        <v>66</v>
      </c>
      <c r="F1810" t="str">
        <f>TE!CA40</f>
        <v>HPS</v>
      </c>
      <c r="G1810" t="str">
        <f>TE!CB40</f>
        <v>AC</v>
      </c>
      <c r="H1810" t="str">
        <f>TE!CC40</f>
        <v>Vessel</v>
      </c>
      <c r="I1810">
        <f>TE!CD40</f>
        <v>0</v>
      </c>
      <c r="J1810">
        <f>TE!CE40</f>
        <v>0</v>
      </c>
      <c r="K1810">
        <f>TE!CF40</f>
        <v>0</v>
      </c>
      <c r="L1810">
        <f>TE!CG40</f>
        <v>0</v>
      </c>
      <c r="M1810">
        <f>TE!CH40</f>
        <v>0</v>
      </c>
      <c r="N1810">
        <f>TE!CI40</f>
        <v>0</v>
      </c>
      <c r="O1810">
        <f>TE!CJ40</f>
        <v>0</v>
      </c>
      <c r="P1810" s="143" t="str">
        <f>TE!CK40</f>
        <v/>
      </c>
      <c r="R1810">
        <f t="shared" si="28"/>
        <v>1809</v>
      </c>
    </row>
    <row r="1811" spans="5:18">
      <c r="E1811" s="147" t="s">
        <v>66</v>
      </c>
      <c r="F1811" t="str">
        <f>TE!CA41</f>
        <v>HPS</v>
      </c>
      <c r="G1811" t="str">
        <f>TE!CB41</f>
        <v>AC</v>
      </c>
      <c r="H1811" t="str">
        <f>TE!CC41</f>
        <v>Vessel</v>
      </c>
      <c r="I1811">
        <f>TE!CD41</f>
        <v>0</v>
      </c>
      <c r="J1811">
        <f>TE!CE41</f>
        <v>0</v>
      </c>
      <c r="K1811">
        <f>TE!CF41</f>
        <v>0</v>
      </c>
      <c r="L1811">
        <f>TE!CG41</f>
        <v>0</v>
      </c>
      <c r="M1811">
        <f>TE!CH41</f>
        <v>0</v>
      </c>
      <c r="N1811">
        <f>TE!CI41</f>
        <v>0</v>
      </c>
      <c r="O1811">
        <f>TE!CJ41</f>
        <v>0</v>
      </c>
      <c r="P1811" s="143" t="str">
        <f>TE!CK41</f>
        <v/>
      </c>
      <c r="R1811">
        <f t="shared" si="28"/>
        <v>1810</v>
      </c>
    </row>
    <row r="1812" spans="5:18">
      <c r="E1812" s="147" t="s">
        <v>66</v>
      </c>
      <c r="F1812" t="str">
        <f>TE!CA42</f>
        <v>HPS</v>
      </c>
      <c r="G1812" t="str">
        <f>TE!CB42</f>
        <v>AC</v>
      </c>
      <c r="H1812" t="str">
        <f>TE!CC42</f>
        <v>Vessel</v>
      </c>
      <c r="I1812">
        <f>TE!CD42</f>
        <v>0</v>
      </c>
      <c r="J1812">
        <f>TE!CE42</f>
        <v>0</v>
      </c>
      <c r="K1812">
        <f>TE!CF42</f>
        <v>0</v>
      </c>
      <c r="L1812">
        <f>TE!CG42</f>
        <v>0</v>
      </c>
      <c r="M1812">
        <f>TE!CH42</f>
        <v>0</v>
      </c>
      <c r="N1812">
        <f>TE!CI42</f>
        <v>0</v>
      </c>
      <c r="O1812">
        <f>TE!CJ42</f>
        <v>0</v>
      </c>
      <c r="P1812" s="143" t="str">
        <f>TE!CK42</f>
        <v/>
      </c>
      <c r="R1812">
        <f t="shared" si="28"/>
        <v>1811</v>
      </c>
    </row>
    <row r="1813" spans="5:18">
      <c r="E1813" s="147" t="s">
        <v>66</v>
      </c>
      <c r="F1813" t="str">
        <f>TE!CA43</f>
        <v>HPS</v>
      </c>
      <c r="G1813" t="str">
        <f>TE!CB43</f>
        <v>AC</v>
      </c>
      <c r="H1813" t="str">
        <f>TE!CC43</f>
        <v>Vessel</v>
      </c>
      <c r="I1813">
        <f>TE!CD43</f>
        <v>0</v>
      </c>
      <c r="J1813">
        <f>TE!CE43</f>
        <v>0</v>
      </c>
      <c r="K1813">
        <f>TE!CF43</f>
        <v>0</v>
      </c>
      <c r="L1813">
        <f>TE!CG43</f>
        <v>0</v>
      </c>
      <c r="M1813">
        <f>TE!CH43</f>
        <v>0</v>
      </c>
      <c r="N1813">
        <f>TE!CI43</f>
        <v>0</v>
      </c>
      <c r="O1813">
        <f>TE!CJ43</f>
        <v>0</v>
      </c>
      <c r="P1813" s="143" t="str">
        <f>TE!CK43</f>
        <v/>
      </c>
      <c r="R1813">
        <f t="shared" si="28"/>
        <v>1812</v>
      </c>
    </row>
    <row r="1814" spans="5:18">
      <c r="E1814" s="147" t="s">
        <v>66</v>
      </c>
      <c r="F1814" t="str">
        <f>TE!CA44</f>
        <v>HPS</v>
      </c>
      <c r="G1814" t="str">
        <f>TE!CB44</f>
        <v>AC</v>
      </c>
      <c r="H1814" t="str">
        <f>TE!CC44</f>
        <v>Vessel</v>
      </c>
      <c r="I1814">
        <f>TE!CD44</f>
        <v>0</v>
      </c>
      <c r="J1814">
        <f>TE!CE44</f>
        <v>0</v>
      </c>
      <c r="K1814">
        <f>TE!CF44</f>
        <v>0</v>
      </c>
      <c r="L1814">
        <f>TE!CG44</f>
        <v>0</v>
      </c>
      <c r="M1814">
        <f>TE!CH44</f>
        <v>0</v>
      </c>
      <c r="N1814">
        <f>TE!CI44</f>
        <v>0</v>
      </c>
      <c r="O1814">
        <f>TE!CJ44</f>
        <v>0</v>
      </c>
      <c r="P1814" s="143" t="str">
        <f>TE!CK44</f>
        <v/>
      </c>
      <c r="R1814">
        <f t="shared" si="28"/>
        <v>1813</v>
      </c>
    </row>
    <row r="1815" spans="5:18">
      <c r="E1815" s="147" t="s">
        <v>66</v>
      </c>
      <c r="F1815" t="str">
        <f>TE!CA45</f>
        <v>HPS</v>
      </c>
      <c r="G1815" t="str">
        <f>TE!CB45</f>
        <v>AC</v>
      </c>
      <c r="H1815" t="str">
        <f>TE!CC45</f>
        <v>Vessel</v>
      </c>
      <c r="I1815">
        <f>TE!CD45</f>
        <v>0</v>
      </c>
      <c r="J1815">
        <f>TE!CE45</f>
        <v>0</v>
      </c>
      <c r="K1815">
        <f>TE!CF45</f>
        <v>0</v>
      </c>
      <c r="L1815">
        <f>TE!CG45</f>
        <v>0</v>
      </c>
      <c r="M1815">
        <f>TE!CH45</f>
        <v>0</v>
      </c>
      <c r="N1815">
        <f>TE!CI45</f>
        <v>0</v>
      </c>
      <c r="O1815">
        <f>TE!CJ45</f>
        <v>0</v>
      </c>
      <c r="P1815" s="143" t="str">
        <f>TE!CK45</f>
        <v/>
      </c>
      <c r="R1815">
        <f t="shared" si="28"/>
        <v>1814</v>
      </c>
    </row>
    <row r="1816" spans="5:18">
      <c r="E1816" s="147" t="s">
        <v>66</v>
      </c>
      <c r="F1816" t="str">
        <f>TE!CA46</f>
        <v>HPS</v>
      </c>
      <c r="G1816" t="str">
        <f>TE!CB46</f>
        <v>AC</v>
      </c>
      <c r="H1816" t="str">
        <f>TE!CC46</f>
        <v>Vessel</v>
      </c>
      <c r="I1816">
        <f>TE!CD46</f>
        <v>0</v>
      </c>
      <c r="J1816">
        <f>TE!CE46</f>
        <v>0</v>
      </c>
      <c r="K1816">
        <f>TE!CF46</f>
        <v>0</v>
      </c>
      <c r="L1816">
        <f>TE!CG46</f>
        <v>0</v>
      </c>
      <c r="M1816">
        <f>TE!CH46</f>
        <v>0</v>
      </c>
      <c r="N1816">
        <f>TE!CI46</f>
        <v>0</v>
      </c>
      <c r="O1816">
        <f>TE!CJ46</f>
        <v>0</v>
      </c>
      <c r="P1816" s="143" t="str">
        <f>TE!CK46</f>
        <v/>
      </c>
      <c r="R1816">
        <f t="shared" si="28"/>
        <v>1815</v>
      </c>
    </row>
    <row r="1817" spans="5:18">
      <c r="E1817" s="147" t="s">
        <v>66</v>
      </c>
      <c r="F1817" t="str">
        <f>TE!CA47</f>
        <v>HPS</v>
      </c>
      <c r="G1817" t="str">
        <f>TE!CB47</f>
        <v>AC</v>
      </c>
      <c r="H1817" t="str">
        <f>TE!CC47</f>
        <v>Vessel</v>
      </c>
      <c r="I1817">
        <f>TE!CD47</f>
        <v>0</v>
      </c>
      <c r="J1817">
        <f>TE!CE47</f>
        <v>0</v>
      </c>
      <c r="K1817">
        <f>TE!CF47</f>
        <v>0</v>
      </c>
      <c r="L1817">
        <f>TE!CG47</f>
        <v>0</v>
      </c>
      <c r="M1817">
        <f>TE!CH47</f>
        <v>0</v>
      </c>
      <c r="N1817">
        <f>TE!CI47</f>
        <v>0</v>
      </c>
      <c r="O1817">
        <f>TE!CJ47</f>
        <v>0</v>
      </c>
      <c r="P1817" s="143" t="str">
        <f>TE!CK47</f>
        <v/>
      </c>
      <c r="R1817">
        <f t="shared" si="28"/>
        <v>1816</v>
      </c>
    </row>
    <row r="1818" spans="5:18">
      <c r="E1818" s="147" t="s">
        <v>66</v>
      </c>
      <c r="F1818" t="str">
        <f>TE!CA48</f>
        <v>HPS</v>
      </c>
      <c r="G1818" t="str">
        <f>TE!CB48</f>
        <v>AC</v>
      </c>
      <c r="H1818" t="str">
        <f>TE!CC48</f>
        <v>Vessel</v>
      </c>
      <c r="I1818">
        <f>TE!CD48</f>
        <v>0</v>
      </c>
      <c r="J1818">
        <f>TE!CE48</f>
        <v>0</v>
      </c>
      <c r="K1818">
        <f>TE!CF48</f>
        <v>0</v>
      </c>
      <c r="L1818">
        <f>TE!CG48</f>
        <v>0</v>
      </c>
      <c r="M1818">
        <f>TE!CH48</f>
        <v>0</v>
      </c>
      <c r="N1818">
        <f>TE!CI48</f>
        <v>0</v>
      </c>
      <c r="O1818">
        <f>TE!CJ48</f>
        <v>0</v>
      </c>
      <c r="P1818" s="143" t="str">
        <f>TE!CK48</f>
        <v/>
      </c>
      <c r="R1818">
        <f t="shared" si="28"/>
        <v>1817</v>
      </c>
    </row>
    <row r="1819" spans="5:18">
      <c r="E1819" s="147" t="s">
        <v>66</v>
      </c>
      <c r="F1819" t="str">
        <f>TE!CA49</f>
        <v>HPS</v>
      </c>
      <c r="G1819" t="str">
        <f>TE!CB49</f>
        <v>AC</v>
      </c>
      <c r="H1819" t="str">
        <f>TE!CC49</f>
        <v>Vessel</v>
      </c>
      <c r="I1819">
        <f>TE!CD49</f>
        <v>0</v>
      </c>
      <c r="J1819">
        <f>TE!CE49</f>
        <v>0</v>
      </c>
      <c r="K1819">
        <f>TE!CF49</f>
        <v>0</v>
      </c>
      <c r="L1819">
        <f>TE!CG49</f>
        <v>0</v>
      </c>
      <c r="M1819">
        <f>TE!CH49</f>
        <v>0</v>
      </c>
      <c r="N1819">
        <f>TE!CI49</f>
        <v>0</v>
      </c>
      <c r="O1819">
        <f>TE!CJ49</f>
        <v>0</v>
      </c>
      <c r="P1819" s="143" t="str">
        <f>TE!CK49</f>
        <v/>
      </c>
      <c r="R1819">
        <f t="shared" si="28"/>
        <v>1818</v>
      </c>
    </row>
    <row r="1820" spans="5:18">
      <c r="E1820" s="147" t="s">
        <v>66</v>
      </c>
      <c r="F1820" t="str">
        <f>TE!CA50</f>
        <v>HPS</v>
      </c>
      <c r="G1820" t="str">
        <f>TE!CB50</f>
        <v>AC</v>
      </c>
      <c r="H1820" t="str">
        <f>TE!CC50</f>
        <v>Vessel</v>
      </c>
      <c r="I1820">
        <f>TE!CD50</f>
        <v>0</v>
      </c>
      <c r="J1820">
        <f>TE!CE50</f>
        <v>0</v>
      </c>
      <c r="K1820">
        <f>TE!CF50</f>
        <v>0</v>
      </c>
      <c r="L1820">
        <f>TE!CG50</f>
        <v>0</v>
      </c>
      <c r="M1820">
        <f>TE!CH50</f>
        <v>0</v>
      </c>
      <c r="N1820">
        <f>TE!CI50</f>
        <v>0</v>
      </c>
      <c r="O1820">
        <f>TE!CJ50</f>
        <v>0</v>
      </c>
      <c r="P1820" s="143" t="str">
        <f>TE!CK50</f>
        <v/>
      </c>
      <c r="R1820">
        <f t="shared" si="28"/>
        <v>1819</v>
      </c>
    </row>
    <row r="1821" spans="5:18" ht="17.100000000000001" thickBot="1">
      <c r="E1821" s="148" t="s">
        <v>66</v>
      </c>
      <c r="F1821" s="144" t="str">
        <f>TE!CA51</f>
        <v>HPS</v>
      </c>
      <c r="G1821" s="144" t="str">
        <f>TE!CB51</f>
        <v>AC</v>
      </c>
      <c r="H1821" s="144" t="str">
        <f>TE!CC51</f>
        <v>Vessel</v>
      </c>
      <c r="I1821" s="144">
        <f>TE!CD51</f>
        <v>0</v>
      </c>
      <c r="J1821" s="144">
        <f>TE!CE51</f>
        <v>0</v>
      </c>
      <c r="K1821" s="144">
        <f>TE!CF51</f>
        <v>0</v>
      </c>
      <c r="L1821" s="144">
        <f>TE!CG51</f>
        <v>0</v>
      </c>
      <c r="M1821" s="144">
        <f>TE!CH51</f>
        <v>0</v>
      </c>
      <c r="N1821" s="144">
        <f>TE!CI51</f>
        <v>0</v>
      </c>
      <c r="O1821" s="144">
        <f>TE!CJ51</f>
        <v>0</v>
      </c>
      <c r="P1821" s="145" t="str">
        <f>TE!CK51</f>
        <v/>
      </c>
      <c r="R1821">
        <f t="shared" si="28"/>
        <v>1820</v>
      </c>
    </row>
    <row r="1822" spans="5:18">
      <c r="E1822" s="146" t="s">
        <v>67</v>
      </c>
      <c r="F1822" s="141" t="str">
        <f>TU!CA2</f>
        <v>HPS</v>
      </c>
      <c r="G1822" s="141" t="str">
        <f>TU!CB2</f>
        <v>AC</v>
      </c>
      <c r="H1822" s="141" t="str">
        <f>TU!CC2</f>
        <v>Head</v>
      </c>
      <c r="I1822" s="141">
        <f>TU!CD2</f>
        <v>0</v>
      </c>
      <c r="J1822" s="141" t="str">
        <f>TU!CE2</f>
        <v>Tube</v>
      </c>
      <c r="K1822" s="141" t="str">
        <f>TU!CF2</f>
        <v>60-HM4-2.75</v>
      </c>
      <c r="L1822" s="141" t="str">
        <f>TU!CG2</f>
        <v>TU-1</v>
      </c>
      <c r="M1822" s="141">
        <f>TU!CH2</f>
        <v>0</v>
      </c>
      <c r="N1822" s="141">
        <f>TU!CI2</f>
        <v>0</v>
      </c>
      <c r="O1822" s="141">
        <f>TU!CJ2</f>
        <v>0</v>
      </c>
      <c r="P1822" s="142" t="str">
        <f>TU!CK2</f>
        <v>Active</v>
      </c>
      <c r="R1822">
        <f t="shared" si="28"/>
        <v>1821</v>
      </c>
    </row>
    <row r="1823" spans="5:18">
      <c r="E1823" s="147" t="s">
        <v>67</v>
      </c>
      <c r="F1823" t="str">
        <f>TU!CA3</f>
        <v>HPS</v>
      </c>
      <c r="G1823" t="str">
        <f>TU!CB3</f>
        <v>AC</v>
      </c>
      <c r="H1823" t="str">
        <f>TU!CC3</f>
        <v>Head</v>
      </c>
      <c r="I1823">
        <f>TU!CD3</f>
        <v>0</v>
      </c>
      <c r="J1823" t="str">
        <f>TU!CE3</f>
        <v>Tube</v>
      </c>
      <c r="K1823" t="str">
        <f>TU!CF3</f>
        <v>60-HM4-2.75</v>
      </c>
      <c r="L1823" t="str">
        <f>TU!CG3</f>
        <v>TU-2</v>
      </c>
      <c r="M1823">
        <f>TU!CH3</f>
        <v>0</v>
      </c>
      <c r="N1823">
        <f>TU!CI3</f>
        <v>0</v>
      </c>
      <c r="O1823">
        <f>TU!CJ3</f>
        <v>0</v>
      </c>
      <c r="P1823" s="143" t="str">
        <f>TU!CK3</f>
        <v>Active</v>
      </c>
      <c r="R1823">
        <f t="shared" si="28"/>
        <v>1822</v>
      </c>
    </row>
    <row r="1824" spans="5:18">
      <c r="E1824" s="147" t="s">
        <v>67</v>
      </c>
      <c r="F1824" t="str">
        <f>TU!CA4</f>
        <v>HPS</v>
      </c>
      <c r="G1824" t="str">
        <f>TU!CB4</f>
        <v>AC</v>
      </c>
      <c r="H1824" t="str">
        <f>TU!CC4</f>
        <v>Head</v>
      </c>
      <c r="I1824">
        <f>TU!CD4</f>
        <v>0</v>
      </c>
      <c r="J1824" t="str">
        <f>TU!CE4</f>
        <v>Tube</v>
      </c>
      <c r="K1824" t="str">
        <f>TU!CF4</f>
        <v>60-HM4-2.75</v>
      </c>
      <c r="L1824" t="str">
        <f>TU!CG4</f>
        <v>TU-3</v>
      </c>
      <c r="M1824">
        <f>TU!CH4</f>
        <v>0</v>
      </c>
      <c r="N1824">
        <f>TU!CI4</f>
        <v>0</v>
      </c>
      <c r="O1824">
        <f>TU!CJ4</f>
        <v>0</v>
      </c>
      <c r="P1824" s="143" t="str">
        <f>TU!CK4</f>
        <v>Active</v>
      </c>
      <c r="R1824">
        <f t="shared" si="28"/>
        <v>1823</v>
      </c>
    </row>
    <row r="1825" spans="5:18">
      <c r="E1825" s="147" t="s">
        <v>67</v>
      </c>
      <c r="F1825" t="str">
        <f>TU!CA5</f>
        <v>HPS</v>
      </c>
      <c r="G1825" t="str">
        <f>TU!CB5</f>
        <v>AC</v>
      </c>
      <c r="H1825" t="str">
        <f>TU!CC5</f>
        <v>Head</v>
      </c>
      <c r="I1825">
        <f>TU!CD5</f>
        <v>0</v>
      </c>
      <c r="J1825" t="str">
        <f>TU!CE5</f>
        <v>Tube</v>
      </c>
      <c r="K1825" t="str">
        <f>TU!CF5</f>
        <v>60-HM4-2.75</v>
      </c>
      <c r="L1825" t="str">
        <f>TU!CG5</f>
        <v>TU-4</v>
      </c>
      <c r="M1825">
        <f>TU!CH5</f>
        <v>0</v>
      </c>
      <c r="N1825">
        <f>TU!CI5</f>
        <v>0</v>
      </c>
      <c r="O1825">
        <f>TU!CJ5</f>
        <v>0</v>
      </c>
      <c r="P1825" s="143" t="str">
        <f>TU!CK5</f>
        <v>Active</v>
      </c>
      <c r="R1825">
        <f t="shared" si="28"/>
        <v>1824</v>
      </c>
    </row>
    <row r="1826" spans="5:18">
      <c r="E1826" s="147" t="s">
        <v>67</v>
      </c>
      <c r="F1826" t="str">
        <f>TU!CA6</f>
        <v>HPS</v>
      </c>
      <c r="G1826" t="str">
        <f>TU!CB6</f>
        <v>AC</v>
      </c>
      <c r="H1826" t="str">
        <f>TU!CC6</f>
        <v>Head</v>
      </c>
      <c r="I1826">
        <f>TU!CD6</f>
        <v>0</v>
      </c>
      <c r="J1826" t="str">
        <f>TU!CE6</f>
        <v>Tube</v>
      </c>
      <c r="K1826" t="str">
        <f>TU!CF6</f>
        <v>60-HM4-2.75</v>
      </c>
      <c r="L1826" t="str">
        <f>TU!CG6</f>
        <v>TU-5</v>
      </c>
      <c r="M1826">
        <f>TU!CH6</f>
        <v>0</v>
      </c>
      <c r="N1826">
        <f>TU!CI6</f>
        <v>0</v>
      </c>
      <c r="O1826">
        <f>TU!CJ6</f>
        <v>0</v>
      </c>
      <c r="P1826" s="143" t="str">
        <f>TU!CK6</f>
        <v>Active</v>
      </c>
      <c r="R1826">
        <f t="shared" si="28"/>
        <v>1825</v>
      </c>
    </row>
    <row r="1827" spans="5:18">
      <c r="E1827" s="147" t="s">
        <v>67</v>
      </c>
      <c r="F1827" t="str">
        <f>TU!CA7</f>
        <v>HPS</v>
      </c>
      <c r="G1827" t="str">
        <f>TU!CB7</f>
        <v>AC</v>
      </c>
      <c r="H1827" t="str">
        <f>TU!CC7</f>
        <v>Head</v>
      </c>
      <c r="I1827">
        <f>TU!CD7</f>
        <v>0</v>
      </c>
      <c r="J1827" t="str">
        <f>TU!CE7</f>
        <v>Tube</v>
      </c>
      <c r="K1827" t="str">
        <f>TU!CF7</f>
        <v>60-HM4-2.75</v>
      </c>
      <c r="L1827" t="str">
        <f>TU!CG7</f>
        <v>TU-6</v>
      </c>
      <c r="M1827">
        <f>TU!CH7</f>
        <v>0</v>
      </c>
      <c r="N1827">
        <f>TU!CI7</f>
        <v>0</v>
      </c>
      <c r="O1827">
        <f>TU!CJ7</f>
        <v>0</v>
      </c>
      <c r="P1827" s="143" t="str">
        <f>TU!CK7</f>
        <v>Active</v>
      </c>
      <c r="R1827">
        <f t="shared" si="28"/>
        <v>1826</v>
      </c>
    </row>
    <row r="1828" spans="5:18">
      <c r="E1828" s="147" t="s">
        <v>67</v>
      </c>
      <c r="F1828" t="str">
        <f>TU!CA8</f>
        <v>HPS</v>
      </c>
      <c r="G1828" t="str">
        <f>TU!CB8</f>
        <v>AC</v>
      </c>
      <c r="H1828" t="str">
        <f>TU!CC8</f>
        <v>Head</v>
      </c>
      <c r="I1828">
        <f>TU!CD8</f>
        <v>0</v>
      </c>
      <c r="J1828" t="str">
        <f>TU!CE8</f>
        <v>Tube</v>
      </c>
      <c r="K1828" t="str">
        <f>TU!CF8</f>
        <v>60-HM4-2.75</v>
      </c>
      <c r="L1828" t="str">
        <f>TU!CG8</f>
        <v>TU-7</v>
      </c>
      <c r="M1828">
        <f>TU!CH8</f>
        <v>0</v>
      </c>
      <c r="N1828">
        <f>TU!CI8</f>
        <v>0</v>
      </c>
      <c r="O1828">
        <f>TU!CJ8</f>
        <v>0</v>
      </c>
      <c r="P1828" s="143" t="str">
        <f>TU!CK8</f>
        <v>Active</v>
      </c>
      <c r="R1828">
        <f t="shared" si="28"/>
        <v>1827</v>
      </c>
    </row>
    <row r="1829" spans="5:18">
      <c r="E1829" s="147" t="s">
        <v>67</v>
      </c>
      <c r="F1829" t="str">
        <f>TU!CA9</f>
        <v>HPS</v>
      </c>
      <c r="G1829" t="str">
        <f>TU!CB9</f>
        <v>AC</v>
      </c>
      <c r="H1829" t="str">
        <f>TU!CC9</f>
        <v>Head</v>
      </c>
      <c r="I1829">
        <f>TU!CD9</f>
        <v>0</v>
      </c>
      <c r="J1829" t="str">
        <f>TU!CE9</f>
        <v>Tube</v>
      </c>
      <c r="K1829" t="str">
        <f>TU!CF9</f>
        <v>60-HM4-2.75</v>
      </c>
      <c r="L1829" t="str">
        <f>TU!CG9</f>
        <v>TU-8</v>
      </c>
      <c r="M1829">
        <f>TU!CH9</f>
        <v>0</v>
      </c>
      <c r="N1829">
        <f>TU!CI9</f>
        <v>0</v>
      </c>
      <c r="O1829">
        <f>TU!CJ9</f>
        <v>0</v>
      </c>
      <c r="P1829" s="143" t="str">
        <f>TU!CK9</f>
        <v>Active</v>
      </c>
      <c r="R1829">
        <f t="shared" si="28"/>
        <v>1828</v>
      </c>
    </row>
    <row r="1830" spans="5:18">
      <c r="E1830" s="147" t="s">
        <v>67</v>
      </c>
      <c r="F1830" t="str">
        <f>TU!CA10</f>
        <v>HPS</v>
      </c>
      <c r="G1830" t="str">
        <f>TU!CB10</f>
        <v>AC</v>
      </c>
      <c r="H1830" t="str">
        <f>TU!CC10</f>
        <v>Head</v>
      </c>
      <c r="I1830">
        <f>TU!CD10</f>
        <v>0</v>
      </c>
      <c r="J1830" t="str">
        <f>TU!CE10</f>
        <v>Tube</v>
      </c>
      <c r="K1830" t="str">
        <f>TU!CF10</f>
        <v>60-HM4-2.75</v>
      </c>
      <c r="L1830" t="str">
        <f>TU!CG10</f>
        <v>TU-9</v>
      </c>
      <c r="M1830">
        <f>TU!CH10</f>
        <v>0</v>
      </c>
      <c r="N1830">
        <f>TU!CI10</f>
        <v>0</v>
      </c>
      <c r="O1830">
        <f>TU!CJ10</f>
        <v>0</v>
      </c>
      <c r="P1830" s="143" t="str">
        <f>TU!CK10</f>
        <v>Active</v>
      </c>
      <c r="R1830">
        <f t="shared" si="28"/>
        <v>1829</v>
      </c>
    </row>
    <row r="1831" spans="5:18">
      <c r="E1831" s="147" t="s">
        <v>67</v>
      </c>
      <c r="F1831" t="str">
        <f>TU!CA11</f>
        <v>HPS</v>
      </c>
      <c r="G1831" t="str">
        <f>TU!CB11</f>
        <v>AC</v>
      </c>
      <c r="H1831" t="str">
        <f>TU!CC11</f>
        <v>Head</v>
      </c>
      <c r="I1831">
        <f>TU!CD11</f>
        <v>0</v>
      </c>
      <c r="J1831" t="str">
        <f>TU!CE11</f>
        <v>Tube</v>
      </c>
      <c r="K1831" t="str">
        <f>TU!CF11</f>
        <v>60-HM4-2.75</v>
      </c>
      <c r="L1831" t="str">
        <f>TU!CG11</f>
        <v>TU-10</v>
      </c>
      <c r="M1831">
        <f>TU!CH11</f>
        <v>0</v>
      </c>
      <c r="N1831">
        <f>TU!CI11</f>
        <v>0</v>
      </c>
      <c r="O1831">
        <f>TU!CJ11</f>
        <v>0</v>
      </c>
      <c r="P1831" s="143" t="str">
        <f>TU!CK11</f>
        <v>Active</v>
      </c>
      <c r="R1831">
        <f t="shared" si="28"/>
        <v>1830</v>
      </c>
    </row>
    <row r="1832" spans="5:18">
      <c r="E1832" s="147" t="s">
        <v>67</v>
      </c>
      <c r="F1832" t="str">
        <f>TU!CA12</f>
        <v>HPS</v>
      </c>
      <c r="G1832" t="str">
        <f>TU!CB12</f>
        <v>AC</v>
      </c>
      <c r="H1832" t="str">
        <f>TU!CC12</f>
        <v>Head</v>
      </c>
      <c r="I1832">
        <f>TU!CD12</f>
        <v>0</v>
      </c>
      <c r="J1832" t="str">
        <f>TU!CE12</f>
        <v>Tube</v>
      </c>
      <c r="K1832" t="str">
        <f>TU!CF12</f>
        <v>60-HM4-2.75</v>
      </c>
      <c r="L1832" t="str">
        <f>TU!CG12</f>
        <v>TU-11</v>
      </c>
      <c r="M1832">
        <f>TU!CH12</f>
        <v>0</v>
      </c>
      <c r="N1832">
        <f>TU!CI12</f>
        <v>0</v>
      </c>
      <c r="O1832">
        <f>TU!CJ12</f>
        <v>0</v>
      </c>
      <c r="P1832" s="143" t="str">
        <f>TU!CK12</f>
        <v>Active</v>
      </c>
      <c r="R1832">
        <f t="shared" si="28"/>
        <v>1831</v>
      </c>
    </row>
    <row r="1833" spans="5:18">
      <c r="E1833" s="147" t="s">
        <v>67</v>
      </c>
      <c r="F1833" t="str">
        <f>TU!CA13</f>
        <v>HPS</v>
      </c>
      <c r="G1833" t="str">
        <f>TU!CB13</f>
        <v>AC</v>
      </c>
      <c r="H1833" t="str">
        <f>TU!CC13</f>
        <v>Head</v>
      </c>
      <c r="I1833">
        <f>TU!CD13</f>
        <v>0</v>
      </c>
      <c r="J1833" t="str">
        <f>TU!CE13</f>
        <v>Tube</v>
      </c>
      <c r="K1833" t="str">
        <f>TU!CF13</f>
        <v>60-HM4-2.75</v>
      </c>
      <c r="L1833" t="str">
        <f>TU!CG13</f>
        <v>TU-12</v>
      </c>
      <c r="M1833">
        <f>TU!CH13</f>
        <v>0</v>
      </c>
      <c r="N1833">
        <f>TU!CI13</f>
        <v>0</v>
      </c>
      <c r="O1833">
        <f>TU!CJ13</f>
        <v>0</v>
      </c>
      <c r="P1833" s="143" t="str">
        <f>TU!CK13</f>
        <v>Active</v>
      </c>
      <c r="R1833">
        <f t="shared" si="28"/>
        <v>1832</v>
      </c>
    </row>
    <row r="1834" spans="5:18">
      <c r="E1834" s="147" t="s">
        <v>67</v>
      </c>
      <c r="F1834" t="str">
        <f>TU!CA14</f>
        <v>HPS</v>
      </c>
      <c r="G1834" t="str">
        <f>TU!CB14</f>
        <v>AC</v>
      </c>
      <c r="H1834" t="str">
        <f>TU!CC14</f>
        <v>Head</v>
      </c>
      <c r="I1834">
        <f>TU!CD14</f>
        <v>0</v>
      </c>
      <c r="J1834" t="str">
        <f>TU!CE14</f>
        <v>Tube</v>
      </c>
      <c r="K1834" t="str">
        <f>TU!CF14</f>
        <v>60-HM4-2.75</v>
      </c>
      <c r="L1834" t="str">
        <f>TU!CG14</f>
        <v>TU-13</v>
      </c>
      <c r="M1834">
        <f>TU!CH14</f>
        <v>0</v>
      </c>
      <c r="N1834">
        <f>TU!CI14</f>
        <v>0</v>
      </c>
      <c r="O1834">
        <f>TU!CJ14</f>
        <v>0</v>
      </c>
      <c r="P1834" s="143" t="str">
        <f>TU!CK14</f>
        <v>Active</v>
      </c>
      <c r="R1834">
        <f t="shared" si="28"/>
        <v>1833</v>
      </c>
    </row>
    <row r="1835" spans="5:18">
      <c r="E1835" s="147" t="s">
        <v>67</v>
      </c>
      <c r="F1835" t="str">
        <f>TU!CA15</f>
        <v>HPS</v>
      </c>
      <c r="G1835" t="str">
        <f>TU!CB15</f>
        <v>AC</v>
      </c>
      <c r="H1835" t="str">
        <f>TU!CC15</f>
        <v>Head</v>
      </c>
      <c r="I1835">
        <f>TU!CD15</f>
        <v>0</v>
      </c>
      <c r="J1835" t="str">
        <f>TU!CE15</f>
        <v>Tube</v>
      </c>
      <c r="K1835" t="str">
        <f>TU!CF15</f>
        <v>60-HM4-2.75</v>
      </c>
      <c r="L1835" t="str">
        <f>TU!CG15</f>
        <v>TU-14</v>
      </c>
      <c r="M1835">
        <f>TU!CH15</f>
        <v>0</v>
      </c>
      <c r="N1835">
        <f>TU!CI15</f>
        <v>0</v>
      </c>
      <c r="O1835">
        <f>TU!CJ15</f>
        <v>0</v>
      </c>
      <c r="P1835" s="143" t="str">
        <f>TU!CK15</f>
        <v>Active</v>
      </c>
      <c r="R1835">
        <f t="shared" si="28"/>
        <v>1834</v>
      </c>
    </row>
    <row r="1836" spans="5:18">
      <c r="E1836" s="147" t="s">
        <v>67</v>
      </c>
      <c r="F1836" t="str">
        <f>TU!CA16</f>
        <v>HPS</v>
      </c>
      <c r="G1836" t="str">
        <f>TU!CB16</f>
        <v>AC</v>
      </c>
      <c r="H1836" t="str">
        <f>TU!CC16</f>
        <v>Head</v>
      </c>
      <c r="I1836">
        <f>TU!CD16</f>
        <v>0</v>
      </c>
      <c r="J1836" t="str">
        <f>TU!CE16</f>
        <v>Tube</v>
      </c>
      <c r="K1836" t="str">
        <f>TU!CF16</f>
        <v>60-HM4-2.75</v>
      </c>
      <c r="L1836" t="str">
        <f>TU!CG16</f>
        <v>TU-15</v>
      </c>
      <c r="M1836">
        <f>TU!CH16</f>
        <v>0</v>
      </c>
      <c r="N1836">
        <f>TU!CI16</f>
        <v>0</v>
      </c>
      <c r="O1836">
        <f>TU!CJ16</f>
        <v>0</v>
      </c>
      <c r="P1836" s="143" t="str">
        <f>TU!CK16</f>
        <v>Active</v>
      </c>
      <c r="R1836">
        <f t="shared" si="28"/>
        <v>1835</v>
      </c>
    </row>
    <row r="1837" spans="5:18">
      <c r="E1837" s="147" t="s">
        <v>67</v>
      </c>
      <c r="F1837" t="str">
        <f>TU!CA17</f>
        <v>HPS</v>
      </c>
      <c r="G1837" t="str">
        <f>TU!CB17</f>
        <v>AC</v>
      </c>
      <c r="H1837" t="str">
        <f>TU!CC17</f>
        <v>Head</v>
      </c>
      <c r="I1837">
        <f>TU!CD17</f>
        <v>0</v>
      </c>
      <c r="J1837" t="str">
        <f>TU!CE17</f>
        <v>Tube</v>
      </c>
      <c r="K1837" t="str">
        <f>TU!CF17</f>
        <v>60-HM4-2.75</v>
      </c>
      <c r="L1837" t="str">
        <f>TU!CG17</f>
        <v>TU-16</v>
      </c>
      <c r="M1837">
        <f>TU!CH17</f>
        <v>0</v>
      </c>
      <c r="N1837">
        <f>TU!CI17</f>
        <v>0</v>
      </c>
      <c r="O1837">
        <f>TU!CJ17</f>
        <v>0</v>
      </c>
      <c r="P1837" s="143" t="str">
        <f>TU!CK17</f>
        <v>Active</v>
      </c>
      <c r="R1837">
        <f t="shared" si="28"/>
        <v>1836</v>
      </c>
    </row>
    <row r="1838" spans="5:18">
      <c r="E1838" s="147" t="s">
        <v>67</v>
      </c>
      <c r="F1838" t="str">
        <f>TU!CA18</f>
        <v>HPS</v>
      </c>
      <c r="G1838" t="str">
        <f>TU!CB18</f>
        <v>AC</v>
      </c>
      <c r="H1838" t="str">
        <f>TU!CC18</f>
        <v>Head</v>
      </c>
      <c r="I1838">
        <f>TU!CD18</f>
        <v>0</v>
      </c>
      <c r="J1838" t="str">
        <f>TU!CE18</f>
        <v>Tube</v>
      </c>
      <c r="K1838" t="str">
        <f>TU!CF18</f>
        <v>60-HM4-2.75</v>
      </c>
      <c r="L1838" t="str">
        <f>TU!CG18</f>
        <v>TU-17</v>
      </c>
      <c r="M1838">
        <f>TU!CH18</f>
        <v>0</v>
      </c>
      <c r="N1838">
        <f>TU!CI18</f>
        <v>0</v>
      </c>
      <c r="O1838">
        <f>TU!CJ18</f>
        <v>0</v>
      </c>
      <c r="P1838" s="143" t="str">
        <f>TU!CK18</f>
        <v>Active</v>
      </c>
      <c r="R1838">
        <f t="shared" si="28"/>
        <v>1837</v>
      </c>
    </row>
    <row r="1839" spans="5:18">
      <c r="E1839" s="147" t="s">
        <v>67</v>
      </c>
      <c r="F1839" t="str">
        <f>TU!CA19</f>
        <v>HPS</v>
      </c>
      <c r="G1839" t="str">
        <f>TU!CB19</f>
        <v>AC</v>
      </c>
      <c r="H1839" t="str">
        <f>TU!CC19</f>
        <v>Head</v>
      </c>
      <c r="I1839">
        <f>TU!CD19</f>
        <v>0</v>
      </c>
      <c r="J1839" t="str">
        <f>TU!CE19</f>
        <v>Tube</v>
      </c>
      <c r="K1839" t="str">
        <f>TU!CF19</f>
        <v>60-HM4-2.75</v>
      </c>
      <c r="L1839" t="str">
        <f>TU!CG19</f>
        <v>TU-18</v>
      </c>
      <c r="M1839">
        <f>TU!CH19</f>
        <v>0</v>
      </c>
      <c r="N1839">
        <f>TU!CI19</f>
        <v>0</v>
      </c>
      <c r="O1839">
        <f>TU!CJ19</f>
        <v>0</v>
      </c>
      <c r="P1839" s="143" t="str">
        <f>TU!CK19</f>
        <v>Active</v>
      </c>
      <c r="R1839">
        <f t="shared" si="28"/>
        <v>1838</v>
      </c>
    </row>
    <row r="1840" spans="5:18">
      <c r="E1840" s="147" t="s">
        <v>67</v>
      </c>
      <c r="F1840" t="str">
        <f>TU!CA20</f>
        <v>HPS</v>
      </c>
      <c r="G1840" t="str">
        <f>TU!CB20</f>
        <v>AC</v>
      </c>
      <c r="H1840" t="str">
        <f>TU!CC20</f>
        <v>Head</v>
      </c>
      <c r="I1840">
        <f>TU!CD20</f>
        <v>0</v>
      </c>
      <c r="J1840" t="str">
        <f>TU!CE20</f>
        <v>Tube</v>
      </c>
      <c r="K1840" t="str">
        <f>TU!CF20</f>
        <v>60-HM4-2.75</v>
      </c>
      <c r="L1840" t="str">
        <f>TU!CG20</f>
        <v>TU-19</v>
      </c>
      <c r="M1840">
        <f>TU!CH20</f>
        <v>0</v>
      </c>
      <c r="N1840">
        <f>TU!CI20</f>
        <v>0</v>
      </c>
      <c r="O1840">
        <f>TU!CJ20</f>
        <v>0</v>
      </c>
      <c r="P1840" s="143" t="str">
        <f>TU!CK20</f>
        <v>Active</v>
      </c>
      <c r="R1840">
        <f t="shared" si="28"/>
        <v>1839</v>
      </c>
    </row>
    <row r="1841" spans="5:18">
      <c r="E1841" s="147" t="s">
        <v>67</v>
      </c>
      <c r="F1841" t="str">
        <f>TU!CA21</f>
        <v>HPS</v>
      </c>
      <c r="G1841" t="str">
        <f>TU!CB21</f>
        <v>AC</v>
      </c>
      <c r="H1841" t="str">
        <f>TU!CC21</f>
        <v>Head</v>
      </c>
      <c r="I1841">
        <f>TU!CD21</f>
        <v>0</v>
      </c>
      <c r="J1841" t="str">
        <f>TU!CE21</f>
        <v>Tube</v>
      </c>
      <c r="K1841" t="str">
        <f>TU!CF21</f>
        <v>60-HM4-2.75</v>
      </c>
      <c r="L1841" t="str">
        <f>TU!CG21</f>
        <v>TU-20</v>
      </c>
      <c r="M1841">
        <f>TU!CH21</f>
        <v>0</v>
      </c>
      <c r="N1841">
        <f>TU!CI21</f>
        <v>0</v>
      </c>
      <c r="O1841">
        <f>TU!CJ21</f>
        <v>0</v>
      </c>
      <c r="P1841" s="143" t="str">
        <f>TU!CK21</f>
        <v>Active</v>
      </c>
      <c r="R1841">
        <f t="shared" si="28"/>
        <v>1840</v>
      </c>
    </row>
    <row r="1842" spans="5:18">
      <c r="E1842" s="147" t="s">
        <v>67</v>
      </c>
      <c r="F1842" t="str">
        <f>TU!CA22</f>
        <v>HPS</v>
      </c>
      <c r="G1842" t="str">
        <f>TU!CB22</f>
        <v>AC</v>
      </c>
      <c r="H1842" t="str">
        <f>TU!CC22</f>
        <v>Head</v>
      </c>
      <c r="I1842">
        <f>TU!CD22</f>
        <v>0</v>
      </c>
      <c r="J1842" t="str">
        <f>TU!CE22</f>
        <v>Tube</v>
      </c>
      <c r="K1842" t="str">
        <f>TU!CF22</f>
        <v>60-HM4-2.75</v>
      </c>
      <c r="L1842" t="str">
        <f>TU!CG22</f>
        <v>TU-21</v>
      </c>
      <c r="M1842">
        <f>TU!CH22</f>
        <v>0</v>
      </c>
      <c r="N1842">
        <f>TU!CI22</f>
        <v>0</v>
      </c>
      <c r="O1842">
        <f>TU!CJ22</f>
        <v>0</v>
      </c>
      <c r="P1842" s="143" t="str">
        <f>TU!CK22</f>
        <v>Active</v>
      </c>
      <c r="R1842">
        <f t="shared" si="28"/>
        <v>1841</v>
      </c>
    </row>
    <row r="1843" spans="5:18">
      <c r="E1843" s="147" t="s">
        <v>67</v>
      </c>
      <c r="F1843" t="str">
        <f>TU!CA23</f>
        <v>HPS</v>
      </c>
      <c r="G1843" t="str">
        <f>TU!CB23</f>
        <v>AC</v>
      </c>
      <c r="H1843" t="str">
        <f>TU!CC23</f>
        <v>Head</v>
      </c>
      <c r="I1843">
        <f>TU!CD23</f>
        <v>0</v>
      </c>
      <c r="J1843" t="str">
        <f>TU!CE23</f>
        <v>Tube</v>
      </c>
      <c r="K1843" t="str">
        <f>TU!CF23</f>
        <v>60-HM4-2.75</v>
      </c>
      <c r="L1843" t="str">
        <f>TU!CG23</f>
        <v>TU-22</v>
      </c>
      <c r="M1843">
        <f>TU!CH23</f>
        <v>0</v>
      </c>
      <c r="N1843">
        <f>TU!CI23</f>
        <v>0</v>
      </c>
      <c r="O1843">
        <f>TU!CJ23</f>
        <v>0</v>
      </c>
      <c r="P1843" s="143" t="str">
        <f>TU!CK23</f>
        <v>Active</v>
      </c>
      <c r="R1843">
        <f t="shared" si="28"/>
        <v>1842</v>
      </c>
    </row>
    <row r="1844" spans="5:18">
      <c r="E1844" s="147" t="s">
        <v>67</v>
      </c>
      <c r="F1844" t="str">
        <f>TU!CA24</f>
        <v>HPS</v>
      </c>
      <c r="G1844" t="str">
        <f>TU!CB24</f>
        <v>AC</v>
      </c>
      <c r="H1844" t="str">
        <f>TU!CC24</f>
        <v>Head</v>
      </c>
      <c r="I1844">
        <f>TU!CD24</f>
        <v>0</v>
      </c>
      <c r="J1844" t="str">
        <f>TU!CE24</f>
        <v>Tube</v>
      </c>
      <c r="K1844" t="str">
        <f>TU!CF24</f>
        <v>60-HM4-2.75</v>
      </c>
      <c r="L1844" t="str">
        <f>TU!CG24</f>
        <v>TU-23</v>
      </c>
      <c r="M1844">
        <f>TU!CH24</f>
        <v>0</v>
      </c>
      <c r="N1844">
        <f>TU!CI24</f>
        <v>0</v>
      </c>
      <c r="O1844">
        <f>TU!CJ24</f>
        <v>0</v>
      </c>
      <c r="P1844" s="143" t="str">
        <f>TU!CK24</f>
        <v>Active</v>
      </c>
      <c r="R1844">
        <f t="shared" si="28"/>
        <v>1843</v>
      </c>
    </row>
    <row r="1845" spans="5:18">
      <c r="E1845" s="147" t="s">
        <v>67</v>
      </c>
      <c r="F1845" t="str">
        <f>TU!CA25</f>
        <v>HPS</v>
      </c>
      <c r="G1845" t="str">
        <f>TU!CB25</f>
        <v>AC</v>
      </c>
      <c r="H1845" t="str">
        <f>TU!CC25</f>
        <v>Head</v>
      </c>
      <c r="I1845">
        <f>TU!CD25</f>
        <v>0</v>
      </c>
      <c r="J1845" t="str">
        <f>TU!CE25</f>
        <v>Tube</v>
      </c>
      <c r="K1845" t="str">
        <f>TU!CF25</f>
        <v>60-HM4-2.75</v>
      </c>
      <c r="L1845" t="str">
        <f>TU!CG25</f>
        <v>TU-24</v>
      </c>
      <c r="M1845">
        <f>TU!CH25</f>
        <v>0</v>
      </c>
      <c r="N1845">
        <f>TU!CI25</f>
        <v>0</v>
      </c>
      <c r="O1845">
        <f>TU!CJ25</f>
        <v>0</v>
      </c>
      <c r="P1845" s="143" t="str">
        <f>TU!CK25</f>
        <v>Active</v>
      </c>
      <c r="R1845">
        <f t="shared" si="28"/>
        <v>1844</v>
      </c>
    </row>
    <row r="1846" spans="5:18">
      <c r="E1846" s="147" t="s">
        <v>67</v>
      </c>
      <c r="F1846" t="str">
        <f>TU!CA26</f>
        <v>HPS</v>
      </c>
      <c r="G1846" t="str">
        <f>TU!CB26</f>
        <v>AC</v>
      </c>
      <c r="H1846" t="str">
        <f>TU!CC26</f>
        <v>Head</v>
      </c>
      <c r="I1846">
        <f>TU!CD26</f>
        <v>0</v>
      </c>
      <c r="J1846" t="str">
        <f>TU!CE26</f>
        <v>Tube</v>
      </c>
      <c r="K1846" t="str">
        <f>TU!CF26</f>
        <v>60-HM4-2.75</v>
      </c>
      <c r="L1846" t="str">
        <f>TU!CG26</f>
        <v>TU-25</v>
      </c>
      <c r="M1846">
        <f>TU!CH26</f>
        <v>0</v>
      </c>
      <c r="N1846">
        <f>TU!CI26</f>
        <v>0</v>
      </c>
      <c r="O1846">
        <f>TU!CJ26</f>
        <v>0</v>
      </c>
      <c r="P1846" s="143" t="str">
        <f>TU!CK26</f>
        <v>Active</v>
      </c>
      <c r="R1846">
        <f t="shared" si="28"/>
        <v>1845</v>
      </c>
    </row>
    <row r="1847" spans="5:18">
      <c r="E1847" s="147" t="s">
        <v>67</v>
      </c>
      <c r="F1847" t="str">
        <f>TU!CA27</f>
        <v>HPS</v>
      </c>
      <c r="G1847" t="str">
        <f>TU!CB27</f>
        <v>AC</v>
      </c>
      <c r="H1847" t="str">
        <f>TU!CC27</f>
        <v>Head</v>
      </c>
      <c r="I1847">
        <f>TU!CD27</f>
        <v>0</v>
      </c>
      <c r="J1847" t="str">
        <f>TU!CE27</f>
        <v>Tube</v>
      </c>
      <c r="K1847" t="str">
        <f>TU!CF27</f>
        <v>60-HM4-2.75</v>
      </c>
      <c r="L1847" t="str">
        <f>TU!CG27</f>
        <v>TU-26</v>
      </c>
      <c r="M1847">
        <f>TU!CH27</f>
        <v>0</v>
      </c>
      <c r="N1847">
        <f>TU!CI27</f>
        <v>0</v>
      </c>
      <c r="O1847">
        <f>TU!CJ27</f>
        <v>0</v>
      </c>
      <c r="P1847" s="143" t="str">
        <f>TU!CK27</f>
        <v>Active</v>
      </c>
      <c r="R1847">
        <f t="shared" si="28"/>
        <v>1846</v>
      </c>
    </row>
    <row r="1848" spans="5:18">
      <c r="E1848" s="147" t="s">
        <v>67</v>
      </c>
      <c r="F1848" t="str">
        <f>TU!CA28</f>
        <v>HPS</v>
      </c>
      <c r="G1848" t="str">
        <f>TU!CB28</f>
        <v>AC</v>
      </c>
      <c r="H1848" t="str">
        <f>TU!CC28</f>
        <v>Head</v>
      </c>
      <c r="I1848">
        <f>TU!CD28</f>
        <v>0</v>
      </c>
      <c r="J1848" t="str">
        <f>TU!CE28</f>
        <v>Tube</v>
      </c>
      <c r="K1848" t="str">
        <f>TU!CF28</f>
        <v>60-HM4-2.75</v>
      </c>
      <c r="L1848" t="str">
        <f>TU!CG28</f>
        <v>TU-27</v>
      </c>
      <c r="M1848">
        <f>TU!CH28</f>
        <v>0</v>
      </c>
      <c r="N1848">
        <f>TU!CI28</f>
        <v>0</v>
      </c>
      <c r="O1848">
        <f>TU!CJ28</f>
        <v>0</v>
      </c>
      <c r="P1848" s="143" t="str">
        <f>TU!CK28</f>
        <v>Active</v>
      </c>
      <c r="R1848">
        <f t="shared" si="28"/>
        <v>1847</v>
      </c>
    </row>
    <row r="1849" spans="5:18">
      <c r="E1849" s="147" t="s">
        <v>67</v>
      </c>
      <c r="F1849" t="str">
        <f>TU!CA29</f>
        <v>HPS</v>
      </c>
      <c r="G1849" t="str">
        <f>TU!CB29</f>
        <v>AC</v>
      </c>
      <c r="H1849" t="str">
        <f>TU!CC29</f>
        <v>Head</v>
      </c>
      <c r="I1849">
        <f>TU!CD29</f>
        <v>0</v>
      </c>
      <c r="J1849" t="str">
        <f>TU!CE29</f>
        <v>Tube</v>
      </c>
      <c r="K1849" t="str">
        <f>TU!CF29</f>
        <v>60-HM4-2.75</v>
      </c>
      <c r="L1849" t="str">
        <f>TU!CG29</f>
        <v>TU-28</v>
      </c>
      <c r="M1849">
        <f>TU!CH29</f>
        <v>0</v>
      </c>
      <c r="N1849">
        <f>TU!CI29</f>
        <v>0</v>
      </c>
      <c r="O1849">
        <f>TU!CJ29</f>
        <v>0</v>
      </c>
      <c r="P1849" s="143" t="str">
        <f>TU!CK29</f>
        <v>Active</v>
      </c>
      <c r="R1849">
        <f t="shared" si="28"/>
        <v>1848</v>
      </c>
    </row>
    <row r="1850" spans="5:18">
      <c r="E1850" s="147" t="s">
        <v>67</v>
      </c>
      <c r="F1850" t="str">
        <f>TU!CA30</f>
        <v>HPS</v>
      </c>
      <c r="G1850" t="str">
        <f>TU!CB30</f>
        <v>AC</v>
      </c>
      <c r="H1850" t="str">
        <f>TU!CC30</f>
        <v>Head</v>
      </c>
      <c r="I1850">
        <f>TU!CD30</f>
        <v>0</v>
      </c>
      <c r="J1850" t="str">
        <f>TU!CE30</f>
        <v>Tube</v>
      </c>
      <c r="K1850" t="str">
        <f>TU!CF30</f>
        <v>60-HM4-2.75</v>
      </c>
      <c r="L1850" t="str">
        <f>TU!CG30</f>
        <v>TU-29</v>
      </c>
      <c r="M1850">
        <f>TU!CH30</f>
        <v>0</v>
      </c>
      <c r="N1850">
        <f>TU!CI30</f>
        <v>0</v>
      </c>
      <c r="O1850">
        <f>TU!CJ30</f>
        <v>0</v>
      </c>
      <c r="P1850" s="143" t="str">
        <f>TU!CK30</f>
        <v>Active</v>
      </c>
      <c r="R1850">
        <f t="shared" si="28"/>
        <v>1849</v>
      </c>
    </row>
    <row r="1851" spans="5:18">
      <c r="E1851" s="147" t="s">
        <v>67</v>
      </c>
      <c r="F1851" t="str">
        <f>TU!CA31</f>
        <v>HPS</v>
      </c>
      <c r="G1851" t="str">
        <f>TU!CB31</f>
        <v>AC</v>
      </c>
      <c r="H1851" t="str">
        <f>TU!CC31</f>
        <v>Head</v>
      </c>
      <c r="I1851">
        <f>TU!CD31</f>
        <v>0</v>
      </c>
      <c r="J1851" t="str">
        <f>TU!CE31</f>
        <v>Tube</v>
      </c>
      <c r="K1851" t="str">
        <f>TU!CF31</f>
        <v>60-HM4-2.75</v>
      </c>
      <c r="L1851" t="str">
        <f>TU!CG31</f>
        <v>TU-30</v>
      </c>
      <c r="M1851">
        <f>TU!CH31</f>
        <v>0</v>
      </c>
      <c r="N1851">
        <f>TU!CI31</f>
        <v>0</v>
      </c>
      <c r="O1851">
        <f>TU!CJ31</f>
        <v>0</v>
      </c>
      <c r="P1851" s="143" t="str">
        <f>TU!CK31</f>
        <v>Active</v>
      </c>
      <c r="R1851">
        <f t="shared" si="28"/>
        <v>1850</v>
      </c>
    </row>
    <row r="1852" spans="5:18">
      <c r="E1852" s="147" t="s">
        <v>67</v>
      </c>
      <c r="F1852" t="str">
        <f>TU!CA32</f>
        <v>HPS</v>
      </c>
      <c r="G1852" t="str">
        <f>TU!CB32</f>
        <v>AC</v>
      </c>
      <c r="H1852" t="str">
        <f>TU!CC32</f>
        <v>Head</v>
      </c>
      <c r="I1852">
        <f>TU!CD32</f>
        <v>0</v>
      </c>
      <c r="J1852" t="str">
        <f>TU!CE32</f>
        <v>Tube</v>
      </c>
      <c r="K1852" t="str">
        <f>TU!CF32</f>
        <v>60-HM4-2.75</v>
      </c>
      <c r="L1852" t="str">
        <f>TU!CG32</f>
        <v>TU-31</v>
      </c>
      <c r="M1852">
        <f>TU!CH32</f>
        <v>0</v>
      </c>
      <c r="N1852">
        <f>TU!CI32</f>
        <v>0</v>
      </c>
      <c r="O1852">
        <f>TU!CJ32</f>
        <v>0</v>
      </c>
      <c r="P1852" s="143" t="str">
        <f>TU!CK32</f>
        <v>Active</v>
      </c>
      <c r="R1852">
        <f t="shared" si="28"/>
        <v>1851</v>
      </c>
    </row>
    <row r="1853" spans="5:18">
      <c r="E1853" s="147" t="s">
        <v>67</v>
      </c>
      <c r="F1853" t="str">
        <f>TU!CA33</f>
        <v>HPS</v>
      </c>
      <c r="G1853" t="str">
        <f>TU!CB33</f>
        <v>AC</v>
      </c>
      <c r="H1853" t="str">
        <f>TU!CC33</f>
        <v>Head</v>
      </c>
      <c r="I1853">
        <f>TU!CD33</f>
        <v>0</v>
      </c>
      <c r="J1853" t="str">
        <f>TU!CE33</f>
        <v>Tube</v>
      </c>
      <c r="K1853" t="str">
        <f>TU!CF33</f>
        <v>60-HM4-2.75</v>
      </c>
      <c r="L1853" t="str">
        <f>TU!CG33</f>
        <v>TU-32</v>
      </c>
      <c r="M1853">
        <f>TU!CH33</f>
        <v>0</v>
      </c>
      <c r="N1853">
        <f>TU!CI33</f>
        <v>0</v>
      </c>
      <c r="O1853">
        <f>TU!CJ33</f>
        <v>0</v>
      </c>
      <c r="P1853" s="143" t="str">
        <f>TU!CK33</f>
        <v>Active</v>
      </c>
      <c r="R1853">
        <f t="shared" si="28"/>
        <v>1852</v>
      </c>
    </row>
    <row r="1854" spans="5:18">
      <c r="E1854" s="147" t="s">
        <v>67</v>
      </c>
      <c r="F1854" t="str">
        <f>TU!CA34</f>
        <v>HPS</v>
      </c>
      <c r="G1854" t="str">
        <f>TU!CB34</f>
        <v>AC</v>
      </c>
      <c r="H1854" t="str">
        <f>TU!CC34</f>
        <v>Head</v>
      </c>
      <c r="I1854">
        <f>TU!CD34</f>
        <v>0</v>
      </c>
      <c r="J1854" t="str">
        <f>TU!CE34</f>
        <v>Tube</v>
      </c>
      <c r="K1854" t="str">
        <f>TU!CF34</f>
        <v>60-HM4-2.75</v>
      </c>
      <c r="L1854" t="str">
        <f>TU!CG34</f>
        <v>TU-33</v>
      </c>
      <c r="M1854">
        <f>TU!CH34</f>
        <v>0</v>
      </c>
      <c r="N1854">
        <f>TU!CI34</f>
        <v>0</v>
      </c>
      <c r="O1854">
        <f>TU!CJ34</f>
        <v>0</v>
      </c>
      <c r="P1854" s="143" t="str">
        <f>TU!CK34</f>
        <v>Active</v>
      </c>
      <c r="R1854">
        <f t="shared" si="28"/>
        <v>1853</v>
      </c>
    </row>
    <row r="1855" spans="5:18">
      <c r="E1855" s="147" t="s">
        <v>67</v>
      </c>
      <c r="F1855" t="str">
        <f>TU!CA35</f>
        <v>HPS</v>
      </c>
      <c r="G1855" t="str">
        <f>TU!CB35</f>
        <v>AC</v>
      </c>
      <c r="H1855" t="str">
        <f>TU!CC35</f>
        <v>Head</v>
      </c>
      <c r="I1855">
        <f>TU!CD35</f>
        <v>0</v>
      </c>
      <c r="J1855" t="str">
        <f>TU!CE35</f>
        <v>Tube</v>
      </c>
      <c r="K1855" t="str">
        <f>TU!CF35</f>
        <v>60-HM4-2.75</v>
      </c>
      <c r="L1855" t="str">
        <f>TU!CG35</f>
        <v>TU-34</v>
      </c>
      <c r="M1855">
        <f>TU!CH35</f>
        <v>0</v>
      </c>
      <c r="N1855">
        <f>TU!CI35</f>
        <v>0</v>
      </c>
      <c r="O1855">
        <f>TU!CJ35</f>
        <v>0</v>
      </c>
      <c r="P1855" s="143" t="str">
        <f>TU!CK35</f>
        <v>Active</v>
      </c>
      <c r="R1855">
        <f t="shared" si="28"/>
        <v>1854</v>
      </c>
    </row>
    <row r="1856" spans="5:18">
      <c r="E1856" s="147" t="s">
        <v>67</v>
      </c>
      <c r="F1856" t="str">
        <f>TU!CA36</f>
        <v>HPS</v>
      </c>
      <c r="G1856" t="str">
        <f>TU!CB36</f>
        <v>AC</v>
      </c>
      <c r="H1856" t="str">
        <f>TU!CC36</f>
        <v>Head</v>
      </c>
      <c r="I1856">
        <f>TU!CD36</f>
        <v>0</v>
      </c>
      <c r="J1856" t="str">
        <f>TU!CE36</f>
        <v>Tube</v>
      </c>
      <c r="K1856" t="str">
        <f>TU!CF36</f>
        <v>60-HM4-2.75</v>
      </c>
      <c r="L1856" t="str">
        <f>TU!CG36</f>
        <v>TU-35</v>
      </c>
      <c r="M1856">
        <f>TU!CH36</f>
        <v>0</v>
      </c>
      <c r="N1856">
        <f>TU!CI36</f>
        <v>0</v>
      </c>
      <c r="O1856">
        <f>TU!CJ36</f>
        <v>0</v>
      </c>
      <c r="P1856" s="143" t="str">
        <f>TU!CK36</f>
        <v>Active</v>
      </c>
      <c r="R1856">
        <f t="shared" si="28"/>
        <v>1855</v>
      </c>
    </row>
    <row r="1857" spans="5:18">
      <c r="E1857" s="147" t="s">
        <v>67</v>
      </c>
      <c r="F1857" t="str">
        <f>TU!CA37</f>
        <v>HPS</v>
      </c>
      <c r="G1857" t="str">
        <f>TU!CB37</f>
        <v>AC</v>
      </c>
      <c r="H1857" t="str">
        <f>TU!CC37</f>
        <v>Head</v>
      </c>
      <c r="I1857">
        <f>TU!CD37</f>
        <v>0</v>
      </c>
      <c r="J1857" t="str">
        <f>TU!CE37</f>
        <v>Tube</v>
      </c>
      <c r="K1857" t="str">
        <f>TU!CF37</f>
        <v>60-HM4-2.75</v>
      </c>
      <c r="L1857" t="str">
        <f>TU!CG37</f>
        <v>TU-36</v>
      </c>
      <c r="M1857">
        <f>TU!CH37</f>
        <v>0</v>
      </c>
      <c r="N1857">
        <f>TU!CI37</f>
        <v>0</v>
      </c>
      <c r="O1857">
        <f>TU!CJ37</f>
        <v>0</v>
      </c>
      <c r="P1857" s="143" t="str">
        <f>TU!CK37</f>
        <v>Active</v>
      </c>
      <c r="R1857">
        <f t="shared" si="28"/>
        <v>1856</v>
      </c>
    </row>
    <row r="1858" spans="5:18">
      <c r="E1858" s="147" t="s">
        <v>67</v>
      </c>
      <c r="F1858" t="str">
        <f>TU!CA38</f>
        <v>HPS</v>
      </c>
      <c r="G1858" t="str">
        <f>TU!CB38</f>
        <v>AC</v>
      </c>
      <c r="H1858" t="str">
        <f>TU!CC38</f>
        <v>Head</v>
      </c>
      <c r="I1858">
        <f>TU!CD38</f>
        <v>0</v>
      </c>
      <c r="J1858" t="str">
        <f>TU!CE38</f>
        <v>Tube</v>
      </c>
      <c r="K1858" t="str">
        <f>TU!CF38</f>
        <v>60-HM4-2.75</v>
      </c>
      <c r="L1858" t="str">
        <f>TU!CG38</f>
        <v>TU-37</v>
      </c>
      <c r="M1858">
        <f>TU!CH38</f>
        <v>0</v>
      </c>
      <c r="N1858">
        <f>TU!CI38</f>
        <v>0</v>
      </c>
      <c r="O1858">
        <f>TU!CJ38</f>
        <v>0</v>
      </c>
      <c r="P1858" s="143" t="str">
        <f>TU!CK38</f>
        <v>Active</v>
      </c>
      <c r="R1858">
        <f t="shared" si="28"/>
        <v>1857</v>
      </c>
    </row>
    <row r="1859" spans="5:18">
      <c r="E1859" s="147" t="s">
        <v>67</v>
      </c>
      <c r="F1859" t="str">
        <f>TU!CA39</f>
        <v>HPS</v>
      </c>
      <c r="G1859" t="str">
        <f>TU!CB39</f>
        <v>AC</v>
      </c>
      <c r="H1859" t="str">
        <f>TU!CC39</f>
        <v>Head</v>
      </c>
      <c r="I1859">
        <f>TU!CD39</f>
        <v>0</v>
      </c>
      <c r="J1859" t="str">
        <f>TU!CE39</f>
        <v>Tube</v>
      </c>
      <c r="K1859" t="str">
        <f>TU!CF39</f>
        <v>60-HM4-2.75</v>
      </c>
      <c r="L1859" t="str">
        <f>TU!CG39</f>
        <v>TU-38</v>
      </c>
      <c r="M1859">
        <f>TU!CH39</f>
        <v>0</v>
      </c>
      <c r="N1859">
        <f>TU!CI39</f>
        <v>0</v>
      </c>
      <c r="O1859">
        <f>TU!CJ39</f>
        <v>0</v>
      </c>
      <c r="P1859" s="143" t="str">
        <f>TU!CK39</f>
        <v>Active</v>
      </c>
      <c r="R1859">
        <f t="shared" si="28"/>
        <v>1858</v>
      </c>
    </row>
    <row r="1860" spans="5:18">
      <c r="E1860" s="147" t="s">
        <v>67</v>
      </c>
      <c r="F1860" t="str">
        <f>TU!CA40</f>
        <v>HPS</v>
      </c>
      <c r="G1860" t="str">
        <f>TU!CB40</f>
        <v>AC</v>
      </c>
      <c r="H1860" t="str">
        <f>TU!CC40</f>
        <v>Head</v>
      </c>
      <c r="I1860">
        <f>TU!CD40</f>
        <v>0</v>
      </c>
      <c r="J1860" t="str">
        <f>TU!CE40</f>
        <v>Tube</v>
      </c>
      <c r="K1860" t="str">
        <f>TU!CF40</f>
        <v>60-HM4-2.75</v>
      </c>
      <c r="L1860" t="str">
        <f>TU!CG40</f>
        <v>TU-39</v>
      </c>
      <c r="M1860">
        <f>TU!CH40</f>
        <v>0</v>
      </c>
      <c r="N1860">
        <f>TU!CI40</f>
        <v>0</v>
      </c>
      <c r="O1860">
        <f>TU!CJ40</f>
        <v>0</v>
      </c>
      <c r="P1860" s="143" t="str">
        <f>TU!CK40</f>
        <v>Active</v>
      </c>
      <c r="R1860">
        <f t="shared" ref="R1860:R1923" si="29">R1859+1</f>
        <v>1859</v>
      </c>
    </row>
    <row r="1861" spans="5:18">
      <c r="E1861" s="147" t="s">
        <v>67</v>
      </c>
      <c r="F1861" t="str">
        <f>TU!CA41</f>
        <v>HPS</v>
      </c>
      <c r="G1861" t="str">
        <f>TU!CB41</f>
        <v>AC</v>
      </c>
      <c r="H1861" t="str">
        <f>TU!CC41</f>
        <v>Head</v>
      </c>
      <c r="I1861">
        <f>TU!CD41</f>
        <v>0</v>
      </c>
      <c r="J1861" t="str">
        <f>TU!CE41</f>
        <v>Tube</v>
      </c>
      <c r="K1861" t="str">
        <f>TU!CF41</f>
        <v>60-HM4-2.75</v>
      </c>
      <c r="L1861" t="str">
        <f>TU!CG41</f>
        <v>TU-40</v>
      </c>
      <c r="M1861">
        <f>TU!CH41</f>
        <v>0</v>
      </c>
      <c r="N1861">
        <f>TU!CI41</f>
        <v>0</v>
      </c>
      <c r="O1861">
        <f>TU!CJ41</f>
        <v>0</v>
      </c>
      <c r="P1861" s="143" t="str">
        <f>TU!CK41</f>
        <v>Active</v>
      </c>
      <c r="R1861">
        <f t="shared" si="29"/>
        <v>1860</v>
      </c>
    </row>
    <row r="1862" spans="5:18">
      <c r="E1862" s="147" t="s">
        <v>67</v>
      </c>
      <c r="F1862" t="str">
        <f>TU!CA42</f>
        <v>HPS</v>
      </c>
      <c r="G1862" t="str">
        <f>TU!CB42</f>
        <v>AC</v>
      </c>
      <c r="H1862" t="str">
        <f>TU!CC42</f>
        <v>Head</v>
      </c>
      <c r="I1862">
        <f>TU!CD42</f>
        <v>0</v>
      </c>
      <c r="J1862" t="str">
        <f>TU!CE42</f>
        <v>Tube</v>
      </c>
      <c r="K1862" t="str">
        <f>TU!CF42</f>
        <v>60-HM4-2.75</v>
      </c>
      <c r="L1862" t="str">
        <f>TU!CG42</f>
        <v>TU-41</v>
      </c>
      <c r="M1862">
        <f>TU!CH42</f>
        <v>0</v>
      </c>
      <c r="N1862">
        <f>TU!CI42</f>
        <v>0</v>
      </c>
      <c r="O1862">
        <f>TU!CJ42</f>
        <v>0</v>
      </c>
      <c r="P1862" s="143" t="str">
        <f>TU!CK42</f>
        <v>Active</v>
      </c>
      <c r="R1862">
        <f t="shared" si="29"/>
        <v>1861</v>
      </c>
    </row>
    <row r="1863" spans="5:18">
      <c r="E1863" s="147" t="s">
        <v>67</v>
      </c>
      <c r="F1863" t="str">
        <f>TU!CA43</f>
        <v>HPS</v>
      </c>
      <c r="G1863" t="str">
        <f>TU!CB43</f>
        <v>AC</v>
      </c>
      <c r="H1863" t="str">
        <f>TU!CC43</f>
        <v>Head</v>
      </c>
      <c r="I1863">
        <f>TU!CD43</f>
        <v>0</v>
      </c>
      <c r="J1863" t="str">
        <f>TU!CE43</f>
        <v>Tube</v>
      </c>
      <c r="K1863" t="str">
        <f>TU!CF43</f>
        <v>60-HM4-2.75</v>
      </c>
      <c r="L1863" t="str">
        <f>TU!CG43</f>
        <v>TU-42</v>
      </c>
      <c r="M1863">
        <f>TU!CH43</f>
        <v>0</v>
      </c>
      <c r="N1863">
        <f>TU!CI43</f>
        <v>0</v>
      </c>
      <c r="O1863">
        <f>TU!CJ43</f>
        <v>0</v>
      </c>
      <c r="P1863" s="143" t="str">
        <f>TU!CK43</f>
        <v>Active</v>
      </c>
      <c r="R1863">
        <f t="shared" si="29"/>
        <v>1862</v>
      </c>
    </row>
    <row r="1864" spans="5:18">
      <c r="E1864" s="147" t="s">
        <v>67</v>
      </c>
      <c r="F1864" t="str">
        <f>TU!CA44</f>
        <v>HPS</v>
      </c>
      <c r="G1864" t="str">
        <f>TU!CB44</f>
        <v>AC</v>
      </c>
      <c r="H1864" t="str">
        <f>TU!CC44</f>
        <v>Head</v>
      </c>
      <c r="I1864">
        <f>TU!CD44</f>
        <v>0</v>
      </c>
      <c r="J1864" t="str">
        <f>TU!CE44</f>
        <v>Tube</v>
      </c>
      <c r="K1864" t="str">
        <f>TU!CF44</f>
        <v>60-HM4-2.75</v>
      </c>
      <c r="L1864" t="str">
        <f>TU!CG44</f>
        <v>TU-43</v>
      </c>
      <c r="M1864">
        <f>TU!CH44</f>
        <v>0</v>
      </c>
      <c r="N1864">
        <f>TU!CI44</f>
        <v>0</v>
      </c>
      <c r="O1864">
        <f>TU!CJ44</f>
        <v>0</v>
      </c>
      <c r="P1864" s="143" t="str">
        <f>TU!CK44</f>
        <v>Active</v>
      </c>
      <c r="R1864">
        <f t="shared" si="29"/>
        <v>1863</v>
      </c>
    </row>
    <row r="1865" spans="5:18">
      <c r="E1865" s="147" t="s">
        <v>67</v>
      </c>
      <c r="F1865" t="str">
        <f>TU!CA45</f>
        <v>HPS</v>
      </c>
      <c r="G1865" t="str">
        <f>TU!CB45</f>
        <v>AC</v>
      </c>
      <c r="H1865" t="str">
        <f>TU!CC45</f>
        <v>Head</v>
      </c>
      <c r="I1865">
        <f>TU!CD45</f>
        <v>0</v>
      </c>
      <c r="J1865" t="str">
        <f>TU!CE45</f>
        <v>Tube</v>
      </c>
      <c r="K1865" t="str">
        <f>TU!CF45</f>
        <v>60-HM4-2.75</v>
      </c>
      <c r="L1865" t="str">
        <f>TU!CG45</f>
        <v>TU-44</v>
      </c>
      <c r="M1865">
        <f>TU!CH45</f>
        <v>0</v>
      </c>
      <c r="N1865">
        <f>TU!CI45</f>
        <v>0</v>
      </c>
      <c r="O1865">
        <f>TU!CJ45</f>
        <v>0</v>
      </c>
      <c r="P1865" s="143" t="str">
        <f>TU!CK45</f>
        <v>Active</v>
      </c>
      <c r="R1865">
        <f t="shared" si="29"/>
        <v>1864</v>
      </c>
    </row>
    <row r="1866" spans="5:18">
      <c r="E1866" s="147" t="s">
        <v>67</v>
      </c>
      <c r="F1866" t="str">
        <f>TU!CA46</f>
        <v>HPS</v>
      </c>
      <c r="G1866" t="str">
        <f>TU!CB46</f>
        <v>AC</v>
      </c>
      <c r="H1866" t="str">
        <f>TU!CC46</f>
        <v>Head</v>
      </c>
      <c r="I1866">
        <f>TU!CD46</f>
        <v>0</v>
      </c>
      <c r="J1866" t="str">
        <f>TU!CE46</f>
        <v>Tube</v>
      </c>
      <c r="K1866" t="str">
        <f>TU!CF46</f>
        <v>60-HM4-2.75</v>
      </c>
      <c r="L1866" t="str">
        <f>TU!CG46</f>
        <v>TU-45</v>
      </c>
      <c r="M1866">
        <f>TU!CH46</f>
        <v>0</v>
      </c>
      <c r="N1866">
        <f>TU!CI46</f>
        <v>0</v>
      </c>
      <c r="O1866">
        <f>TU!CJ46</f>
        <v>0</v>
      </c>
      <c r="P1866" s="143" t="str">
        <f>TU!CK46</f>
        <v>Active</v>
      </c>
      <c r="R1866">
        <f t="shared" si="29"/>
        <v>1865</v>
      </c>
    </row>
    <row r="1867" spans="5:18">
      <c r="E1867" s="147" t="s">
        <v>67</v>
      </c>
      <c r="F1867" t="str">
        <f>TU!CA47</f>
        <v>HPS</v>
      </c>
      <c r="G1867" t="str">
        <f>TU!CB47</f>
        <v>AC</v>
      </c>
      <c r="H1867" t="str">
        <f>TU!CC47</f>
        <v>Head</v>
      </c>
      <c r="I1867">
        <f>TU!CD47</f>
        <v>0</v>
      </c>
      <c r="J1867" t="str">
        <f>TU!CE47</f>
        <v>Tube</v>
      </c>
      <c r="K1867" t="str">
        <f>TU!CF47</f>
        <v>60-HM4-2.75</v>
      </c>
      <c r="L1867" t="str">
        <f>TU!CG47</f>
        <v>TU-46</v>
      </c>
      <c r="M1867">
        <f>TU!CH47</f>
        <v>0</v>
      </c>
      <c r="N1867">
        <f>TU!CI47</f>
        <v>0</v>
      </c>
      <c r="O1867">
        <f>TU!CJ47</f>
        <v>0</v>
      </c>
      <c r="P1867" s="143" t="str">
        <f>TU!CK47</f>
        <v>Active</v>
      </c>
      <c r="R1867">
        <f t="shared" si="29"/>
        <v>1866</v>
      </c>
    </row>
    <row r="1868" spans="5:18">
      <c r="E1868" s="147" t="s">
        <v>67</v>
      </c>
      <c r="F1868" t="str">
        <f>TU!CA48</f>
        <v>HPS</v>
      </c>
      <c r="G1868" t="str">
        <f>TU!CB48</f>
        <v>AC</v>
      </c>
      <c r="H1868" t="str">
        <f>TU!CC48</f>
        <v>Head</v>
      </c>
      <c r="I1868">
        <f>TU!CD48</f>
        <v>0</v>
      </c>
      <c r="J1868" t="str">
        <f>TU!CE48</f>
        <v>Tube</v>
      </c>
      <c r="K1868" t="str">
        <f>TU!CF48</f>
        <v>60-HM4-2.75</v>
      </c>
      <c r="L1868" t="str">
        <f>TU!CG48</f>
        <v>TU-47</v>
      </c>
      <c r="M1868">
        <f>TU!CH48</f>
        <v>0</v>
      </c>
      <c r="N1868">
        <f>TU!CI48</f>
        <v>0</v>
      </c>
      <c r="O1868">
        <f>TU!CJ48</f>
        <v>0</v>
      </c>
      <c r="P1868" s="143" t="str">
        <f>TU!CK48</f>
        <v>Active</v>
      </c>
      <c r="R1868">
        <f t="shared" si="29"/>
        <v>1867</v>
      </c>
    </row>
    <row r="1869" spans="5:18">
      <c r="E1869" s="147" t="s">
        <v>67</v>
      </c>
      <c r="F1869" t="str">
        <f>TU!CA49</f>
        <v>HPS</v>
      </c>
      <c r="G1869" t="str">
        <f>TU!CB49</f>
        <v>AC</v>
      </c>
      <c r="H1869" t="str">
        <f>TU!CC49</f>
        <v>Head</v>
      </c>
      <c r="I1869">
        <f>TU!CD49</f>
        <v>0</v>
      </c>
      <c r="J1869" t="str">
        <f>TU!CE49</f>
        <v>Tube</v>
      </c>
      <c r="K1869" t="str">
        <f>TU!CF49</f>
        <v>60-HM4-2.75</v>
      </c>
      <c r="L1869" t="str">
        <f>TU!CG49</f>
        <v>TU-48</v>
      </c>
      <c r="M1869">
        <f>TU!CH49</f>
        <v>0</v>
      </c>
      <c r="N1869">
        <f>TU!CI49</f>
        <v>0</v>
      </c>
      <c r="O1869">
        <f>TU!CJ49</f>
        <v>0</v>
      </c>
      <c r="P1869" s="143" t="str">
        <f>TU!CK49</f>
        <v>Active</v>
      </c>
      <c r="R1869">
        <f t="shared" si="29"/>
        <v>1868</v>
      </c>
    </row>
    <row r="1870" spans="5:18">
      <c r="E1870" s="147" t="s">
        <v>67</v>
      </c>
      <c r="F1870" t="str">
        <f>TU!CA50</f>
        <v>HPS</v>
      </c>
      <c r="G1870" t="str">
        <f>TU!CB50</f>
        <v>AC</v>
      </c>
      <c r="H1870" t="str">
        <f>TU!CC50</f>
        <v>Head</v>
      </c>
      <c r="I1870">
        <f>TU!CD50</f>
        <v>0</v>
      </c>
      <c r="J1870" t="str">
        <f>TU!CE50</f>
        <v>Tube</v>
      </c>
      <c r="K1870" t="str">
        <f>TU!CF50</f>
        <v>60-HM4-2.75</v>
      </c>
      <c r="L1870" t="str">
        <f>TU!CG50</f>
        <v>TU-49</v>
      </c>
      <c r="M1870">
        <f>TU!CH50</f>
        <v>0</v>
      </c>
      <c r="N1870">
        <f>TU!CI50</f>
        <v>0</v>
      </c>
      <c r="O1870">
        <f>TU!CJ50</f>
        <v>0</v>
      </c>
      <c r="P1870" s="143" t="str">
        <f>TU!CK50</f>
        <v>Active</v>
      </c>
      <c r="R1870">
        <f t="shared" si="29"/>
        <v>1869</v>
      </c>
    </row>
    <row r="1871" spans="5:18">
      <c r="E1871" s="147" t="s">
        <v>67</v>
      </c>
      <c r="F1871" t="str">
        <f>TU!CA51</f>
        <v>HPS</v>
      </c>
      <c r="G1871" t="str">
        <f>TU!CB51</f>
        <v>AC</v>
      </c>
      <c r="H1871" t="str">
        <f>TU!CC51</f>
        <v>Head</v>
      </c>
      <c r="I1871">
        <f>TU!CD51</f>
        <v>0</v>
      </c>
      <c r="J1871" t="str">
        <f>TU!CE51</f>
        <v>Tube</v>
      </c>
      <c r="K1871" t="str">
        <f>TU!CF51</f>
        <v>60-HM4-2.75</v>
      </c>
      <c r="L1871" t="str">
        <f>TU!CG51</f>
        <v>TU-50</v>
      </c>
      <c r="M1871">
        <f>TU!CH51</f>
        <v>0</v>
      </c>
      <c r="N1871">
        <f>TU!CI51</f>
        <v>0</v>
      </c>
      <c r="O1871">
        <f>TU!CJ51</f>
        <v>0</v>
      </c>
      <c r="P1871" s="143" t="str">
        <f>TU!CK51</f>
        <v>Active</v>
      </c>
      <c r="R1871">
        <f t="shared" si="29"/>
        <v>1870</v>
      </c>
    </row>
    <row r="1872" spans="5:18">
      <c r="E1872" s="147" t="s">
        <v>67</v>
      </c>
      <c r="F1872" t="str">
        <f>TU!CA52</f>
        <v>HPS</v>
      </c>
      <c r="G1872" t="str">
        <f>TU!CB52</f>
        <v>AC</v>
      </c>
      <c r="H1872" t="str">
        <f>TU!CC52</f>
        <v>Head</v>
      </c>
      <c r="I1872">
        <f>TU!CD52</f>
        <v>0</v>
      </c>
      <c r="J1872" t="str">
        <f>TU!CE52</f>
        <v>Tube</v>
      </c>
      <c r="K1872" t="str">
        <f>TU!CF52</f>
        <v>60-HM4-2.75</v>
      </c>
      <c r="L1872" t="str">
        <f>TU!CG52</f>
        <v>TU-51</v>
      </c>
      <c r="M1872">
        <f>TU!CH52</f>
        <v>0</v>
      </c>
      <c r="N1872">
        <f>TU!CI52</f>
        <v>0</v>
      </c>
      <c r="O1872">
        <f>TU!CJ52</f>
        <v>0</v>
      </c>
      <c r="P1872" s="143" t="str">
        <f>TU!CK52</f>
        <v>Active</v>
      </c>
      <c r="R1872">
        <f t="shared" si="29"/>
        <v>1871</v>
      </c>
    </row>
    <row r="1873" spans="5:18">
      <c r="E1873" s="147" t="s">
        <v>67</v>
      </c>
      <c r="F1873" t="str">
        <f>TU!CA53</f>
        <v>HPS</v>
      </c>
      <c r="G1873" t="str">
        <f>TU!CB53</f>
        <v>AC</v>
      </c>
      <c r="H1873" t="str">
        <f>TU!CC53</f>
        <v>Head</v>
      </c>
      <c r="I1873">
        <f>TU!CD53</f>
        <v>0</v>
      </c>
      <c r="J1873" t="str">
        <f>TU!CE53</f>
        <v>Tube</v>
      </c>
      <c r="K1873" t="str">
        <f>TU!CF53</f>
        <v>60-HM4-2.75</v>
      </c>
      <c r="L1873" t="str">
        <f>TU!CG53</f>
        <v>TU-52</v>
      </c>
      <c r="M1873">
        <f>TU!CH53</f>
        <v>0</v>
      </c>
      <c r="N1873">
        <f>TU!CI53</f>
        <v>0</v>
      </c>
      <c r="O1873">
        <f>TU!CJ53</f>
        <v>0</v>
      </c>
      <c r="P1873" s="143" t="str">
        <f>TU!CK53</f>
        <v>Active</v>
      </c>
      <c r="R1873">
        <f t="shared" si="29"/>
        <v>1872</v>
      </c>
    </row>
    <row r="1874" spans="5:18">
      <c r="E1874" s="147" t="s">
        <v>67</v>
      </c>
      <c r="F1874" t="str">
        <f>TU!CA54</f>
        <v>HPS</v>
      </c>
      <c r="G1874" t="str">
        <f>TU!CB54</f>
        <v>AC</v>
      </c>
      <c r="H1874" t="str">
        <f>TU!CC54</f>
        <v>Head</v>
      </c>
      <c r="I1874">
        <f>TU!CD54</f>
        <v>0</v>
      </c>
      <c r="J1874" t="str">
        <f>TU!CE54</f>
        <v>Tube</v>
      </c>
      <c r="K1874" t="str">
        <f>TU!CF54</f>
        <v>60-HM4-2.75</v>
      </c>
      <c r="L1874" t="str">
        <f>TU!CG54</f>
        <v>TU-53</v>
      </c>
      <c r="M1874">
        <f>TU!CH54</f>
        <v>0</v>
      </c>
      <c r="N1874">
        <f>TU!CI54</f>
        <v>0</v>
      </c>
      <c r="O1874">
        <f>TU!CJ54</f>
        <v>0</v>
      </c>
      <c r="P1874" s="143" t="str">
        <f>TU!CK54</f>
        <v>Active</v>
      </c>
      <c r="R1874">
        <f t="shared" si="29"/>
        <v>1873</v>
      </c>
    </row>
    <row r="1875" spans="5:18">
      <c r="E1875" s="147" t="s">
        <v>67</v>
      </c>
      <c r="F1875" t="str">
        <f>TU!CA55</f>
        <v>HPS</v>
      </c>
      <c r="G1875" t="str">
        <f>TU!CB55</f>
        <v>AC</v>
      </c>
      <c r="H1875" t="str">
        <f>TU!CC55</f>
        <v>Head</v>
      </c>
      <c r="I1875">
        <f>TU!CD55</f>
        <v>0</v>
      </c>
      <c r="J1875" t="str">
        <f>TU!CE55</f>
        <v>Tube</v>
      </c>
      <c r="K1875" t="str">
        <f>TU!CF55</f>
        <v>60-HM4-2.75</v>
      </c>
      <c r="L1875" t="str">
        <f>TU!CG55</f>
        <v>TU-54</v>
      </c>
      <c r="M1875">
        <f>TU!CH55</f>
        <v>0</v>
      </c>
      <c r="N1875">
        <f>TU!CI55</f>
        <v>0</v>
      </c>
      <c r="O1875">
        <f>TU!CJ55</f>
        <v>0</v>
      </c>
      <c r="P1875" s="143" t="str">
        <f>TU!CK55</f>
        <v>Active</v>
      </c>
      <c r="R1875">
        <f t="shared" si="29"/>
        <v>1874</v>
      </c>
    </row>
    <row r="1876" spans="5:18">
      <c r="E1876" s="147" t="s">
        <v>67</v>
      </c>
      <c r="F1876" t="str">
        <f>TU!CA56</f>
        <v>HPS</v>
      </c>
      <c r="G1876" t="str">
        <f>TU!CB56</f>
        <v>AC</v>
      </c>
      <c r="H1876" t="str">
        <f>TU!CC56</f>
        <v>Head</v>
      </c>
      <c r="I1876">
        <f>TU!CD56</f>
        <v>0</v>
      </c>
      <c r="J1876" t="str">
        <f>TU!CE56</f>
        <v>Tube</v>
      </c>
      <c r="K1876" t="str">
        <f>TU!CF56</f>
        <v>60-HM4-2.75</v>
      </c>
      <c r="L1876" t="str">
        <f>TU!CG56</f>
        <v>TU-55</v>
      </c>
      <c r="M1876">
        <f>TU!CH56</f>
        <v>0</v>
      </c>
      <c r="N1876">
        <f>TU!CI56</f>
        <v>0</v>
      </c>
      <c r="O1876">
        <f>TU!CJ56</f>
        <v>0</v>
      </c>
      <c r="P1876" s="143" t="str">
        <f>TU!CK56</f>
        <v>Active</v>
      </c>
      <c r="R1876">
        <f t="shared" si="29"/>
        <v>1875</v>
      </c>
    </row>
    <row r="1877" spans="5:18">
      <c r="E1877" s="147" t="s">
        <v>67</v>
      </c>
      <c r="F1877" t="str">
        <f>TU!CA57</f>
        <v>HPS</v>
      </c>
      <c r="G1877" t="str">
        <f>TU!CB57</f>
        <v>AC</v>
      </c>
      <c r="H1877" t="str">
        <f>TU!CC57</f>
        <v>Head</v>
      </c>
      <c r="I1877">
        <f>TU!CD57</f>
        <v>0</v>
      </c>
      <c r="J1877" t="str">
        <f>TU!CE57</f>
        <v>Tube</v>
      </c>
      <c r="K1877" t="str">
        <f>TU!CF57</f>
        <v>100-XM4-2.75</v>
      </c>
      <c r="L1877" t="str">
        <f>TU!CG57</f>
        <v>TU-56</v>
      </c>
      <c r="M1877">
        <f>TU!CH57</f>
        <v>0</v>
      </c>
      <c r="N1877">
        <f>TU!CI57</f>
        <v>0</v>
      </c>
      <c r="O1877">
        <f>TU!CJ57</f>
        <v>0</v>
      </c>
      <c r="P1877" s="143" t="str">
        <f>TU!CK57</f>
        <v>Active</v>
      </c>
      <c r="R1877">
        <f t="shared" si="29"/>
        <v>1876</v>
      </c>
    </row>
    <row r="1878" spans="5:18">
      <c r="E1878" s="147" t="s">
        <v>67</v>
      </c>
      <c r="F1878" t="str">
        <f>TU!CA58</f>
        <v>HPS</v>
      </c>
      <c r="G1878" t="str">
        <f>TU!CB58</f>
        <v>AC</v>
      </c>
      <c r="H1878" t="str">
        <f>TU!CC58</f>
        <v>Head</v>
      </c>
      <c r="I1878">
        <f>TU!CD58</f>
        <v>0</v>
      </c>
      <c r="J1878" t="str">
        <f>TU!CE58</f>
        <v>Tube</v>
      </c>
      <c r="K1878" t="str">
        <f>TU!CF58</f>
        <v>100-XM4-2.75</v>
      </c>
      <c r="L1878" t="str">
        <f>TU!CG58</f>
        <v>TU-57</v>
      </c>
      <c r="M1878">
        <f>TU!CH58</f>
        <v>0</v>
      </c>
      <c r="N1878">
        <f>TU!CI58</f>
        <v>0</v>
      </c>
      <c r="O1878">
        <f>TU!CJ58</f>
        <v>0</v>
      </c>
      <c r="P1878" s="143" t="str">
        <f>TU!CK58</f>
        <v>Active</v>
      </c>
      <c r="R1878">
        <f t="shared" si="29"/>
        <v>1877</v>
      </c>
    </row>
    <row r="1879" spans="5:18">
      <c r="E1879" s="147" t="s">
        <v>67</v>
      </c>
      <c r="F1879" t="str">
        <f>TU!CA59</f>
        <v>HPS</v>
      </c>
      <c r="G1879" t="str">
        <f>TU!CB59</f>
        <v>AC</v>
      </c>
      <c r="H1879" t="str">
        <f>TU!CC59</f>
        <v>Head</v>
      </c>
      <c r="I1879">
        <f>TU!CD59</f>
        <v>0</v>
      </c>
      <c r="J1879" t="str">
        <f>TU!CE59</f>
        <v>Tube</v>
      </c>
      <c r="K1879" t="str">
        <f>TU!CF59</f>
        <v>100-XM4-2.75</v>
      </c>
      <c r="L1879" t="str">
        <f>TU!CG59</f>
        <v>TU-58</v>
      </c>
      <c r="M1879">
        <f>TU!CH59</f>
        <v>0</v>
      </c>
      <c r="N1879">
        <f>TU!CI59</f>
        <v>0</v>
      </c>
      <c r="O1879">
        <f>TU!CJ59</f>
        <v>0</v>
      </c>
      <c r="P1879" s="143" t="str">
        <f>TU!CK59</f>
        <v>Active</v>
      </c>
      <c r="R1879">
        <f t="shared" si="29"/>
        <v>1878</v>
      </c>
    </row>
    <row r="1880" spans="5:18">
      <c r="E1880" s="147" t="s">
        <v>67</v>
      </c>
      <c r="F1880" t="str">
        <f>TU!CA60</f>
        <v>HPS</v>
      </c>
      <c r="G1880" t="str">
        <f>TU!CB60</f>
        <v>AC</v>
      </c>
      <c r="H1880" t="str">
        <f>TU!CC60</f>
        <v>Head</v>
      </c>
      <c r="I1880">
        <f>TU!CD60</f>
        <v>0</v>
      </c>
      <c r="J1880" t="str">
        <f>TU!CE60</f>
        <v>Tube</v>
      </c>
      <c r="K1880" t="str">
        <f>TU!CF60</f>
        <v>100-XM4-2.75</v>
      </c>
      <c r="L1880" t="str">
        <f>TU!CG60</f>
        <v>TU-59</v>
      </c>
      <c r="M1880">
        <f>TU!CH60</f>
        <v>0</v>
      </c>
      <c r="N1880">
        <f>TU!CI60</f>
        <v>0</v>
      </c>
      <c r="O1880">
        <f>TU!CJ60</f>
        <v>0</v>
      </c>
      <c r="P1880" s="143" t="str">
        <f>TU!CK60</f>
        <v>Active</v>
      </c>
      <c r="R1880">
        <f t="shared" si="29"/>
        <v>1879</v>
      </c>
    </row>
    <row r="1881" spans="5:18">
      <c r="E1881" s="147" t="s">
        <v>67</v>
      </c>
      <c r="F1881" t="str">
        <f>TU!CA61</f>
        <v>HPS</v>
      </c>
      <c r="G1881" t="str">
        <f>TU!CB61</f>
        <v>AC</v>
      </c>
      <c r="H1881" t="str">
        <f>TU!CC61</f>
        <v>Head</v>
      </c>
      <c r="I1881">
        <f>TU!CD61</f>
        <v>0</v>
      </c>
      <c r="J1881" t="str">
        <f>TU!CE61</f>
        <v>Tube</v>
      </c>
      <c r="K1881" t="str">
        <f>TU!CF61</f>
        <v>100-XM4-2.75</v>
      </c>
      <c r="L1881" t="str">
        <f>TU!CG61</f>
        <v>TU-60</v>
      </c>
      <c r="M1881">
        <f>TU!CH61</f>
        <v>0</v>
      </c>
      <c r="N1881">
        <f>TU!CI61</f>
        <v>0</v>
      </c>
      <c r="O1881">
        <f>TU!CJ61</f>
        <v>0</v>
      </c>
      <c r="P1881" s="143" t="str">
        <f>TU!CK61</f>
        <v>Active</v>
      </c>
      <c r="R1881">
        <f t="shared" si="29"/>
        <v>1880</v>
      </c>
    </row>
    <row r="1882" spans="5:18">
      <c r="E1882" s="147" t="s">
        <v>67</v>
      </c>
      <c r="F1882" t="str">
        <f>TU!CA62</f>
        <v>HPS</v>
      </c>
      <c r="G1882" t="str">
        <f>TU!CB62</f>
        <v>AC</v>
      </c>
      <c r="H1882" t="str">
        <f>TU!CC62</f>
        <v>Head</v>
      </c>
      <c r="I1882">
        <f>TU!CD62</f>
        <v>0</v>
      </c>
      <c r="J1882" t="str">
        <f>TU!CE62</f>
        <v>Tube</v>
      </c>
      <c r="K1882" t="str">
        <f>TU!CF62</f>
        <v>100-XM4-2.75</v>
      </c>
      <c r="L1882" t="str">
        <f>TU!CG62</f>
        <v>TU-61</v>
      </c>
      <c r="M1882">
        <f>TU!CH62</f>
        <v>0</v>
      </c>
      <c r="N1882">
        <f>TU!CI62</f>
        <v>0</v>
      </c>
      <c r="O1882">
        <f>TU!CJ62</f>
        <v>0</v>
      </c>
      <c r="P1882" s="143" t="str">
        <f>TU!CK62</f>
        <v>Active</v>
      </c>
      <c r="R1882">
        <f t="shared" si="29"/>
        <v>1881</v>
      </c>
    </row>
    <row r="1883" spans="5:18">
      <c r="E1883" s="147" t="s">
        <v>67</v>
      </c>
      <c r="F1883" t="str">
        <f>TU!CA63</f>
        <v>HPS</v>
      </c>
      <c r="G1883" t="str">
        <f>TU!CB63</f>
        <v>AC</v>
      </c>
      <c r="H1883" t="str">
        <f>TU!CC63</f>
        <v>Head</v>
      </c>
      <c r="I1883">
        <f>TU!CD63</f>
        <v>0</v>
      </c>
      <c r="J1883" t="str">
        <f>TU!CE63</f>
        <v>Tube</v>
      </c>
      <c r="K1883" t="str">
        <f>TU!CF63</f>
        <v>100-XM4-2.75</v>
      </c>
      <c r="L1883" t="str">
        <f>TU!CG63</f>
        <v>TU-62</v>
      </c>
      <c r="M1883">
        <f>TU!CH63</f>
        <v>0</v>
      </c>
      <c r="N1883">
        <f>TU!CI63</f>
        <v>0</v>
      </c>
      <c r="O1883">
        <f>TU!CJ63</f>
        <v>0</v>
      </c>
      <c r="P1883" s="143" t="str">
        <f>TU!CK63</f>
        <v>Active</v>
      </c>
      <c r="R1883">
        <f t="shared" si="29"/>
        <v>1882</v>
      </c>
    </row>
    <row r="1884" spans="5:18">
      <c r="E1884" s="147" t="s">
        <v>67</v>
      </c>
      <c r="F1884" t="str">
        <f>TU!CA64</f>
        <v>HPS</v>
      </c>
      <c r="G1884" t="str">
        <f>TU!CB64</f>
        <v>AC</v>
      </c>
      <c r="H1884" t="str">
        <f>TU!CC64</f>
        <v>Head</v>
      </c>
      <c r="I1884">
        <f>TU!CD64</f>
        <v>0</v>
      </c>
      <c r="J1884" t="str">
        <f>TU!CE64</f>
        <v>Tube</v>
      </c>
      <c r="K1884" t="str">
        <f>TU!CF64</f>
        <v>100-XM4-2.75</v>
      </c>
      <c r="L1884" t="str">
        <f>TU!CG64</f>
        <v>TU-63</v>
      </c>
      <c r="M1884">
        <f>TU!CH64</f>
        <v>0</v>
      </c>
      <c r="N1884">
        <f>TU!CI64</f>
        <v>0</v>
      </c>
      <c r="O1884">
        <f>TU!CJ64</f>
        <v>0</v>
      </c>
      <c r="P1884" s="143" t="str">
        <f>TU!CK64</f>
        <v>Active</v>
      </c>
      <c r="R1884">
        <f t="shared" si="29"/>
        <v>1883</v>
      </c>
    </row>
    <row r="1885" spans="5:18">
      <c r="E1885" s="147" t="s">
        <v>67</v>
      </c>
      <c r="F1885" t="str">
        <f>TU!CA65</f>
        <v>HPS</v>
      </c>
      <c r="G1885" t="str">
        <f>TU!CB65</f>
        <v>AC</v>
      </c>
      <c r="H1885" t="str">
        <f>TU!CC65</f>
        <v>Head</v>
      </c>
      <c r="I1885">
        <f>TU!CD65</f>
        <v>0</v>
      </c>
      <c r="J1885" t="str">
        <f>TU!CE65</f>
        <v>Tube</v>
      </c>
      <c r="K1885" t="str">
        <f>TU!CF65</f>
        <v>100-XM4-2.75</v>
      </c>
      <c r="L1885" t="str">
        <f>TU!CG65</f>
        <v>TU-64</v>
      </c>
      <c r="M1885">
        <f>TU!CH65</f>
        <v>0</v>
      </c>
      <c r="N1885">
        <f>TU!CI65</f>
        <v>0</v>
      </c>
      <c r="O1885">
        <f>TU!CJ65</f>
        <v>0</v>
      </c>
      <c r="P1885" s="143" t="str">
        <f>TU!CK65</f>
        <v>Active</v>
      </c>
      <c r="R1885">
        <f t="shared" si="29"/>
        <v>1884</v>
      </c>
    </row>
    <row r="1886" spans="5:18">
      <c r="E1886" s="147" t="s">
        <v>67</v>
      </c>
      <c r="F1886" t="str">
        <f>TU!CA66</f>
        <v>HPS</v>
      </c>
      <c r="G1886" t="str">
        <f>TU!CB66</f>
        <v>AC</v>
      </c>
      <c r="H1886" t="str">
        <f>TU!CC66</f>
        <v>Head</v>
      </c>
      <c r="I1886">
        <f>TU!CD66</f>
        <v>0</v>
      </c>
      <c r="J1886" t="str">
        <f>TU!CE66</f>
        <v>Tube</v>
      </c>
      <c r="K1886" t="str">
        <f>TU!CF66</f>
        <v>100-XM4-2.75</v>
      </c>
      <c r="L1886" t="str">
        <f>TU!CG66</f>
        <v>TU-65</v>
      </c>
      <c r="M1886">
        <f>TU!CH66</f>
        <v>0</v>
      </c>
      <c r="N1886">
        <f>TU!CI66</f>
        <v>0</v>
      </c>
      <c r="O1886">
        <f>TU!CJ66</f>
        <v>0</v>
      </c>
      <c r="P1886" s="143" t="str">
        <f>TU!CK66</f>
        <v>Active</v>
      </c>
      <c r="R1886">
        <f t="shared" si="29"/>
        <v>1885</v>
      </c>
    </row>
    <row r="1887" spans="5:18">
      <c r="E1887" s="147" t="s">
        <v>67</v>
      </c>
      <c r="F1887" t="str">
        <f>TU!CA67</f>
        <v>HPS</v>
      </c>
      <c r="G1887" t="str">
        <f>TU!CB67</f>
        <v>AC</v>
      </c>
      <c r="H1887" t="str">
        <f>TU!CC67</f>
        <v>Head</v>
      </c>
      <c r="I1887">
        <f>TU!CD67</f>
        <v>0</v>
      </c>
      <c r="J1887" t="str">
        <f>TU!CE67</f>
        <v>Tube</v>
      </c>
      <c r="K1887" t="str">
        <f>TU!CF67</f>
        <v>100-XM4-2.75</v>
      </c>
      <c r="L1887" t="str">
        <f>TU!CG67</f>
        <v>TU-66</v>
      </c>
      <c r="M1887">
        <f>TU!CH67</f>
        <v>0</v>
      </c>
      <c r="N1887">
        <f>TU!CI67</f>
        <v>0</v>
      </c>
      <c r="O1887">
        <f>TU!CJ67</f>
        <v>0</v>
      </c>
      <c r="P1887" s="143" t="str">
        <f>TU!CK67</f>
        <v>Active</v>
      </c>
      <c r="R1887">
        <f t="shared" si="29"/>
        <v>1886</v>
      </c>
    </row>
    <row r="1888" spans="5:18">
      <c r="E1888" s="147" t="s">
        <v>67</v>
      </c>
      <c r="F1888" t="str">
        <f>TU!CA68</f>
        <v>HPS</v>
      </c>
      <c r="G1888" t="str">
        <f>TU!CB68</f>
        <v>AC</v>
      </c>
      <c r="H1888" t="str">
        <f>TU!CC68</f>
        <v>Head</v>
      </c>
      <c r="I1888">
        <f>TU!CD68</f>
        <v>0</v>
      </c>
      <c r="J1888" t="str">
        <f>TU!CE68</f>
        <v>Tube</v>
      </c>
      <c r="K1888" t="str">
        <f>TU!CF68</f>
        <v>100-XM4-2.75</v>
      </c>
      <c r="L1888" t="str">
        <f>TU!CG68</f>
        <v>TU-67</v>
      </c>
      <c r="M1888">
        <f>TU!CH68</f>
        <v>0</v>
      </c>
      <c r="N1888">
        <f>TU!CI68</f>
        <v>0</v>
      </c>
      <c r="O1888">
        <f>TU!CJ68</f>
        <v>0</v>
      </c>
      <c r="P1888" s="143" t="str">
        <f>TU!CK68</f>
        <v>Active</v>
      </c>
      <c r="R1888">
        <f t="shared" si="29"/>
        <v>1887</v>
      </c>
    </row>
    <row r="1889" spans="5:18">
      <c r="E1889" s="147" t="s">
        <v>67</v>
      </c>
      <c r="F1889" t="str">
        <f>TU!CA69</f>
        <v>HPS</v>
      </c>
      <c r="G1889" t="str">
        <f>TU!CB69</f>
        <v>AC</v>
      </c>
      <c r="H1889" t="str">
        <f>TU!CC69</f>
        <v>Head</v>
      </c>
      <c r="I1889">
        <f>TU!CD69</f>
        <v>0</v>
      </c>
      <c r="J1889" t="str">
        <f>TU!CE69</f>
        <v>Tube</v>
      </c>
      <c r="K1889" t="str">
        <f>TU!CF69</f>
        <v>100-XM4-2.75</v>
      </c>
      <c r="L1889" t="str">
        <f>TU!CG69</f>
        <v>TU-68</v>
      </c>
      <c r="M1889">
        <f>TU!CH69</f>
        <v>0</v>
      </c>
      <c r="N1889">
        <f>TU!CI69</f>
        <v>0</v>
      </c>
      <c r="O1889">
        <f>TU!CJ69</f>
        <v>0</v>
      </c>
      <c r="P1889" s="143" t="str">
        <f>TU!CK69</f>
        <v>Active</v>
      </c>
      <c r="R1889">
        <f t="shared" si="29"/>
        <v>1888</v>
      </c>
    </row>
    <row r="1890" spans="5:18">
      <c r="E1890" s="147" t="s">
        <v>67</v>
      </c>
      <c r="F1890" t="str">
        <f>TU!CA70</f>
        <v>HPS</v>
      </c>
      <c r="G1890" t="str">
        <f>TU!CB70</f>
        <v>AC</v>
      </c>
      <c r="H1890" t="str">
        <f>TU!CC70</f>
        <v>Head</v>
      </c>
      <c r="I1890">
        <f>TU!CD70</f>
        <v>0</v>
      </c>
      <c r="J1890" t="str">
        <f>TU!CE70</f>
        <v>Tube</v>
      </c>
      <c r="K1890" t="str">
        <f>TU!CF70</f>
        <v>100-XM4-2.75</v>
      </c>
      <c r="L1890" t="str">
        <f>TU!CG70</f>
        <v>TU-69</v>
      </c>
      <c r="M1890">
        <f>TU!CH70</f>
        <v>0</v>
      </c>
      <c r="N1890">
        <f>TU!CI70</f>
        <v>0</v>
      </c>
      <c r="O1890">
        <f>TU!CJ70</f>
        <v>0</v>
      </c>
      <c r="P1890" s="143" t="str">
        <f>TU!CK70</f>
        <v>Active</v>
      </c>
      <c r="R1890">
        <f t="shared" si="29"/>
        <v>1889</v>
      </c>
    </row>
    <row r="1891" spans="5:18">
      <c r="E1891" s="147" t="s">
        <v>67</v>
      </c>
      <c r="F1891" t="str">
        <f>TU!CA71</f>
        <v>HPS</v>
      </c>
      <c r="G1891" t="str">
        <f>TU!CB71</f>
        <v>AC</v>
      </c>
      <c r="H1891" t="str">
        <f>TU!CC71</f>
        <v>Head</v>
      </c>
      <c r="I1891">
        <f>TU!CD71</f>
        <v>0</v>
      </c>
      <c r="J1891" t="str">
        <f>TU!CE71</f>
        <v>Tube</v>
      </c>
      <c r="K1891" t="str">
        <f>TU!CF71</f>
        <v>100-XM4-2.75</v>
      </c>
      <c r="L1891" t="str">
        <f>TU!CG71</f>
        <v>TU-70</v>
      </c>
      <c r="M1891">
        <f>TU!CH71</f>
        <v>0</v>
      </c>
      <c r="N1891">
        <f>TU!CI71</f>
        <v>0</v>
      </c>
      <c r="O1891">
        <f>TU!CJ71</f>
        <v>0</v>
      </c>
      <c r="P1891" s="143" t="str">
        <f>TU!CK71</f>
        <v>Active</v>
      </c>
      <c r="R1891">
        <f t="shared" si="29"/>
        <v>1890</v>
      </c>
    </row>
    <row r="1892" spans="5:18">
      <c r="E1892" s="147" t="s">
        <v>67</v>
      </c>
      <c r="F1892" t="str">
        <f>TU!CA72</f>
        <v>HPS</v>
      </c>
      <c r="G1892" t="str">
        <f>TU!CB72</f>
        <v>AC</v>
      </c>
      <c r="H1892" t="str">
        <f>TU!CC72</f>
        <v>Head</v>
      </c>
      <c r="I1892">
        <f>TU!CD72</f>
        <v>0</v>
      </c>
      <c r="J1892" t="str">
        <f>TU!CE72</f>
        <v>Tube</v>
      </c>
      <c r="K1892" t="str">
        <f>TU!CF72</f>
        <v>100-XM4-2.75</v>
      </c>
      <c r="L1892" t="str">
        <f>TU!CG72</f>
        <v>TU-71</v>
      </c>
      <c r="M1892">
        <f>TU!CH72</f>
        <v>0</v>
      </c>
      <c r="N1892">
        <f>TU!CI72</f>
        <v>0</v>
      </c>
      <c r="O1892">
        <f>TU!CJ72</f>
        <v>0</v>
      </c>
      <c r="P1892" s="143" t="str">
        <f>TU!CK72</f>
        <v>Active</v>
      </c>
      <c r="R1892">
        <f t="shared" si="29"/>
        <v>1891</v>
      </c>
    </row>
    <row r="1893" spans="5:18">
      <c r="E1893" s="147" t="s">
        <v>67</v>
      </c>
      <c r="F1893" t="str">
        <f>TU!CA73</f>
        <v>HPS</v>
      </c>
      <c r="G1893" t="str">
        <f>TU!CB73</f>
        <v>AC</v>
      </c>
      <c r="H1893" t="str">
        <f>TU!CC73</f>
        <v>Head</v>
      </c>
      <c r="I1893">
        <f>TU!CD73</f>
        <v>0</v>
      </c>
      <c r="J1893">
        <f>TU!CE73</f>
        <v>0</v>
      </c>
      <c r="K1893">
        <f>TU!CF73</f>
        <v>0</v>
      </c>
      <c r="L1893">
        <f>TU!CG73</f>
        <v>0</v>
      </c>
      <c r="M1893">
        <f>TU!CH73</f>
        <v>0</v>
      </c>
      <c r="N1893">
        <f>TU!CI73</f>
        <v>0</v>
      </c>
      <c r="O1893">
        <f>TU!CJ73</f>
        <v>0</v>
      </c>
      <c r="P1893" s="143" t="str">
        <f>TU!CK73</f>
        <v/>
      </c>
      <c r="R1893">
        <f t="shared" si="29"/>
        <v>1892</v>
      </c>
    </row>
    <row r="1894" spans="5:18">
      <c r="E1894" s="147" t="s">
        <v>67</v>
      </c>
      <c r="F1894" t="str">
        <f>TU!CA74</f>
        <v>HPS</v>
      </c>
      <c r="G1894" t="str">
        <f>TU!CB74</f>
        <v>AC</v>
      </c>
      <c r="H1894" t="str">
        <f>TU!CC74</f>
        <v>Head</v>
      </c>
      <c r="I1894">
        <f>TU!CD74</f>
        <v>0</v>
      </c>
      <c r="J1894">
        <f>TU!CE74</f>
        <v>0</v>
      </c>
      <c r="K1894">
        <f>TU!CF74</f>
        <v>0</v>
      </c>
      <c r="L1894">
        <f>TU!CG74</f>
        <v>0</v>
      </c>
      <c r="M1894">
        <f>TU!CH74</f>
        <v>0</v>
      </c>
      <c r="N1894">
        <f>TU!CI74</f>
        <v>0</v>
      </c>
      <c r="O1894">
        <f>TU!CJ74</f>
        <v>0</v>
      </c>
      <c r="P1894" s="143" t="str">
        <f>TU!CK74</f>
        <v/>
      </c>
      <c r="R1894">
        <f t="shared" si="29"/>
        <v>1893</v>
      </c>
    </row>
    <row r="1895" spans="5:18">
      <c r="E1895" s="147" t="s">
        <v>67</v>
      </c>
      <c r="F1895" t="str">
        <f>TU!CA75</f>
        <v>HPS</v>
      </c>
      <c r="G1895" t="str">
        <f>TU!CB75</f>
        <v>AC</v>
      </c>
      <c r="H1895" t="str">
        <f>TU!CC75</f>
        <v>Head</v>
      </c>
      <c r="I1895">
        <f>TU!CD75</f>
        <v>0</v>
      </c>
      <c r="J1895">
        <f>TU!CE75</f>
        <v>0</v>
      </c>
      <c r="K1895">
        <f>TU!CF75</f>
        <v>0</v>
      </c>
      <c r="L1895">
        <f>TU!CG75</f>
        <v>0</v>
      </c>
      <c r="M1895">
        <f>TU!CH75</f>
        <v>0</v>
      </c>
      <c r="N1895">
        <f>TU!CI75</f>
        <v>0</v>
      </c>
      <c r="O1895">
        <f>TU!CJ75</f>
        <v>0</v>
      </c>
      <c r="P1895" s="143" t="str">
        <f>TU!CK75</f>
        <v/>
      </c>
      <c r="R1895">
        <f t="shared" si="29"/>
        <v>1894</v>
      </c>
    </row>
    <row r="1896" spans="5:18">
      <c r="E1896" s="147" t="s">
        <v>67</v>
      </c>
      <c r="F1896" t="str">
        <f>TU!CA76</f>
        <v>HPS</v>
      </c>
      <c r="G1896" t="str">
        <f>TU!CB76</f>
        <v>AC</v>
      </c>
      <c r="H1896" t="str">
        <f>TU!CC76</f>
        <v>Head</v>
      </c>
      <c r="I1896">
        <f>TU!CD76</f>
        <v>0</v>
      </c>
      <c r="J1896">
        <f>TU!CE76</f>
        <v>0</v>
      </c>
      <c r="K1896">
        <f>TU!CF76</f>
        <v>0</v>
      </c>
      <c r="L1896">
        <f>TU!CG76</f>
        <v>0</v>
      </c>
      <c r="M1896">
        <f>TU!CH76</f>
        <v>0</v>
      </c>
      <c r="N1896">
        <f>TU!CI76</f>
        <v>0</v>
      </c>
      <c r="O1896">
        <f>TU!CJ76</f>
        <v>0</v>
      </c>
      <c r="P1896" s="143" t="str">
        <f>TU!CK76</f>
        <v/>
      </c>
      <c r="R1896">
        <f t="shared" si="29"/>
        <v>1895</v>
      </c>
    </row>
    <row r="1897" spans="5:18">
      <c r="E1897" s="147" t="s">
        <v>67</v>
      </c>
      <c r="F1897" t="str">
        <f>TU!CA77</f>
        <v>HPS</v>
      </c>
      <c r="G1897" t="str">
        <f>TU!CB77</f>
        <v>AC</v>
      </c>
      <c r="H1897" t="str">
        <f>TU!CC77</f>
        <v>Head</v>
      </c>
      <c r="I1897">
        <f>TU!CD77</f>
        <v>0</v>
      </c>
      <c r="J1897">
        <f>TU!CE77</f>
        <v>0</v>
      </c>
      <c r="K1897">
        <f>TU!CF77</f>
        <v>0</v>
      </c>
      <c r="L1897">
        <f>TU!CG77</f>
        <v>0</v>
      </c>
      <c r="M1897">
        <f>TU!CH77</f>
        <v>0</v>
      </c>
      <c r="N1897">
        <f>TU!CI77</f>
        <v>0</v>
      </c>
      <c r="O1897">
        <f>TU!CJ77</f>
        <v>0</v>
      </c>
      <c r="P1897" s="143" t="str">
        <f>TU!CK77</f>
        <v/>
      </c>
      <c r="R1897">
        <f t="shared" si="29"/>
        <v>1896</v>
      </c>
    </row>
    <row r="1898" spans="5:18">
      <c r="E1898" s="147" t="s">
        <v>67</v>
      </c>
      <c r="F1898" t="str">
        <f>TU!CA78</f>
        <v>HPS</v>
      </c>
      <c r="G1898" t="str">
        <f>TU!CB78</f>
        <v>AC</v>
      </c>
      <c r="H1898" t="str">
        <f>TU!CC78</f>
        <v>Head</v>
      </c>
      <c r="I1898">
        <f>TU!CD78</f>
        <v>0</v>
      </c>
      <c r="J1898">
        <f>TU!CE78</f>
        <v>0</v>
      </c>
      <c r="K1898">
        <f>TU!CF78</f>
        <v>0</v>
      </c>
      <c r="L1898">
        <f>TU!CG78</f>
        <v>0</v>
      </c>
      <c r="M1898">
        <f>TU!CH78</f>
        <v>0</v>
      </c>
      <c r="N1898">
        <f>TU!CI78</f>
        <v>0</v>
      </c>
      <c r="O1898">
        <f>TU!CJ78</f>
        <v>0</v>
      </c>
      <c r="P1898" s="143" t="str">
        <f>TU!CK78</f>
        <v/>
      </c>
      <c r="R1898">
        <f t="shared" si="29"/>
        <v>1897</v>
      </c>
    </row>
    <row r="1899" spans="5:18">
      <c r="E1899" s="147" t="s">
        <v>67</v>
      </c>
      <c r="F1899" t="str">
        <f>TU!CA79</f>
        <v>HPS</v>
      </c>
      <c r="G1899" t="str">
        <f>TU!CB79</f>
        <v>AC</v>
      </c>
      <c r="H1899" t="str">
        <f>TU!CC79</f>
        <v>Head</v>
      </c>
      <c r="I1899">
        <f>TU!CD79</f>
        <v>0</v>
      </c>
      <c r="J1899">
        <f>TU!CE79</f>
        <v>0</v>
      </c>
      <c r="K1899">
        <f>TU!CF79</f>
        <v>0</v>
      </c>
      <c r="L1899">
        <f>TU!CG79</f>
        <v>0</v>
      </c>
      <c r="M1899">
        <f>TU!CH79</f>
        <v>0</v>
      </c>
      <c r="N1899">
        <f>TU!CI79</f>
        <v>0</v>
      </c>
      <c r="O1899">
        <f>TU!CJ79</f>
        <v>0</v>
      </c>
      <c r="P1899" s="143" t="str">
        <f>TU!CK79</f>
        <v/>
      </c>
      <c r="R1899">
        <f t="shared" si="29"/>
        <v>1898</v>
      </c>
    </row>
    <row r="1900" spans="5:18">
      <c r="E1900" s="147" t="s">
        <v>67</v>
      </c>
      <c r="F1900" t="str">
        <f>TU!CA80</f>
        <v>HPS</v>
      </c>
      <c r="G1900" t="str">
        <f>TU!CB80</f>
        <v>AC</v>
      </c>
      <c r="H1900" t="str">
        <f>TU!CC80</f>
        <v>Head</v>
      </c>
      <c r="I1900">
        <f>TU!CD80</f>
        <v>0</v>
      </c>
      <c r="J1900">
        <f>TU!CE80</f>
        <v>0</v>
      </c>
      <c r="K1900">
        <f>TU!CF80</f>
        <v>0</v>
      </c>
      <c r="L1900">
        <f>TU!CG80</f>
        <v>0</v>
      </c>
      <c r="M1900">
        <f>TU!CH80</f>
        <v>0</v>
      </c>
      <c r="N1900">
        <f>TU!CI80</f>
        <v>0</v>
      </c>
      <c r="O1900">
        <f>TU!CJ80</f>
        <v>0</v>
      </c>
      <c r="P1900" s="143" t="str">
        <f>TU!CK80</f>
        <v/>
      </c>
      <c r="R1900">
        <f t="shared" si="29"/>
        <v>1899</v>
      </c>
    </row>
    <row r="1901" spans="5:18">
      <c r="E1901" s="147" t="s">
        <v>67</v>
      </c>
      <c r="F1901" t="str">
        <f>TU!CA81</f>
        <v>HPS</v>
      </c>
      <c r="G1901" t="str">
        <f>TU!CB81</f>
        <v>AC</v>
      </c>
      <c r="H1901" t="str">
        <f>TU!CC81</f>
        <v>Head</v>
      </c>
      <c r="I1901">
        <f>TU!CD81</f>
        <v>0</v>
      </c>
      <c r="J1901">
        <f>TU!CE81</f>
        <v>0</v>
      </c>
      <c r="K1901">
        <f>TU!CF81</f>
        <v>0</v>
      </c>
      <c r="L1901">
        <f>TU!CG81</f>
        <v>0</v>
      </c>
      <c r="M1901">
        <f>TU!CH81</f>
        <v>0</v>
      </c>
      <c r="N1901">
        <f>TU!CI81</f>
        <v>0</v>
      </c>
      <c r="O1901">
        <f>TU!CJ81</f>
        <v>0</v>
      </c>
      <c r="P1901" s="143" t="str">
        <f>TU!CK81</f>
        <v/>
      </c>
      <c r="R1901">
        <f t="shared" si="29"/>
        <v>1900</v>
      </c>
    </row>
    <row r="1902" spans="5:18">
      <c r="E1902" s="147" t="s">
        <v>67</v>
      </c>
      <c r="F1902" t="str">
        <f>TU!CA82</f>
        <v>HPS</v>
      </c>
      <c r="G1902" t="str">
        <f>TU!CB82</f>
        <v>AC</v>
      </c>
      <c r="H1902" t="str">
        <f>TU!CC82</f>
        <v>Head</v>
      </c>
      <c r="I1902">
        <f>TU!CD82</f>
        <v>0</v>
      </c>
      <c r="J1902">
        <f>TU!CE82</f>
        <v>0</v>
      </c>
      <c r="K1902">
        <f>TU!CF82</f>
        <v>0</v>
      </c>
      <c r="L1902">
        <f>TU!CG82</f>
        <v>0</v>
      </c>
      <c r="M1902">
        <f>TU!CH82</f>
        <v>0</v>
      </c>
      <c r="N1902">
        <f>TU!CI82</f>
        <v>0</v>
      </c>
      <c r="O1902">
        <f>TU!CJ82</f>
        <v>0</v>
      </c>
      <c r="P1902" s="143" t="str">
        <f>TU!CK82</f>
        <v/>
      </c>
      <c r="R1902">
        <f t="shared" si="29"/>
        <v>1901</v>
      </c>
    </row>
    <row r="1903" spans="5:18">
      <c r="E1903" s="147" t="s">
        <v>67</v>
      </c>
      <c r="F1903" t="str">
        <f>TU!CA83</f>
        <v>HPS</v>
      </c>
      <c r="G1903" t="str">
        <f>TU!CB83</f>
        <v>AC</v>
      </c>
      <c r="H1903" t="str">
        <f>TU!CC83</f>
        <v>Head</v>
      </c>
      <c r="I1903">
        <f>TU!CD83</f>
        <v>0</v>
      </c>
      <c r="J1903">
        <f>TU!CE83</f>
        <v>0</v>
      </c>
      <c r="K1903">
        <f>TU!CF83</f>
        <v>0</v>
      </c>
      <c r="L1903">
        <f>TU!CG83</f>
        <v>0</v>
      </c>
      <c r="M1903">
        <f>TU!CH83</f>
        <v>0</v>
      </c>
      <c r="N1903">
        <f>TU!CI83</f>
        <v>0</v>
      </c>
      <c r="O1903">
        <f>TU!CJ83</f>
        <v>0</v>
      </c>
      <c r="P1903" s="143" t="str">
        <f>TU!CK83</f>
        <v/>
      </c>
      <c r="R1903">
        <f t="shared" si="29"/>
        <v>1902</v>
      </c>
    </row>
    <row r="1904" spans="5:18">
      <c r="E1904" s="147" t="s">
        <v>67</v>
      </c>
      <c r="F1904" t="str">
        <f>TU!CA84</f>
        <v>HPS</v>
      </c>
      <c r="G1904" t="str">
        <f>TU!CB84</f>
        <v>AC</v>
      </c>
      <c r="H1904" t="str">
        <f>TU!CC84</f>
        <v>Head</v>
      </c>
      <c r="I1904">
        <f>TU!CD84</f>
        <v>0</v>
      </c>
      <c r="J1904">
        <f>TU!CE84</f>
        <v>0</v>
      </c>
      <c r="K1904">
        <f>TU!CF84</f>
        <v>0</v>
      </c>
      <c r="L1904">
        <f>TU!CG84</f>
        <v>0</v>
      </c>
      <c r="M1904">
        <f>TU!CH84</f>
        <v>0</v>
      </c>
      <c r="N1904">
        <f>TU!CI84</f>
        <v>0</v>
      </c>
      <c r="O1904">
        <f>TU!CJ84</f>
        <v>0</v>
      </c>
      <c r="P1904" s="143" t="str">
        <f>TU!CK84</f>
        <v/>
      </c>
      <c r="R1904">
        <f t="shared" si="29"/>
        <v>1903</v>
      </c>
    </row>
    <row r="1905" spans="5:18">
      <c r="E1905" s="147" t="s">
        <v>67</v>
      </c>
      <c r="F1905" t="str">
        <f>TU!CA85</f>
        <v>HPS</v>
      </c>
      <c r="G1905" t="str">
        <f>TU!CB85</f>
        <v>AC</v>
      </c>
      <c r="H1905" t="str">
        <f>TU!CC85</f>
        <v>Head</v>
      </c>
      <c r="I1905">
        <f>TU!CD85</f>
        <v>0</v>
      </c>
      <c r="J1905">
        <f>TU!CE85</f>
        <v>0</v>
      </c>
      <c r="K1905">
        <f>TU!CF85</f>
        <v>0</v>
      </c>
      <c r="L1905">
        <f>TU!CG85</f>
        <v>0</v>
      </c>
      <c r="M1905">
        <f>TU!CH85</f>
        <v>0</v>
      </c>
      <c r="N1905">
        <f>TU!CI85</f>
        <v>0</v>
      </c>
      <c r="O1905">
        <f>TU!CJ85</f>
        <v>0</v>
      </c>
      <c r="P1905" s="143" t="str">
        <f>TU!CK85</f>
        <v/>
      </c>
      <c r="R1905">
        <f t="shared" si="29"/>
        <v>1904</v>
      </c>
    </row>
    <row r="1906" spans="5:18">
      <c r="E1906" s="147" t="s">
        <v>67</v>
      </c>
      <c r="F1906" t="str">
        <f>TU!CA86</f>
        <v>HPS</v>
      </c>
      <c r="G1906" t="str">
        <f>TU!CB86</f>
        <v>AC</v>
      </c>
      <c r="H1906" t="str">
        <f>TU!CC86</f>
        <v>Head</v>
      </c>
      <c r="I1906">
        <f>TU!CD86</f>
        <v>0</v>
      </c>
      <c r="J1906">
        <f>TU!CE86</f>
        <v>0</v>
      </c>
      <c r="K1906">
        <f>TU!CF86</f>
        <v>0</v>
      </c>
      <c r="L1906">
        <f>TU!CG86</f>
        <v>0</v>
      </c>
      <c r="M1906">
        <f>TU!CH86</f>
        <v>0</v>
      </c>
      <c r="N1906">
        <f>TU!CI86</f>
        <v>0</v>
      </c>
      <c r="O1906">
        <f>TU!CJ86</f>
        <v>0</v>
      </c>
      <c r="P1906" s="143" t="str">
        <f>TU!CK86</f>
        <v/>
      </c>
      <c r="R1906">
        <f t="shared" si="29"/>
        <v>1905</v>
      </c>
    </row>
    <row r="1907" spans="5:18">
      <c r="E1907" s="147" t="s">
        <v>67</v>
      </c>
      <c r="F1907" t="str">
        <f>TU!CA87</f>
        <v>HPS</v>
      </c>
      <c r="G1907" t="str">
        <f>TU!CB87</f>
        <v>AC</v>
      </c>
      <c r="H1907" t="str">
        <f>TU!CC87</f>
        <v>Head</v>
      </c>
      <c r="I1907">
        <f>TU!CD87</f>
        <v>0</v>
      </c>
      <c r="J1907">
        <f>TU!CE87</f>
        <v>0</v>
      </c>
      <c r="K1907">
        <f>TU!CF87</f>
        <v>0</v>
      </c>
      <c r="L1907">
        <f>TU!CG87</f>
        <v>0</v>
      </c>
      <c r="M1907">
        <f>TU!CH87</f>
        <v>0</v>
      </c>
      <c r="N1907">
        <f>TU!CI87</f>
        <v>0</v>
      </c>
      <c r="O1907">
        <f>TU!CJ87</f>
        <v>0</v>
      </c>
      <c r="P1907" s="143" t="str">
        <f>TU!CK87</f>
        <v/>
      </c>
      <c r="R1907">
        <f t="shared" si="29"/>
        <v>1906</v>
      </c>
    </row>
    <row r="1908" spans="5:18">
      <c r="E1908" s="147" t="s">
        <v>67</v>
      </c>
      <c r="F1908" t="str">
        <f>TU!CA88</f>
        <v>HPS</v>
      </c>
      <c r="G1908" t="str">
        <f>TU!CB88</f>
        <v>AC</v>
      </c>
      <c r="H1908" t="str">
        <f>TU!CC88</f>
        <v>Head</v>
      </c>
      <c r="I1908">
        <f>TU!CD88</f>
        <v>0</v>
      </c>
      <c r="J1908">
        <f>TU!CE88</f>
        <v>0</v>
      </c>
      <c r="K1908">
        <f>TU!CF88</f>
        <v>0</v>
      </c>
      <c r="L1908">
        <f>TU!CG88</f>
        <v>0</v>
      </c>
      <c r="M1908">
        <f>TU!CH88</f>
        <v>0</v>
      </c>
      <c r="N1908">
        <f>TU!CI88</f>
        <v>0</v>
      </c>
      <c r="O1908">
        <f>TU!CJ88</f>
        <v>0</v>
      </c>
      <c r="P1908" s="143" t="str">
        <f>TU!CK88</f>
        <v/>
      </c>
      <c r="R1908">
        <f t="shared" si="29"/>
        <v>1907</v>
      </c>
    </row>
    <row r="1909" spans="5:18">
      <c r="E1909" s="147" t="s">
        <v>67</v>
      </c>
      <c r="F1909" t="str">
        <f>TU!CA89</f>
        <v>HPS</v>
      </c>
      <c r="G1909" t="str">
        <f>TU!CB89</f>
        <v>AC</v>
      </c>
      <c r="H1909" t="str">
        <f>TU!CC89</f>
        <v>Head</v>
      </c>
      <c r="I1909">
        <f>TU!CD89</f>
        <v>0</v>
      </c>
      <c r="J1909">
        <f>TU!CE89</f>
        <v>0</v>
      </c>
      <c r="K1909">
        <f>TU!CF89</f>
        <v>0</v>
      </c>
      <c r="L1909">
        <f>TU!CG89</f>
        <v>0</v>
      </c>
      <c r="M1909">
        <f>TU!CH89</f>
        <v>0</v>
      </c>
      <c r="N1909">
        <f>TU!CI89</f>
        <v>0</v>
      </c>
      <c r="O1909">
        <f>TU!CJ89</f>
        <v>0</v>
      </c>
      <c r="P1909" s="143" t="str">
        <f>TU!CK89</f>
        <v/>
      </c>
      <c r="R1909">
        <f t="shared" si="29"/>
        <v>1908</v>
      </c>
    </row>
    <row r="1910" spans="5:18">
      <c r="E1910" s="147" t="s">
        <v>67</v>
      </c>
      <c r="F1910" t="str">
        <f>TU!CA90</f>
        <v>HPS</v>
      </c>
      <c r="G1910" t="str">
        <f>TU!CB90</f>
        <v>AC</v>
      </c>
      <c r="H1910" t="str">
        <f>TU!CC90</f>
        <v>Head</v>
      </c>
      <c r="I1910">
        <f>TU!CD90</f>
        <v>0</v>
      </c>
      <c r="J1910">
        <f>TU!CE90</f>
        <v>0</v>
      </c>
      <c r="K1910">
        <f>TU!CF90</f>
        <v>0</v>
      </c>
      <c r="L1910">
        <f>TU!CG90</f>
        <v>0</v>
      </c>
      <c r="M1910">
        <f>TU!CH90</f>
        <v>0</v>
      </c>
      <c r="N1910">
        <f>TU!CI90</f>
        <v>0</v>
      </c>
      <c r="O1910">
        <f>TU!CJ90</f>
        <v>0</v>
      </c>
      <c r="P1910" s="143" t="str">
        <f>TU!CK90</f>
        <v/>
      </c>
      <c r="R1910">
        <f t="shared" si="29"/>
        <v>1909</v>
      </c>
    </row>
    <row r="1911" spans="5:18">
      <c r="E1911" s="147" t="s">
        <v>67</v>
      </c>
      <c r="F1911" t="str">
        <f>TU!CA91</f>
        <v>HPS</v>
      </c>
      <c r="G1911" t="str">
        <f>TU!CB91</f>
        <v>AC</v>
      </c>
      <c r="H1911" t="str">
        <f>TU!CC91</f>
        <v>Head</v>
      </c>
      <c r="I1911">
        <f>TU!CD91</f>
        <v>0</v>
      </c>
      <c r="J1911">
        <f>TU!CE91</f>
        <v>0</v>
      </c>
      <c r="K1911">
        <f>TU!CF91</f>
        <v>0</v>
      </c>
      <c r="L1911">
        <f>TU!CG91</f>
        <v>0</v>
      </c>
      <c r="M1911">
        <f>TU!CH91</f>
        <v>0</v>
      </c>
      <c r="N1911">
        <f>TU!CI91</f>
        <v>0</v>
      </c>
      <c r="O1911">
        <f>TU!CJ91</f>
        <v>0</v>
      </c>
      <c r="P1911" s="143" t="str">
        <f>TU!CK91</f>
        <v/>
      </c>
      <c r="R1911">
        <f t="shared" si="29"/>
        <v>1910</v>
      </c>
    </row>
    <row r="1912" spans="5:18">
      <c r="E1912" s="147" t="s">
        <v>67</v>
      </c>
      <c r="F1912" t="str">
        <f>TU!CA92</f>
        <v>HPS</v>
      </c>
      <c r="G1912" t="str">
        <f>TU!CB92</f>
        <v>AC</v>
      </c>
      <c r="H1912" t="str">
        <f>TU!CC92</f>
        <v>Head</v>
      </c>
      <c r="I1912">
        <f>TU!CD92</f>
        <v>0</v>
      </c>
      <c r="J1912">
        <f>TU!CE92</f>
        <v>0</v>
      </c>
      <c r="K1912">
        <f>TU!CF92</f>
        <v>0</v>
      </c>
      <c r="L1912">
        <f>TU!CG92</f>
        <v>0</v>
      </c>
      <c r="M1912">
        <f>TU!CH92</f>
        <v>0</v>
      </c>
      <c r="N1912">
        <f>TU!CI92</f>
        <v>0</v>
      </c>
      <c r="O1912">
        <f>TU!CJ92</f>
        <v>0</v>
      </c>
      <c r="P1912" s="143" t="str">
        <f>TU!CK92</f>
        <v/>
      </c>
      <c r="R1912">
        <f t="shared" si="29"/>
        <v>1911</v>
      </c>
    </row>
    <row r="1913" spans="5:18">
      <c r="E1913" s="147" t="s">
        <v>67</v>
      </c>
      <c r="F1913" t="str">
        <f>TU!CA93</f>
        <v>HPS</v>
      </c>
      <c r="G1913" t="str">
        <f>TU!CB93</f>
        <v>AC</v>
      </c>
      <c r="H1913" t="str">
        <f>TU!CC93</f>
        <v>Head</v>
      </c>
      <c r="I1913">
        <f>TU!CD93</f>
        <v>0</v>
      </c>
      <c r="J1913">
        <f>TU!CE93</f>
        <v>0</v>
      </c>
      <c r="K1913">
        <f>TU!CF93</f>
        <v>0</v>
      </c>
      <c r="L1913">
        <f>TU!CG93</f>
        <v>0</v>
      </c>
      <c r="M1913">
        <f>TU!CH93</f>
        <v>0</v>
      </c>
      <c r="N1913">
        <f>TU!CI93</f>
        <v>0</v>
      </c>
      <c r="O1913">
        <f>TU!CJ93</f>
        <v>0</v>
      </c>
      <c r="P1913" s="143" t="str">
        <f>TU!CK93</f>
        <v/>
      </c>
      <c r="R1913">
        <f t="shared" si="29"/>
        <v>1912</v>
      </c>
    </row>
    <row r="1914" spans="5:18">
      <c r="E1914" s="147" t="s">
        <v>67</v>
      </c>
      <c r="F1914" t="str">
        <f>TU!CA94</f>
        <v>HPS</v>
      </c>
      <c r="G1914" t="str">
        <f>TU!CB94</f>
        <v>AC</v>
      </c>
      <c r="H1914" t="str">
        <f>TU!CC94</f>
        <v>Head</v>
      </c>
      <c r="I1914">
        <f>TU!CD94</f>
        <v>0</v>
      </c>
      <c r="J1914">
        <f>TU!CE94</f>
        <v>0</v>
      </c>
      <c r="K1914">
        <f>TU!CF94</f>
        <v>0</v>
      </c>
      <c r="L1914">
        <f>TU!CG94</f>
        <v>0</v>
      </c>
      <c r="M1914">
        <f>TU!CH94</f>
        <v>0</v>
      </c>
      <c r="N1914">
        <f>TU!CI94</f>
        <v>0</v>
      </c>
      <c r="O1914">
        <f>TU!CJ94</f>
        <v>0</v>
      </c>
      <c r="P1914" s="143" t="str">
        <f>TU!CK94</f>
        <v/>
      </c>
      <c r="R1914">
        <f t="shared" si="29"/>
        <v>1913</v>
      </c>
    </row>
    <row r="1915" spans="5:18">
      <c r="E1915" s="147" t="s">
        <v>67</v>
      </c>
      <c r="F1915" t="str">
        <f>TU!CA95</f>
        <v>HPS</v>
      </c>
      <c r="G1915" t="str">
        <f>TU!CB95</f>
        <v>AC</v>
      </c>
      <c r="H1915" t="str">
        <f>TU!CC95</f>
        <v>Head</v>
      </c>
      <c r="I1915">
        <f>TU!CD95</f>
        <v>0</v>
      </c>
      <c r="J1915">
        <f>TU!CE95</f>
        <v>0</v>
      </c>
      <c r="K1915">
        <f>TU!CF95</f>
        <v>0</v>
      </c>
      <c r="L1915">
        <f>TU!CG95</f>
        <v>0</v>
      </c>
      <c r="M1915">
        <f>TU!CH95</f>
        <v>0</v>
      </c>
      <c r="N1915">
        <f>TU!CI95</f>
        <v>0</v>
      </c>
      <c r="O1915">
        <f>TU!CJ95</f>
        <v>0</v>
      </c>
      <c r="P1915" s="143" t="str">
        <f>TU!CK95</f>
        <v/>
      </c>
      <c r="R1915">
        <f t="shared" si="29"/>
        <v>1914</v>
      </c>
    </row>
    <row r="1916" spans="5:18">
      <c r="E1916" s="147" t="s">
        <v>67</v>
      </c>
      <c r="F1916" t="str">
        <f>TU!CA96</f>
        <v>HPS</v>
      </c>
      <c r="G1916" t="str">
        <f>TU!CB96</f>
        <v>AC</v>
      </c>
      <c r="H1916" t="str">
        <f>TU!CC96</f>
        <v>Head</v>
      </c>
      <c r="I1916">
        <f>TU!CD96</f>
        <v>0</v>
      </c>
      <c r="J1916">
        <f>TU!CE96</f>
        <v>0</v>
      </c>
      <c r="K1916">
        <f>TU!CF96</f>
        <v>0</v>
      </c>
      <c r="L1916">
        <f>TU!CG96</f>
        <v>0</v>
      </c>
      <c r="M1916">
        <f>TU!CH96</f>
        <v>0</v>
      </c>
      <c r="N1916">
        <f>TU!CI96</f>
        <v>0</v>
      </c>
      <c r="O1916">
        <f>TU!CJ96</f>
        <v>0</v>
      </c>
      <c r="P1916" s="143" t="str">
        <f>TU!CK96</f>
        <v/>
      </c>
      <c r="R1916">
        <f t="shared" si="29"/>
        <v>1915</v>
      </c>
    </row>
    <row r="1917" spans="5:18">
      <c r="E1917" s="147" t="s">
        <v>67</v>
      </c>
      <c r="F1917" t="str">
        <f>TU!CA97</f>
        <v>HPS</v>
      </c>
      <c r="G1917" t="str">
        <f>TU!CB97</f>
        <v>AC</v>
      </c>
      <c r="H1917" t="str">
        <f>TU!CC97</f>
        <v>Head</v>
      </c>
      <c r="I1917">
        <f>TU!CD97</f>
        <v>0</v>
      </c>
      <c r="J1917">
        <f>TU!CE97</f>
        <v>0</v>
      </c>
      <c r="K1917">
        <f>TU!CF97</f>
        <v>0</v>
      </c>
      <c r="L1917">
        <f>TU!CG97</f>
        <v>0</v>
      </c>
      <c r="M1917">
        <f>TU!CH97</f>
        <v>0</v>
      </c>
      <c r="N1917">
        <f>TU!CI97</f>
        <v>0</v>
      </c>
      <c r="O1917">
        <f>TU!CJ97</f>
        <v>0</v>
      </c>
      <c r="P1917" s="143" t="str">
        <f>TU!CK97</f>
        <v/>
      </c>
      <c r="R1917">
        <f t="shared" si="29"/>
        <v>1916</v>
      </c>
    </row>
    <row r="1918" spans="5:18">
      <c r="E1918" s="147" t="s">
        <v>67</v>
      </c>
      <c r="F1918" t="str">
        <f>TU!CA98</f>
        <v>HPS</v>
      </c>
      <c r="G1918" t="str">
        <f>TU!CB98</f>
        <v>AC</v>
      </c>
      <c r="H1918" t="str">
        <f>TU!CC98</f>
        <v>Head</v>
      </c>
      <c r="I1918">
        <f>TU!CD98</f>
        <v>0</v>
      </c>
      <c r="J1918">
        <f>TU!CE98</f>
        <v>0</v>
      </c>
      <c r="K1918">
        <f>TU!CF98</f>
        <v>0</v>
      </c>
      <c r="L1918">
        <f>TU!CG98</f>
        <v>0</v>
      </c>
      <c r="M1918">
        <f>TU!CH98</f>
        <v>0</v>
      </c>
      <c r="N1918">
        <f>TU!CI98</f>
        <v>0</v>
      </c>
      <c r="O1918">
        <f>TU!CJ98</f>
        <v>0</v>
      </c>
      <c r="P1918" s="143" t="str">
        <f>TU!CK98</f>
        <v/>
      </c>
      <c r="R1918">
        <f t="shared" si="29"/>
        <v>1917</v>
      </c>
    </row>
    <row r="1919" spans="5:18">
      <c r="E1919" s="147" t="s">
        <v>67</v>
      </c>
      <c r="F1919" t="str">
        <f>TU!CA99</f>
        <v>HPS</v>
      </c>
      <c r="G1919" t="str">
        <f>TU!CB99</f>
        <v>AC</v>
      </c>
      <c r="H1919" t="str">
        <f>TU!CC99</f>
        <v>Head</v>
      </c>
      <c r="I1919">
        <f>TU!CD99</f>
        <v>0</v>
      </c>
      <c r="J1919">
        <f>TU!CE99</f>
        <v>0</v>
      </c>
      <c r="K1919">
        <f>TU!CF99</f>
        <v>0</v>
      </c>
      <c r="L1919">
        <f>TU!CG99</f>
        <v>0</v>
      </c>
      <c r="M1919">
        <f>TU!CH99</f>
        <v>0</v>
      </c>
      <c r="N1919">
        <f>TU!CI99</f>
        <v>0</v>
      </c>
      <c r="O1919">
        <f>TU!CJ99</f>
        <v>0</v>
      </c>
      <c r="P1919" s="143" t="str">
        <f>TU!CK99</f>
        <v/>
      </c>
      <c r="R1919">
        <f t="shared" si="29"/>
        <v>1918</v>
      </c>
    </row>
    <row r="1920" spans="5:18">
      <c r="E1920" s="147" t="s">
        <v>67</v>
      </c>
      <c r="F1920" t="str">
        <f>TU!CA100</f>
        <v>HPS</v>
      </c>
      <c r="G1920" t="str">
        <f>TU!CB100</f>
        <v>AC</v>
      </c>
      <c r="H1920" t="str">
        <f>TU!CC100</f>
        <v>Head</v>
      </c>
      <c r="I1920">
        <f>TU!CD100</f>
        <v>0</v>
      </c>
      <c r="J1920">
        <f>TU!CE100</f>
        <v>0</v>
      </c>
      <c r="K1920">
        <f>TU!CF100</f>
        <v>0</v>
      </c>
      <c r="L1920">
        <f>TU!CG100</f>
        <v>0</v>
      </c>
      <c r="M1920">
        <f>TU!CH100</f>
        <v>0</v>
      </c>
      <c r="N1920">
        <f>TU!CI100</f>
        <v>0</v>
      </c>
      <c r="O1920">
        <f>TU!CJ100</f>
        <v>0</v>
      </c>
      <c r="P1920" s="143" t="str">
        <f>TU!CK100</f>
        <v/>
      </c>
      <c r="R1920">
        <f t="shared" si="29"/>
        <v>1919</v>
      </c>
    </row>
    <row r="1921" spans="5:18">
      <c r="E1921" s="147" t="s">
        <v>67</v>
      </c>
      <c r="F1921" t="str">
        <f>TU!CA101</f>
        <v>HPS</v>
      </c>
      <c r="G1921" t="str">
        <f>TU!CB101</f>
        <v>AC</v>
      </c>
      <c r="H1921" t="str">
        <f>TU!CC101</f>
        <v>Head</v>
      </c>
      <c r="I1921">
        <f>TU!CD101</f>
        <v>0</v>
      </c>
      <c r="J1921">
        <f>TU!CE101</f>
        <v>0</v>
      </c>
      <c r="K1921">
        <f>TU!CF101</f>
        <v>0</v>
      </c>
      <c r="L1921">
        <f>TU!CG101</f>
        <v>0</v>
      </c>
      <c r="M1921">
        <f>TU!CH101</f>
        <v>0</v>
      </c>
      <c r="N1921">
        <f>TU!CI101</f>
        <v>0</v>
      </c>
      <c r="O1921">
        <f>TU!CJ101</f>
        <v>0</v>
      </c>
      <c r="P1921" s="143" t="str">
        <f>TU!CK101</f>
        <v/>
      </c>
      <c r="R1921">
        <f t="shared" si="29"/>
        <v>1920</v>
      </c>
    </row>
    <row r="1922" spans="5:18">
      <c r="E1922" s="147" t="s">
        <v>67</v>
      </c>
      <c r="F1922" t="str">
        <f>TU!CA102</f>
        <v>HPS</v>
      </c>
      <c r="G1922" t="str">
        <f>TU!CB102</f>
        <v>AC</v>
      </c>
      <c r="H1922" t="str">
        <f>TU!CC102</f>
        <v>Head</v>
      </c>
      <c r="I1922">
        <f>TU!CD102</f>
        <v>0</v>
      </c>
      <c r="J1922">
        <f>TU!CE102</f>
        <v>0</v>
      </c>
      <c r="K1922">
        <f>TU!CF102</f>
        <v>0</v>
      </c>
      <c r="L1922">
        <f>TU!CG102</f>
        <v>0</v>
      </c>
      <c r="M1922">
        <f>TU!CH102</f>
        <v>0</v>
      </c>
      <c r="N1922">
        <f>TU!CI102</f>
        <v>0</v>
      </c>
      <c r="O1922">
        <f>TU!CJ102</f>
        <v>0</v>
      </c>
      <c r="P1922" s="143" t="str">
        <f>TU!CK102</f>
        <v/>
      </c>
      <c r="R1922">
        <f t="shared" si="29"/>
        <v>1921</v>
      </c>
    </row>
    <row r="1923" spans="5:18">
      <c r="E1923" s="147" t="s">
        <v>67</v>
      </c>
      <c r="F1923" t="str">
        <f>TU!CA103</f>
        <v>HPS</v>
      </c>
      <c r="G1923" t="str">
        <f>TU!CB103</f>
        <v>AC</v>
      </c>
      <c r="H1923" t="str">
        <f>TU!CC103</f>
        <v>Head</v>
      </c>
      <c r="I1923">
        <f>TU!CD103</f>
        <v>0</v>
      </c>
      <c r="J1923">
        <f>TU!CE103</f>
        <v>0</v>
      </c>
      <c r="K1923">
        <f>TU!CF103</f>
        <v>0</v>
      </c>
      <c r="L1923">
        <f>TU!CG103</f>
        <v>0</v>
      </c>
      <c r="M1923">
        <f>TU!CH103</f>
        <v>0</v>
      </c>
      <c r="N1923">
        <f>TU!CI103</f>
        <v>0</v>
      </c>
      <c r="O1923">
        <f>TU!CJ103</f>
        <v>0</v>
      </c>
      <c r="P1923" s="143" t="str">
        <f>TU!CK103</f>
        <v/>
      </c>
      <c r="R1923">
        <f t="shared" si="29"/>
        <v>1922</v>
      </c>
    </row>
    <row r="1924" spans="5:18">
      <c r="E1924" s="147" t="s">
        <v>67</v>
      </c>
      <c r="F1924" t="str">
        <f>TU!CA104</f>
        <v>HPS</v>
      </c>
      <c r="G1924" t="str">
        <f>TU!CB104</f>
        <v>AC</v>
      </c>
      <c r="H1924" t="str">
        <f>TU!CC104</f>
        <v>Head</v>
      </c>
      <c r="I1924">
        <f>TU!CD104</f>
        <v>0</v>
      </c>
      <c r="J1924">
        <f>TU!CE104</f>
        <v>0</v>
      </c>
      <c r="K1924">
        <f>TU!CF104</f>
        <v>0</v>
      </c>
      <c r="L1924">
        <f>TU!CG104</f>
        <v>0</v>
      </c>
      <c r="M1924">
        <f>TU!CH104</f>
        <v>0</v>
      </c>
      <c r="N1924">
        <f>TU!CI104</f>
        <v>0</v>
      </c>
      <c r="O1924">
        <f>TU!CJ104</f>
        <v>0</v>
      </c>
      <c r="P1924" s="143" t="str">
        <f>TU!CK104</f>
        <v/>
      </c>
      <c r="R1924">
        <f t="shared" ref="R1924:R1987" si="30">R1923+1</f>
        <v>1923</v>
      </c>
    </row>
    <row r="1925" spans="5:18">
      <c r="E1925" s="147" t="s">
        <v>67</v>
      </c>
      <c r="F1925" t="str">
        <f>TU!CA105</f>
        <v>HPS</v>
      </c>
      <c r="G1925" t="str">
        <f>TU!CB105</f>
        <v>AC</v>
      </c>
      <c r="H1925" t="str">
        <f>TU!CC105</f>
        <v>Head</v>
      </c>
      <c r="I1925">
        <f>TU!CD105</f>
        <v>0</v>
      </c>
      <c r="J1925">
        <f>TU!CE105</f>
        <v>0</v>
      </c>
      <c r="K1925">
        <f>TU!CF105</f>
        <v>0</v>
      </c>
      <c r="L1925">
        <f>TU!CG105</f>
        <v>0</v>
      </c>
      <c r="M1925">
        <f>TU!CH105</f>
        <v>0</v>
      </c>
      <c r="N1925">
        <f>TU!CI105</f>
        <v>0</v>
      </c>
      <c r="O1925">
        <f>TU!CJ105</f>
        <v>0</v>
      </c>
      <c r="P1925" s="143" t="str">
        <f>TU!CK105</f>
        <v/>
      </c>
      <c r="R1925">
        <f t="shared" si="30"/>
        <v>1924</v>
      </c>
    </row>
    <row r="1926" spans="5:18">
      <c r="E1926" s="147" t="s">
        <v>67</v>
      </c>
      <c r="F1926" t="str">
        <f>TU!CA106</f>
        <v>HPS</v>
      </c>
      <c r="G1926" t="str">
        <f>TU!CB106</f>
        <v>AC</v>
      </c>
      <c r="H1926" t="str">
        <f>TU!CC106</f>
        <v>Head</v>
      </c>
      <c r="I1926">
        <f>TU!CD106</f>
        <v>0</v>
      </c>
      <c r="J1926">
        <f>TU!CE106</f>
        <v>0</v>
      </c>
      <c r="K1926">
        <f>TU!CF106</f>
        <v>0</v>
      </c>
      <c r="L1926">
        <f>TU!CG106</f>
        <v>0</v>
      </c>
      <c r="M1926">
        <f>TU!CH106</f>
        <v>0</v>
      </c>
      <c r="N1926">
        <f>TU!CI106</f>
        <v>0</v>
      </c>
      <c r="O1926">
        <f>TU!CJ106</f>
        <v>0</v>
      </c>
      <c r="P1926" s="143" t="str">
        <f>TU!CK106</f>
        <v/>
      </c>
      <c r="R1926">
        <f t="shared" si="30"/>
        <v>1925</v>
      </c>
    </row>
    <row r="1927" spans="5:18">
      <c r="E1927" s="147" t="s">
        <v>67</v>
      </c>
      <c r="F1927" t="str">
        <f>TU!CA107</f>
        <v>HPS</v>
      </c>
      <c r="G1927" t="str">
        <f>TU!CB107</f>
        <v>AC</v>
      </c>
      <c r="H1927" t="str">
        <f>TU!CC107</f>
        <v>Head</v>
      </c>
      <c r="I1927">
        <f>TU!CD107</f>
        <v>0</v>
      </c>
      <c r="J1927">
        <f>TU!CE107</f>
        <v>0</v>
      </c>
      <c r="K1927">
        <f>TU!CF107</f>
        <v>0</v>
      </c>
      <c r="L1927">
        <f>TU!CG107</f>
        <v>0</v>
      </c>
      <c r="M1927">
        <f>TU!CH107</f>
        <v>0</v>
      </c>
      <c r="N1927">
        <f>TU!CI107</f>
        <v>0</v>
      </c>
      <c r="O1927">
        <f>TU!CJ107</f>
        <v>0</v>
      </c>
      <c r="P1927" s="143" t="str">
        <f>TU!CK107</f>
        <v/>
      </c>
      <c r="R1927">
        <f t="shared" si="30"/>
        <v>1926</v>
      </c>
    </row>
    <row r="1928" spans="5:18">
      <c r="E1928" s="147" t="s">
        <v>67</v>
      </c>
      <c r="F1928" t="str">
        <f>TU!CA108</f>
        <v>HPS</v>
      </c>
      <c r="G1928" t="str">
        <f>TU!CB108</f>
        <v>AC</v>
      </c>
      <c r="H1928" t="str">
        <f>TU!CC108</f>
        <v>Head</v>
      </c>
      <c r="I1928">
        <f>TU!CD108</f>
        <v>0</v>
      </c>
      <c r="J1928">
        <f>TU!CE108</f>
        <v>0</v>
      </c>
      <c r="K1928">
        <f>TU!CF108</f>
        <v>0</v>
      </c>
      <c r="L1928">
        <f>TU!CG108</f>
        <v>0</v>
      </c>
      <c r="M1928">
        <f>TU!CH108</f>
        <v>0</v>
      </c>
      <c r="N1928">
        <f>TU!CI108</f>
        <v>0</v>
      </c>
      <c r="O1928">
        <f>TU!CJ108</f>
        <v>0</v>
      </c>
      <c r="P1928" s="143" t="str">
        <f>TU!CK108</f>
        <v/>
      </c>
      <c r="R1928">
        <f t="shared" si="30"/>
        <v>1927</v>
      </c>
    </row>
    <row r="1929" spans="5:18">
      <c r="E1929" s="147" t="s">
        <v>67</v>
      </c>
      <c r="F1929" t="str">
        <f>TU!CA109</f>
        <v>HPS</v>
      </c>
      <c r="G1929" t="str">
        <f>TU!CB109</f>
        <v>AC</v>
      </c>
      <c r="H1929" t="str">
        <f>TU!CC109</f>
        <v>Head</v>
      </c>
      <c r="I1929">
        <f>TU!CD109</f>
        <v>0</v>
      </c>
      <c r="J1929">
        <f>TU!CE109</f>
        <v>0</v>
      </c>
      <c r="K1929">
        <f>TU!CF109</f>
        <v>0</v>
      </c>
      <c r="L1929">
        <f>TU!CG109</f>
        <v>0</v>
      </c>
      <c r="M1929">
        <f>TU!CH109</f>
        <v>0</v>
      </c>
      <c r="N1929">
        <f>TU!CI109</f>
        <v>0</v>
      </c>
      <c r="O1929">
        <f>TU!CJ109</f>
        <v>0</v>
      </c>
      <c r="P1929" s="143" t="str">
        <f>TU!CK109</f>
        <v/>
      </c>
      <c r="R1929">
        <f t="shared" si="30"/>
        <v>1928</v>
      </c>
    </row>
    <row r="1930" spans="5:18">
      <c r="E1930" s="147" t="s">
        <v>67</v>
      </c>
      <c r="F1930" t="str">
        <f>TU!CA110</f>
        <v>HPS</v>
      </c>
      <c r="G1930" t="str">
        <f>TU!CB110</f>
        <v>AC</v>
      </c>
      <c r="H1930" t="str">
        <f>TU!CC110</f>
        <v>Head</v>
      </c>
      <c r="I1930">
        <f>TU!CD110</f>
        <v>0</v>
      </c>
      <c r="J1930">
        <f>TU!CE110</f>
        <v>0</v>
      </c>
      <c r="K1930">
        <f>TU!CF110</f>
        <v>0</v>
      </c>
      <c r="L1930">
        <f>TU!CG110</f>
        <v>0</v>
      </c>
      <c r="M1930">
        <f>TU!CH110</f>
        <v>0</v>
      </c>
      <c r="N1930">
        <f>TU!CI110</f>
        <v>0</v>
      </c>
      <c r="O1930">
        <f>TU!CJ110</f>
        <v>0</v>
      </c>
      <c r="P1930" s="143" t="str">
        <f>TU!CK110</f>
        <v/>
      </c>
      <c r="R1930">
        <f t="shared" si="30"/>
        <v>1929</v>
      </c>
    </row>
    <row r="1931" spans="5:18">
      <c r="E1931" s="147" t="s">
        <v>67</v>
      </c>
      <c r="F1931" t="str">
        <f>TU!CA111</f>
        <v>HPS</v>
      </c>
      <c r="G1931" t="str">
        <f>TU!CB111</f>
        <v>AC</v>
      </c>
      <c r="H1931" t="str">
        <f>TU!CC111</f>
        <v>Head</v>
      </c>
      <c r="I1931">
        <f>TU!CD111</f>
        <v>0</v>
      </c>
      <c r="J1931">
        <f>TU!CE111</f>
        <v>0</v>
      </c>
      <c r="K1931">
        <f>TU!CF111</f>
        <v>0</v>
      </c>
      <c r="L1931">
        <f>TU!CG111</f>
        <v>0</v>
      </c>
      <c r="M1931">
        <f>TU!CH111</f>
        <v>0</v>
      </c>
      <c r="N1931">
        <f>TU!CI111</f>
        <v>0</v>
      </c>
      <c r="O1931">
        <f>TU!CJ111</f>
        <v>0</v>
      </c>
      <c r="P1931" s="143" t="str">
        <f>TU!CK111</f>
        <v/>
      </c>
      <c r="R1931">
        <f t="shared" si="30"/>
        <v>1930</v>
      </c>
    </row>
    <row r="1932" spans="5:18">
      <c r="E1932" s="147" t="s">
        <v>67</v>
      </c>
      <c r="F1932" t="str">
        <f>TU!CA112</f>
        <v>HPS</v>
      </c>
      <c r="G1932" t="str">
        <f>TU!CB112</f>
        <v>AC</v>
      </c>
      <c r="H1932" t="str">
        <f>TU!CC112</f>
        <v>Head</v>
      </c>
      <c r="I1932">
        <f>TU!CD112</f>
        <v>0</v>
      </c>
      <c r="J1932">
        <f>TU!CE112</f>
        <v>0</v>
      </c>
      <c r="K1932">
        <f>TU!CF112</f>
        <v>0</v>
      </c>
      <c r="L1932">
        <f>TU!CG112</f>
        <v>0</v>
      </c>
      <c r="M1932">
        <f>TU!CH112</f>
        <v>0</v>
      </c>
      <c r="N1932">
        <f>TU!CI112</f>
        <v>0</v>
      </c>
      <c r="O1932">
        <f>TU!CJ112</f>
        <v>0</v>
      </c>
      <c r="P1932" s="143" t="str">
        <f>TU!CK112</f>
        <v/>
      </c>
      <c r="R1932">
        <f t="shared" si="30"/>
        <v>1931</v>
      </c>
    </row>
    <row r="1933" spans="5:18">
      <c r="E1933" s="147" t="s">
        <v>67</v>
      </c>
      <c r="F1933" t="str">
        <f>TU!CA113</f>
        <v>HPS</v>
      </c>
      <c r="G1933" t="str">
        <f>TU!CB113</f>
        <v>AC</v>
      </c>
      <c r="H1933" t="str">
        <f>TU!CC113</f>
        <v>Head</v>
      </c>
      <c r="I1933">
        <f>TU!CD113</f>
        <v>0</v>
      </c>
      <c r="J1933">
        <f>TU!CE113</f>
        <v>0</v>
      </c>
      <c r="K1933">
        <f>TU!CF113</f>
        <v>0</v>
      </c>
      <c r="L1933">
        <f>TU!CG113</f>
        <v>0</v>
      </c>
      <c r="M1933">
        <f>TU!CH113</f>
        <v>0</v>
      </c>
      <c r="N1933">
        <f>TU!CI113</f>
        <v>0</v>
      </c>
      <c r="O1933">
        <f>TU!CJ113</f>
        <v>0</v>
      </c>
      <c r="P1933" s="143" t="str">
        <f>TU!CK113</f>
        <v/>
      </c>
      <c r="R1933">
        <f t="shared" si="30"/>
        <v>1932</v>
      </c>
    </row>
    <row r="1934" spans="5:18">
      <c r="E1934" s="147" t="s">
        <v>67</v>
      </c>
      <c r="F1934" t="str">
        <f>TU!CA114</f>
        <v>HPS</v>
      </c>
      <c r="G1934" t="str">
        <f>TU!CB114</f>
        <v>AC</v>
      </c>
      <c r="H1934" t="str">
        <f>TU!CC114</f>
        <v>Head</v>
      </c>
      <c r="I1934">
        <f>TU!CD114</f>
        <v>0</v>
      </c>
      <c r="J1934">
        <f>TU!CE114</f>
        <v>0</v>
      </c>
      <c r="K1934">
        <f>TU!CF114</f>
        <v>0</v>
      </c>
      <c r="L1934">
        <f>TU!CG114</f>
        <v>0</v>
      </c>
      <c r="M1934">
        <f>TU!CH114</f>
        <v>0</v>
      </c>
      <c r="N1934">
        <f>TU!CI114</f>
        <v>0</v>
      </c>
      <c r="O1934">
        <f>TU!CJ114</f>
        <v>0</v>
      </c>
      <c r="P1934" s="143" t="str">
        <f>TU!CK114</f>
        <v/>
      </c>
      <c r="R1934">
        <f t="shared" si="30"/>
        <v>1933</v>
      </c>
    </row>
    <row r="1935" spans="5:18">
      <c r="E1935" s="147" t="s">
        <v>67</v>
      </c>
      <c r="F1935" t="str">
        <f>TU!CA115</f>
        <v>HPS</v>
      </c>
      <c r="G1935" t="str">
        <f>TU!CB115</f>
        <v>AC</v>
      </c>
      <c r="H1935" t="str">
        <f>TU!CC115</f>
        <v>Head</v>
      </c>
      <c r="I1935">
        <f>TU!CD115</f>
        <v>0</v>
      </c>
      <c r="J1935">
        <f>TU!CE115</f>
        <v>0</v>
      </c>
      <c r="K1935">
        <f>TU!CF115</f>
        <v>0</v>
      </c>
      <c r="L1935">
        <f>TU!CG115</f>
        <v>0</v>
      </c>
      <c r="M1935">
        <f>TU!CH115</f>
        <v>0</v>
      </c>
      <c r="N1935">
        <f>TU!CI115</f>
        <v>0</v>
      </c>
      <c r="O1935">
        <f>TU!CJ115</f>
        <v>0</v>
      </c>
      <c r="P1935" s="143" t="str">
        <f>TU!CK115</f>
        <v/>
      </c>
      <c r="R1935">
        <f t="shared" si="30"/>
        <v>1934</v>
      </c>
    </row>
    <row r="1936" spans="5:18">
      <c r="E1936" s="147" t="s">
        <v>67</v>
      </c>
      <c r="F1936" t="str">
        <f>TU!CA116</f>
        <v>HPS</v>
      </c>
      <c r="G1936" t="str">
        <f>TU!CB116</f>
        <v>AC</v>
      </c>
      <c r="H1936" t="str">
        <f>TU!CC116</f>
        <v>Head</v>
      </c>
      <c r="I1936">
        <f>TU!CD116</f>
        <v>0</v>
      </c>
      <c r="J1936">
        <f>TU!CE116</f>
        <v>0</v>
      </c>
      <c r="K1936">
        <f>TU!CF116</f>
        <v>0</v>
      </c>
      <c r="L1936">
        <f>TU!CG116</f>
        <v>0</v>
      </c>
      <c r="M1936">
        <f>TU!CH116</f>
        <v>0</v>
      </c>
      <c r="N1936">
        <f>TU!CI116</f>
        <v>0</v>
      </c>
      <c r="O1936">
        <f>TU!CJ116</f>
        <v>0</v>
      </c>
      <c r="P1936" s="143" t="str">
        <f>TU!CK116</f>
        <v/>
      </c>
      <c r="R1936">
        <f t="shared" si="30"/>
        <v>1935</v>
      </c>
    </row>
    <row r="1937" spans="5:18">
      <c r="E1937" s="147" t="s">
        <v>67</v>
      </c>
      <c r="F1937" t="str">
        <f>TU!CA117</f>
        <v>HPS</v>
      </c>
      <c r="G1937" t="str">
        <f>TU!CB117</f>
        <v>AC</v>
      </c>
      <c r="H1937" t="str">
        <f>TU!CC117</f>
        <v>Head</v>
      </c>
      <c r="I1937">
        <f>TU!CD117</f>
        <v>0</v>
      </c>
      <c r="J1937">
        <f>TU!CE117</f>
        <v>0</v>
      </c>
      <c r="K1937">
        <f>TU!CF117</f>
        <v>0</v>
      </c>
      <c r="L1937">
        <f>TU!CG117</f>
        <v>0</v>
      </c>
      <c r="M1937">
        <f>TU!CH117</f>
        <v>0</v>
      </c>
      <c r="N1937">
        <f>TU!CI117</f>
        <v>0</v>
      </c>
      <c r="O1937">
        <f>TU!CJ117</f>
        <v>0</v>
      </c>
      <c r="P1937" s="143" t="str">
        <f>TU!CK117</f>
        <v/>
      </c>
      <c r="R1937">
        <f t="shared" si="30"/>
        <v>1936</v>
      </c>
    </row>
    <row r="1938" spans="5:18">
      <c r="E1938" s="147" t="s">
        <v>67</v>
      </c>
      <c r="F1938" t="str">
        <f>TU!CA118</f>
        <v>HPS</v>
      </c>
      <c r="G1938" t="str">
        <f>TU!CB118</f>
        <v>AC</v>
      </c>
      <c r="H1938" t="str">
        <f>TU!CC118</f>
        <v>Head</v>
      </c>
      <c r="I1938">
        <f>TU!CD118</f>
        <v>0</v>
      </c>
      <c r="J1938">
        <f>TU!CE118</f>
        <v>0</v>
      </c>
      <c r="K1938">
        <f>TU!CF118</f>
        <v>0</v>
      </c>
      <c r="L1938">
        <f>TU!CG118</f>
        <v>0</v>
      </c>
      <c r="M1938">
        <f>TU!CH118</f>
        <v>0</v>
      </c>
      <c r="N1938">
        <f>TU!CI118</f>
        <v>0</v>
      </c>
      <c r="O1938">
        <f>TU!CJ118</f>
        <v>0</v>
      </c>
      <c r="P1938" s="143" t="str">
        <f>TU!CK118</f>
        <v/>
      </c>
      <c r="R1938">
        <f t="shared" si="30"/>
        <v>1937</v>
      </c>
    </row>
    <row r="1939" spans="5:18">
      <c r="E1939" s="147" t="s">
        <v>67</v>
      </c>
      <c r="F1939" t="str">
        <f>TU!CA119</f>
        <v>HPS</v>
      </c>
      <c r="G1939" t="str">
        <f>TU!CB119</f>
        <v>AC</v>
      </c>
      <c r="H1939" t="str">
        <f>TU!CC119</f>
        <v>Head</v>
      </c>
      <c r="I1939">
        <f>TU!CD119</f>
        <v>0</v>
      </c>
      <c r="J1939">
        <f>TU!CE119</f>
        <v>0</v>
      </c>
      <c r="K1939">
        <f>TU!CF119</f>
        <v>0</v>
      </c>
      <c r="L1939">
        <f>TU!CG119</f>
        <v>0</v>
      </c>
      <c r="M1939">
        <f>TU!CH119</f>
        <v>0</v>
      </c>
      <c r="N1939">
        <f>TU!CI119</f>
        <v>0</v>
      </c>
      <c r="O1939">
        <f>TU!CJ119</f>
        <v>0</v>
      </c>
      <c r="P1939" s="143" t="str">
        <f>TU!CK119</f>
        <v/>
      </c>
      <c r="R1939">
        <f t="shared" si="30"/>
        <v>1938</v>
      </c>
    </row>
    <row r="1940" spans="5:18">
      <c r="E1940" s="147" t="s">
        <v>67</v>
      </c>
      <c r="F1940" t="str">
        <f>TU!CA120</f>
        <v>HPS</v>
      </c>
      <c r="G1940" t="str">
        <f>TU!CB120</f>
        <v>AC</v>
      </c>
      <c r="H1940" t="str">
        <f>TU!CC120</f>
        <v>Head</v>
      </c>
      <c r="I1940">
        <f>TU!CD120</f>
        <v>0</v>
      </c>
      <c r="J1940">
        <f>TU!CE120</f>
        <v>0</v>
      </c>
      <c r="K1940">
        <f>TU!CF120</f>
        <v>0</v>
      </c>
      <c r="L1940">
        <f>TU!CG120</f>
        <v>0</v>
      </c>
      <c r="M1940">
        <f>TU!CH120</f>
        <v>0</v>
      </c>
      <c r="N1940">
        <f>TU!CI120</f>
        <v>0</v>
      </c>
      <c r="O1940">
        <f>TU!CJ120</f>
        <v>0</v>
      </c>
      <c r="P1940" s="143" t="str">
        <f>TU!CK120</f>
        <v/>
      </c>
      <c r="R1940">
        <f t="shared" si="30"/>
        <v>1939</v>
      </c>
    </row>
    <row r="1941" spans="5:18">
      <c r="E1941" s="147" t="s">
        <v>67</v>
      </c>
      <c r="F1941" t="str">
        <f>TU!CA121</f>
        <v>HPS</v>
      </c>
      <c r="G1941" t="str">
        <f>TU!CB121</f>
        <v>AC</v>
      </c>
      <c r="H1941" t="str">
        <f>TU!CC121</f>
        <v>Head</v>
      </c>
      <c r="I1941">
        <f>TU!CD121</f>
        <v>0</v>
      </c>
      <c r="J1941">
        <f>TU!CE121</f>
        <v>0</v>
      </c>
      <c r="K1941">
        <f>TU!CF121</f>
        <v>0</v>
      </c>
      <c r="L1941">
        <f>TU!CG121</f>
        <v>0</v>
      </c>
      <c r="M1941">
        <f>TU!CH121</f>
        <v>0</v>
      </c>
      <c r="N1941">
        <f>TU!CI121</f>
        <v>0</v>
      </c>
      <c r="O1941">
        <f>TU!CJ121</f>
        <v>0</v>
      </c>
      <c r="P1941" s="143" t="str">
        <f>TU!CK121</f>
        <v/>
      </c>
      <c r="R1941">
        <f t="shared" si="30"/>
        <v>1940</v>
      </c>
    </row>
    <row r="1942" spans="5:18">
      <c r="E1942" s="147" t="s">
        <v>67</v>
      </c>
      <c r="F1942" t="str">
        <f>TU!CA122</f>
        <v>HPS</v>
      </c>
      <c r="G1942" t="str">
        <f>TU!CB122</f>
        <v>AC</v>
      </c>
      <c r="H1942" t="str">
        <f>TU!CC122</f>
        <v>Head</v>
      </c>
      <c r="I1942">
        <f>TU!CD122</f>
        <v>0</v>
      </c>
      <c r="J1942">
        <f>TU!CE122</f>
        <v>0</v>
      </c>
      <c r="K1942">
        <f>TU!CF122</f>
        <v>0</v>
      </c>
      <c r="L1942">
        <f>TU!CG122</f>
        <v>0</v>
      </c>
      <c r="M1942">
        <f>TU!CH122</f>
        <v>0</v>
      </c>
      <c r="N1942">
        <f>TU!CI122</f>
        <v>0</v>
      </c>
      <c r="O1942">
        <f>TU!CJ122</f>
        <v>0</v>
      </c>
      <c r="P1942" s="143" t="str">
        <f>TU!CK122</f>
        <v/>
      </c>
      <c r="R1942">
        <f t="shared" si="30"/>
        <v>1941</v>
      </c>
    </row>
    <row r="1943" spans="5:18">
      <c r="E1943" s="147" t="s">
        <v>67</v>
      </c>
      <c r="F1943" t="str">
        <f>TU!CA123</f>
        <v>HPS</v>
      </c>
      <c r="G1943" t="str">
        <f>TU!CB123</f>
        <v>AC</v>
      </c>
      <c r="H1943" t="str">
        <f>TU!CC123</f>
        <v>Head</v>
      </c>
      <c r="I1943">
        <f>TU!CD123</f>
        <v>0</v>
      </c>
      <c r="J1943">
        <f>TU!CE123</f>
        <v>0</v>
      </c>
      <c r="K1943">
        <f>TU!CF123</f>
        <v>0</v>
      </c>
      <c r="L1943">
        <f>TU!CG123</f>
        <v>0</v>
      </c>
      <c r="M1943">
        <f>TU!CH123</f>
        <v>0</v>
      </c>
      <c r="N1943">
        <f>TU!CI123</f>
        <v>0</v>
      </c>
      <c r="O1943">
        <f>TU!CJ123</f>
        <v>0</v>
      </c>
      <c r="P1943" s="143" t="str">
        <f>TU!CK123</f>
        <v/>
      </c>
      <c r="R1943">
        <f t="shared" si="30"/>
        <v>1942</v>
      </c>
    </row>
    <row r="1944" spans="5:18">
      <c r="E1944" s="147" t="s">
        <v>67</v>
      </c>
      <c r="F1944" t="str">
        <f>TU!CA124</f>
        <v>HPS</v>
      </c>
      <c r="G1944" t="str">
        <f>TU!CB124</f>
        <v>AC</v>
      </c>
      <c r="H1944" t="str">
        <f>TU!CC124</f>
        <v>Head</v>
      </c>
      <c r="I1944">
        <f>TU!CD124</f>
        <v>0</v>
      </c>
      <c r="J1944">
        <f>TU!CE124</f>
        <v>0</v>
      </c>
      <c r="K1944">
        <f>TU!CF124</f>
        <v>0</v>
      </c>
      <c r="L1944">
        <f>TU!CG124</f>
        <v>0</v>
      </c>
      <c r="M1944">
        <f>TU!CH124</f>
        <v>0</v>
      </c>
      <c r="N1944">
        <f>TU!CI124</f>
        <v>0</v>
      </c>
      <c r="O1944">
        <f>TU!CJ124</f>
        <v>0</v>
      </c>
      <c r="P1944" s="143" t="str">
        <f>TU!CK124</f>
        <v/>
      </c>
      <c r="R1944">
        <f t="shared" si="30"/>
        <v>1943</v>
      </c>
    </row>
    <row r="1945" spans="5:18">
      <c r="E1945" s="147" t="s">
        <v>67</v>
      </c>
      <c r="F1945" t="str">
        <f>TU!CA125</f>
        <v>HPS</v>
      </c>
      <c r="G1945" t="str">
        <f>TU!CB125</f>
        <v>AC</v>
      </c>
      <c r="H1945" t="str">
        <f>TU!CC125</f>
        <v>Head</v>
      </c>
      <c r="I1945">
        <f>TU!CD125</f>
        <v>0</v>
      </c>
      <c r="J1945">
        <f>TU!CE125</f>
        <v>0</v>
      </c>
      <c r="K1945">
        <f>TU!CF125</f>
        <v>0</v>
      </c>
      <c r="L1945">
        <f>TU!CG125</f>
        <v>0</v>
      </c>
      <c r="M1945">
        <f>TU!CH125</f>
        <v>0</v>
      </c>
      <c r="N1945">
        <f>TU!CI125</f>
        <v>0</v>
      </c>
      <c r="O1945">
        <f>TU!CJ125</f>
        <v>0</v>
      </c>
      <c r="P1945" s="143" t="str">
        <f>TU!CK125</f>
        <v/>
      </c>
      <c r="R1945">
        <f t="shared" si="30"/>
        <v>1944</v>
      </c>
    </row>
    <row r="1946" spans="5:18">
      <c r="E1946" s="147" t="s">
        <v>67</v>
      </c>
      <c r="F1946" t="str">
        <f>TU!CA126</f>
        <v>HPS</v>
      </c>
      <c r="G1946" t="str">
        <f>TU!CB126</f>
        <v>AC</v>
      </c>
      <c r="H1946" t="str">
        <f>TU!CC126</f>
        <v>Head</v>
      </c>
      <c r="I1946">
        <f>TU!CD126</f>
        <v>0</v>
      </c>
      <c r="J1946">
        <f>TU!CE126</f>
        <v>0</v>
      </c>
      <c r="K1946">
        <f>TU!CF126</f>
        <v>0</v>
      </c>
      <c r="L1946">
        <f>TU!CG126</f>
        <v>0</v>
      </c>
      <c r="M1946">
        <f>TU!CH126</f>
        <v>0</v>
      </c>
      <c r="N1946">
        <f>TU!CI126</f>
        <v>0</v>
      </c>
      <c r="O1946">
        <f>TU!CJ126</f>
        <v>0</v>
      </c>
      <c r="P1946" s="143" t="str">
        <f>TU!CK126</f>
        <v/>
      </c>
      <c r="R1946">
        <f t="shared" si="30"/>
        <v>1945</v>
      </c>
    </row>
    <row r="1947" spans="5:18">
      <c r="E1947" s="147" t="s">
        <v>67</v>
      </c>
      <c r="F1947" t="str">
        <f>TU!CA127</f>
        <v>HPS</v>
      </c>
      <c r="G1947" t="str">
        <f>TU!CB127</f>
        <v>AC</v>
      </c>
      <c r="H1947" t="str">
        <f>TU!CC127</f>
        <v>Head</v>
      </c>
      <c r="I1947">
        <f>TU!CD127</f>
        <v>0</v>
      </c>
      <c r="J1947">
        <f>TU!CE127</f>
        <v>0</v>
      </c>
      <c r="K1947">
        <f>TU!CF127</f>
        <v>0</v>
      </c>
      <c r="L1947">
        <f>TU!CG127</f>
        <v>0</v>
      </c>
      <c r="M1947">
        <f>TU!CH127</f>
        <v>0</v>
      </c>
      <c r="N1947">
        <f>TU!CI127</f>
        <v>0</v>
      </c>
      <c r="O1947">
        <f>TU!CJ127</f>
        <v>0</v>
      </c>
      <c r="P1947" s="143" t="str">
        <f>TU!CK127</f>
        <v/>
      </c>
      <c r="R1947">
        <f t="shared" si="30"/>
        <v>1946</v>
      </c>
    </row>
    <row r="1948" spans="5:18">
      <c r="E1948" s="147" t="s">
        <v>67</v>
      </c>
      <c r="F1948" t="str">
        <f>TU!CA128</f>
        <v>HPS</v>
      </c>
      <c r="G1948" t="str">
        <f>TU!CB128</f>
        <v>AC</v>
      </c>
      <c r="H1948" t="str">
        <f>TU!CC128</f>
        <v>Head</v>
      </c>
      <c r="I1948">
        <f>TU!CD128</f>
        <v>0</v>
      </c>
      <c r="J1948">
        <f>TU!CE128</f>
        <v>0</v>
      </c>
      <c r="K1948">
        <f>TU!CF128</f>
        <v>0</v>
      </c>
      <c r="L1948">
        <f>TU!CG128</f>
        <v>0</v>
      </c>
      <c r="M1948">
        <f>TU!CH128</f>
        <v>0</v>
      </c>
      <c r="N1948">
        <f>TU!CI128</f>
        <v>0</v>
      </c>
      <c r="O1948">
        <f>TU!CJ128</f>
        <v>0</v>
      </c>
      <c r="P1948" s="143" t="str">
        <f>TU!CK128</f>
        <v/>
      </c>
      <c r="R1948">
        <f t="shared" si="30"/>
        <v>1947</v>
      </c>
    </row>
    <row r="1949" spans="5:18">
      <c r="E1949" s="147" t="s">
        <v>67</v>
      </c>
      <c r="F1949" t="str">
        <f>TU!CA129</f>
        <v>HPS</v>
      </c>
      <c r="G1949" t="str">
        <f>TU!CB129</f>
        <v>AC</v>
      </c>
      <c r="H1949" t="str">
        <f>TU!CC129</f>
        <v>Head</v>
      </c>
      <c r="I1949">
        <f>TU!CD129</f>
        <v>0</v>
      </c>
      <c r="J1949">
        <f>TU!CE129</f>
        <v>0</v>
      </c>
      <c r="K1949">
        <f>TU!CF129</f>
        <v>0</v>
      </c>
      <c r="L1949">
        <f>TU!CG129</f>
        <v>0</v>
      </c>
      <c r="M1949">
        <f>TU!CH129</f>
        <v>0</v>
      </c>
      <c r="N1949">
        <f>TU!CI129</f>
        <v>0</v>
      </c>
      <c r="O1949">
        <f>TU!CJ129</f>
        <v>0</v>
      </c>
      <c r="P1949" s="143" t="str">
        <f>TU!CK129</f>
        <v/>
      </c>
      <c r="R1949">
        <f t="shared" si="30"/>
        <v>1948</v>
      </c>
    </row>
    <row r="1950" spans="5:18">
      <c r="E1950" s="147" t="s">
        <v>67</v>
      </c>
      <c r="F1950" t="str">
        <f>TU!CA130</f>
        <v>HPS</v>
      </c>
      <c r="G1950" t="str">
        <f>TU!CB130</f>
        <v>AC</v>
      </c>
      <c r="H1950" t="str">
        <f>TU!CC130</f>
        <v>Head</v>
      </c>
      <c r="I1950">
        <f>TU!CD130</f>
        <v>0</v>
      </c>
      <c r="J1950">
        <f>TU!CE130</f>
        <v>0</v>
      </c>
      <c r="K1950">
        <f>TU!CF130</f>
        <v>0</v>
      </c>
      <c r="L1950">
        <f>TU!CG130</f>
        <v>0</v>
      </c>
      <c r="M1950">
        <f>TU!CH130</f>
        <v>0</v>
      </c>
      <c r="N1950">
        <f>TU!CI130</f>
        <v>0</v>
      </c>
      <c r="O1950">
        <f>TU!CJ130</f>
        <v>0</v>
      </c>
      <c r="P1950" s="143" t="str">
        <f>TU!CK130</f>
        <v/>
      </c>
      <c r="R1950">
        <f t="shared" si="30"/>
        <v>1949</v>
      </c>
    </row>
    <row r="1951" spans="5:18">
      <c r="E1951" s="147" t="s">
        <v>67</v>
      </c>
      <c r="F1951" t="str">
        <f>TU!CA131</f>
        <v>HPS</v>
      </c>
      <c r="G1951" t="str">
        <f>TU!CB131</f>
        <v>AC</v>
      </c>
      <c r="H1951" t="str">
        <f>TU!CC131</f>
        <v>Head</v>
      </c>
      <c r="I1951">
        <f>TU!CD131</f>
        <v>0</v>
      </c>
      <c r="J1951">
        <f>TU!CE131</f>
        <v>0</v>
      </c>
      <c r="K1951">
        <f>TU!CF131</f>
        <v>0</v>
      </c>
      <c r="L1951">
        <f>TU!CG131</f>
        <v>0</v>
      </c>
      <c r="M1951">
        <f>TU!CH131</f>
        <v>0</v>
      </c>
      <c r="N1951">
        <f>TU!CI131</f>
        <v>0</v>
      </c>
      <c r="O1951">
        <f>TU!CJ131</f>
        <v>0</v>
      </c>
      <c r="P1951" s="143" t="str">
        <f>TU!CK131</f>
        <v/>
      </c>
      <c r="R1951">
        <f t="shared" si="30"/>
        <v>1950</v>
      </c>
    </row>
    <row r="1952" spans="5:18">
      <c r="E1952" s="147" t="s">
        <v>67</v>
      </c>
      <c r="F1952" t="str">
        <f>TU!CA132</f>
        <v>HPS</v>
      </c>
      <c r="G1952" t="str">
        <f>TU!CB132</f>
        <v>AC</v>
      </c>
      <c r="H1952" t="str">
        <f>TU!CC132</f>
        <v>Head</v>
      </c>
      <c r="I1952">
        <f>TU!CD132</f>
        <v>0</v>
      </c>
      <c r="J1952">
        <f>TU!CE132</f>
        <v>0</v>
      </c>
      <c r="K1952">
        <f>TU!CF132</f>
        <v>0</v>
      </c>
      <c r="L1952">
        <f>TU!CG132</f>
        <v>0</v>
      </c>
      <c r="M1952">
        <f>TU!CH132</f>
        <v>0</v>
      </c>
      <c r="N1952">
        <f>TU!CI132</f>
        <v>0</v>
      </c>
      <c r="O1952">
        <f>TU!CJ132</f>
        <v>0</v>
      </c>
      <c r="P1952" s="143" t="str">
        <f>TU!CK132</f>
        <v/>
      </c>
      <c r="R1952">
        <f t="shared" si="30"/>
        <v>1951</v>
      </c>
    </row>
    <row r="1953" spans="5:18">
      <c r="E1953" s="147" t="s">
        <v>67</v>
      </c>
      <c r="F1953" t="str">
        <f>TU!CA133</f>
        <v>HPS</v>
      </c>
      <c r="G1953" t="str">
        <f>TU!CB133</f>
        <v>AC</v>
      </c>
      <c r="H1953" t="str">
        <f>TU!CC133</f>
        <v>Head</v>
      </c>
      <c r="I1953">
        <f>TU!CD133</f>
        <v>0</v>
      </c>
      <c r="J1953">
        <f>TU!CE133</f>
        <v>0</v>
      </c>
      <c r="K1953">
        <f>TU!CF133</f>
        <v>0</v>
      </c>
      <c r="L1953">
        <f>TU!CG133</f>
        <v>0</v>
      </c>
      <c r="M1953">
        <f>TU!CH133</f>
        <v>0</v>
      </c>
      <c r="N1953">
        <f>TU!CI133</f>
        <v>0</v>
      </c>
      <c r="O1953">
        <f>TU!CJ133</f>
        <v>0</v>
      </c>
      <c r="P1953" s="143" t="str">
        <f>TU!CK133</f>
        <v/>
      </c>
      <c r="R1953">
        <f t="shared" si="30"/>
        <v>1952</v>
      </c>
    </row>
    <row r="1954" spans="5:18">
      <c r="E1954" s="147" t="s">
        <v>67</v>
      </c>
      <c r="F1954" t="str">
        <f>TU!CA134</f>
        <v>HPS</v>
      </c>
      <c r="G1954" t="str">
        <f>TU!CB134</f>
        <v>AC</v>
      </c>
      <c r="H1954" t="str">
        <f>TU!CC134</f>
        <v>Head</v>
      </c>
      <c r="I1954">
        <f>TU!CD134</f>
        <v>0</v>
      </c>
      <c r="J1954">
        <f>TU!CE134</f>
        <v>0</v>
      </c>
      <c r="K1954">
        <f>TU!CF134</f>
        <v>0</v>
      </c>
      <c r="L1954">
        <f>TU!CG134</f>
        <v>0</v>
      </c>
      <c r="M1954">
        <f>TU!CH134</f>
        <v>0</v>
      </c>
      <c r="N1954">
        <f>TU!CI134</f>
        <v>0</v>
      </c>
      <c r="O1954">
        <f>TU!CJ134</f>
        <v>0</v>
      </c>
      <c r="P1954" s="143" t="str">
        <f>TU!CK134</f>
        <v/>
      </c>
      <c r="R1954">
        <f t="shared" si="30"/>
        <v>1953</v>
      </c>
    </row>
    <row r="1955" spans="5:18">
      <c r="E1955" s="147" t="s">
        <v>67</v>
      </c>
      <c r="F1955" t="str">
        <f>TU!CA135</f>
        <v>HPS</v>
      </c>
      <c r="G1955" t="str">
        <f>TU!CB135</f>
        <v>AC</v>
      </c>
      <c r="H1955" t="str">
        <f>TU!CC135</f>
        <v>Head</v>
      </c>
      <c r="I1955">
        <f>TU!CD135</f>
        <v>0</v>
      </c>
      <c r="J1955">
        <f>TU!CE135</f>
        <v>0</v>
      </c>
      <c r="K1955">
        <f>TU!CF135</f>
        <v>0</v>
      </c>
      <c r="L1955">
        <f>TU!CG135</f>
        <v>0</v>
      </c>
      <c r="M1955">
        <f>TU!CH135</f>
        <v>0</v>
      </c>
      <c r="N1955">
        <f>TU!CI135</f>
        <v>0</v>
      </c>
      <c r="O1955">
        <f>TU!CJ135</f>
        <v>0</v>
      </c>
      <c r="P1955" s="143" t="str">
        <f>TU!CK135</f>
        <v/>
      </c>
      <c r="R1955">
        <f t="shared" si="30"/>
        <v>1954</v>
      </c>
    </row>
    <row r="1956" spans="5:18">
      <c r="E1956" s="147" t="s">
        <v>67</v>
      </c>
      <c r="F1956" t="str">
        <f>TU!CA136</f>
        <v>HPS</v>
      </c>
      <c r="G1956" t="str">
        <f>TU!CB136</f>
        <v>AC</v>
      </c>
      <c r="H1956" t="str">
        <f>TU!CC136</f>
        <v>Head</v>
      </c>
      <c r="I1956">
        <f>TU!CD136</f>
        <v>0</v>
      </c>
      <c r="J1956">
        <f>TU!CE136</f>
        <v>0</v>
      </c>
      <c r="K1956">
        <f>TU!CF136</f>
        <v>0</v>
      </c>
      <c r="L1956">
        <f>TU!CG136</f>
        <v>0</v>
      </c>
      <c r="M1956">
        <f>TU!CH136</f>
        <v>0</v>
      </c>
      <c r="N1956">
        <f>TU!CI136</f>
        <v>0</v>
      </c>
      <c r="O1956">
        <f>TU!CJ136</f>
        <v>0</v>
      </c>
      <c r="P1956" s="143" t="str">
        <f>TU!CK136</f>
        <v/>
      </c>
      <c r="R1956">
        <f t="shared" si="30"/>
        <v>1955</v>
      </c>
    </row>
    <row r="1957" spans="5:18">
      <c r="E1957" s="147" t="s">
        <v>67</v>
      </c>
      <c r="F1957" t="str">
        <f>TU!CA137</f>
        <v>HPS</v>
      </c>
      <c r="G1957" t="str">
        <f>TU!CB137</f>
        <v>AC</v>
      </c>
      <c r="H1957" t="str">
        <f>TU!CC137</f>
        <v>Head</v>
      </c>
      <c r="I1957">
        <f>TU!CD137</f>
        <v>0</v>
      </c>
      <c r="J1957">
        <f>TU!CE137</f>
        <v>0</v>
      </c>
      <c r="K1957">
        <f>TU!CF137</f>
        <v>0</v>
      </c>
      <c r="L1957">
        <f>TU!CG137</f>
        <v>0</v>
      </c>
      <c r="M1957">
        <f>TU!CH137</f>
        <v>0</v>
      </c>
      <c r="N1957">
        <f>TU!CI137</f>
        <v>0</v>
      </c>
      <c r="O1957">
        <f>TU!CJ137</f>
        <v>0</v>
      </c>
      <c r="P1957" s="143" t="str">
        <f>TU!CK137</f>
        <v/>
      </c>
      <c r="R1957">
        <f t="shared" si="30"/>
        <v>1956</v>
      </c>
    </row>
    <row r="1958" spans="5:18">
      <c r="E1958" s="147" t="s">
        <v>67</v>
      </c>
      <c r="F1958" t="str">
        <f>TU!CA138</f>
        <v>HPS</v>
      </c>
      <c r="G1958" t="str">
        <f>TU!CB138</f>
        <v>AC</v>
      </c>
      <c r="H1958" t="str">
        <f>TU!CC138</f>
        <v>Head</v>
      </c>
      <c r="I1958">
        <f>TU!CD138</f>
        <v>0</v>
      </c>
      <c r="J1958">
        <f>TU!CE138</f>
        <v>0</v>
      </c>
      <c r="K1958">
        <f>TU!CF138</f>
        <v>0</v>
      </c>
      <c r="L1958">
        <f>TU!CG138</f>
        <v>0</v>
      </c>
      <c r="M1958">
        <f>TU!CH138</f>
        <v>0</v>
      </c>
      <c r="N1958">
        <f>TU!CI138</f>
        <v>0</v>
      </c>
      <c r="O1958">
        <f>TU!CJ138</f>
        <v>0</v>
      </c>
      <c r="P1958" s="143" t="str">
        <f>TU!CK138</f>
        <v/>
      </c>
      <c r="R1958">
        <f t="shared" si="30"/>
        <v>1957</v>
      </c>
    </row>
    <row r="1959" spans="5:18">
      <c r="E1959" s="147" t="s">
        <v>67</v>
      </c>
      <c r="F1959" t="str">
        <f>TU!CA139</f>
        <v>HPS</v>
      </c>
      <c r="G1959" t="str">
        <f>TU!CB139</f>
        <v>AC</v>
      </c>
      <c r="H1959" t="str">
        <f>TU!CC139</f>
        <v>Head</v>
      </c>
      <c r="I1959">
        <f>TU!CD139</f>
        <v>0</v>
      </c>
      <c r="J1959">
        <f>TU!CE139</f>
        <v>0</v>
      </c>
      <c r="K1959">
        <f>TU!CF139</f>
        <v>0</v>
      </c>
      <c r="L1959">
        <f>TU!CG139</f>
        <v>0</v>
      </c>
      <c r="M1959">
        <f>TU!CH139</f>
        <v>0</v>
      </c>
      <c r="N1959">
        <f>TU!CI139</f>
        <v>0</v>
      </c>
      <c r="O1959">
        <f>TU!CJ139</f>
        <v>0</v>
      </c>
      <c r="P1959" s="143" t="str">
        <f>TU!CK139</f>
        <v/>
      </c>
      <c r="R1959">
        <f t="shared" si="30"/>
        <v>1958</v>
      </c>
    </row>
    <row r="1960" spans="5:18">
      <c r="E1960" s="147" t="s">
        <v>67</v>
      </c>
      <c r="F1960" t="str">
        <f>TU!CA140</f>
        <v>HPS</v>
      </c>
      <c r="G1960" t="str">
        <f>TU!CB140</f>
        <v>AC</v>
      </c>
      <c r="H1960" t="str">
        <f>TU!CC140</f>
        <v>Head</v>
      </c>
      <c r="I1960">
        <f>TU!CD140</f>
        <v>0</v>
      </c>
      <c r="J1960">
        <f>TU!CE140</f>
        <v>0</v>
      </c>
      <c r="K1960">
        <f>TU!CF140</f>
        <v>0</v>
      </c>
      <c r="L1960">
        <f>TU!CG140</f>
        <v>0</v>
      </c>
      <c r="M1960">
        <f>TU!CH140</f>
        <v>0</v>
      </c>
      <c r="N1960">
        <f>TU!CI140</f>
        <v>0</v>
      </c>
      <c r="O1960">
        <f>TU!CJ140</f>
        <v>0</v>
      </c>
      <c r="P1960" s="143" t="str">
        <f>TU!CK140</f>
        <v/>
      </c>
      <c r="R1960">
        <f t="shared" si="30"/>
        <v>1959</v>
      </c>
    </row>
    <row r="1961" spans="5:18">
      <c r="E1961" s="147" t="s">
        <v>67</v>
      </c>
      <c r="F1961" t="str">
        <f>TU!CA141</f>
        <v>HPS</v>
      </c>
      <c r="G1961" t="str">
        <f>TU!CB141</f>
        <v>AC</v>
      </c>
      <c r="H1961" t="str">
        <f>TU!CC141</f>
        <v>Head</v>
      </c>
      <c r="I1961">
        <f>TU!CD141</f>
        <v>0</v>
      </c>
      <c r="J1961">
        <f>TU!CE141</f>
        <v>0</v>
      </c>
      <c r="K1961">
        <f>TU!CF141</f>
        <v>0</v>
      </c>
      <c r="L1961">
        <f>TU!CG141</f>
        <v>0</v>
      </c>
      <c r="M1961">
        <f>TU!CH141</f>
        <v>0</v>
      </c>
      <c r="N1961">
        <f>TU!CI141</f>
        <v>0</v>
      </c>
      <c r="O1961">
        <f>TU!CJ141</f>
        <v>0</v>
      </c>
      <c r="P1961" s="143" t="str">
        <f>TU!CK141</f>
        <v/>
      </c>
      <c r="R1961">
        <f t="shared" si="30"/>
        <v>1960</v>
      </c>
    </row>
    <row r="1962" spans="5:18">
      <c r="E1962" s="147" t="s">
        <v>67</v>
      </c>
      <c r="F1962" t="str">
        <f>TU!CA142</f>
        <v>HPS</v>
      </c>
      <c r="G1962" t="str">
        <f>TU!CB142</f>
        <v>AC</v>
      </c>
      <c r="H1962" t="str">
        <f>TU!CC142</f>
        <v>Head</v>
      </c>
      <c r="I1962">
        <f>TU!CD142</f>
        <v>0</v>
      </c>
      <c r="J1962">
        <f>TU!CE142</f>
        <v>0</v>
      </c>
      <c r="K1962">
        <f>TU!CF142</f>
        <v>0</v>
      </c>
      <c r="L1962">
        <f>TU!CG142</f>
        <v>0</v>
      </c>
      <c r="M1962">
        <f>TU!CH142</f>
        <v>0</v>
      </c>
      <c r="N1962">
        <f>TU!CI142</f>
        <v>0</v>
      </c>
      <c r="O1962">
        <f>TU!CJ142</f>
        <v>0</v>
      </c>
      <c r="P1962" s="143" t="str">
        <f>TU!CK142</f>
        <v/>
      </c>
      <c r="R1962">
        <f t="shared" si="30"/>
        <v>1961</v>
      </c>
    </row>
    <row r="1963" spans="5:18">
      <c r="E1963" s="147" t="s">
        <v>67</v>
      </c>
      <c r="F1963" t="str">
        <f>TU!CA143</f>
        <v>HPS</v>
      </c>
      <c r="G1963" t="str">
        <f>TU!CB143</f>
        <v>AC</v>
      </c>
      <c r="H1963" t="str">
        <f>TU!CC143</f>
        <v>Head</v>
      </c>
      <c r="I1963">
        <f>TU!CD143</f>
        <v>0</v>
      </c>
      <c r="J1963">
        <f>TU!CE143</f>
        <v>0</v>
      </c>
      <c r="K1963">
        <f>TU!CF143</f>
        <v>0</v>
      </c>
      <c r="L1963">
        <f>TU!CG143</f>
        <v>0</v>
      </c>
      <c r="M1963">
        <f>TU!CH143</f>
        <v>0</v>
      </c>
      <c r="N1963">
        <f>TU!CI143</f>
        <v>0</v>
      </c>
      <c r="O1963">
        <f>TU!CJ143</f>
        <v>0</v>
      </c>
      <c r="P1963" s="143" t="str">
        <f>TU!CK143</f>
        <v/>
      </c>
      <c r="R1963">
        <f t="shared" si="30"/>
        <v>1962</v>
      </c>
    </row>
    <row r="1964" spans="5:18">
      <c r="E1964" s="147" t="s">
        <v>67</v>
      </c>
      <c r="F1964" t="str">
        <f>TU!CA144</f>
        <v>HPS</v>
      </c>
      <c r="G1964" t="str">
        <f>TU!CB144</f>
        <v>AC</v>
      </c>
      <c r="H1964" t="str">
        <f>TU!CC144</f>
        <v>Head</v>
      </c>
      <c r="I1964">
        <f>TU!CD144</f>
        <v>0</v>
      </c>
      <c r="J1964">
        <f>TU!CE144</f>
        <v>0</v>
      </c>
      <c r="K1964">
        <f>TU!CF144</f>
        <v>0</v>
      </c>
      <c r="L1964">
        <f>TU!CG144</f>
        <v>0</v>
      </c>
      <c r="M1964">
        <f>TU!CH144</f>
        <v>0</v>
      </c>
      <c r="N1964">
        <f>TU!CI144</f>
        <v>0</v>
      </c>
      <c r="O1964">
        <f>TU!CJ144</f>
        <v>0</v>
      </c>
      <c r="P1964" s="143" t="str">
        <f>TU!CK144</f>
        <v/>
      </c>
      <c r="R1964">
        <f t="shared" si="30"/>
        <v>1963</v>
      </c>
    </row>
    <row r="1965" spans="5:18">
      <c r="E1965" s="147" t="s">
        <v>67</v>
      </c>
      <c r="F1965" t="str">
        <f>TU!CA145</f>
        <v>HPS</v>
      </c>
      <c r="G1965" t="str">
        <f>TU!CB145</f>
        <v>AC</v>
      </c>
      <c r="H1965" t="str">
        <f>TU!CC145</f>
        <v>Head</v>
      </c>
      <c r="I1965">
        <f>TU!CD145</f>
        <v>0</v>
      </c>
      <c r="J1965">
        <f>TU!CE145</f>
        <v>0</v>
      </c>
      <c r="K1965">
        <f>TU!CF145</f>
        <v>0</v>
      </c>
      <c r="L1965">
        <f>TU!CG145</f>
        <v>0</v>
      </c>
      <c r="M1965">
        <f>TU!CH145</f>
        <v>0</v>
      </c>
      <c r="N1965">
        <f>TU!CI145</f>
        <v>0</v>
      </c>
      <c r="O1965">
        <f>TU!CJ145</f>
        <v>0</v>
      </c>
      <c r="P1965" s="143" t="str">
        <f>TU!CK145</f>
        <v/>
      </c>
      <c r="R1965">
        <f t="shared" si="30"/>
        <v>1964</v>
      </c>
    </row>
    <row r="1966" spans="5:18">
      <c r="E1966" s="147" t="s">
        <v>67</v>
      </c>
      <c r="F1966" t="str">
        <f>TU!CA146</f>
        <v>HPS</v>
      </c>
      <c r="G1966" t="str">
        <f>TU!CB146</f>
        <v>AC</v>
      </c>
      <c r="H1966" t="str">
        <f>TU!CC146</f>
        <v>Head</v>
      </c>
      <c r="I1966">
        <f>TU!CD146</f>
        <v>0</v>
      </c>
      <c r="J1966">
        <f>TU!CE146</f>
        <v>0</v>
      </c>
      <c r="K1966">
        <f>TU!CF146</f>
        <v>0</v>
      </c>
      <c r="L1966">
        <f>TU!CG146</f>
        <v>0</v>
      </c>
      <c r="M1966">
        <f>TU!CH146</f>
        <v>0</v>
      </c>
      <c r="N1966">
        <f>TU!CI146</f>
        <v>0</v>
      </c>
      <c r="O1966">
        <f>TU!CJ146</f>
        <v>0</v>
      </c>
      <c r="P1966" s="143" t="str">
        <f>TU!CK146</f>
        <v/>
      </c>
      <c r="R1966">
        <f t="shared" si="30"/>
        <v>1965</v>
      </c>
    </row>
    <row r="1967" spans="5:18">
      <c r="E1967" s="147" t="s">
        <v>67</v>
      </c>
      <c r="F1967" t="str">
        <f>TU!CA147</f>
        <v>HPS</v>
      </c>
      <c r="G1967" t="str">
        <f>TU!CB147</f>
        <v>AC</v>
      </c>
      <c r="H1967" t="str">
        <f>TU!CC147</f>
        <v>Head</v>
      </c>
      <c r="I1967">
        <f>TU!CD147</f>
        <v>0</v>
      </c>
      <c r="J1967">
        <f>TU!CE147</f>
        <v>0</v>
      </c>
      <c r="K1967">
        <f>TU!CF147</f>
        <v>0</v>
      </c>
      <c r="L1967">
        <f>TU!CG147</f>
        <v>0</v>
      </c>
      <c r="M1967">
        <f>TU!CH147</f>
        <v>0</v>
      </c>
      <c r="N1967">
        <f>TU!CI147</f>
        <v>0</v>
      </c>
      <c r="O1967">
        <f>TU!CJ147</f>
        <v>0</v>
      </c>
      <c r="P1967" s="143" t="str">
        <f>TU!CK147</f>
        <v/>
      </c>
      <c r="R1967">
        <f t="shared" si="30"/>
        <v>1966</v>
      </c>
    </row>
    <row r="1968" spans="5:18">
      <c r="E1968" s="147" t="s">
        <v>67</v>
      </c>
      <c r="F1968" t="str">
        <f>TU!CA148</f>
        <v>HPS</v>
      </c>
      <c r="G1968" t="str">
        <f>TU!CB148</f>
        <v>AC</v>
      </c>
      <c r="H1968" t="str">
        <f>TU!CC148</f>
        <v>Head</v>
      </c>
      <c r="I1968">
        <f>TU!CD148</f>
        <v>0</v>
      </c>
      <c r="J1968">
        <f>TU!CE148</f>
        <v>0</v>
      </c>
      <c r="K1968">
        <f>TU!CF148</f>
        <v>0</v>
      </c>
      <c r="L1968">
        <f>TU!CG148</f>
        <v>0</v>
      </c>
      <c r="M1968">
        <f>TU!CH148</f>
        <v>0</v>
      </c>
      <c r="N1968">
        <f>TU!CI148</f>
        <v>0</v>
      </c>
      <c r="O1968">
        <f>TU!CJ148</f>
        <v>0</v>
      </c>
      <c r="P1968" s="143" t="str">
        <f>TU!CK148</f>
        <v/>
      </c>
      <c r="R1968">
        <f t="shared" si="30"/>
        <v>1967</v>
      </c>
    </row>
    <row r="1969" spans="5:18">
      <c r="E1969" s="147" t="s">
        <v>67</v>
      </c>
      <c r="F1969" t="str">
        <f>TU!CA149</f>
        <v>HPS</v>
      </c>
      <c r="G1969" t="str">
        <f>TU!CB149</f>
        <v>AC</v>
      </c>
      <c r="H1969" t="str">
        <f>TU!CC149</f>
        <v>Head</v>
      </c>
      <c r="I1969">
        <f>TU!CD149</f>
        <v>0</v>
      </c>
      <c r="J1969">
        <f>TU!CE149</f>
        <v>0</v>
      </c>
      <c r="K1969">
        <f>TU!CF149</f>
        <v>0</v>
      </c>
      <c r="L1969">
        <f>TU!CG149</f>
        <v>0</v>
      </c>
      <c r="M1969">
        <f>TU!CH149</f>
        <v>0</v>
      </c>
      <c r="N1969">
        <f>TU!CI149</f>
        <v>0</v>
      </c>
      <c r="O1969">
        <f>TU!CJ149</f>
        <v>0</v>
      </c>
      <c r="P1969" s="143" t="str">
        <f>TU!CK149</f>
        <v/>
      </c>
      <c r="R1969">
        <f t="shared" si="30"/>
        <v>1968</v>
      </c>
    </row>
    <row r="1970" spans="5:18">
      <c r="E1970" s="147" t="s">
        <v>67</v>
      </c>
      <c r="F1970" t="str">
        <f>TU!CA150</f>
        <v>HPS</v>
      </c>
      <c r="G1970" t="str">
        <f>TU!CB150</f>
        <v>AC</v>
      </c>
      <c r="H1970" t="str">
        <f>TU!CC150</f>
        <v>Head</v>
      </c>
      <c r="I1970">
        <f>TU!CD150</f>
        <v>0</v>
      </c>
      <c r="J1970">
        <f>TU!CE150</f>
        <v>0</v>
      </c>
      <c r="K1970">
        <f>TU!CF150</f>
        <v>0</v>
      </c>
      <c r="L1970">
        <f>TU!CG150</f>
        <v>0</v>
      </c>
      <c r="M1970">
        <f>TU!CH150</f>
        <v>0</v>
      </c>
      <c r="N1970">
        <f>TU!CI150</f>
        <v>0</v>
      </c>
      <c r="O1970">
        <f>TU!CJ150</f>
        <v>0</v>
      </c>
      <c r="P1970" s="143" t="str">
        <f>TU!CK150</f>
        <v/>
      </c>
      <c r="R1970">
        <f t="shared" si="30"/>
        <v>1969</v>
      </c>
    </row>
    <row r="1971" spans="5:18">
      <c r="E1971" s="147" t="s">
        <v>67</v>
      </c>
      <c r="F1971" t="str">
        <f>TU!CA151</f>
        <v>HPS</v>
      </c>
      <c r="G1971" t="str">
        <f>TU!CB151</f>
        <v>AC</v>
      </c>
      <c r="H1971" t="str">
        <f>TU!CC151</f>
        <v>Head</v>
      </c>
      <c r="I1971">
        <f>TU!CD151</f>
        <v>0</v>
      </c>
      <c r="J1971">
        <f>TU!CE151</f>
        <v>0</v>
      </c>
      <c r="K1971">
        <f>TU!CF151</f>
        <v>0</v>
      </c>
      <c r="L1971">
        <f>TU!CG151</f>
        <v>0</v>
      </c>
      <c r="M1971">
        <f>TU!CH151</f>
        <v>0</v>
      </c>
      <c r="N1971">
        <f>TU!CI151</f>
        <v>0</v>
      </c>
      <c r="O1971">
        <f>TU!CJ151</f>
        <v>0</v>
      </c>
      <c r="P1971" s="143" t="str">
        <f>TU!CK151</f>
        <v/>
      </c>
      <c r="R1971">
        <f t="shared" si="30"/>
        <v>1970</v>
      </c>
    </row>
    <row r="1972" spans="5:18">
      <c r="E1972" s="147" t="s">
        <v>67</v>
      </c>
      <c r="F1972" t="str">
        <f>TU!CA152</f>
        <v>HPS</v>
      </c>
      <c r="G1972" t="str">
        <f>TU!CB152</f>
        <v>AC</v>
      </c>
      <c r="H1972" t="str">
        <f>TU!CC152</f>
        <v>Head</v>
      </c>
      <c r="I1972">
        <f>TU!CD152</f>
        <v>0</v>
      </c>
      <c r="J1972">
        <f>TU!CE152</f>
        <v>0</v>
      </c>
      <c r="K1972">
        <f>TU!CF152</f>
        <v>0</v>
      </c>
      <c r="L1972">
        <f>TU!CG152</f>
        <v>0</v>
      </c>
      <c r="M1972">
        <f>TU!CH152</f>
        <v>0</v>
      </c>
      <c r="N1972">
        <f>TU!CI152</f>
        <v>0</v>
      </c>
      <c r="O1972">
        <f>TU!CJ152</f>
        <v>0</v>
      </c>
      <c r="P1972" s="143" t="str">
        <f>TU!CK152</f>
        <v/>
      </c>
      <c r="R1972">
        <f t="shared" si="30"/>
        <v>1971</v>
      </c>
    </row>
    <row r="1973" spans="5:18">
      <c r="E1973" s="147" t="s">
        <v>67</v>
      </c>
      <c r="F1973" t="str">
        <f>TU!CA153</f>
        <v>HPS</v>
      </c>
      <c r="G1973" t="str">
        <f>TU!CB153</f>
        <v>AC</v>
      </c>
      <c r="H1973" t="str">
        <f>TU!CC153</f>
        <v>Head</v>
      </c>
      <c r="I1973">
        <f>TU!CD153</f>
        <v>0</v>
      </c>
      <c r="J1973">
        <f>TU!CE153</f>
        <v>0</v>
      </c>
      <c r="K1973">
        <f>TU!CF153</f>
        <v>0</v>
      </c>
      <c r="L1973">
        <f>TU!CG153</f>
        <v>0</v>
      </c>
      <c r="M1973">
        <f>TU!CH153</f>
        <v>0</v>
      </c>
      <c r="N1973">
        <f>TU!CI153</f>
        <v>0</v>
      </c>
      <c r="O1973">
        <f>TU!CJ153</f>
        <v>0</v>
      </c>
      <c r="P1973" s="143" t="str">
        <f>TU!CK153</f>
        <v/>
      </c>
      <c r="R1973">
        <f t="shared" si="30"/>
        <v>1972</v>
      </c>
    </row>
    <row r="1974" spans="5:18">
      <c r="E1974" s="147" t="s">
        <v>67</v>
      </c>
      <c r="F1974" t="str">
        <f>TU!CA154</f>
        <v>HPS</v>
      </c>
      <c r="G1974" t="str">
        <f>TU!CB154</f>
        <v>AC</v>
      </c>
      <c r="H1974" t="str">
        <f>TU!CC154</f>
        <v>Head</v>
      </c>
      <c r="I1974">
        <f>TU!CD154</f>
        <v>0</v>
      </c>
      <c r="J1974">
        <f>TU!CE154</f>
        <v>0</v>
      </c>
      <c r="K1974">
        <f>TU!CF154</f>
        <v>0</v>
      </c>
      <c r="L1974">
        <f>TU!CG154</f>
        <v>0</v>
      </c>
      <c r="M1974">
        <f>TU!CH154</f>
        <v>0</v>
      </c>
      <c r="N1974">
        <f>TU!CI154</f>
        <v>0</v>
      </c>
      <c r="O1974">
        <f>TU!CJ154</f>
        <v>0</v>
      </c>
      <c r="P1974" s="143" t="str">
        <f>TU!CK154</f>
        <v/>
      </c>
      <c r="R1974">
        <f t="shared" si="30"/>
        <v>1973</v>
      </c>
    </row>
    <row r="1975" spans="5:18">
      <c r="E1975" s="147" t="s">
        <v>67</v>
      </c>
      <c r="F1975" t="str">
        <f>TU!CA155</f>
        <v>HPS</v>
      </c>
      <c r="G1975" t="str">
        <f>TU!CB155</f>
        <v>AC</v>
      </c>
      <c r="H1975" t="str">
        <f>TU!CC155</f>
        <v>Head</v>
      </c>
      <c r="I1975">
        <f>TU!CD155</f>
        <v>0</v>
      </c>
      <c r="J1975">
        <f>TU!CE155</f>
        <v>0</v>
      </c>
      <c r="K1975">
        <f>TU!CF155</f>
        <v>0</v>
      </c>
      <c r="L1975">
        <f>TU!CG155</f>
        <v>0</v>
      </c>
      <c r="M1975">
        <f>TU!CH155</f>
        <v>0</v>
      </c>
      <c r="N1975">
        <f>TU!CI155</f>
        <v>0</v>
      </c>
      <c r="O1975">
        <f>TU!CJ155</f>
        <v>0</v>
      </c>
      <c r="P1975" s="143" t="str">
        <f>TU!CK155</f>
        <v/>
      </c>
      <c r="R1975">
        <f t="shared" si="30"/>
        <v>1974</v>
      </c>
    </row>
    <row r="1976" spans="5:18">
      <c r="E1976" s="147" t="s">
        <v>67</v>
      </c>
      <c r="F1976" t="str">
        <f>TU!CA156</f>
        <v>HPS</v>
      </c>
      <c r="G1976" t="str">
        <f>TU!CB156</f>
        <v>AC</v>
      </c>
      <c r="H1976" t="str">
        <f>TU!CC156</f>
        <v>Head</v>
      </c>
      <c r="I1976">
        <f>TU!CD156</f>
        <v>0</v>
      </c>
      <c r="J1976">
        <f>TU!CE156</f>
        <v>0</v>
      </c>
      <c r="K1976">
        <f>TU!CF156</f>
        <v>0</v>
      </c>
      <c r="L1976">
        <f>TU!CG156</f>
        <v>0</v>
      </c>
      <c r="M1976">
        <f>TU!CH156</f>
        <v>0</v>
      </c>
      <c r="N1976">
        <f>TU!CI156</f>
        <v>0</v>
      </c>
      <c r="O1976">
        <f>TU!CJ156</f>
        <v>0</v>
      </c>
      <c r="P1976" s="143" t="str">
        <f>TU!CK156</f>
        <v/>
      </c>
      <c r="R1976">
        <f t="shared" si="30"/>
        <v>1975</v>
      </c>
    </row>
    <row r="1977" spans="5:18">
      <c r="E1977" s="147" t="s">
        <v>67</v>
      </c>
      <c r="F1977" t="str">
        <f>TU!CA157</f>
        <v>HPS</v>
      </c>
      <c r="G1977" t="str">
        <f>TU!CB157</f>
        <v>AC</v>
      </c>
      <c r="H1977" t="str">
        <f>TU!CC157</f>
        <v>Head</v>
      </c>
      <c r="I1977">
        <f>TU!CD157</f>
        <v>0</v>
      </c>
      <c r="J1977">
        <f>TU!CE157</f>
        <v>0</v>
      </c>
      <c r="K1977">
        <f>TU!CF157</f>
        <v>0</v>
      </c>
      <c r="L1977">
        <f>TU!CG157</f>
        <v>0</v>
      </c>
      <c r="M1977">
        <f>TU!CH157</f>
        <v>0</v>
      </c>
      <c r="N1977">
        <f>TU!CI157</f>
        <v>0</v>
      </c>
      <c r="O1977">
        <f>TU!CJ157</f>
        <v>0</v>
      </c>
      <c r="P1977" s="143" t="str">
        <f>TU!CK157</f>
        <v/>
      </c>
      <c r="R1977">
        <f t="shared" si="30"/>
        <v>1976</v>
      </c>
    </row>
    <row r="1978" spans="5:18">
      <c r="E1978" s="147" t="s">
        <v>67</v>
      </c>
      <c r="F1978" t="str">
        <f>TU!CA158</f>
        <v>HPS</v>
      </c>
      <c r="G1978" t="str">
        <f>TU!CB158</f>
        <v>AC</v>
      </c>
      <c r="H1978" t="str">
        <f>TU!CC158</f>
        <v>Head</v>
      </c>
      <c r="I1978">
        <f>TU!CD158</f>
        <v>0</v>
      </c>
      <c r="J1978">
        <f>TU!CE158</f>
        <v>0</v>
      </c>
      <c r="K1978">
        <f>TU!CF158</f>
        <v>0</v>
      </c>
      <c r="L1978">
        <f>TU!CG158</f>
        <v>0</v>
      </c>
      <c r="M1978">
        <f>TU!CH158</f>
        <v>0</v>
      </c>
      <c r="N1978">
        <f>TU!CI158</f>
        <v>0</v>
      </c>
      <c r="O1978">
        <f>TU!CJ158</f>
        <v>0</v>
      </c>
      <c r="P1978" s="143" t="str">
        <f>TU!CK158</f>
        <v/>
      </c>
      <c r="R1978">
        <f t="shared" si="30"/>
        <v>1977</v>
      </c>
    </row>
    <row r="1979" spans="5:18">
      <c r="E1979" s="147" t="s">
        <v>67</v>
      </c>
      <c r="F1979" t="str">
        <f>TU!CA159</f>
        <v>HPS</v>
      </c>
      <c r="G1979" t="str">
        <f>TU!CB159</f>
        <v>AC</v>
      </c>
      <c r="H1979" t="str">
        <f>TU!CC159</f>
        <v>Head</v>
      </c>
      <c r="I1979">
        <f>TU!CD159</f>
        <v>0</v>
      </c>
      <c r="J1979">
        <f>TU!CE159</f>
        <v>0</v>
      </c>
      <c r="K1979">
        <f>TU!CF159</f>
        <v>0</v>
      </c>
      <c r="L1979">
        <f>TU!CG159</f>
        <v>0</v>
      </c>
      <c r="M1979">
        <f>TU!CH159</f>
        <v>0</v>
      </c>
      <c r="N1979">
        <f>TU!CI159</f>
        <v>0</v>
      </c>
      <c r="O1979">
        <f>TU!CJ159</f>
        <v>0</v>
      </c>
      <c r="P1979" s="143" t="str">
        <f>TU!CK159</f>
        <v/>
      </c>
      <c r="R1979">
        <f t="shared" si="30"/>
        <v>1978</v>
      </c>
    </row>
    <row r="1980" spans="5:18">
      <c r="E1980" s="147" t="s">
        <v>67</v>
      </c>
      <c r="F1980" t="str">
        <f>TU!CA160</f>
        <v>HPS</v>
      </c>
      <c r="G1980" t="str">
        <f>TU!CB160</f>
        <v>AC</v>
      </c>
      <c r="H1980" t="str">
        <f>TU!CC160</f>
        <v>Head</v>
      </c>
      <c r="I1980">
        <f>TU!CD160</f>
        <v>0</v>
      </c>
      <c r="J1980">
        <f>TU!CE160</f>
        <v>0</v>
      </c>
      <c r="K1980">
        <f>TU!CF160</f>
        <v>0</v>
      </c>
      <c r="L1980">
        <f>TU!CG160</f>
        <v>0</v>
      </c>
      <c r="M1980">
        <f>TU!CH160</f>
        <v>0</v>
      </c>
      <c r="N1980">
        <f>TU!CI160</f>
        <v>0</v>
      </c>
      <c r="O1980">
        <f>TU!CJ160</f>
        <v>0</v>
      </c>
      <c r="P1980" s="143" t="str">
        <f>TU!CK160</f>
        <v/>
      </c>
      <c r="R1980">
        <f t="shared" si="30"/>
        <v>1979</v>
      </c>
    </row>
    <row r="1981" spans="5:18">
      <c r="E1981" s="147" t="s">
        <v>67</v>
      </c>
      <c r="F1981" t="str">
        <f>TU!CA161</f>
        <v>HPS</v>
      </c>
      <c r="G1981" t="str">
        <f>TU!CB161</f>
        <v>AC</v>
      </c>
      <c r="H1981" t="str">
        <f>TU!CC161</f>
        <v>Head</v>
      </c>
      <c r="I1981">
        <f>TU!CD161</f>
        <v>0</v>
      </c>
      <c r="J1981">
        <f>TU!CE161</f>
        <v>0</v>
      </c>
      <c r="K1981">
        <f>TU!CF161</f>
        <v>0</v>
      </c>
      <c r="L1981">
        <f>TU!CG161</f>
        <v>0</v>
      </c>
      <c r="M1981">
        <f>TU!CH161</f>
        <v>0</v>
      </c>
      <c r="N1981">
        <f>TU!CI161</f>
        <v>0</v>
      </c>
      <c r="O1981">
        <f>TU!CJ161</f>
        <v>0</v>
      </c>
      <c r="P1981" s="143" t="str">
        <f>TU!CK161</f>
        <v/>
      </c>
      <c r="R1981">
        <f t="shared" si="30"/>
        <v>1980</v>
      </c>
    </row>
    <row r="1982" spans="5:18">
      <c r="E1982" s="147" t="s">
        <v>67</v>
      </c>
      <c r="F1982" t="str">
        <f>TU!CA162</f>
        <v>HPS</v>
      </c>
      <c r="G1982" t="str">
        <f>TU!CB162</f>
        <v>AC</v>
      </c>
      <c r="H1982" t="str">
        <f>TU!CC162</f>
        <v>Head</v>
      </c>
      <c r="I1982">
        <f>TU!CD162</f>
        <v>0</v>
      </c>
      <c r="J1982">
        <f>TU!CE162</f>
        <v>0</v>
      </c>
      <c r="K1982">
        <f>TU!CF162</f>
        <v>0</v>
      </c>
      <c r="L1982">
        <f>TU!CG162</f>
        <v>0</v>
      </c>
      <c r="M1982">
        <f>TU!CH162</f>
        <v>0</v>
      </c>
      <c r="N1982">
        <f>TU!CI162</f>
        <v>0</v>
      </c>
      <c r="O1982">
        <f>TU!CJ162</f>
        <v>0</v>
      </c>
      <c r="P1982" s="143" t="str">
        <f>TU!CK162</f>
        <v/>
      </c>
      <c r="R1982">
        <f t="shared" si="30"/>
        <v>1981</v>
      </c>
    </row>
    <row r="1983" spans="5:18">
      <c r="E1983" s="147" t="s">
        <v>67</v>
      </c>
      <c r="F1983" t="str">
        <f>TU!CA163</f>
        <v>HPS</v>
      </c>
      <c r="G1983" t="str">
        <f>TU!CB163</f>
        <v>AC</v>
      </c>
      <c r="H1983" t="str">
        <f>TU!CC163</f>
        <v>Head</v>
      </c>
      <c r="I1983">
        <f>TU!CD163</f>
        <v>0</v>
      </c>
      <c r="J1983">
        <f>TU!CE163</f>
        <v>0</v>
      </c>
      <c r="K1983">
        <f>TU!CF163</f>
        <v>0</v>
      </c>
      <c r="L1983">
        <f>TU!CG163</f>
        <v>0</v>
      </c>
      <c r="M1983">
        <f>TU!CH163</f>
        <v>0</v>
      </c>
      <c r="N1983">
        <f>TU!CI163</f>
        <v>0</v>
      </c>
      <c r="O1983">
        <f>TU!CJ163</f>
        <v>0</v>
      </c>
      <c r="P1983" s="143" t="str">
        <f>TU!CK163</f>
        <v/>
      </c>
      <c r="R1983">
        <f t="shared" si="30"/>
        <v>1982</v>
      </c>
    </row>
    <row r="1984" spans="5:18">
      <c r="E1984" s="147" t="s">
        <v>67</v>
      </c>
      <c r="F1984" t="str">
        <f>TU!CA164</f>
        <v>HPS</v>
      </c>
      <c r="G1984" t="str">
        <f>TU!CB164</f>
        <v>AC</v>
      </c>
      <c r="H1984" t="str">
        <f>TU!CC164</f>
        <v>Head</v>
      </c>
      <c r="I1984">
        <f>TU!CD164</f>
        <v>0</v>
      </c>
      <c r="J1984">
        <f>TU!CE164</f>
        <v>0</v>
      </c>
      <c r="K1984">
        <f>TU!CF164</f>
        <v>0</v>
      </c>
      <c r="L1984">
        <f>TU!CG164</f>
        <v>0</v>
      </c>
      <c r="M1984">
        <f>TU!CH164</f>
        <v>0</v>
      </c>
      <c r="N1984">
        <f>TU!CI164</f>
        <v>0</v>
      </c>
      <c r="O1984">
        <f>TU!CJ164</f>
        <v>0</v>
      </c>
      <c r="P1984" s="143" t="str">
        <f>TU!CK164</f>
        <v/>
      </c>
      <c r="R1984">
        <f t="shared" si="30"/>
        <v>1983</v>
      </c>
    </row>
    <row r="1985" spans="5:18">
      <c r="E1985" s="147" t="s">
        <v>67</v>
      </c>
      <c r="F1985" t="str">
        <f>TU!CA165</f>
        <v>HPS</v>
      </c>
      <c r="G1985" t="str">
        <f>TU!CB165</f>
        <v>AC</v>
      </c>
      <c r="H1985" t="str">
        <f>TU!CC165</f>
        <v>Head</v>
      </c>
      <c r="I1985">
        <f>TU!CD165</f>
        <v>0</v>
      </c>
      <c r="J1985">
        <f>TU!CE165</f>
        <v>0</v>
      </c>
      <c r="K1985">
        <f>TU!CF165</f>
        <v>0</v>
      </c>
      <c r="L1985">
        <f>TU!CG165</f>
        <v>0</v>
      </c>
      <c r="M1985">
        <f>TU!CH165</f>
        <v>0</v>
      </c>
      <c r="N1985">
        <f>TU!CI165</f>
        <v>0</v>
      </c>
      <c r="O1985">
        <f>TU!CJ165</f>
        <v>0</v>
      </c>
      <c r="P1985" s="143" t="str">
        <f>TU!CK165</f>
        <v/>
      </c>
      <c r="R1985">
        <f t="shared" si="30"/>
        <v>1984</v>
      </c>
    </row>
    <row r="1986" spans="5:18">
      <c r="E1986" s="147" t="s">
        <v>67</v>
      </c>
      <c r="F1986" t="str">
        <f>TU!CA166</f>
        <v>HPS</v>
      </c>
      <c r="G1986" t="str">
        <f>TU!CB166</f>
        <v>AC</v>
      </c>
      <c r="H1986" t="str">
        <f>TU!CC166</f>
        <v>Head</v>
      </c>
      <c r="I1986">
        <f>TU!CD166</f>
        <v>0</v>
      </c>
      <c r="J1986">
        <f>TU!CE166</f>
        <v>0</v>
      </c>
      <c r="K1986">
        <f>TU!CF166</f>
        <v>0</v>
      </c>
      <c r="L1986">
        <f>TU!CG166</f>
        <v>0</v>
      </c>
      <c r="M1986">
        <f>TU!CH166</f>
        <v>0</v>
      </c>
      <c r="N1986">
        <f>TU!CI166</f>
        <v>0</v>
      </c>
      <c r="O1986">
        <f>TU!CJ166</f>
        <v>0</v>
      </c>
      <c r="P1986" s="143" t="str">
        <f>TU!CK166</f>
        <v/>
      </c>
      <c r="R1986">
        <f t="shared" si="30"/>
        <v>1985</v>
      </c>
    </row>
    <row r="1987" spans="5:18">
      <c r="E1987" s="147" t="s">
        <v>67</v>
      </c>
      <c r="F1987" t="str">
        <f>TU!CA167</f>
        <v>HPS</v>
      </c>
      <c r="G1987" t="str">
        <f>TU!CB167</f>
        <v>AC</v>
      </c>
      <c r="H1987" t="str">
        <f>TU!CC167</f>
        <v>Head</v>
      </c>
      <c r="I1987">
        <f>TU!CD167</f>
        <v>0</v>
      </c>
      <c r="J1987">
        <f>TU!CE167</f>
        <v>0</v>
      </c>
      <c r="K1987">
        <f>TU!CF167</f>
        <v>0</v>
      </c>
      <c r="L1987">
        <f>TU!CG167</f>
        <v>0</v>
      </c>
      <c r="M1987">
        <f>TU!CH167</f>
        <v>0</v>
      </c>
      <c r="N1987">
        <f>TU!CI167</f>
        <v>0</v>
      </c>
      <c r="O1987">
        <f>TU!CJ167</f>
        <v>0</v>
      </c>
      <c r="P1987" s="143" t="str">
        <f>TU!CK167</f>
        <v/>
      </c>
      <c r="R1987">
        <f t="shared" si="30"/>
        <v>1986</v>
      </c>
    </row>
    <row r="1988" spans="5:18">
      <c r="E1988" s="147" t="s">
        <v>67</v>
      </c>
      <c r="F1988" t="str">
        <f>TU!CA168</f>
        <v>HPS</v>
      </c>
      <c r="G1988" t="str">
        <f>TU!CB168</f>
        <v>AC</v>
      </c>
      <c r="H1988" t="str">
        <f>TU!CC168</f>
        <v>Head</v>
      </c>
      <c r="I1988">
        <f>TU!CD168</f>
        <v>0</v>
      </c>
      <c r="J1988">
        <f>TU!CE168</f>
        <v>0</v>
      </c>
      <c r="K1988">
        <f>TU!CF168</f>
        <v>0</v>
      </c>
      <c r="L1988">
        <f>TU!CG168</f>
        <v>0</v>
      </c>
      <c r="M1988">
        <f>TU!CH168</f>
        <v>0</v>
      </c>
      <c r="N1988">
        <f>TU!CI168</f>
        <v>0</v>
      </c>
      <c r="O1988">
        <f>TU!CJ168</f>
        <v>0</v>
      </c>
      <c r="P1988" s="143" t="str">
        <f>TU!CK168</f>
        <v/>
      </c>
      <c r="R1988">
        <f t="shared" ref="R1988:R2051" si="31">R1987+1</f>
        <v>1987</v>
      </c>
    </row>
    <row r="1989" spans="5:18">
      <c r="E1989" s="147" t="s">
        <v>67</v>
      </c>
      <c r="F1989" t="str">
        <f>TU!CA169</f>
        <v>HPS</v>
      </c>
      <c r="G1989" t="str">
        <f>TU!CB169</f>
        <v>AC</v>
      </c>
      <c r="H1989" t="str">
        <f>TU!CC169</f>
        <v>Head</v>
      </c>
      <c r="I1989">
        <f>TU!CD169</f>
        <v>0</v>
      </c>
      <c r="J1989">
        <f>TU!CE169</f>
        <v>0</v>
      </c>
      <c r="K1989">
        <f>TU!CF169</f>
        <v>0</v>
      </c>
      <c r="L1989">
        <f>TU!CG169</f>
        <v>0</v>
      </c>
      <c r="M1989">
        <f>TU!CH169</f>
        <v>0</v>
      </c>
      <c r="N1989">
        <f>TU!CI169</f>
        <v>0</v>
      </c>
      <c r="O1989">
        <f>TU!CJ169</f>
        <v>0</v>
      </c>
      <c r="P1989" s="143" t="str">
        <f>TU!CK169</f>
        <v/>
      </c>
      <c r="R1989">
        <f t="shared" si="31"/>
        <v>1988</v>
      </c>
    </row>
    <row r="1990" spans="5:18">
      <c r="E1990" s="147" t="s">
        <v>67</v>
      </c>
      <c r="F1990" t="str">
        <f>TU!CA170</f>
        <v>HPS</v>
      </c>
      <c r="G1990" t="str">
        <f>TU!CB170</f>
        <v>AC</v>
      </c>
      <c r="H1990" t="str">
        <f>TU!CC170</f>
        <v>Head</v>
      </c>
      <c r="I1990">
        <f>TU!CD170</f>
        <v>0</v>
      </c>
      <c r="J1990">
        <f>TU!CE170</f>
        <v>0</v>
      </c>
      <c r="K1990">
        <f>TU!CF170</f>
        <v>0</v>
      </c>
      <c r="L1990">
        <f>TU!CG170</f>
        <v>0</v>
      </c>
      <c r="M1990">
        <f>TU!CH170</f>
        <v>0</v>
      </c>
      <c r="N1990">
        <f>TU!CI170</f>
        <v>0</v>
      </c>
      <c r="O1990">
        <f>TU!CJ170</f>
        <v>0</v>
      </c>
      <c r="P1990" s="143" t="str">
        <f>TU!CK170</f>
        <v/>
      </c>
      <c r="R1990">
        <f t="shared" si="31"/>
        <v>1989</v>
      </c>
    </row>
    <row r="1991" spans="5:18">
      <c r="E1991" s="147" t="s">
        <v>67</v>
      </c>
      <c r="F1991" t="str">
        <f>TU!CA171</f>
        <v>HPS</v>
      </c>
      <c r="G1991" t="str">
        <f>TU!CB171</f>
        <v>AC</v>
      </c>
      <c r="H1991" t="str">
        <f>TU!CC171</f>
        <v>Head</v>
      </c>
      <c r="I1991">
        <f>TU!CD171</f>
        <v>0</v>
      </c>
      <c r="J1991">
        <f>TU!CE171</f>
        <v>0</v>
      </c>
      <c r="K1991">
        <f>TU!CF171</f>
        <v>0</v>
      </c>
      <c r="L1991">
        <f>TU!CG171</f>
        <v>0</v>
      </c>
      <c r="M1991">
        <f>TU!CH171</f>
        <v>0</v>
      </c>
      <c r="N1991">
        <f>TU!CI171</f>
        <v>0</v>
      </c>
      <c r="O1991">
        <f>TU!CJ171</f>
        <v>0</v>
      </c>
      <c r="P1991" s="143" t="str">
        <f>TU!CK171</f>
        <v/>
      </c>
      <c r="R1991">
        <f t="shared" si="31"/>
        <v>1990</v>
      </c>
    </row>
    <row r="1992" spans="5:18">
      <c r="E1992" s="147" t="s">
        <v>67</v>
      </c>
      <c r="F1992" t="str">
        <f>TU!CA172</f>
        <v>HPS</v>
      </c>
      <c r="G1992" t="str">
        <f>TU!CB172</f>
        <v>AC</v>
      </c>
      <c r="H1992" t="str">
        <f>TU!CC172</f>
        <v>Head</v>
      </c>
      <c r="I1992">
        <f>TU!CD172</f>
        <v>0</v>
      </c>
      <c r="J1992">
        <f>TU!CE172</f>
        <v>0</v>
      </c>
      <c r="K1992">
        <f>TU!CF172</f>
        <v>0</v>
      </c>
      <c r="L1992">
        <f>TU!CG172</f>
        <v>0</v>
      </c>
      <c r="M1992">
        <f>TU!CH172</f>
        <v>0</v>
      </c>
      <c r="N1992">
        <f>TU!CI172</f>
        <v>0</v>
      </c>
      <c r="O1992">
        <f>TU!CJ172</f>
        <v>0</v>
      </c>
      <c r="P1992" s="143" t="str">
        <f>TU!CK172</f>
        <v/>
      </c>
      <c r="R1992">
        <f t="shared" si="31"/>
        <v>1991</v>
      </c>
    </row>
    <row r="1993" spans="5:18">
      <c r="E1993" s="147" t="s">
        <v>67</v>
      </c>
      <c r="F1993" t="str">
        <f>TU!CA173</f>
        <v>HPS</v>
      </c>
      <c r="G1993" t="str">
        <f>TU!CB173</f>
        <v>AC</v>
      </c>
      <c r="H1993" t="str">
        <f>TU!CC173</f>
        <v>Head</v>
      </c>
      <c r="I1993">
        <f>TU!CD173</f>
        <v>0</v>
      </c>
      <c r="J1993">
        <f>TU!CE173</f>
        <v>0</v>
      </c>
      <c r="K1993">
        <f>TU!CF173</f>
        <v>0</v>
      </c>
      <c r="L1993">
        <f>TU!CG173</f>
        <v>0</v>
      </c>
      <c r="M1993">
        <f>TU!CH173</f>
        <v>0</v>
      </c>
      <c r="N1993">
        <f>TU!CI173</f>
        <v>0</v>
      </c>
      <c r="O1993">
        <f>TU!CJ173</f>
        <v>0</v>
      </c>
      <c r="P1993" s="143" t="str">
        <f>TU!CK173</f>
        <v/>
      </c>
      <c r="R1993">
        <f t="shared" si="31"/>
        <v>1992</v>
      </c>
    </row>
    <row r="1994" spans="5:18">
      <c r="E1994" s="147" t="s">
        <v>67</v>
      </c>
      <c r="F1994" t="str">
        <f>TU!CA174</f>
        <v>HPS</v>
      </c>
      <c r="G1994" t="str">
        <f>TU!CB174</f>
        <v>AC</v>
      </c>
      <c r="H1994" t="str">
        <f>TU!CC174</f>
        <v>Head</v>
      </c>
      <c r="I1994">
        <f>TU!CD174</f>
        <v>0</v>
      </c>
      <c r="J1994">
        <f>TU!CE174</f>
        <v>0</v>
      </c>
      <c r="K1994">
        <f>TU!CF174</f>
        <v>0</v>
      </c>
      <c r="L1994">
        <f>TU!CG174</f>
        <v>0</v>
      </c>
      <c r="M1994">
        <f>TU!CH174</f>
        <v>0</v>
      </c>
      <c r="N1994">
        <f>TU!CI174</f>
        <v>0</v>
      </c>
      <c r="O1994">
        <f>TU!CJ174</f>
        <v>0</v>
      </c>
      <c r="P1994" s="143" t="str">
        <f>TU!CK174</f>
        <v/>
      </c>
      <c r="R1994">
        <f t="shared" si="31"/>
        <v>1993</v>
      </c>
    </row>
    <row r="1995" spans="5:18">
      <c r="E1995" s="147" t="s">
        <v>67</v>
      </c>
      <c r="F1995" t="str">
        <f>TU!CA175</f>
        <v>HPS</v>
      </c>
      <c r="G1995" t="str">
        <f>TU!CB175</f>
        <v>AC</v>
      </c>
      <c r="H1995" t="str">
        <f>TU!CC175</f>
        <v>Head</v>
      </c>
      <c r="I1995">
        <f>TU!CD175</f>
        <v>0</v>
      </c>
      <c r="J1995">
        <f>TU!CE175</f>
        <v>0</v>
      </c>
      <c r="K1995">
        <f>TU!CF175</f>
        <v>0</v>
      </c>
      <c r="L1995">
        <f>TU!CG175</f>
        <v>0</v>
      </c>
      <c r="M1995">
        <f>TU!CH175</f>
        <v>0</v>
      </c>
      <c r="N1995">
        <f>TU!CI175</f>
        <v>0</v>
      </c>
      <c r="O1995">
        <f>TU!CJ175</f>
        <v>0</v>
      </c>
      <c r="P1995" s="143" t="str">
        <f>TU!CK175</f>
        <v/>
      </c>
      <c r="R1995">
        <f t="shared" si="31"/>
        <v>1994</v>
      </c>
    </row>
    <row r="1996" spans="5:18">
      <c r="E1996" s="147" t="s">
        <v>67</v>
      </c>
      <c r="F1996" t="str">
        <f>TU!CA176</f>
        <v>HPS</v>
      </c>
      <c r="G1996" t="str">
        <f>TU!CB176</f>
        <v>AC</v>
      </c>
      <c r="H1996" t="str">
        <f>TU!CC176</f>
        <v>Head</v>
      </c>
      <c r="I1996">
        <f>TU!CD176</f>
        <v>0</v>
      </c>
      <c r="J1996">
        <f>TU!CE176</f>
        <v>0</v>
      </c>
      <c r="K1996">
        <f>TU!CF176</f>
        <v>0</v>
      </c>
      <c r="L1996">
        <f>TU!CG176</f>
        <v>0</v>
      </c>
      <c r="M1996">
        <f>TU!CH176</f>
        <v>0</v>
      </c>
      <c r="N1996">
        <f>TU!CI176</f>
        <v>0</v>
      </c>
      <c r="O1996">
        <f>TU!CJ176</f>
        <v>0</v>
      </c>
      <c r="P1996" s="143" t="str">
        <f>TU!CK176</f>
        <v/>
      </c>
      <c r="R1996">
        <f t="shared" si="31"/>
        <v>1995</v>
      </c>
    </row>
    <row r="1997" spans="5:18">
      <c r="E1997" s="147" t="s">
        <v>67</v>
      </c>
      <c r="F1997" t="str">
        <f>TU!CA177</f>
        <v>HPS</v>
      </c>
      <c r="G1997" t="str">
        <f>TU!CB177</f>
        <v>AC</v>
      </c>
      <c r="H1997" t="str">
        <f>TU!CC177</f>
        <v>Head</v>
      </c>
      <c r="I1997">
        <f>TU!CD177</f>
        <v>0</v>
      </c>
      <c r="J1997">
        <f>TU!CE177</f>
        <v>0</v>
      </c>
      <c r="K1997">
        <f>TU!CF177</f>
        <v>0</v>
      </c>
      <c r="L1997">
        <f>TU!CG177</f>
        <v>0</v>
      </c>
      <c r="M1997">
        <f>TU!CH177</f>
        <v>0</v>
      </c>
      <c r="N1997">
        <f>TU!CI177</f>
        <v>0</v>
      </c>
      <c r="O1997">
        <f>TU!CJ177</f>
        <v>0</v>
      </c>
      <c r="P1997" s="143" t="str">
        <f>TU!CK177</f>
        <v/>
      </c>
      <c r="R1997">
        <f t="shared" si="31"/>
        <v>1996</v>
      </c>
    </row>
    <row r="1998" spans="5:18">
      <c r="E1998" s="147" t="s">
        <v>67</v>
      </c>
      <c r="F1998" t="str">
        <f>TU!CA178</f>
        <v>HPS</v>
      </c>
      <c r="G1998" t="str">
        <f>TU!CB178</f>
        <v>AC</v>
      </c>
      <c r="H1998" t="str">
        <f>TU!CC178</f>
        <v>Head</v>
      </c>
      <c r="I1998">
        <f>TU!CD178</f>
        <v>0</v>
      </c>
      <c r="J1998">
        <f>TU!CE178</f>
        <v>0</v>
      </c>
      <c r="K1998">
        <f>TU!CF178</f>
        <v>0</v>
      </c>
      <c r="L1998">
        <f>TU!CG178</f>
        <v>0</v>
      </c>
      <c r="M1998">
        <f>TU!CH178</f>
        <v>0</v>
      </c>
      <c r="N1998">
        <f>TU!CI178</f>
        <v>0</v>
      </c>
      <c r="O1998">
        <f>TU!CJ178</f>
        <v>0</v>
      </c>
      <c r="P1998" s="143" t="str">
        <f>TU!CK178</f>
        <v/>
      </c>
      <c r="R1998">
        <f t="shared" si="31"/>
        <v>1997</v>
      </c>
    </row>
    <row r="1999" spans="5:18">
      <c r="E1999" s="147" t="s">
        <v>67</v>
      </c>
      <c r="F1999" t="str">
        <f>TU!CA179</f>
        <v>HPS</v>
      </c>
      <c r="G1999" t="str">
        <f>TU!CB179</f>
        <v>AC</v>
      </c>
      <c r="H1999" t="str">
        <f>TU!CC179</f>
        <v>Head</v>
      </c>
      <c r="I1999">
        <f>TU!CD179</f>
        <v>0</v>
      </c>
      <c r="J1999">
        <f>TU!CE179</f>
        <v>0</v>
      </c>
      <c r="K1999">
        <f>TU!CF179</f>
        <v>0</v>
      </c>
      <c r="L1999">
        <f>TU!CG179</f>
        <v>0</v>
      </c>
      <c r="M1999">
        <f>TU!CH179</f>
        <v>0</v>
      </c>
      <c r="N1999">
        <f>TU!CI179</f>
        <v>0</v>
      </c>
      <c r="O1999">
        <f>TU!CJ179</f>
        <v>0</v>
      </c>
      <c r="P1999" s="143" t="str">
        <f>TU!CK179</f>
        <v/>
      </c>
      <c r="R1999">
        <f t="shared" si="31"/>
        <v>1998</v>
      </c>
    </row>
    <row r="2000" spans="5:18">
      <c r="E2000" s="147" t="s">
        <v>67</v>
      </c>
      <c r="F2000" t="str">
        <f>TU!CA180</f>
        <v>HPS</v>
      </c>
      <c r="G2000" t="str">
        <f>TU!CB180</f>
        <v>AC</v>
      </c>
      <c r="H2000" t="str">
        <f>TU!CC180</f>
        <v>Head</v>
      </c>
      <c r="I2000">
        <f>TU!CD180</f>
        <v>0</v>
      </c>
      <c r="J2000">
        <f>TU!CE180</f>
        <v>0</v>
      </c>
      <c r="K2000">
        <f>TU!CF180</f>
        <v>0</v>
      </c>
      <c r="L2000">
        <f>TU!CG180</f>
        <v>0</v>
      </c>
      <c r="M2000">
        <f>TU!CH180</f>
        <v>0</v>
      </c>
      <c r="N2000">
        <f>TU!CI180</f>
        <v>0</v>
      </c>
      <c r="O2000">
        <f>TU!CJ180</f>
        <v>0</v>
      </c>
      <c r="P2000" s="143" t="str">
        <f>TU!CK180</f>
        <v/>
      </c>
      <c r="R2000">
        <f t="shared" si="31"/>
        <v>1999</v>
      </c>
    </row>
    <row r="2001" spans="5:18">
      <c r="E2001" s="147" t="s">
        <v>67</v>
      </c>
      <c r="F2001" t="str">
        <f>TU!CA181</f>
        <v>HPS</v>
      </c>
      <c r="G2001" t="str">
        <f>TU!CB181</f>
        <v>AC</v>
      </c>
      <c r="H2001" t="str">
        <f>TU!CC181</f>
        <v>Head</v>
      </c>
      <c r="I2001">
        <f>TU!CD181</f>
        <v>0</v>
      </c>
      <c r="J2001">
        <f>TU!CE181</f>
        <v>0</v>
      </c>
      <c r="K2001">
        <f>TU!CF181</f>
        <v>0</v>
      </c>
      <c r="L2001">
        <f>TU!CG181</f>
        <v>0</v>
      </c>
      <c r="M2001">
        <f>TU!CH181</f>
        <v>0</v>
      </c>
      <c r="N2001">
        <f>TU!CI181</f>
        <v>0</v>
      </c>
      <c r="O2001">
        <f>TU!CJ181</f>
        <v>0</v>
      </c>
      <c r="P2001" s="143" t="str">
        <f>TU!CK181</f>
        <v/>
      </c>
      <c r="R2001">
        <f t="shared" si="31"/>
        <v>2000</v>
      </c>
    </row>
    <row r="2002" spans="5:18">
      <c r="E2002" s="147" t="s">
        <v>67</v>
      </c>
      <c r="F2002" t="str">
        <f>TU!CA182</f>
        <v>HPS</v>
      </c>
      <c r="G2002" t="str">
        <f>TU!CB182</f>
        <v>AC</v>
      </c>
      <c r="H2002" t="str">
        <f>TU!CC182</f>
        <v>Head</v>
      </c>
      <c r="I2002">
        <f>TU!CD182</f>
        <v>0</v>
      </c>
      <c r="J2002">
        <f>TU!CE182</f>
        <v>0</v>
      </c>
      <c r="K2002">
        <f>TU!CF182</f>
        <v>0</v>
      </c>
      <c r="L2002">
        <f>TU!CG182</f>
        <v>0</v>
      </c>
      <c r="M2002">
        <f>TU!CH182</f>
        <v>0</v>
      </c>
      <c r="N2002">
        <f>TU!CI182</f>
        <v>0</v>
      </c>
      <c r="O2002">
        <f>TU!CJ182</f>
        <v>0</v>
      </c>
      <c r="P2002" s="143" t="str">
        <f>TU!CK182</f>
        <v/>
      </c>
      <c r="R2002">
        <f t="shared" si="31"/>
        <v>2001</v>
      </c>
    </row>
    <row r="2003" spans="5:18">
      <c r="E2003" s="147" t="s">
        <v>67</v>
      </c>
      <c r="F2003" t="str">
        <f>TU!CA183</f>
        <v>HPS</v>
      </c>
      <c r="G2003" t="str">
        <f>TU!CB183</f>
        <v>AC</v>
      </c>
      <c r="H2003" t="str">
        <f>TU!CC183</f>
        <v>Head</v>
      </c>
      <c r="I2003">
        <f>TU!CD183</f>
        <v>0</v>
      </c>
      <c r="J2003">
        <f>TU!CE183</f>
        <v>0</v>
      </c>
      <c r="K2003">
        <f>TU!CF183</f>
        <v>0</v>
      </c>
      <c r="L2003">
        <f>TU!CG183</f>
        <v>0</v>
      </c>
      <c r="M2003">
        <f>TU!CH183</f>
        <v>0</v>
      </c>
      <c r="N2003">
        <f>TU!CI183</f>
        <v>0</v>
      </c>
      <c r="O2003">
        <f>TU!CJ183</f>
        <v>0</v>
      </c>
      <c r="P2003" s="143" t="str">
        <f>TU!CK183</f>
        <v/>
      </c>
      <c r="R2003">
        <f t="shared" si="31"/>
        <v>2002</v>
      </c>
    </row>
    <row r="2004" spans="5:18">
      <c r="E2004" s="147" t="s">
        <v>67</v>
      </c>
      <c r="F2004" t="str">
        <f>TU!CA184</f>
        <v>HPS</v>
      </c>
      <c r="G2004" t="str">
        <f>TU!CB184</f>
        <v>AC</v>
      </c>
      <c r="H2004" t="str">
        <f>TU!CC184</f>
        <v>Head</v>
      </c>
      <c r="I2004">
        <f>TU!CD184</f>
        <v>0</v>
      </c>
      <c r="J2004">
        <f>TU!CE184</f>
        <v>0</v>
      </c>
      <c r="K2004">
        <f>TU!CF184</f>
        <v>0</v>
      </c>
      <c r="L2004">
        <f>TU!CG184</f>
        <v>0</v>
      </c>
      <c r="M2004">
        <f>TU!CH184</f>
        <v>0</v>
      </c>
      <c r="N2004">
        <f>TU!CI184</f>
        <v>0</v>
      </c>
      <c r="O2004">
        <f>TU!CJ184</f>
        <v>0</v>
      </c>
      <c r="P2004" s="143" t="str">
        <f>TU!CK184</f>
        <v/>
      </c>
      <c r="R2004">
        <f t="shared" si="31"/>
        <v>2003</v>
      </c>
    </row>
    <row r="2005" spans="5:18">
      <c r="E2005" s="147" t="s">
        <v>67</v>
      </c>
      <c r="F2005" t="str">
        <f>TU!CA185</f>
        <v>HPS</v>
      </c>
      <c r="G2005" t="str">
        <f>TU!CB185</f>
        <v>AC</v>
      </c>
      <c r="H2005" t="str">
        <f>TU!CC185</f>
        <v>Head</v>
      </c>
      <c r="I2005">
        <f>TU!CD185</f>
        <v>0</v>
      </c>
      <c r="J2005">
        <f>TU!CE185</f>
        <v>0</v>
      </c>
      <c r="K2005">
        <f>TU!CF185</f>
        <v>0</v>
      </c>
      <c r="L2005">
        <f>TU!CG185</f>
        <v>0</v>
      </c>
      <c r="M2005">
        <f>TU!CH185</f>
        <v>0</v>
      </c>
      <c r="N2005">
        <f>TU!CI185</f>
        <v>0</v>
      </c>
      <c r="O2005">
        <f>TU!CJ185</f>
        <v>0</v>
      </c>
      <c r="P2005" s="143" t="str">
        <f>TU!CK185</f>
        <v/>
      </c>
      <c r="R2005">
        <f t="shared" si="31"/>
        <v>2004</v>
      </c>
    </row>
    <row r="2006" spans="5:18">
      <c r="E2006" s="147" t="s">
        <v>67</v>
      </c>
      <c r="F2006" t="str">
        <f>TU!CA186</f>
        <v>HPS</v>
      </c>
      <c r="G2006" t="str">
        <f>TU!CB186</f>
        <v>AC</v>
      </c>
      <c r="H2006" t="str">
        <f>TU!CC186</f>
        <v>Head</v>
      </c>
      <c r="I2006">
        <f>TU!CD186</f>
        <v>0</v>
      </c>
      <c r="J2006">
        <f>TU!CE186</f>
        <v>0</v>
      </c>
      <c r="K2006">
        <f>TU!CF186</f>
        <v>0</v>
      </c>
      <c r="L2006">
        <f>TU!CG186</f>
        <v>0</v>
      </c>
      <c r="M2006">
        <f>TU!CH186</f>
        <v>0</v>
      </c>
      <c r="N2006">
        <f>TU!CI186</f>
        <v>0</v>
      </c>
      <c r="O2006">
        <f>TU!CJ186</f>
        <v>0</v>
      </c>
      <c r="P2006" s="143" t="str">
        <f>TU!CK186</f>
        <v/>
      </c>
      <c r="R2006">
        <f t="shared" si="31"/>
        <v>2005</v>
      </c>
    </row>
    <row r="2007" spans="5:18">
      <c r="E2007" s="147" t="s">
        <v>67</v>
      </c>
      <c r="F2007" t="str">
        <f>TU!CA187</f>
        <v>HPS</v>
      </c>
      <c r="G2007" t="str">
        <f>TU!CB187</f>
        <v>AC</v>
      </c>
      <c r="H2007" t="str">
        <f>TU!CC187</f>
        <v>Head</v>
      </c>
      <c r="I2007">
        <f>TU!CD187</f>
        <v>0</v>
      </c>
      <c r="J2007">
        <f>TU!CE187</f>
        <v>0</v>
      </c>
      <c r="K2007">
        <f>TU!CF187</f>
        <v>0</v>
      </c>
      <c r="L2007">
        <f>TU!CG187</f>
        <v>0</v>
      </c>
      <c r="M2007">
        <f>TU!CH187</f>
        <v>0</v>
      </c>
      <c r="N2007">
        <f>TU!CI187</f>
        <v>0</v>
      </c>
      <c r="O2007">
        <f>TU!CJ187</f>
        <v>0</v>
      </c>
      <c r="P2007" s="143" t="str">
        <f>TU!CK187</f>
        <v/>
      </c>
      <c r="R2007">
        <f t="shared" si="31"/>
        <v>2006</v>
      </c>
    </row>
    <row r="2008" spans="5:18">
      <c r="E2008" s="147" t="s">
        <v>67</v>
      </c>
      <c r="F2008" t="str">
        <f>TU!CA188</f>
        <v>HPS</v>
      </c>
      <c r="G2008" t="str">
        <f>TU!CB188</f>
        <v>AC</v>
      </c>
      <c r="H2008" t="str">
        <f>TU!CC188</f>
        <v>Head</v>
      </c>
      <c r="I2008">
        <f>TU!CD188</f>
        <v>0</v>
      </c>
      <c r="J2008">
        <f>TU!CE188</f>
        <v>0</v>
      </c>
      <c r="K2008">
        <f>TU!CF188</f>
        <v>0</v>
      </c>
      <c r="L2008">
        <f>TU!CG188</f>
        <v>0</v>
      </c>
      <c r="M2008">
        <f>TU!CH188</f>
        <v>0</v>
      </c>
      <c r="N2008">
        <f>TU!CI188</f>
        <v>0</v>
      </c>
      <c r="O2008">
        <f>TU!CJ188</f>
        <v>0</v>
      </c>
      <c r="P2008" s="143" t="str">
        <f>TU!CK188</f>
        <v/>
      </c>
      <c r="R2008">
        <f t="shared" si="31"/>
        <v>2007</v>
      </c>
    </row>
    <row r="2009" spans="5:18">
      <c r="E2009" s="147" t="s">
        <v>67</v>
      </c>
      <c r="F2009" t="str">
        <f>TU!CA189</f>
        <v>HPS</v>
      </c>
      <c r="G2009" t="str">
        <f>TU!CB189</f>
        <v>AC</v>
      </c>
      <c r="H2009" t="str">
        <f>TU!CC189</f>
        <v>Head</v>
      </c>
      <c r="I2009">
        <f>TU!CD189</f>
        <v>0</v>
      </c>
      <c r="J2009">
        <f>TU!CE189</f>
        <v>0</v>
      </c>
      <c r="K2009">
        <f>TU!CF189</f>
        <v>0</v>
      </c>
      <c r="L2009">
        <f>TU!CG189</f>
        <v>0</v>
      </c>
      <c r="M2009">
        <f>TU!CH189</f>
        <v>0</v>
      </c>
      <c r="N2009">
        <f>TU!CI189</f>
        <v>0</v>
      </c>
      <c r="O2009">
        <f>TU!CJ189</f>
        <v>0</v>
      </c>
      <c r="P2009" s="143" t="str">
        <f>TU!CK189</f>
        <v/>
      </c>
      <c r="R2009">
        <f t="shared" si="31"/>
        <v>2008</v>
      </c>
    </row>
    <row r="2010" spans="5:18">
      <c r="E2010" s="147" t="s">
        <v>67</v>
      </c>
      <c r="F2010" t="str">
        <f>TU!CA190</f>
        <v>HPS</v>
      </c>
      <c r="G2010" t="str">
        <f>TU!CB190</f>
        <v>AC</v>
      </c>
      <c r="H2010" t="str">
        <f>TU!CC190</f>
        <v>Head</v>
      </c>
      <c r="I2010">
        <f>TU!CD190</f>
        <v>0</v>
      </c>
      <c r="J2010">
        <f>TU!CE190</f>
        <v>0</v>
      </c>
      <c r="K2010">
        <f>TU!CF190</f>
        <v>0</v>
      </c>
      <c r="L2010">
        <f>TU!CG190</f>
        <v>0</v>
      </c>
      <c r="M2010">
        <f>TU!CH190</f>
        <v>0</v>
      </c>
      <c r="N2010">
        <f>TU!CI190</f>
        <v>0</v>
      </c>
      <c r="O2010">
        <f>TU!CJ190</f>
        <v>0</v>
      </c>
      <c r="P2010" s="143" t="str">
        <f>TU!CK190</f>
        <v/>
      </c>
      <c r="R2010">
        <f t="shared" si="31"/>
        <v>2009</v>
      </c>
    </row>
    <row r="2011" spans="5:18">
      <c r="E2011" s="147" t="s">
        <v>67</v>
      </c>
      <c r="F2011" t="str">
        <f>TU!CA191</f>
        <v>HPS</v>
      </c>
      <c r="G2011" t="str">
        <f>TU!CB191</f>
        <v>AC</v>
      </c>
      <c r="H2011" t="str">
        <f>TU!CC191</f>
        <v>Head</v>
      </c>
      <c r="I2011">
        <f>TU!CD191</f>
        <v>0</v>
      </c>
      <c r="J2011">
        <f>TU!CE191</f>
        <v>0</v>
      </c>
      <c r="K2011">
        <f>TU!CF191</f>
        <v>0</v>
      </c>
      <c r="L2011">
        <f>TU!CG191</f>
        <v>0</v>
      </c>
      <c r="M2011">
        <f>TU!CH191</f>
        <v>0</v>
      </c>
      <c r="N2011">
        <f>TU!CI191</f>
        <v>0</v>
      </c>
      <c r="O2011">
        <f>TU!CJ191</f>
        <v>0</v>
      </c>
      <c r="P2011" s="143" t="str">
        <f>TU!CK191</f>
        <v/>
      </c>
      <c r="R2011">
        <f t="shared" si="31"/>
        <v>2010</v>
      </c>
    </row>
    <row r="2012" spans="5:18">
      <c r="E2012" s="147" t="s">
        <v>67</v>
      </c>
      <c r="F2012" t="str">
        <f>TU!CA192</f>
        <v>HPS</v>
      </c>
      <c r="G2012" t="str">
        <f>TU!CB192</f>
        <v>AC</v>
      </c>
      <c r="H2012" t="str">
        <f>TU!CC192</f>
        <v>Head</v>
      </c>
      <c r="I2012">
        <f>TU!CD192</f>
        <v>0</v>
      </c>
      <c r="J2012">
        <f>TU!CE192</f>
        <v>0</v>
      </c>
      <c r="K2012">
        <f>TU!CF192</f>
        <v>0</v>
      </c>
      <c r="L2012">
        <f>TU!CG192</f>
        <v>0</v>
      </c>
      <c r="M2012">
        <f>TU!CH192</f>
        <v>0</v>
      </c>
      <c r="N2012">
        <f>TU!CI192</f>
        <v>0</v>
      </c>
      <c r="O2012">
        <f>TU!CJ192</f>
        <v>0</v>
      </c>
      <c r="P2012" s="143" t="str">
        <f>TU!CK192</f>
        <v/>
      </c>
      <c r="R2012">
        <f t="shared" si="31"/>
        <v>2011</v>
      </c>
    </row>
    <row r="2013" spans="5:18">
      <c r="E2013" s="147" t="s">
        <v>67</v>
      </c>
      <c r="F2013" t="str">
        <f>TU!CA193</f>
        <v>HPS</v>
      </c>
      <c r="G2013" t="str">
        <f>TU!CB193</f>
        <v>AC</v>
      </c>
      <c r="H2013" t="str">
        <f>TU!CC193</f>
        <v>Head</v>
      </c>
      <c r="I2013">
        <f>TU!CD193</f>
        <v>0</v>
      </c>
      <c r="J2013">
        <f>TU!CE193</f>
        <v>0</v>
      </c>
      <c r="K2013">
        <f>TU!CF193</f>
        <v>0</v>
      </c>
      <c r="L2013">
        <f>TU!CG193</f>
        <v>0</v>
      </c>
      <c r="M2013">
        <f>TU!CH193</f>
        <v>0</v>
      </c>
      <c r="N2013">
        <f>TU!CI193</f>
        <v>0</v>
      </c>
      <c r="O2013">
        <f>TU!CJ193</f>
        <v>0</v>
      </c>
      <c r="P2013" s="143" t="str">
        <f>TU!CK193</f>
        <v/>
      </c>
      <c r="R2013">
        <f t="shared" si="31"/>
        <v>2012</v>
      </c>
    </row>
    <row r="2014" spans="5:18">
      <c r="E2014" s="147" t="s">
        <v>67</v>
      </c>
      <c r="F2014" t="str">
        <f>TU!CA194</f>
        <v>HPS</v>
      </c>
      <c r="G2014" t="str">
        <f>TU!CB194</f>
        <v>AC</v>
      </c>
      <c r="H2014" t="str">
        <f>TU!CC194</f>
        <v>Head</v>
      </c>
      <c r="I2014">
        <f>TU!CD194</f>
        <v>0</v>
      </c>
      <c r="J2014">
        <f>TU!CE194</f>
        <v>0</v>
      </c>
      <c r="K2014">
        <f>TU!CF194</f>
        <v>0</v>
      </c>
      <c r="L2014">
        <f>TU!CG194</f>
        <v>0</v>
      </c>
      <c r="M2014">
        <f>TU!CH194</f>
        <v>0</v>
      </c>
      <c r="N2014">
        <f>TU!CI194</f>
        <v>0</v>
      </c>
      <c r="O2014">
        <f>TU!CJ194</f>
        <v>0</v>
      </c>
      <c r="P2014" s="143" t="str">
        <f>TU!CK194</f>
        <v/>
      </c>
      <c r="R2014">
        <f t="shared" si="31"/>
        <v>2013</v>
      </c>
    </row>
    <row r="2015" spans="5:18">
      <c r="E2015" s="147" t="s">
        <v>67</v>
      </c>
      <c r="F2015" t="str">
        <f>TU!CA195</f>
        <v>HPS</v>
      </c>
      <c r="G2015" t="str">
        <f>TU!CB195</f>
        <v>AC</v>
      </c>
      <c r="H2015" t="str">
        <f>TU!CC195</f>
        <v>Head</v>
      </c>
      <c r="I2015">
        <f>TU!CD195</f>
        <v>0</v>
      </c>
      <c r="J2015">
        <f>TU!CE195</f>
        <v>0</v>
      </c>
      <c r="K2015">
        <f>TU!CF195</f>
        <v>0</v>
      </c>
      <c r="L2015">
        <f>TU!CG195</f>
        <v>0</v>
      </c>
      <c r="M2015">
        <f>TU!CH195</f>
        <v>0</v>
      </c>
      <c r="N2015">
        <f>TU!CI195</f>
        <v>0</v>
      </c>
      <c r="O2015">
        <f>TU!CJ195</f>
        <v>0</v>
      </c>
      <c r="P2015" s="143" t="str">
        <f>TU!CK195</f>
        <v/>
      </c>
      <c r="R2015">
        <f t="shared" si="31"/>
        <v>2014</v>
      </c>
    </row>
    <row r="2016" spans="5:18">
      <c r="E2016" s="147" t="s">
        <v>67</v>
      </c>
      <c r="F2016" t="str">
        <f>TU!CA196</f>
        <v>HPS</v>
      </c>
      <c r="G2016" t="str">
        <f>TU!CB196</f>
        <v>AC</v>
      </c>
      <c r="H2016" t="str">
        <f>TU!CC196</f>
        <v>Head</v>
      </c>
      <c r="I2016">
        <f>TU!CD196</f>
        <v>0</v>
      </c>
      <c r="J2016">
        <f>TU!CE196</f>
        <v>0</v>
      </c>
      <c r="K2016">
        <f>TU!CF196</f>
        <v>0</v>
      </c>
      <c r="L2016">
        <f>TU!CG196</f>
        <v>0</v>
      </c>
      <c r="M2016">
        <f>TU!CH196</f>
        <v>0</v>
      </c>
      <c r="N2016">
        <f>TU!CI196</f>
        <v>0</v>
      </c>
      <c r="O2016">
        <f>TU!CJ196</f>
        <v>0</v>
      </c>
      <c r="P2016" s="143" t="str">
        <f>TU!CK196</f>
        <v/>
      </c>
      <c r="R2016">
        <f t="shared" si="31"/>
        <v>2015</v>
      </c>
    </row>
    <row r="2017" spans="5:18">
      <c r="E2017" s="147" t="s">
        <v>67</v>
      </c>
      <c r="F2017" t="str">
        <f>TU!CA197</f>
        <v>HPS</v>
      </c>
      <c r="G2017" t="str">
        <f>TU!CB197</f>
        <v>AC</v>
      </c>
      <c r="H2017" t="str">
        <f>TU!CC197</f>
        <v>Head</v>
      </c>
      <c r="I2017">
        <f>TU!CD197</f>
        <v>0</v>
      </c>
      <c r="J2017">
        <f>TU!CE197</f>
        <v>0</v>
      </c>
      <c r="K2017">
        <f>TU!CF197</f>
        <v>0</v>
      </c>
      <c r="L2017">
        <f>TU!CG197</f>
        <v>0</v>
      </c>
      <c r="M2017">
        <f>TU!CH197</f>
        <v>0</v>
      </c>
      <c r="N2017">
        <f>TU!CI197</f>
        <v>0</v>
      </c>
      <c r="O2017">
        <f>TU!CJ197</f>
        <v>0</v>
      </c>
      <c r="P2017" s="143" t="str">
        <f>TU!CK197</f>
        <v/>
      </c>
      <c r="R2017">
        <f t="shared" si="31"/>
        <v>2016</v>
      </c>
    </row>
    <row r="2018" spans="5:18">
      <c r="E2018" s="147" t="s">
        <v>67</v>
      </c>
      <c r="F2018" t="str">
        <f>TU!CA198</f>
        <v>HPS</v>
      </c>
      <c r="G2018" t="str">
        <f>TU!CB198</f>
        <v>AC</v>
      </c>
      <c r="H2018" t="str">
        <f>TU!CC198</f>
        <v>Head</v>
      </c>
      <c r="I2018">
        <f>TU!CD198</f>
        <v>0</v>
      </c>
      <c r="J2018">
        <f>TU!CE198</f>
        <v>0</v>
      </c>
      <c r="K2018">
        <f>TU!CF198</f>
        <v>0</v>
      </c>
      <c r="L2018">
        <f>TU!CG198</f>
        <v>0</v>
      </c>
      <c r="M2018">
        <f>TU!CH198</f>
        <v>0</v>
      </c>
      <c r="N2018">
        <f>TU!CI198</f>
        <v>0</v>
      </c>
      <c r="O2018">
        <f>TU!CJ198</f>
        <v>0</v>
      </c>
      <c r="P2018" s="143" t="str">
        <f>TU!CK198</f>
        <v/>
      </c>
      <c r="R2018">
        <f t="shared" si="31"/>
        <v>2017</v>
      </c>
    </row>
    <row r="2019" spans="5:18">
      <c r="E2019" s="147" t="s">
        <v>67</v>
      </c>
      <c r="F2019" t="str">
        <f>TU!CA199</f>
        <v>HPS</v>
      </c>
      <c r="G2019" t="str">
        <f>TU!CB199</f>
        <v>AC</v>
      </c>
      <c r="H2019" t="str">
        <f>TU!CC199</f>
        <v>Head</v>
      </c>
      <c r="I2019">
        <f>TU!CD199</f>
        <v>0</v>
      </c>
      <c r="J2019">
        <f>TU!CE199</f>
        <v>0</v>
      </c>
      <c r="K2019">
        <f>TU!CF199</f>
        <v>0</v>
      </c>
      <c r="L2019">
        <f>TU!CG199</f>
        <v>0</v>
      </c>
      <c r="M2019">
        <f>TU!CH199</f>
        <v>0</v>
      </c>
      <c r="N2019">
        <f>TU!CI199</f>
        <v>0</v>
      </c>
      <c r="O2019">
        <f>TU!CJ199</f>
        <v>0</v>
      </c>
      <c r="P2019" s="143" t="str">
        <f>TU!CK199</f>
        <v/>
      </c>
      <c r="R2019">
        <f t="shared" si="31"/>
        <v>2018</v>
      </c>
    </row>
    <row r="2020" spans="5:18">
      <c r="E2020" s="147" t="s">
        <v>67</v>
      </c>
      <c r="F2020" t="str">
        <f>TU!CA200</f>
        <v>HPS</v>
      </c>
      <c r="G2020" t="str">
        <f>TU!CB200</f>
        <v>AC</v>
      </c>
      <c r="H2020" t="str">
        <f>TU!CC200</f>
        <v>Head</v>
      </c>
      <c r="I2020">
        <f>TU!CD200</f>
        <v>0</v>
      </c>
      <c r="J2020">
        <f>TU!CE200</f>
        <v>0</v>
      </c>
      <c r="K2020">
        <f>TU!CF200</f>
        <v>0</v>
      </c>
      <c r="L2020">
        <f>TU!CG200</f>
        <v>0</v>
      </c>
      <c r="M2020">
        <f>TU!CH200</f>
        <v>0</v>
      </c>
      <c r="N2020">
        <f>TU!CI200</f>
        <v>0</v>
      </c>
      <c r="O2020">
        <f>TU!CJ200</f>
        <v>0</v>
      </c>
      <c r="P2020" s="143" t="str">
        <f>TU!CK200</f>
        <v/>
      </c>
      <c r="R2020">
        <f t="shared" si="31"/>
        <v>2019</v>
      </c>
    </row>
    <row r="2021" spans="5:18" ht="17.100000000000001" thickBot="1">
      <c r="E2021" s="148" t="s">
        <v>67</v>
      </c>
      <c r="F2021" s="144" t="str">
        <f>TU!CA201</f>
        <v>HPS</v>
      </c>
      <c r="G2021" s="144" t="str">
        <f>TU!CB201</f>
        <v>AC</v>
      </c>
      <c r="H2021" s="144" t="str">
        <f>TU!CC201</f>
        <v>Head</v>
      </c>
      <c r="I2021" s="144">
        <f>TU!CD201</f>
        <v>0</v>
      </c>
      <c r="J2021" s="144">
        <f>TU!CE201</f>
        <v>0</v>
      </c>
      <c r="K2021" s="144">
        <f>TU!CF201</f>
        <v>0</v>
      </c>
      <c r="L2021" s="144">
        <f>TU!CG201</f>
        <v>0</v>
      </c>
      <c r="M2021" s="144">
        <f>TU!CH201</f>
        <v>0</v>
      </c>
      <c r="N2021" s="144">
        <f>TU!CI201</f>
        <v>0</v>
      </c>
      <c r="O2021" s="144">
        <f>TU!CJ201</f>
        <v>0</v>
      </c>
      <c r="P2021" s="145" t="str">
        <f>TU!CK201</f>
        <v/>
      </c>
      <c r="R2021">
        <f t="shared" si="31"/>
        <v>2020</v>
      </c>
    </row>
    <row r="2022" spans="5:18">
      <c r="E2022" s="146" t="s">
        <v>55</v>
      </c>
      <c r="F2022" s="141" t="str">
        <f>TW!CD2</f>
        <v>HPS</v>
      </c>
      <c r="G2022" s="141" t="str">
        <f>TW!CE2</f>
        <v>AC</v>
      </c>
      <c r="H2022" s="141" t="str">
        <f>TW!CF2</f>
        <v>Head</v>
      </c>
      <c r="I2022" s="141">
        <f>TW!CG2</f>
        <v>0</v>
      </c>
      <c r="J2022" s="141" t="str">
        <f>TW!CH2</f>
        <v>Thrust Washer</v>
      </c>
      <c r="K2022" s="141" t="e">
        <f>TW!CI2</f>
        <v>#REF!</v>
      </c>
      <c r="L2022" s="141" t="str">
        <f>TW!CJ2</f>
        <v>TW-1</v>
      </c>
      <c r="M2022" s="141">
        <f>TW!CK2</f>
        <v>0</v>
      </c>
      <c r="N2022" s="141">
        <f>TW!CL2</f>
        <v>0</v>
      </c>
      <c r="O2022" s="141">
        <f>TW!CM2</f>
        <v>0</v>
      </c>
      <c r="P2022" s="142" t="str">
        <f>TW!CN2</f>
        <v>Active</v>
      </c>
      <c r="R2022">
        <f t="shared" si="31"/>
        <v>2021</v>
      </c>
    </row>
    <row r="2023" spans="5:18">
      <c r="E2023" s="147" t="s">
        <v>55</v>
      </c>
      <c r="F2023" t="str">
        <f>TW!CD3</f>
        <v>HPS</v>
      </c>
      <c r="G2023" t="str">
        <f>TW!CE3</f>
        <v>AC</v>
      </c>
      <c r="H2023" t="str">
        <f>TW!CF3</f>
        <v>Head</v>
      </c>
      <c r="I2023">
        <f>TW!CG3</f>
        <v>0</v>
      </c>
      <c r="J2023" t="str">
        <f>TW!CH3</f>
        <v>Thrust Washer</v>
      </c>
      <c r="K2023" t="e">
        <f>TW!CI3</f>
        <v>#REF!</v>
      </c>
      <c r="L2023" t="str">
        <f>TW!CJ3</f>
        <v>TW-2</v>
      </c>
      <c r="M2023">
        <f>TW!CK3</f>
        <v>0</v>
      </c>
      <c r="N2023">
        <f>TW!CL3</f>
        <v>0</v>
      </c>
      <c r="O2023">
        <f>TW!CM3</f>
        <v>0</v>
      </c>
      <c r="P2023" s="143" t="str">
        <f>TW!CN3</f>
        <v>Active</v>
      </c>
      <c r="R2023">
        <f t="shared" si="31"/>
        <v>2022</v>
      </c>
    </row>
    <row r="2024" spans="5:18">
      <c r="E2024" s="147" t="s">
        <v>55</v>
      </c>
      <c r="F2024" t="str">
        <f>TW!CD4</f>
        <v>HPS</v>
      </c>
      <c r="G2024" t="str">
        <f>TW!CE4</f>
        <v>AC</v>
      </c>
      <c r="H2024" t="str">
        <f>TW!CF4</f>
        <v>Head</v>
      </c>
      <c r="I2024">
        <f>TW!CG4</f>
        <v>0</v>
      </c>
      <c r="J2024" t="str">
        <f>TW!CH4</f>
        <v>Thrust Washer</v>
      </c>
      <c r="K2024" t="e">
        <f>TW!CI4</f>
        <v>#REF!</v>
      </c>
      <c r="L2024" t="str">
        <f>TW!CJ4</f>
        <v>TW-3</v>
      </c>
      <c r="M2024">
        <f>TW!CK4</f>
        <v>0</v>
      </c>
      <c r="N2024">
        <f>TW!CL4</f>
        <v>0</v>
      </c>
      <c r="O2024">
        <f>TW!CM4</f>
        <v>0</v>
      </c>
      <c r="P2024" s="143" t="str">
        <f>TW!CN4</f>
        <v>Active</v>
      </c>
      <c r="R2024">
        <f t="shared" si="31"/>
        <v>2023</v>
      </c>
    </row>
    <row r="2025" spans="5:18">
      <c r="E2025" s="147" t="s">
        <v>55</v>
      </c>
      <c r="F2025" t="str">
        <f>TW!CD5</f>
        <v>HPS</v>
      </c>
      <c r="G2025" t="str">
        <f>TW!CE5</f>
        <v>AC</v>
      </c>
      <c r="H2025" t="str">
        <f>TW!CF5</f>
        <v>Head</v>
      </c>
      <c r="I2025">
        <f>TW!CG5</f>
        <v>0</v>
      </c>
      <c r="J2025" t="str">
        <f>TW!CH5</f>
        <v>Thrust Washer</v>
      </c>
      <c r="K2025" t="e">
        <f>TW!CI5</f>
        <v>#REF!</v>
      </c>
      <c r="L2025" t="str">
        <f>TW!CJ5</f>
        <v>TW-4</v>
      </c>
      <c r="M2025">
        <f>TW!CK5</f>
        <v>0</v>
      </c>
      <c r="N2025">
        <f>TW!CL5</f>
        <v>0</v>
      </c>
      <c r="O2025">
        <f>TW!CM5</f>
        <v>0</v>
      </c>
      <c r="P2025" s="143" t="str">
        <f>TW!CN5</f>
        <v>New</v>
      </c>
      <c r="R2025">
        <f t="shared" si="31"/>
        <v>2024</v>
      </c>
    </row>
    <row r="2026" spans="5:18">
      <c r="E2026" s="147" t="s">
        <v>55</v>
      </c>
      <c r="F2026" t="str">
        <f>TW!CD6</f>
        <v>HPS</v>
      </c>
      <c r="G2026" t="str">
        <f>TW!CE6</f>
        <v>AC</v>
      </c>
      <c r="H2026" t="str">
        <f>TW!CF6</f>
        <v>Head</v>
      </c>
      <c r="I2026">
        <f>TW!CG6</f>
        <v>0</v>
      </c>
      <c r="J2026" t="str">
        <f>TW!CH6</f>
        <v>Thrust Washer</v>
      </c>
      <c r="K2026" t="e">
        <f>TW!CI6</f>
        <v>#REF!</v>
      </c>
      <c r="L2026" t="str">
        <f>TW!CJ6</f>
        <v>TW-5</v>
      </c>
      <c r="M2026">
        <f>TW!CK6</f>
        <v>0</v>
      </c>
      <c r="N2026">
        <f>TW!CL6</f>
        <v>0</v>
      </c>
      <c r="O2026">
        <f>TW!CM6</f>
        <v>0</v>
      </c>
      <c r="P2026" s="143" t="str">
        <f>TW!CN6</f>
        <v>New</v>
      </c>
      <c r="R2026">
        <f t="shared" si="31"/>
        <v>2025</v>
      </c>
    </row>
    <row r="2027" spans="5:18">
      <c r="E2027" s="147" t="s">
        <v>55</v>
      </c>
      <c r="F2027" t="str">
        <f>TW!CD7</f>
        <v>HPS</v>
      </c>
      <c r="G2027" t="str">
        <f>TW!CE7</f>
        <v>AC</v>
      </c>
      <c r="H2027" t="str">
        <f>TW!CF7</f>
        <v>Head</v>
      </c>
      <c r="I2027">
        <f>TW!CG7</f>
        <v>0</v>
      </c>
      <c r="J2027" t="str">
        <f>TW!CH7</f>
        <v>Thrust Washer</v>
      </c>
      <c r="K2027" t="e">
        <f>TW!CI7</f>
        <v>#REF!</v>
      </c>
      <c r="L2027" t="str">
        <f>TW!CJ7</f>
        <v>TW-6</v>
      </c>
      <c r="M2027">
        <f>TW!CK7</f>
        <v>0</v>
      </c>
      <c r="N2027">
        <f>TW!CL7</f>
        <v>0</v>
      </c>
      <c r="O2027">
        <f>TW!CM7</f>
        <v>0</v>
      </c>
      <c r="P2027" s="143" t="str">
        <f>TW!CN7</f>
        <v>Active</v>
      </c>
      <c r="R2027">
        <f t="shared" si="31"/>
        <v>2026</v>
      </c>
    </row>
    <row r="2028" spans="5:18">
      <c r="E2028" s="147" t="s">
        <v>55</v>
      </c>
      <c r="F2028" t="str">
        <f>TW!CD8</f>
        <v>HPS</v>
      </c>
      <c r="G2028" t="str">
        <f>TW!CE8</f>
        <v>AC</v>
      </c>
      <c r="H2028" t="str">
        <f>TW!CF8</f>
        <v>Head</v>
      </c>
      <c r="I2028">
        <f>TW!CG8</f>
        <v>0</v>
      </c>
      <c r="J2028" t="str">
        <f>TW!CH8</f>
        <v>Thrust Washer</v>
      </c>
      <c r="K2028" t="e">
        <f>TW!CI8</f>
        <v>#REF!</v>
      </c>
      <c r="L2028" t="str">
        <f>TW!CJ8</f>
        <v>TW-7</v>
      </c>
      <c r="M2028">
        <f>TW!CK8</f>
        <v>0</v>
      </c>
      <c r="N2028">
        <f>TW!CL8</f>
        <v>0</v>
      </c>
      <c r="O2028">
        <f>TW!CM8</f>
        <v>0</v>
      </c>
      <c r="P2028" s="143" t="str">
        <f>TW!CN8</f>
        <v>Active</v>
      </c>
      <c r="R2028">
        <f t="shared" si="31"/>
        <v>2027</v>
      </c>
    </row>
    <row r="2029" spans="5:18">
      <c r="E2029" s="147" t="s">
        <v>55</v>
      </c>
      <c r="F2029" t="str">
        <f>TW!CD9</f>
        <v>HPS</v>
      </c>
      <c r="G2029" t="str">
        <f>TW!CE9</f>
        <v>AC</v>
      </c>
      <c r="H2029" t="str">
        <f>TW!CF9</f>
        <v>Head</v>
      </c>
      <c r="I2029">
        <f>TW!CG9</f>
        <v>0</v>
      </c>
      <c r="J2029" t="str">
        <f>TW!CH9</f>
        <v>Thrust Washer</v>
      </c>
      <c r="K2029" t="e">
        <f>TW!CI9</f>
        <v>#REF!</v>
      </c>
      <c r="L2029" t="str">
        <f>TW!CJ9</f>
        <v>TW-8</v>
      </c>
      <c r="M2029">
        <f>TW!CK9</f>
        <v>0</v>
      </c>
      <c r="N2029">
        <f>TW!CL9</f>
        <v>0</v>
      </c>
      <c r="O2029">
        <f>TW!CM9</f>
        <v>0</v>
      </c>
      <c r="P2029" s="143" t="str">
        <f>TW!CN9</f>
        <v>New</v>
      </c>
      <c r="R2029">
        <f t="shared" si="31"/>
        <v>2028</v>
      </c>
    </row>
    <row r="2030" spans="5:18">
      <c r="E2030" s="147" t="s">
        <v>55</v>
      </c>
      <c r="F2030" t="str">
        <f>TW!CD10</f>
        <v>HPS</v>
      </c>
      <c r="G2030" t="str">
        <f>TW!CE10</f>
        <v>AC</v>
      </c>
      <c r="H2030" t="str">
        <f>TW!CF10</f>
        <v>Head</v>
      </c>
      <c r="I2030">
        <f>TW!CG10</f>
        <v>0</v>
      </c>
      <c r="J2030" t="str">
        <f>TW!CH10</f>
        <v>Thrust Washer</v>
      </c>
      <c r="K2030" t="e">
        <f>TW!CI10</f>
        <v>#REF!</v>
      </c>
      <c r="L2030" t="str">
        <f>TW!CJ10</f>
        <v>TW-9</v>
      </c>
      <c r="M2030">
        <f>TW!CK10</f>
        <v>0</v>
      </c>
      <c r="N2030">
        <f>TW!CL10</f>
        <v>0</v>
      </c>
      <c r="O2030">
        <f>TW!CM10</f>
        <v>0</v>
      </c>
      <c r="P2030" s="143" t="str">
        <f>TW!CN10</f>
        <v>New</v>
      </c>
      <c r="R2030">
        <f t="shared" si="31"/>
        <v>2029</v>
      </c>
    </row>
    <row r="2031" spans="5:18">
      <c r="E2031" s="147" t="s">
        <v>55</v>
      </c>
      <c r="F2031" t="str">
        <f>TW!CD11</f>
        <v>HPS</v>
      </c>
      <c r="G2031" t="str">
        <f>TW!CE11</f>
        <v>AC</v>
      </c>
      <c r="H2031" t="str">
        <f>TW!CF11</f>
        <v>Head</v>
      </c>
      <c r="I2031">
        <f>TW!CG11</f>
        <v>0</v>
      </c>
      <c r="J2031" t="str">
        <f>TW!CH11</f>
        <v>Thrust Washer</v>
      </c>
      <c r="K2031" t="e">
        <f>TW!CI11</f>
        <v>#REF!</v>
      </c>
      <c r="L2031" t="str">
        <f>TW!CJ11</f>
        <v>TW-10</v>
      </c>
      <c r="M2031">
        <f>TW!CK11</f>
        <v>0</v>
      </c>
      <c r="N2031">
        <f>TW!CL11</f>
        <v>0</v>
      </c>
      <c r="O2031">
        <f>TW!CM11</f>
        <v>0</v>
      </c>
      <c r="P2031" s="143" t="str">
        <f>TW!CN11</f>
        <v>New</v>
      </c>
      <c r="R2031">
        <f t="shared" si="31"/>
        <v>2030</v>
      </c>
    </row>
    <row r="2032" spans="5:18">
      <c r="E2032" s="147" t="s">
        <v>55</v>
      </c>
      <c r="F2032" t="str">
        <f>TW!CD12</f>
        <v>HPS</v>
      </c>
      <c r="G2032" t="str">
        <f>TW!CE12</f>
        <v>AC</v>
      </c>
      <c r="H2032" t="str">
        <f>TW!CF12</f>
        <v>Head</v>
      </c>
      <c r="I2032">
        <f>TW!CG12</f>
        <v>0</v>
      </c>
      <c r="J2032" t="str">
        <f>TW!CH12</f>
        <v>Thrust Washer</v>
      </c>
      <c r="K2032" t="e">
        <f>TW!CI12</f>
        <v>#REF!</v>
      </c>
      <c r="L2032" t="str">
        <f>TW!CJ12</f>
        <v>TW-11</v>
      </c>
      <c r="M2032">
        <f>TW!CK12</f>
        <v>0</v>
      </c>
      <c r="N2032">
        <f>TW!CL12</f>
        <v>0</v>
      </c>
      <c r="O2032">
        <f>TW!CM12</f>
        <v>0</v>
      </c>
      <c r="P2032" s="143" t="str">
        <f>TW!CN12</f>
        <v>New</v>
      </c>
      <c r="R2032">
        <f t="shared" si="31"/>
        <v>2031</v>
      </c>
    </row>
    <row r="2033" spans="5:18">
      <c r="E2033" s="147" t="s">
        <v>55</v>
      </c>
      <c r="F2033" t="str">
        <f>TW!CD13</f>
        <v>HPS</v>
      </c>
      <c r="G2033" t="str">
        <f>TW!CE13</f>
        <v>AC</v>
      </c>
      <c r="H2033" t="str">
        <f>TW!CF13</f>
        <v>Head</v>
      </c>
      <c r="I2033">
        <f>TW!CG13</f>
        <v>0</v>
      </c>
      <c r="J2033" t="str">
        <f>TW!CH13</f>
        <v>Thrust Washer</v>
      </c>
      <c r="K2033" t="e">
        <f>TW!CI13</f>
        <v>#REF!</v>
      </c>
      <c r="L2033" t="str">
        <f>TW!CJ13</f>
        <v>TW-12</v>
      </c>
      <c r="M2033">
        <f>TW!CK13</f>
        <v>0</v>
      </c>
      <c r="N2033">
        <f>TW!CL13</f>
        <v>0</v>
      </c>
      <c r="O2033">
        <f>TW!CM13</f>
        <v>0</v>
      </c>
      <c r="P2033" s="143" t="str">
        <f>TW!CN13</f>
        <v>New</v>
      </c>
      <c r="R2033">
        <f t="shared" si="31"/>
        <v>2032</v>
      </c>
    </row>
    <row r="2034" spans="5:18">
      <c r="E2034" s="147" t="s">
        <v>55</v>
      </c>
      <c r="F2034" t="str">
        <f>TW!CD14</f>
        <v>HPS</v>
      </c>
      <c r="G2034" t="str">
        <f>TW!CE14</f>
        <v>AC</v>
      </c>
      <c r="H2034" t="str">
        <f>TW!CF14</f>
        <v>Head</v>
      </c>
      <c r="I2034">
        <f>TW!CG14</f>
        <v>0</v>
      </c>
      <c r="J2034" t="str">
        <f>TW!CH14</f>
        <v>Thrust Washer</v>
      </c>
      <c r="K2034" t="e">
        <f>TW!CI14</f>
        <v>#REF!</v>
      </c>
      <c r="L2034" t="str">
        <f>TW!CJ14</f>
        <v>TW-13</v>
      </c>
      <c r="M2034">
        <f>TW!CK14</f>
        <v>0</v>
      </c>
      <c r="N2034">
        <f>TW!CL14</f>
        <v>0</v>
      </c>
      <c r="O2034">
        <f>TW!CM14</f>
        <v>0</v>
      </c>
      <c r="P2034" s="143" t="str">
        <f>TW!CN14</f>
        <v>New</v>
      </c>
      <c r="R2034">
        <f t="shared" si="31"/>
        <v>2033</v>
      </c>
    </row>
    <row r="2035" spans="5:18">
      <c r="E2035" s="147" t="s">
        <v>55</v>
      </c>
      <c r="F2035" t="str">
        <f>TW!CD15</f>
        <v>HPS</v>
      </c>
      <c r="G2035" t="str">
        <f>TW!CE15</f>
        <v>AC</v>
      </c>
      <c r="H2035" t="str">
        <f>TW!CF15</f>
        <v>Head</v>
      </c>
      <c r="I2035">
        <f>TW!CG15</f>
        <v>0</v>
      </c>
      <c r="J2035" t="str">
        <f>TW!CH15</f>
        <v>Thrust Washer</v>
      </c>
      <c r="K2035" t="e">
        <f>TW!CI15</f>
        <v>#REF!</v>
      </c>
      <c r="L2035" t="str">
        <f>TW!CJ15</f>
        <v>TW-14</v>
      </c>
      <c r="M2035">
        <f>TW!CK15</f>
        <v>0</v>
      </c>
      <c r="N2035">
        <f>TW!CL15</f>
        <v>0</v>
      </c>
      <c r="O2035">
        <f>TW!CM15</f>
        <v>0</v>
      </c>
      <c r="P2035" s="143" t="str">
        <f>TW!CN15</f>
        <v>New</v>
      </c>
      <c r="R2035">
        <f t="shared" si="31"/>
        <v>2034</v>
      </c>
    </row>
    <row r="2036" spans="5:18">
      <c r="E2036" s="147" t="s">
        <v>55</v>
      </c>
      <c r="F2036" t="str">
        <f>TW!CD16</f>
        <v>HPS</v>
      </c>
      <c r="G2036" t="str">
        <f>TW!CE16</f>
        <v>AC</v>
      </c>
      <c r="H2036" t="str">
        <f>TW!CF16</f>
        <v>Head</v>
      </c>
      <c r="I2036">
        <f>TW!CG16</f>
        <v>0</v>
      </c>
      <c r="J2036">
        <f>TW!CH16</f>
        <v>0</v>
      </c>
      <c r="K2036" t="e">
        <f>TW!CI16</f>
        <v>#REF!</v>
      </c>
      <c r="L2036">
        <f>TW!CJ16</f>
        <v>0</v>
      </c>
      <c r="M2036">
        <f>TW!CK16</f>
        <v>0</v>
      </c>
      <c r="N2036">
        <f>TW!CL16</f>
        <v>0</v>
      </c>
      <c r="O2036">
        <f>TW!CM16</f>
        <v>0</v>
      </c>
      <c r="P2036" s="143" t="str">
        <f>TW!CN16</f>
        <v/>
      </c>
      <c r="R2036">
        <f t="shared" si="31"/>
        <v>2035</v>
      </c>
    </row>
    <row r="2037" spans="5:18">
      <c r="E2037" s="147" t="s">
        <v>55</v>
      </c>
      <c r="F2037" t="str">
        <f>TW!CD17</f>
        <v>HPS</v>
      </c>
      <c r="G2037" t="str">
        <f>TW!CE17</f>
        <v>AC</v>
      </c>
      <c r="H2037" t="str">
        <f>TW!CF17</f>
        <v>Head</v>
      </c>
      <c r="I2037">
        <f>TW!CG17</f>
        <v>0</v>
      </c>
      <c r="J2037">
        <f>TW!CH17</f>
        <v>0</v>
      </c>
      <c r="K2037" t="e">
        <f>TW!CI17</f>
        <v>#REF!</v>
      </c>
      <c r="L2037">
        <f>TW!CJ17</f>
        <v>0</v>
      </c>
      <c r="M2037">
        <f>TW!CK17</f>
        <v>0</v>
      </c>
      <c r="N2037">
        <f>TW!CL17</f>
        <v>0</v>
      </c>
      <c r="O2037">
        <f>TW!CM17</f>
        <v>0</v>
      </c>
      <c r="P2037" s="143" t="str">
        <f>TW!CN17</f>
        <v/>
      </c>
      <c r="R2037">
        <f t="shared" si="31"/>
        <v>2036</v>
      </c>
    </row>
    <row r="2038" spans="5:18">
      <c r="E2038" s="147" t="s">
        <v>55</v>
      </c>
      <c r="F2038" t="str">
        <f>TW!CD18</f>
        <v>HPS</v>
      </c>
      <c r="G2038" t="str">
        <f>TW!CE18</f>
        <v>AC</v>
      </c>
      <c r="H2038" t="str">
        <f>TW!CF18</f>
        <v>Head</v>
      </c>
      <c r="I2038">
        <f>TW!CG18</f>
        <v>0</v>
      </c>
      <c r="J2038">
        <f>TW!CH18</f>
        <v>0</v>
      </c>
      <c r="K2038" t="e">
        <f>TW!CI18</f>
        <v>#REF!</v>
      </c>
      <c r="L2038">
        <f>TW!CJ18</f>
        <v>0</v>
      </c>
      <c r="M2038">
        <f>TW!CK18</f>
        <v>0</v>
      </c>
      <c r="N2038">
        <f>TW!CL18</f>
        <v>0</v>
      </c>
      <c r="O2038">
        <f>TW!CM18</f>
        <v>0</v>
      </c>
      <c r="P2038" s="143" t="str">
        <f>TW!CN18</f>
        <v/>
      </c>
      <c r="R2038">
        <f t="shared" si="31"/>
        <v>2037</v>
      </c>
    </row>
    <row r="2039" spans="5:18">
      <c r="E2039" s="147" t="s">
        <v>55</v>
      </c>
      <c r="F2039" t="str">
        <f>TW!CD19</f>
        <v>HPS</v>
      </c>
      <c r="G2039" t="str">
        <f>TW!CE19</f>
        <v>AC</v>
      </c>
      <c r="H2039" t="str">
        <f>TW!CF19</f>
        <v>Head</v>
      </c>
      <c r="I2039">
        <f>TW!CG19</f>
        <v>0</v>
      </c>
      <c r="J2039">
        <f>TW!CH19</f>
        <v>0</v>
      </c>
      <c r="K2039" t="e">
        <f>TW!CI19</f>
        <v>#REF!</v>
      </c>
      <c r="L2039">
        <f>TW!CJ19</f>
        <v>0</v>
      </c>
      <c r="M2039">
        <f>TW!CK19</f>
        <v>0</v>
      </c>
      <c r="N2039">
        <f>TW!CL19</f>
        <v>0</v>
      </c>
      <c r="O2039">
        <f>TW!CM19</f>
        <v>0</v>
      </c>
      <c r="P2039" s="143" t="str">
        <f>TW!CN19</f>
        <v/>
      </c>
      <c r="R2039">
        <f t="shared" si="31"/>
        <v>2038</v>
      </c>
    </row>
    <row r="2040" spans="5:18">
      <c r="E2040" s="147" t="s">
        <v>55</v>
      </c>
      <c r="F2040" t="str">
        <f>TW!CD20</f>
        <v>HPS</v>
      </c>
      <c r="G2040" t="str">
        <f>TW!CE20</f>
        <v>AC</v>
      </c>
      <c r="H2040" t="str">
        <f>TW!CF20</f>
        <v>Head</v>
      </c>
      <c r="I2040">
        <f>TW!CG20</f>
        <v>0</v>
      </c>
      <c r="J2040">
        <f>TW!CH20</f>
        <v>0</v>
      </c>
      <c r="K2040" t="e">
        <f>TW!CI20</f>
        <v>#REF!</v>
      </c>
      <c r="L2040">
        <f>TW!CJ20</f>
        <v>0</v>
      </c>
      <c r="M2040">
        <f>TW!CK20</f>
        <v>0</v>
      </c>
      <c r="N2040">
        <f>TW!CL20</f>
        <v>0</v>
      </c>
      <c r="O2040">
        <f>TW!CM20</f>
        <v>0</v>
      </c>
      <c r="P2040" s="143" t="str">
        <f>TW!CN20</f>
        <v/>
      </c>
      <c r="R2040">
        <f t="shared" si="31"/>
        <v>2039</v>
      </c>
    </row>
    <row r="2041" spans="5:18">
      <c r="E2041" s="147" t="s">
        <v>55</v>
      </c>
      <c r="F2041" t="str">
        <f>TW!CD21</f>
        <v>HPS</v>
      </c>
      <c r="G2041" t="str">
        <f>TW!CE21</f>
        <v>AC</v>
      </c>
      <c r="H2041" t="str">
        <f>TW!CF21</f>
        <v>Head</v>
      </c>
      <c r="I2041">
        <f>TW!CG21</f>
        <v>0</v>
      </c>
      <c r="J2041">
        <f>TW!CH21</f>
        <v>0</v>
      </c>
      <c r="K2041" t="e">
        <f>TW!CI21</f>
        <v>#REF!</v>
      </c>
      <c r="L2041">
        <f>TW!CJ21</f>
        <v>0</v>
      </c>
      <c r="M2041">
        <f>TW!CK21</f>
        <v>0</v>
      </c>
      <c r="N2041">
        <f>TW!CL21</f>
        <v>0</v>
      </c>
      <c r="O2041">
        <f>TW!CM21</f>
        <v>0</v>
      </c>
      <c r="P2041" s="143" t="str">
        <f>TW!CN21</f>
        <v/>
      </c>
      <c r="R2041">
        <f t="shared" si="31"/>
        <v>2040</v>
      </c>
    </row>
    <row r="2042" spans="5:18">
      <c r="E2042" s="147" t="s">
        <v>55</v>
      </c>
      <c r="F2042" t="str">
        <f>TW!CD22</f>
        <v>HPS</v>
      </c>
      <c r="G2042" t="str">
        <f>TW!CE22</f>
        <v>AC</v>
      </c>
      <c r="H2042" t="str">
        <f>TW!CF22</f>
        <v>Head</v>
      </c>
      <c r="I2042">
        <f>TW!CG22</f>
        <v>0</v>
      </c>
      <c r="J2042">
        <f>TW!CH22</f>
        <v>0</v>
      </c>
      <c r="K2042" t="e">
        <f>TW!CI22</f>
        <v>#REF!</v>
      </c>
      <c r="L2042">
        <f>TW!CJ22</f>
        <v>0</v>
      </c>
      <c r="M2042">
        <f>TW!CK22</f>
        <v>0</v>
      </c>
      <c r="N2042">
        <f>TW!CL22</f>
        <v>0</v>
      </c>
      <c r="O2042">
        <f>TW!CM22</f>
        <v>0</v>
      </c>
      <c r="P2042" s="143" t="str">
        <f>TW!CN22</f>
        <v/>
      </c>
      <c r="R2042">
        <f t="shared" si="31"/>
        <v>2041</v>
      </c>
    </row>
    <row r="2043" spans="5:18">
      <c r="E2043" s="147" t="s">
        <v>55</v>
      </c>
      <c r="F2043" t="str">
        <f>TW!CD23</f>
        <v>HPS</v>
      </c>
      <c r="G2043" t="str">
        <f>TW!CE23</f>
        <v>AC</v>
      </c>
      <c r="H2043" t="str">
        <f>TW!CF23</f>
        <v>Head</v>
      </c>
      <c r="I2043">
        <f>TW!CG23</f>
        <v>0</v>
      </c>
      <c r="J2043">
        <f>TW!CH23</f>
        <v>0</v>
      </c>
      <c r="K2043" t="e">
        <f>TW!CI23</f>
        <v>#REF!</v>
      </c>
      <c r="L2043">
        <f>TW!CJ23</f>
        <v>0</v>
      </c>
      <c r="M2043">
        <f>TW!CK23</f>
        <v>0</v>
      </c>
      <c r="N2043">
        <f>TW!CL23</f>
        <v>0</v>
      </c>
      <c r="O2043">
        <f>TW!CM23</f>
        <v>0</v>
      </c>
      <c r="P2043" s="143" t="str">
        <f>TW!CN23</f>
        <v/>
      </c>
      <c r="R2043">
        <f t="shared" si="31"/>
        <v>2042</v>
      </c>
    </row>
    <row r="2044" spans="5:18">
      <c r="E2044" s="147" t="s">
        <v>55</v>
      </c>
      <c r="F2044" t="str">
        <f>TW!CD24</f>
        <v>HPS</v>
      </c>
      <c r="G2044" t="str">
        <f>TW!CE24</f>
        <v>AC</v>
      </c>
      <c r="H2044" t="str">
        <f>TW!CF24</f>
        <v>Head</v>
      </c>
      <c r="I2044">
        <f>TW!CG24</f>
        <v>0</v>
      </c>
      <c r="J2044">
        <f>TW!CH24</f>
        <v>0</v>
      </c>
      <c r="K2044" t="e">
        <f>TW!CI24</f>
        <v>#REF!</v>
      </c>
      <c r="L2044">
        <f>TW!CJ24</f>
        <v>0</v>
      </c>
      <c r="M2044">
        <f>TW!CK24</f>
        <v>0</v>
      </c>
      <c r="N2044">
        <f>TW!CL24</f>
        <v>0</v>
      </c>
      <c r="O2044">
        <f>TW!CM24</f>
        <v>0</v>
      </c>
      <c r="P2044" s="143" t="str">
        <f>TW!CN24</f>
        <v/>
      </c>
      <c r="R2044">
        <f t="shared" si="31"/>
        <v>2043</v>
      </c>
    </row>
    <row r="2045" spans="5:18">
      <c r="E2045" s="147" t="s">
        <v>55</v>
      </c>
      <c r="F2045" t="str">
        <f>TW!CD25</f>
        <v>HPS</v>
      </c>
      <c r="G2045" t="str">
        <f>TW!CE25</f>
        <v>AC</v>
      </c>
      <c r="H2045" t="str">
        <f>TW!CF25</f>
        <v>Head</v>
      </c>
      <c r="I2045">
        <f>TW!CG25</f>
        <v>0</v>
      </c>
      <c r="J2045">
        <f>TW!CH25</f>
        <v>0</v>
      </c>
      <c r="K2045" t="e">
        <f>TW!CI25</f>
        <v>#REF!</v>
      </c>
      <c r="L2045">
        <f>TW!CJ25</f>
        <v>0</v>
      </c>
      <c r="M2045">
        <f>TW!CK25</f>
        <v>0</v>
      </c>
      <c r="N2045">
        <f>TW!CL25</f>
        <v>0</v>
      </c>
      <c r="O2045">
        <f>TW!CM25</f>
        <v>0</v>
      </c>
      <c r="P2045" s="143" t="str">
        <f>TW!CN25</f>
        <v/>
      </c>
      <c r="R2045">
        <f t="shared" si="31"/>
        <v>2044</v>
      </c>
    </row>
    <row r="2046" spans="5:18">
      <c r="E2046" s="147" t="s">
        <v>55</v>
      </c>
      <c r="F2046" t="str">
        <f>TW!CD26</f>
        <v>HPS</v>
      </c>
      <c r="G2046" t="str">
        <f>TW!CE26</f>
        <v>AC</v>
      </c>
      <c r="H2046" t="str">
        <f>TW!CF26</f>
        <v>Head</v>
      </c>
      <c r="I2046">
        <f>TW!CG26</f>
        <v>0</v>
      </c>
      <c r="J2046">
        <f>TW!CH26</f>
        <v>0</v>
      </c>
      <c r="K2046" t="e">
        <f>TW!CI26</f>
        <v>#REF!</v>
      </c>
      <c r="L2046">
        <f>TW!CJ26</f>
        <v>0</v>
      </c>
      <c r="M2046">
        <f>TW!CK26</f>
        <v>0</v>
      </c>
      <c r="N2046">
        <f>TW!CL26</f>
        <v>0</v>
      </c>
      <c r="O2046">
        <f>TW!CM26</f>
        <v>0</v>
      </c>
      <c r="P2046" s="143" t="str">
        <f>TW!CN26</f>
        <v/>
      </c>
      <c r="R2046">
        <f t="shared" si="31"/>
        <v>2045</v>
      </c>
    </row>
    <row r="2047" spans="5:18">
      <c r="E2047" s="147" t="s">
        <v>55</v>
      </c>
      <c r="F2047" t="str">
        <f>TW!CD27</f>
        <v>HPS</v>
      </c>
      <c r="G2047" t="str">
        <f>TW!CE27</f>
        <v>AC</v>
      </c>
      <c r="H2047" t="str">
        <f>TW!CF27</f>
        <v>Head</v>
      </c>
      <c r="I2047">
        <f>TW!CG27</f>
        <v>0</v>
      </c>
      <c r="J2047">
        <f>TW!CH27</f>
        <v>0</v>
      </c>
      <c r="K2047" t="e">
        <f>TW!CI27</f>
        <v>#REF!</v>
      </c>
      <c r="L2047">
        <f>TW!CJ27</f>
        <v>0</v>
      </c>
      <c r="M2047">
        <f>TW!CK27</f>
        <v>0</v>
      </c>
      <c r="N2047">
        <f>TW!CL27</f>
        <v>0</v>
      </c>
      <c r="O2047">
        <f>TW!CM27</f>
        <v>0</v>
      </c>
      <c r="P2047" s="143" t="str">
        <f>TW!CN27</f>
        <v/>
      </c>
      <c r="R2047">
        <f t="shared" si="31"/>
        <v>2046</v>
      </c>
    </row>
    <row r="2048" spans="5:18">
      <c r="E2048" s="147" t="s">
        <v>55</v>
      </c>
      <c r="F2048" t="str">
        <f>TW!CD28</f>
        <v>HPS</v>
      </c>
      <c r="G2048" t="str">
        <f>TW!CE28</f>
        <v>AC</v>
      </c>
      <c r="H2048" t="str">
        <f>TW!CF28</f>
        <v>Head</v>
      </c>
      <c r="I2048">
        <f>TW!CG28</f>
        <v>0</v>
      </c>
      <c r="J2048">
        <f>TW!CH28</f>
        <v>0</v>
      </c>
      <c r="K2048" t="e">
        <f>TW!CI28</f>
        <v>#REF!</v>
      </c>
      <c r="L2048">
        <f>TW!CJ28</f>
        <v>0</v>
      </c>
      <c r="M2048">
        <f>TW!CK28</f>
        <v>0</v>
      </c>
      <c r="N2048">
        <f>TW!CL28</f>
        <v>0</v>
      </c>
      <c r="O2048">
        <f>TW!CM28</f>
        <v>0</v>
      </c>
      <c r="P2048" s="143" t="str">
        <f>TW!CN28</f>
        <v/>
      </c>
      <c r="R2048">
        <f t="shared" si="31"/>
        <v>2047</v>
      </c>
    </row>
    <row r="2049" spans="5:18">
      <c r="E2049" s="147" t="s">
        <v>55</v>
      </c>
      <c r="F2049" t="str">
        <f>TW!CD29</f>
        <v>HPS</v>
      </c>
      <c r="G2049" t="str">
        <f>TW!CE29</f>
        <v>AC</v>
      </c>
      <c r="H2049" t="str">
        <f>TW!CF29</f>
        <v>Head</v>
      </c>
      <c r="I2049">
        <f>TW!CG29</f>
        <v>0</v>
      </c>
      <c r="J2049">
        <f>TW!CH29</f>
        <v>0</v>
      </c>
      <c r="K2049" t="e">
        <f>TW!CI29</f>
        <v>#REF!</v>
      </c>
      <c r="L2049">
        <f>TW!CJ29</f>
        <v>0</v>
      </c>
      <c r="M2049">
        <f>TW!CK29</f>
        <v>0</v>
      </c>
      <c r="N2049">
        <f>TW!CL29</f>
        <v>0</v>
      </c>
      <c r="O2049">
        <f>TW!CM29</f>
        <v>0</v>
      </c>
      <c r="P2049" s="143" t="str">
        <f>TW!CN29</f>
        <v/>
      </c>
      <c r="R2049">
        <f t="shared" si="31"/>
        <v>2048</v>
      </c>
    </row>
    <row r="2050" spans="5:18">
      <c r="E2050" s="147" t="s">
        <v>55</v>
      </c>
      <c r="F2050" t="str">
        <f>TW!CD30</f>
        <v>HPS</v>
      </c>
      <c r="G2050" t="str">
        <f>TW!CE30</f>
        <v>AC</v>
      </c>
      <c r="H2050" t="str">
        <f>TW!CF30</f>
        <v>Head</v>
      </c>
      <c r="I2050">
        <f>TW!CG30</f>
        <v>0</v>
      </c>
      <c r="J2050">
        <f>TW!CH30</f>
        <v>0</v>
      </c>
      <c r="K2050" t="e">
        <f>TW!CI30</f>
        <v>#REF!</v>
      </c>
      <c r="L2050">
        <f>TW!CJ30</f>
        <v>0</v>
      </c>
      <c r="M2050">
        <f>TW!CK30</f>
        <v>0</v>
      </c>
      <c r="N2050">
        <f>TW!CL30</f>
        <v>0</v>
      </c>
      <c r="O2050">
        <f>TW!CM30</f>
        <v>0</v>
      </c>
      <c r="P2050" s="143" t="str">
        <f>TW!CN30</f>
        <v/>
      </c>
      <c r="R2050">
        <f t="shared" si="31"/>
        <v>2049</v>
      </c>
    </row>
    <row r="2051" spans="5:18">
      <c r="E2051" s="147" t="s">
        <v>55</v>
      </c>
      <c r="F2051" t="str">
        <f>TW!CD31</f>
        <v>HPS</v>
      </c>
      <c r="G2051" t="str">
        <f>TW!CE31</f>
        <v>AC</v>
      </c>
      <c r="H2051" t="str">
        <f>TW!CF31</f>
        <v>Head</v>
      </c>
      <c r="I2051">
        <f>TW!CG31</f>
        <v>0</v>
      </c>
      <c r="J2051">
        <f>TW!CH31</f>
        <v>0</v>
      </c>
      <c r="K2051" t="e">
        <f>TW!CI31</f>
        <v>#REF!</v>
      </c>
      <c r="L2051">
        <f>TW!CJ31</f>
        <v>0</v>
      </c>
      <c r="M2051">
        <f>TW!CK31</f>
        <v>0</v>
      </c>
      <c r="N2051">
        <f>TW!CL31</f>
        <v>0</v>
      </c>
      <c r="O2051">
        <f>TW!CM31</f>
        <v>0</v>
      </c>
      <c r="P2051" s="143" t="str">
        <f>TW!CN31</f>
        <v/>
      </c>
      <c r="R2051">
        <f t="shared" si="31"/>
        <v>2050</v>
      </c>
    </row>
    <row r="2052" spans="5:18">
      <c r="E2052" s="147" t="s">
        <v>55</v>
      </c>
      <c r="F2052" t="str">
        <f>TW!CD32</f>
        <v>HPS</v>
      </c>
      <c r="G2052" t="str">
        <f>TW!CE32</f>
        <v>AC</v>
      </c>
      <c r="H2052" t="str">
        <f>TW!CF32</f>
        <v>Head</v>
      </c>
      <c r="I2052">
        <f>TW!CG32</f>
        <v>0</v>
      </c>
      <c r="J2052">
        <f>TW!CH32</f>
        <v>0</v>
      </c>
      <c r="K2052" t="e">
        <f>TW!CI32</f>
        <v>#REF!</v>
      </c>
      <c r="L2052">
        <f>TW!CJ32</f>
        <v>0</v>
      </c>
      <c r="M2052">
        <f>TW!CK32</f>
        <v>0</v>
      </c>
      <c r="N2052">
        <f>TW!CL32</f>
        <v>0</v>
      </c>
      <c r="O2052">
        <f>TW!CM32</f>
        <v>0</v>
      </c>
      <c r="P2052" s="143" t="str">
        <f>TW!CN32</f>
        <v/>
      </c>
      <c r="R2052">
        <f t="shared" ref="Q2052:R2114" si="32">R2051+1</f>
        <v>2051</v>
      </c>
    </row>
    <row r="2053" spans="5:18">
      <c r="E2053" s="147" t="s">
        <v>55</v>
      </c>
      <c r="F2053" t="str">
        <f>TW!CD33</f>
        <v>HPS</v>
      </c>
      <c r="G2053" t="str">
        <f>TW!CE33</f>
        <v>AC</v>
      </c>
      <c r="H2053" t="str">
        <f>TW!CF33</f>
        <v>Head</v>
      </c>
      <c r="I2053">
        <f>TW!CG33</f>
        <v>0</v>
      </c>
      <c r="J2053">
        <f>TW!CH33</f>
        <v>0</v>
      </c>
      <c r="K2053" t="e">
        <f>TW!CI33</f>
        <v>#REF!</v>
      </c>
      <c r="L2053">
        <f>TW!CJ33</f>
        <v>0</v>
      </c>
      <c r="M2053">
        <f>TW!CK33</f>
        <v>0</v>
      </c>
      <c r="N2053">
        <f>TW!CL33</f>
        <v>0</v>
      </c>
      <c r="O2053">
        <f>TW!CM33</f>
        <v>0</v>
      </c>
      <c r="P2053" s="143" t="str">
        <f>TW!CN33</f>
        <v/>
      </c>
      <c r="R2053">
        <f t="shared" si="32"/>
        <v>2052</v>
      </c>
    </row>
    <row r="2054" spans="5:18">
      <c r="E2054" s="147" t="s">
        <v>55</v>
      </c>
      <c r="F2054" t="str">
        <f>TW!CD34</f>
        <v>HPS</v>
      </c>
      <c r="G2054" t="str">
        <f>TW!CE34</f>
        <v>AC</v>
      </c>
      <c r="H2054" t="str">
        <f>TW!CF34</f>
        <v>Head</v>
      </c>
      <c r="I2054">
        <f>TW!CG34</f>
        <v>0</v>
      </c>
      <c r="J2054">
        <f>TW!CH34</f>
        <v>0</v>
      </c>
      <c r="K2054" t="e">
        <f>TW!CI34</f>
        <v>#REF!</v>
      </c>
      <c r="L2054">
        <f>TW!CJ34</f>
        <v>0</v>
      </c>
      <c r="M2054">
        <f>TW!CK34</f>
        <v>0</v>
      </c>
      <c r="N2054">
        <f>TW!CL34</f>
        <v>0</v>
      </c>
      <c r="O2054">
        <f>TW!CM34</f>
        <v>0</v>
      </c>
      <c r="P2054" s="143" t="str">
        <f>TW!CN34</f>
        <v/>
      </c>
      <c r="R2054">
        <f t="shared" si="32"/>
        <v>2053</v>
      </c>
    </row>
    <row r="2055" spans="5:18">
      <c r="E2055" s="147" t="s">
        <v>55</v>
      </c>
      <c r="F2055" t="str">
        <f>TW!CD35</f>
        <v>HPS</v>
      </c>
      <c r="G2055" t="str">
        <f>TW!CE35</f>
        <v>AC</v>
      </c>
      <c r="H2055" t="str">
        <f>TW!CF35</f>
        <v>Head</v>
      </c>
      <c r="I2055">
        <f>TW!CG35</f>
        <v>0</v>
      </c>
      <c r="J2055">
        <f>TW!CH35</f>
        <v>0</v>
      </c>
      <c r="K2055" t="e">
        <f>TW!CI35</f>
        <v>#REF!</v>
      </c>
      <c r="L2055">
        <f>TW!CJ35</f>
        <v>0</v>
      </c>
      <c r="M2055">
        <f>TW!CK35</f>
        <v>0</v>
      </c>
      <c r="N2055">
        <f>TW!CL35</f>
        <v>0</v>
      </c>
      <c r="O2055">
        <f>TW!CM35</f>
        <v>0</v>
      </c>
      <c r="P2055" s="143" t="str">
        <f>TW!CN35</f>
        <v/>
      </c>
      <c r="R2055">
        <f t="shared" si="32"/>
        <v>2054</v>
      </c>
    </row>
    <row r="2056" spans="5:18">
      <c r="E2056" s="147" t="s">
        <v>55</v>
      </c>
      <c r="F2056" t="str">
        <f>TW!CD36</f>
        <v>HPS</v>
      </c>
      <c r="G2056" t="str">
        <f>TW!CE36</f>
        <v>AC</v>
      </c>
      <c r="H2056" t="str">
        <f>TW!CF36</f>
        <v>Head</v>
      </c>
      <c r="I2056">
        <f>TW!CG36</f>
        <v>0</v>
      </c>
      <c r="J2056">
        <f>TW!CH36</f>
        <v>0</v>
      </c>
      <c r="K2056" t="e">
        <f>TW!CI36</f>
        <v>#REF!</v>
      </c>
      <c r="L2056">
        <f>TW!CJ36</f>
        <v>0</v>
      </c>
      <c r="M2056">
        <f>TW!CK36</f>
        <v>0</v>
      </c>
      <c r="N2056">
        <f>TW!CL36</f>
        <v>0</v>
      </c>
      <c r="O2056">
        <f>TW!CM36</f>
        <v>0</v>
      </c>
      <c r="P2056" s="143" t="str">
        <f>TW!CN36</f>
        <v/>
      </c>
      <c r="R2056">
        <f t="shared" si="32"/>
        <v>2055</v>
      </c>
    </row>
    <row r="2057" spans="5:18">
      <c r="E2057" s="147" t="s">
        <v>55</v>
      </c>
      <c r="F2057" t="str">
        <f>TW!CD37</f>
        <v>HPS</v>
      </c>
      <c r="G2057" t="str">
        <f>TW!CE37</f>
        <v>AC</v>
      </c>
      <c r="H2057" t="str">
        <f>TW!CF37</f>
        <v>Head</v>
      </c>
      <c r="I2057">
        <f>TW!CG37</f>
        <v>0</v>
      </c>
      <c r="J2057">
        <f>TW!CH37</f>
        <v>0</v>
      </c>
      <c r="K2057" t="e">
        <f>TW!CI37</f>
        <v>#REF!</v>
      </c>
      <c r="L2057">
        <f>TW!CJ37</f>
        <v>0</v>
      </c>
      <c r="M2057">
        <f>TW!CK37</f>
        <v>0</v>
      </c>
      <c r="N2057">
        <f>TW!CL37</f>
        <v>0</v>
      </c>
      <c r="O2057">
        <f>TW!CM37</f>
        <v>0</v>
      </c>
      <c r="P2057" s="143" t="str">
        <f>TW!CN37</f>
        <v/>
      </c>
      <c r="R2057">
        <f t="shared" si="32"/>
        <v>2056</v>
      </c>
    </row>
    <row r="2058" spans="5:18">
      <c r="E2058" s="147" t="s">
        <v>55</v>
      </c>
      <c r="F2058" t="str">
        <f>TW!CD38</f>
        <v>HPS</v>
      </c>
      <c r="G2058" t="str">
        <f>TW!CE38</f>
        <v>AC</v>
      </c>
      <c r="H2058" t="str">
        <f>TW!CF38</f>
        <v>Head</v>
      </c>
      <c r="I2058">
        <f>TW!CG38</f>
        <v>0</v>
      </c>
      <c r="J2058">
        <f>TW!CH38</f>
        <v>0</v>
      </c>
      <c r="K2058" t="e">
        <f>TW!CI38</f>
        <v>#REF!</v>
      </c>
      <c r="L2058">
        <f>TW!CJ38</f>
        <v>0</v>
      </c>
      <c r="M2058">
        <f>TW!CK38</f>
        <v>0</v>
      </c>
      <c r="N2058">
        <f>TW!CL38</f>
        <v>0</v>
      </c>
      <c r="O2058">
        <f>TW!CM38</f>
        <v>0</v>
      </c>
      <c r="P2058" s="143" t="str">
        <f>TW!CN38</f>
        <v/>
      </c>
      <c r="R2058">
        <f t="shared" si="32"/>
        <v>2057</v>
      </c>
    </row>
    <row r="2059" spans="5:18">
      <c r="E2059" s="147" t="s">
        <v>55</v>
      </c>
      <c r="F2059" t="str">
        <f>TW!CD39</f>
        <v>HPS</v>
      </c>
      <c r="G2059" t="str">
        <f>TW!CE39</f>
        <v>AC</v>
      </c>
      <c r="H2059" t="str">
        <f>TW!CF39</f>
        <v>Head</v>
      </c>
      <c r="I2059">
        <f>TW!CG39</f>
        <v>0</v>
      </c>
      <c r="J2059">
        <f>TW!CH39</f>
        <v>0</v>
      </c>
      <c r="K2059" t="e">
        <f>TW!CI39</f>
        <v>#REF!</v>
      </c>
      <c r="L2059">
        <f>TW!CJ39</f>
        <v>0</v>
      </c>
      <c r="M2059">
        <f>TW!CK39</f>
        <v>0</v>
      </c>
      <c r="N2059">
        <f>TW!CL39</f>
        <v>0</v>
      </c>
      <c r="O2059">
        <f>TW!CM39</f>
        <v>0</v>
      </c>
      <c r="P2059" s="143" t="str">
        <f>TW!CN39</f>
        <v/>
      </c>
      <c r="R2059">
        <f t="shared" si="32"/>
        <v>2058</v>
      </c>
    </row>
    <row r="2060" spans="5:18">
      <c r="E2060" s="147" t="s">
        <v>55</v>
      </c>
      <c r="F2060" t="str">
        <f>TW!CD40</f>
        <v>HPS</v>
      </c>
      <c r="G2060" t="str">
        <f>TW!CE40</f>
        <v>AC</v>
      </c>
      <c r="H2060" t="str">
        <f>TW!CF40</f>
        <v>Head</v>
      </c>
      <c r="I2060">
        <f>TW!CG40</f>
        <v>0</v>
      </c>
      <c r="J2060">
        <f>TW!CH40</f>
        <v>0</v>
      </c>
      <c r="K2060" t="e">
        <f>TW!CI40</f>
        <v>#REF!</v>
      </c>
      <c r="L2060">
        <f>TW!CJ40</f>
        <v>0</v>
      </c>
      <c r="M2060">
        <f>TW!CK40</f>
        <v>0</v>
      </c>
      <c r="N2060">
        <f>TW!CL40</f>
        <v>0</v>
      </c>
      <c r="O2060">
        <f>TW!CM40</f>
        <v>0</v>
      </c>
      <c r="P2060" s="143" t="str">
        <f>TW!CN40</f>
        <v/>
      </c>
      <c r="R2060">
        <f t="shared" si="32"/>
        <v>2059</v>
      </c>
    </row>
    <row r="2061" spans="5:18">
      <c r="E2061" s="147" t="s">
        <v>55</v>
      </c>
      <c r="F2061" t="str">
        <f>TW!CD41</f>
        <v>HPS</v>
      </c>
      <c r="G2061" t="str">
        <f>TW!CE41</f>
        <v>AC</v>
      </c>
      <c r="H2061" t="str">
        <f>TW!CF41</f>
        <v>Head</v>
      </c>
      <c r="I2061">
        <f>TW!CG41</f>
        <v>0</v>
      </c>
      <c r="J2061">
        <f>TW!CH41</f>
        <v>0</v>
      </c>
      <c r="K2061" t="e">
        <f>TW!CI41</f>
        <v>#REF!</v>
      </c>
      <c r="L2061">
        <f>TW!CJ41</f>
        <v>0</v>
      </c>
      <c r="M2061">
        <f>TW!CK41</f>
        <v>0</v>
      </c>
      <c r="N2061">
        <f>TW!CL41</f>
        <v>0</v>
      </c>
      <c r="O2061">
        <f>TW!CM41</f>
        <v>0</v>
      </c>
      <c r="P2061" s="143" t="str">
        <f>TW!CN41</f>
        <v/>
      </c>
      <c r="R2061">
        <f t="shared" si="32"/>
        <v>2060</v>
      </c>
    </row>
    <row r="2062" spans="5:18">
      <c r="E2062" s="147" t="s">
        <v>55</v>
      </c>
      <c r="F2062" t="str">
        <f>TW!CD42</f>
        <v>HPS</v>
      </c>
      <c r="G2062" t="str">
        <f>TW!CE42</f>
        <v>AC</v>
      </c>
      <c r="H2062" t="str">
        <f>TW!CF42</f>
        <v>Head</v>
      </c>
      <c r="I2062">
        <f>TW!CG42</f>
        <v>0</v>
      </c>
      <c r="J2062">
        <f>TW!CH42</f>
        <v>0</v>
      </c>
      <c r="K2062" t="e">
        <f>TW!CI42</f>
        <v>#REF!</v>
      </c>
      <c r="L2062">
        <f>TW!CJ42</f>
        <v>0</v>
      </c>
      <c r="M2062">
        <f>TW!CK42</f>
        <v>0</v>
      </c>
      <c r="N2062">
        <f>TW!CL42</f>
        <v>0</v>
      </c>
      <c r="O2062">
        <f>TW!CM42</f>
        <v>0</v>
      </c>
      <c r="P2062" s="143" t="str">
        <f>TW!CN42</f>
        <v/>
      </c>
      <c r="R2062">
        <f t="shared" si="32"/>
        <v>2061</v>
      </c>
    </row>
    <row r="2063" spans="5:18">
      <c r="E2063" s="147" t="s">
        <v>55</v>
      </c>
      <c r="F2063" t="str">
        <f>TW!CD43</f>
        <v>HPS</v>
      </c>
      <c r="G2063" t="str">
        <f>TW!CE43</f>
        <v>AC</v>
      </c>
      <c r="H2063" t="str">
        <f>TW!CF43</f>
        <v>Head</v>
      </c>
      <c r="I2063">
        <f>TW!CG43</f>
        <v>0</v>
      </c>
      <c r="J2063">
        <f>TW!CH43</f>
        <v>0</v>
      </c>
      <c r="K2063" t="e">
        <f>TW!CI43</f>
        <v>#REF!</v>
      </c>
      <c r="L2063">
        <f>TW!CJ43</f>
        <v>0</v>
      </c>
      <c r="M2063">
        <f>TW!CK43</f>
        <v>0</v>
      </c>
      <c r="N2063">
        <f>TW!CL43</f>
        <v>0</v>
      </c>
      <c r="O2063">
        <f>TW!CM43</f>
        <v>0</v>
      </c>
      <c r="P2063" s="143" t="str">
        <f>TW!CN43</f>
        <v/>
      </c>
      <c r="R2063">
        <f t="shared" si="32"/>
        <v>2062</v>
      </c>
    </row>
    <row r="2064" spans="5:18">
      <c r="E2064" s="147" t="s">
        <v>55</v>
      </c>
      <c r="F2064" t="str">
        <f>TW!CD44</f>
        <v>HPS</v>
      </c>
      <c r="G2064" t="str">
        <f>TW!CE44</f>
        <v>AC</v>
      </c>
      <c r="H2064" t="str">
        <f>TW!CF44</f>
        <v>Head</v>
      </c>
      <c r="I2064">
        <f>TW!CG44</f>
        <v>0</v>
      </c>
      <c r="J2064">
        <f>TW!CH44</f>
        <v>0</v>
      </c>
      <c r="K2064" t="e">
        <f>TW!CI44</f>
        <v>#REF!</v>
      </c>
      <c r="L2064">
        <f>TW!CJ44</f>
        <v>0</v>
      </c>
      <c r="M2064">
        <f>TW!CK44</f>
        <v>0</v>
      </c>
      <c r="N2064">
        <f>TW!CL44</f>
        <v>0</v>
      </c>
      <c r="O2064">
        <f>TW!CM44</f>
        <v>0</v>
      </c>
      <c r="P2064" s="143" t="str">
        <f>TW!CN44</f>
        <v/>
      </c>
      <c r="R2064">
        <f t="shared" si="32"/>
        <v>2063</v>
      </c>
    </row>
    <row r="2065" spans="5:18">
      <c r="E2065" s="147" t="s">
        <v>55</v>
      </c>
      <c r="F2065" t="str">
        <f>TW!CD45</f>
        <v>HPS</v>
      </c>
      <c r="G2065" t="str">
        <f>TW!CE45</f>
        <v>AC</v>
      </c>
      <c r="H2065" t="str">
        <f>TW!CF45</f>
        <v>Head</v>
      </c>
      <c r="I2065">
        <f>TW!CG45</f>
        <v>0</v>
      </c>
      <c r="J2065">
        <f>TW!CH45</f>
        <v>0</v>
      </c>
      <c r="K2065" t="e">
        <f>TW!CI45</f>
        <v>#REF!</v>
      </c>
      <c r="L2065">
        <f>TW!CJ45</f>
        <v>0</v>
      </c>
      <c r="M2065">
        <f>TW!CK45</f>
        <v>0</v>
      </c>
      <c r="N2065">
        <f>TW!CL45</f>
        <v>0</v>
      </c>
      <c r="O2065">
        <f>TW!CM45</f>
        <v>0</v>
      </c>
      <c r="P2065" s="143" t="str">
        <f>TW!CN45</f>
        <v/>
      </c>
      <c r="R2065">
        <f t="shared" si="32"/>
        <v>2064</v>
      </c>
    </row>
    <row r="2066" spans="5:18">
      <c r="E2066" s="147" t="s">
        <v>55</v>
      </c>
      <c r="F2066" t="str">
        <f>TW!CD46</f>
        <v>HPS</v>
      </c>
      <c r="G2066" t="str">
        <f>TW!CE46</f>
        <v>AC</v>
      </c>
      <c r="H2066" t="str">
        <f>TW!CF46</f>
        <v>Head</v>
      </c>
      <c r="I2066">
        <f>TW!CG46</f>
        <v>0</v>
      </c>
      <c r="J2066">
        <f>TW!CH46</f>
        <v>0</v>
      </c>
      <c r="K2066" t="e">
        <f>TW!CI46</f>
        <v>#REF!</v>
      </c>
      <c r="L2066">
        <f>TW!CJ46</f>
        <v>0</v>
      </c>
      <c r="M2066">
        <f>TW!CK46</f>
        <v>0</v>
      </c>
      <c r="N2066">
        <f>TW!CL46</f>
        <v>0</v>
      </c>
      <c r="O2066">
        <f>TW!CM46</f>
        <v>0</v>
      </c>
      <c r="P2066" s="143" t="str">
        <f>TW!CN46</f>
        <v/>
      </c>
      <c r="R2066">
        <f t="shared" si="32"/>
        <v>2065</v>
      </c>
    </row>
    <row r="2067" spans="5:18">
      <c r="E2067" s="147" t="s">
        <v>55</v>
      </c>
      <c r="F2067" t="str">
        <f>TW!CD47</f>
        <v>HPS</v>
      </c>
      <c r="G2067" t="str">
        <f>TW!CE47</f>
        <v>AC</v>
      </c>
      <c r="H2067" t="str">
        <f>TW!CF47</f>
        <v>Head</v>
      </c>
      <c r="I2067">
        <f>TW!CG47</f>
        <v>0</v>
      </c>
      <c r="J2067">
        <f>TW!CH47</f>
        <v>0</v>
      </c>
      <c r="K2067" t="e">
        <f>TW!CI47</f>
        <v>#REF!</v>
      </c>
      <c r="L2067">
        <f>TW!CJ47</f>
        <v>0</v>
      </c>
      <c r="M2067">
        <f>TW!CK47</f>
        <v>0</v>
      </c>
      <c r="N2067">
        <f>TW!CL47</f>
        <v>0</v>
      </c>
      <c r="O2067">
        <f>TW!CM47</f>
        <v>0</v>
      </c>
      <c r="P2067" s="143" t="str">
        <f>TW!CN47</f>
        <v/>
      </c>
      <c r="R2067">
        <f t="shared" si="32"/>
        <v>2066</v>
      </c>
    </row>
    <row r="2068" spans="5:18">
      <c r="E2068" s="147" t="s">
        <v>55</v>
      </c>
      <c r="F2068" t="str">
        <f>TW!CD48</f>
        <v>HPS</v>
      </c>
      <c r="G2068" t="str">
        <f>TW!CE48</f>
        <v>AC</v>
      </c>
      <c r="H2068" t="str">
        <f>TW!CF48</f>
        <v>Head</v>
      </c>
      <c r="I2068">
        <f>TW!CG48</f>
        <v>0</v>
      </c>
      <c r="J2068">
        <f>TW!CH48</f>
        <v>0</v>
      </c>
      <c r="K2068" t="e">
        <f>TW!CI48</f>
        <v>#REF!</v>
      </c>
      <c r="L2068">
        <f>TW!CJ48</f>
        <v>0</v>
      </c>
      <c r="M2068">
        <f>TW!CK48</f>
        <v>0</v>
      </c>
      <c r="N2068">
        <f>TW!CL48</f>
        <v>0</v>
      </c>
      <c r="O2068">
        <f>TW!CM48</f>
        <v>0</v>
      </c>
      <c r="P2068" s="143" t="str">
        <f>TW!CN48</f>
        <v/>
      </c>
      <c r="R2068">
        <f t="shared" si="32"/>
        <v>2067</v>
      </c>
    </row>
    <row r="2069" spans="5:18">
      <c r="E2069" s="147" t="s">
        <v>55</v>
      </c>
      <c r="F2069" t="str">
        <f>TW!CD49</f>
        <v>HPS</v>
      </c>
      <c r="G2069" t="str">
        <f>TW!CE49</f>
        <v>AC</v>
      </c>
      <c r="H2069" t="str">
        <f>TW!CF49</f>
        <v>Head</v>
      </c>
      <c r="I2069">
        <f>TW!CG49</f>
        <v>0</v>
      </c>
      <c r="J2069">
        <f>TW!CH49</f>
        <v>0</v>
      </c>
      <c r="K2069" t="e">
        <f>TW!CI49</f>
        <v>#REF!</v>
      </c>
      <c r="L2069">
        <f>TW!CJ49</f>
        <v>0</v>
      </c>
      <c r="M2069">
        <f>TW!CK49</f>
        <v>0</v>
      </c>
      <c r="N2069">
        <f>TW!CL49</f>
        <v>0</v>
      </c>
      <c r="O2069">
        <f>TW!CM49</f>
        <v>0</v>
      </c>
      <c r="P2069" s="143" t="str">
        <f>TW!CN49</f>
        <v/>
      </c>
      <c r="R2069">
        <f t="shared" si="32"/>
        <v>2068</v>
      </c>
    </row>
    <row r="2070" spans="5:18">
      <c r="E2070" s="147" t="s">
        <v>55</v>
      </c>
      <c r="F2070" t="str">
        <f>TW!CD50</f>
        <v>HPS</v>
      </c>
      <c r="G2070" t="str">
        <f>TW!CE50</f>
        <v>AC</v>
      </c>
      <c r="H2070" t="str">
        <f>TW!CF50</f>
        <v>Head</v>
      </c>
      <c r="I2070">
        <f>TW!CG50</f>
        <v>0</v>
      </c>
      <c r="J2070">
        <f>TW!CH50</f>
        <v>0</v>
      </c>
      <c r="K2070" t="e">
        <f>TW!CI50</f>
        <v>#REF!</v>
      </c>
      <c r="L2070">
        <f>TW!CJ50</f>
        <v>0</v>
      </c>
      <c r="M2070">
        <f>TW!CK50</f>
        <v>0</v>
      </c>
      <c r="N2070">
        <f>TW!CL50</f>
        <v>0</v>
      </c>
      <c r="O2070">
        <f>TW!CM50</f>
        <v>0</v>
      </c>
      <c r="P2070" s="143" t="str">
        <f>TW!CN50</f>
        <v/>
      </c>
      <c r="R2070">
        <f t="shared" si="32"/>
        <v>2069</v>
      </c>
    </row>
    <row r="2071" spans="5:18" ht="17.100000000000001" thickBot="1">
      <c r="E2071" s="148" t="s">
        <v>55</v>
      </c>
      <c r="F2071" s="144" t="str">
        <f>TW!CD51</f>
        <v>HPS</v>
      </c>
      <c r="G2071" s="144" t="str">
        <f>TW!CE51</f>
        <v>AC</v>
      </c>
      <c r="H2071" s="144" t="str">
        <f>TW!CF51</f>
        <v>Head</v>
      </c>
      <c r="I2071" s="144">
        <f>TW!CG51</f>
        <v>0</v>
      </c>
      <c r="J2071" s="144">
        <f>TW!CH51</f>
        <v>0</v>
      </c>
      <c r="K2071" s="144" t="e">
        <f>TW!CI51</f>
        <v>#REF!</v>
      </c>
      <c r="L2071" s="144">
        <f>TW!CJ51</f>
        <v>0</v>
      </c>
      <c r="M2071" s="144">
        <f>TW!CK51</f>
        <v>0</v>
      </c>
      <c r="N2071" s="144">
        <f>TW!CL51</f>
        <v>0</v>
      </c>
      <c r="O2071" s="144">
        <f>TW!CM51</f>
        <v>0</v>
      </c>
      <c r="P2071" s="145" t="str">
        <f>TW!CN51</f>
        <v/>
      </c>
      <c r="R2071">
        <f t="shared" si="32"/>
        <v>2070</v>
      </c>
    </row>
    <row r="2072" spans="5:18">
      <c r="Q2072">
        <f>R2071+1</f>
        <v>2071</v>
      </c>
    </row>
    <row r="2073" spans="5:18">
      <c r="Q2073">
        <f t="shared" si="32"/>
        <v>2072</v>
      </c>
    </row>
    <row r="2074" spans="5:18">
      <c r="Q2074">
        <f t="shared" si="32"/>
        <v>2073</v>
      </c>
    </row>
    <row r="2075" spans="5:18">
      <c r="Q2075">
        <f t="shared" si="32"/>
        <v>2074</v>
      </c>
    </row>
    <row r="2076" spans="5:18">
      <c r="Q2076">
        <f t="shared" si="32"/>
        <v>2075</v>
      </c>
    </row>
    <row r="2077" spans="5:18">
      <c r="Q2077">
        <f t="shared" si="32"/>
        <v>2076</v>
      </c>
    </row>
    <row r="2078" spans="5:18">
      <c r="Q2078">
        <f t="shared" si="32"/>
        <v>2077</v>
      </c>
    </row>
    <row r="2079" spans="5:18">
      <c r="Q2079">
        <f t="shared" si="32"/>
        <v>2078</v>
      </c>
    </row>
    <row r="2080" spans="5:18">
      <c r="Q2080">
        <f t="shared" si="32"/>
        <v>2079</v>
      </c>
    </row>
    <row r="2081" spans="17:17">
      <c r="Q2081">
        <f t="shared" si="32"/>
        <v>2080</v>
      </c>
    </row>
    <row r="2082" spans="17:17">
      <c r="Q2082">
        <f t="shared" si="32"/>
        <v>2081</v>
      </c>
    </row>
    <row r="2083" spans="17:17">
      <c r="Q2083">
        <f t="shared" si="32"/>
        <v>2082</v>
      </c>
    </row>
    <row r="2084" spans="17:17">
      <c r="Q2084">
        <f t="shared" si="32"/>
        <v>2083</v>
      </c>
    </row>
    <row r="2085" spans="17:17">
      <c r="Q2085">
        <f t="shared" si="32"/>
        <v>2084</v>
      </c>
    </row>
    <row r="2086" spans="17:17">
      <c r="Q2086">
        <f t="shared" si="32"/>
        <v>2085</v>
      </c>
    </row>
    <row r="2087" spans="17:17">
      <c r="Q2087">
        <f t="shared" si="32"/>
        <v>2086</v>
      </c>
    </row>
    <row r="2088" spans="17:17">
      <c r="Q2088">
        <f t="shared" si="32"/>
        <v>2087</v>
      </c>
    </row>
    <row r="2089" spans="17:17">
      <c r="Q2089">
        <f t="shared" si="32"/>
        <v>2088</v>
      </c>
    </row>
    <row r="2090" spans="17:17">
      <c r="Q2090">
        <f t="shared" si="32"/>
        <v>2089</v>
      </c>
    </row>
    <row r="2091" spans="17:17">
      <c r="Q2091">
        <f t="shared" si="32"/>
        <v>2090</v>
      </c>
    </row>
    <row r="2092" spans="17:17">
      <c r="Q2092">
        <f t="shared" si="32"/>
        <v>2091</v>
      </c>
    </row>
    <row r="2093" spans="17:17">
      <c r="Q2093">
        <f t="shared" si="32"/>
        <v>2092</v>
      </c>
    </row>
    <row r="2094" spans="17:17">
      <c r="Q2094">
        <f t="shared" si="32"/>
        <v>2093</v>
      </c>
    </row>
    <row r="2095" spans="17:17">
      <c r="Q2095">
        <f t="shared" si="32"/>
        <v>2094</v>
      </c>
    </row>
    <row r="2096" spans="17:17">
      <c r="Q2096">
        <f t="shared" si="32"/>
        <v>2095</v>
      </c>
    </row>
    <row r="2097" spans="17:17">
      <c r="Q2097">
        <f t="shared" si="32"/>
        <v>2096</v>
      </c>
    </row>
    <row r="2098" spans="17:17">
      <c r="Q2098">
        <f t="shared" si="32"/>
        <v>2097</v>
      </c>
    </row>
    <row r="2099" spans="17:17">
      <c r="Q2099">
        <f t="shared" si="32"/>
        <v>2098</v>
      </c>
    </row>
    <row r="2100" spans="17:17">
      <c r="Q2100">
        <f t="shared" si="32"/>
        <v>2099</v>
      </c>
    </row>
    <row r="2101" spans="17:17">
      <c r="Q2101">
        <f t="shared" si="32"/>
        <v>2100</v>
      </c>
    </row>
    <row r="2102" spans="17:17">
      <c r="Q2102">
        <f t="shared" si="32"/>
        <v>2101</v>
      </c>
    </row>
    <row r="2103" spans="17:17">
      <c r="Q2103">
        <f t="shared" si="32"/>
        <v>2102</v>
      </c>
    </row>
    <row r="2104" spans="17:17">
      <c r="Q2104">
        <f t="shared" si="32"/>
        <v>2103</v>
      </c>
    </row>
    <row r="2105" spans="17:17">
      <c r="Q2105">
        <f t="shared" si="32"/>
        <v>2104</v>
      </c>
    </row>
    <row r="2106" spans="17:17">
      <c r="Q2106">
        <f t="shared" si="32"/>
        <v>2105</v>
      </c>
    </row>
    <row r="2107" spans="17:17">
      <c r="Q2107">
        <f t="shared" si="32"/>
        <v>2106</v>
      </c>
    </row>
    <row r="2108" spans="17:17">
      <c r="Q2108">
        <f t="shared" si="32"/>
        <v>2107</v>
      </c>
    </row>
    <row r="2109" spans="17:17">
      <c r="Q2109">
        <f t="shared" si="32"/>
        <v>2108</v>
      </c>
    </row>
    <row r="2110" spans="17:17">
      <c r="Q2110">
        <f t="shared" si="32"/>
        <v>2109</v>
      </c>
    </row>
    <row r="2111" spans="17:17">
      <c r="Q2111">
        <f t="shared" si="32"/>
        <v>2110</v>
      </c>
    </row>
    <row r="2112" spans="17:17">
      <c r="Q2112">
        <f t="shared" si="32"/>
        <v>2111</v>
      </c>
    </row>
    <row r="2113" spans="17:17">
      <c r="Q2113">
        <f t="shared" si="32"/>
        <v>2112</v>
      </c>
    </row>
    <row r="2114" spans="17:17">
      <c r="Q2114">
        <f t="shared" si="32"/>
        <v>2113</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956A-214D-4276-A3D4-166AF7E5AB5F}">
  <sheetPr codeName="Sheet1"/>
  <dimension ref="A1:H39"/>
  <sheetViews>
    <sheetView topLeftCell="A7" workbookViewId="0">
      <selection activeCell="B36" sqref="B36"/>
    </sheetView>
  </sheetViews>
  <sheetFormatPr defaultColWidth="8.875" defaultRowHeight="15.95"/>
  <cols>
    <col min="1" max="1" width="9.875" customWidth="1"/>
    <col min="2" max="2" width="13.625" customWidth="1"/>
    <col min="3" max="3" width="11.625" customWidth="1"/>
    <col min="4" max="4" width="15.375" customWidth="1"/>
  </cols>
  <sheetData>
    <row r="1" spans="1:8">
      <c r="A1" t="s">
        <v>68</v>
      </c>
    </row>
    <row r="2" spans="1:8">
      <c r="A2" t="s">
        <v>69</v>
      </c>
    </row>
    <row r="4" spans="1:8">
      <c r="A4" t="s">
        <v>70</v>
      </c>
      <c r="B4" t="s">
        <v>71</v>
      </c>
      <c r="C4" t="s">
        <v>18</v>
      </c>
      <c r="D4" t="s">
        <v>20</v>
      </c>
      <c r="E4" t="s">
        <v>72</v>
      </c>
      <c r="G4">
        <v>1</v>
      </c>
    </row>
    <row r="5" spans="1:8" ht="51">
      <c r="A5" s="50" t="s">
        <v>73</v>
      </c>
      <c r="B5" s="50" t="s">
        <v>74</v>
      </c>
      <c r="C5" s="50" t="s">
        <v>75</v>
      </c>
      <c r="D5" s="50" t="s">
        <v>76</v>
      </c>
      <c r="E5" s="50" t="s">
        <v>77</v>
      </c>
      <c r="G5" s="50" t="s">
        <v>78</v>
      </c>
    </row>
    <row r="6" spans="1:8">
      <c r="D6" t="s">
        <v>79</v>
      </c>
      <c r="G6">
        <v>0</v>
      </c>
      <c r="H6" t="s">
        <v>80</v>
      </c>
    </row>
    <row r="7" spans="1:8" ht="68.099999999999994">
      <c r="D7" s="50" t="s">
        <v>81</v>
      </c>
      <c r="E7" t="s">
        <v>82</v>
      </c>
      <c r="F7" t="s">
        <v>83</v>
      </c>
      <c r="G7">
        <v>1</v>
      </c>
      <c r="H7" t="s">
        <v>84</v>
      </c>
    </row>
    <row r="8" spans="1:8">
      <c r="E8">
        <v>1</v>
      </c>
      <c r="F8" t="s">
        <v>25</v>
      </c>
      <c r="G8">
        <v>2</v>
      </c>
      <c r="H8" t="s">
        <v>85</v>
      </c>
    </row>
    <row r="9" spans="1:8">
      <c r="E9">
        <v>2</v>
      </c>
      <c r="F9" t="s">
        <v>39</v>
      </c>
    </row>
    <row r="10" spans="1:8">
      <c r="E10">
        <v>3</v>
      </c>
      <c r="F10" t="s">
        <v>33</v>
      </c>
    </row>
    <row r="11" spans="1:8">
      <c r="E11">
        <v>4</v>
      </c>
      <c r="F11" t="s">
        <v>35</v>
      </c>
    </row>
    <row r="12" spans="1:8">
      <c r="E12">
        <v>5</v>
      </c>
      <c r="F12" t="s">
        <v>86</v>
      </c>
    </row>
    <row r="13" spans="1:8">
      <c r="E13">
        <v>6</v>
      </c>
      <c r="F13" t="s">
        <v>49</v>
      </c>
    </row>
    <row r="14" spans="1:8">
      <c r="E14">
        <v>7</v>
      </c>
      <c r="F14" t="s">
        <v>43</v>
      </c>
    </row>
    <row r="15" spans="1:8">
      <c r="E15">
        <v>8</v>
      </c>
      <c r="F15" t="s">
        <v>47</v>
      </c>
    </row>
    <row r="16" spans="1:8">
      <c r="E16">
        <v>9</v>
      </c>
      <c r="F16" t="s">
        <v>87</v>
      </c>
    </row>
    <row r="17" spans="1:6">
      <c r="E17" t="s">
        <v>88</v>
      </c>
      <c r="F17" t="s">
        <v>89</v>
      </c>
    </row>
    <row r="18" spans="1:6">
      <c r="E18" t="s">
        <v>90</v>
      </c>
      <c r="F18" t="s">
        <v>91</v>
      </c>
    </row>
    <row r="19" spans="1:6">
      <c r="E19">
        <v>10</v>
      </c>
      <c r="F19" t="s">
        <v>92</v>
      </c>
    </row>
    <row r="21" spans="1:6">
      <c r="A21" t="s">
        <v>18</v>
      </c>
      <c r="B21" t="s">
        <v>93</v>
      </c>
    </row>
    <row r="22" spans="1:6">
      <c r="A22" t="s">
        <v>20</v>
      </c>
      <c r="B22" t="s">
        <v>21</v>
      </c>
    </row>
    <row r="23" spans="1:6">
      <c r="A23" t="s">
        <v>22</v>
      </c>
      <c r="B23" t="s">
        <v>23</v>
      </c>
    </row>
    <row r="24" spans="1:6">
      <c r="A24" t="s">
        <v>24</v>
      </c>
      <c r="B24" t="s">
        <v>25</v>
      </c>
    </row>
    <row r="25" spans="1:6">
      <c r="A25" t="s">
        <v>26</v>
      </c>
      <c r="B25" t="s">
        <v>27</v>
      </c>
    </row>
    <row r="26" spans="1:6">
      <c r="A26" t="s">
        <v>28</v>
      </c>
      <c r="B26" t="s">
        <v>29</v>
      </c>
    </row>
    <row r="27" spans="1:6">
      <c r="A27" t="s">
        <v>30</v>
      </c>
      <c r="B27" t="s">
        <v>31</v>
      </c>
    </row>
    <row r="28" spans="1:6">
      <c r="A28" t="s">
        <v>32</v>
      </c>
      <c r="B28" t="s">
        <v>33</v>
      </c>
    </row>
    <row r="29" spans="1:6">
      <c r="A29" t="s">
        <v>34</v>
      </c>
      <c r="B29" t="s">
        <v>35</v>
      </c>
    </row>
    <row r="30" spans="1:6">
      <c r="A30" t="s">
        <v>36</v>
      </c>
      <c r="B30" t="s">
        <v>37</v>
      </c>
    </row>
    <row r="31" spans="1:6">
      <c r="A31" t="s">
        <v>38</v>
      </c>
      <c r="B31" t="s">
        <v>39</v>
      </c>
    </row>
    <row r="32" spans="1:6">
      <c r="A32" t="s">
        <v>40</v>
      </c>
      <c r="B32" t="s">
        <v>41</v>
      </c>
    </row>
    <row r="33" spans="1:2">
      <c r="A33" t="s">
        <v>42</v>
      </c>
      <c r="B33" t="s">
        <v>43</v>
      </c>
    </row>
    <row r="34" spans="1:2">
      <c r="A34" t="s">
        <v>44</v>
      </c>
      <c r="B34" t="s">
        <v>45</v>
      </c>
    </row>
    <row r="35" spans="1:2">
      <c r="A35" t="s">
        <v>46</v>
      </c>
      <c r="B35" t="s">
        <v>47</v>
      </c>
    </row>
    <row r="36" spans="1:2">
      <c r="A36" t="s">
        <v>48</v>
      </c>
      <c r="B36" t="s">
        <v>49</v>
      </c>
    </row>
    <row r="37" spans="1:2">
      <c r="A37" t="s">
        <v>50</v>
      </c>
      <c r="B37" t="s">
        <v>51</v>
      </c>
    </row>
    <row r="38" spans="1:2">
      <c r="A38" t="s">
        <v>52</v>
      </c>
      <c r="B38" t="s">
        <v>53</v>
      </c>
    </row>
    <row r="39" spans="1:2">
      <c r="A39" t="s">
        <v>54</v>
      </c>
      <c r="B39" t="s">
        <v>55</v>
      </c>
    </row>
  </sheetData>
  <pageMargins left="0.7" right="0.7" top="0.75" bottom="0.75" header="0.3" footer="0.3"/>
  <pageSetup paperSize="262"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8C422-F9A7-3148-8DF7-000DE2E96743}">
  <sheetPr codeName="Sheet2"/>
  <dimension ref="A1:CL101"/>
  <sheetViews>
    <sheetView tabSelected="1" zoomScaleNormal="100" workbookViewId="0">
      <pane xSplit="2" ySplit="1" topLeftCell="U31" activePane="bottomRight" state="frozen"/>
      <selection pane="bottomRight" activeCell="V33" sqref="V33"/>
      <selection pane="bottomLeft"/>
      <selection pane="topRight"/>
    </sheetView>
  </sheetViews>
  <sheetFormatPr defaultColWidth="11" defaultRowHeight="15.75" customHeight="1"/>
  <cols>
    <col min="1" max="1" width="10.375" style="1" bestFit="1" customWidth="1"/>
    <col min="2" max="2" width="11.5" style="1" bestFit="1" customWidth="1"/>
    <col min="3" max="3" width="11.5" style="1" customWidth="1"/>
    <col min="4" max="4" width="23.875" customWidth="1"/>
    <col min="5" max="5" width="11.625" style="1" bestFit="1" customWidth="1"/>
    <col min="6" max="6" width="21.625" style="1" bestFit="1" customWidth="1"/>
    <col min="7" max="7" width="20.125" style="1" bestFit="1" customWidth="1"/>
    <col min="8" max="8" width="22.375" style="1" bestFit="1" customWidth="1"/>
    <col min="9" max="9" width="21.625" style="1" bestFit="1" customWidth="1"/>
    <col min="10" max="10" width="20" style="1" bestFit="1" customWidth="1"/>
    <col min="11" max="11" width="14.875" style="1" bestFit="1" customWidth="1"/>
    <col min="12" max="13" width="20.5" style="1" bestFit="1" customWidth="1"/>
    <col min="14" max="15" width="18.625" style="1" bestFit="1" customWidth="1"/>
    <col min="16" max="16" width="18.375" style="1" bestFit="1" customWidth="1"/>
    <col min="17" max="17" width="17" style="1" bestFit="1" customWidth="1"/>
    <col min="18" max="18" width="14.875" style="1" bestFit="1" customWidth="1"/>
    <col min="19" max="19" width="23.125" style="1" bestFit="1" customWidth="1"/>
    <col min="20" max="20" width="25.5" style="1" bestFit="1" customWidth="1"/>
    <col min="21" max="21" width="27" style="1" bestFit="1" customWidth="1"/>
    <col min="22" max="22" width="27" style="1" customWidth="1"/>
    <col min="23" max="23" width="15" style="1" bestFit="1" customWidth="1"/>
    <col min="24" max="24" width="19.375" style="1" bestFit="1" customWidth="1"/>
    <col min="25" max="25" width="25.125" style="1" bestFit="1" customWidth="1"/>
    <col min="26" max="26" width="9.5" style="1" bestFit="1" customWidth="1"/>
    <col min="27" max="27" width="106.375" style="1" bestFit="1" customWidth="1"/>
    <col min="28" max="88" width="11" style="1"/>
    <col min="89" max="89" width="11.625" style="1" customWidth="1"/>
    <col min="90" max="105" width="11" style="1"/>
    <col min="106" max="106" width="15.5" style="1" customWidth="1"/>
    <col min="107" max="107" width="19.125" style="1" customWidth="1"/>
    <col min="108" max="108" width="20.375" style="1" customWidth="1"/>
    <col min="109" max="110" width="11" style="1"/>
    <col min="111" max="111" width="13.625" style="1" customWidth="1"/>
    <col min="112" max="112" width="12.625" style="1" customWidth="1"/>
    <col min="113" max="113" width="16.5" style="1" customWidth="1"/>
    <col min="114" max="114" width="11" style="1"/>
    <col min="115" max="115" width="14.625" style="1" customWidth="1"/>
    <col min="116" max="16384" width="11" style="1"/>
  </cols>
  <sheetData>
    <row r="1" spans="1:90" ht="15.95">
      <c r="A1" s="63" t="s">
        <v>12</v>
      </c>
      <c r="B1" s="177" t="s">
        <v>94</v>
      </c>
      <c r="C1" s="63" t="s">
        <v>95</v>
      </c>
      <c r="D1" s="63" t="s">
        <v>15</v>
      </c>
      <c r="E1" s="63" t="s">
        <v>96</v>
      </c>
      <c r="F1" s="64" t="s">
        <v>97</v>
      </c>
      <c r="G1" s="64" t="s">
        <v>98</v>
      </c>
      <c r="H1" s="64" t="s">
        <v>99</v>
      </c>
      <c r="I1" s="64" t="s">
        <v>100</v>
      </c>
      <c r="J1" s="64" t="s">
        <v>101</v>
      </c>
      <c r="K1" s="64" t="s">
        <v>102</v>
      </c>
      <c r="L1" s="64" t="s">
        <v>103</v>
      </c>
      <c r="M1" s="64" t="s">
        <v>104</v>
      </c>
      <c r="N1" s="64" t="s">
        <v>105</v>
      </c>
      <c r="O1" s="64" t="s">
        <v>106</v>
      </c>
      <c r="P1" s="64" t="s">
        <v>107</v>
      </c>
      <c r="Q1" s="64" t="s">
        <v>108</v>
      </c>
      <c r="R1" s="64" t="s">
        <v>109</v>
      </c>
      <c r="S1" s="64" t="s">
        <v>110</v>
      </c>
      <c r="T1" s="64" t="s">
        <v>111</v>
      </c>
      <c r="U1" s="64" t="s">
        <v>112</v>
      </c>
      <c r="V1" s="64" t="s">
        <v>113</v>
      </c>
      <c r="W1" s="63" t="s">
        <v>114</v>
      </c>
      <c r="X1" s="63" t="s">
        <v>115</v>
      </c>
      <c r="Y1" s="63" t="s">
        <v>116</v>
      </c>
      <c r="Z1" s="63" t="s">
        <v>117</v>
      </c>
      <c r="AA1" s="63" t="s">
        <v>118</v>
      </c>
      <c r="CA1" s="1" t="s">
        <v>119</v>
      </c>
      <c r="CB1" t="s">
        <v>2</v>
      </c>
      <c r="CC1" t="s">
        <v>3</v>
      </c>
      <c r="CD1" t="s">
        <v>4</v>
      </c>
      <c r="CE1" t="s">
        <v>5</v>
      </c>
      <c r="CF1" t="s">
        <v>6</v>
      </c>
      <c r="CG1" s="51" t="s">
        <v>7</v>
      </c>
      <c r="CH1" t="s">
        <v>8</v>
      </c>
      <c r="CI1" t="s">
        <v>9</v>
      </c>
      <c r="CJ1" t="s">
        <v>10</v>
      </c>
      <c r="CK1" t="s">
        <v>11</v>
      </c>
      <c r="CL1" s="1" t="s">
        <v>12</v>
      </c>
    </row>
    <row r="2" spans="1:90" ht="15.95">
      <c r="A2" s="3" t="s">
        <v>120</v>
      </c>
      <c r="B2" s="3" t="s">
        <v>121</v>
      </c>
      <c r="C2" s="3" t="s">
        <v>17</v>
      </c>
      <c r="D2" s="3" t="s">
        <v>122</v>
      </c>
      <c r="E2" s="3" t="s">
        <v>123</v>
      </c>
      <c r="F2" s="5">
        <v>250</v>
      </c>
      <c r="G2" s="5">
        <v>36259</v>
      </c>
      <c r="H2" s="5">
        <v>575</v>
      </c>
      <c r="I2" s="3" t="s">
        <v>124</v>
      </c>
      <c r="J2" s="3" t="s">
        <v>125</v>
      </c>
      <c r="K2" s="3" t="s">
        <v>126</v>
      </c>
      <c r="L2" s="6">
        <v>1</v>
      </c>
      <c r="M2" s="6">
        <v>25.4</v>
      </c>
      <c r="N2" s="6">
        <v>10</v>
      </c>
      <c r="O2" s="6">
        <v>254</v>
      </c>
      <c r="P2" s="5">
        <v>129.80000000000001</v>
      </c>
      <c r="Q2" s="5">
        <v>3248.97</v>
      </c>
      <c r="R2" s="31" t="s">
        <v>127</v>
      </c>
      <c r="S2" s="5">
        <v>265</v>
      </c>
      <c r="T2" s="5">
        <v>50000</v>
      </c>
      <c r="U2" s="4">
        <v>345</v>
      </c>
      <c r="V2" s="4"/>
      <c r="W2" s="3" t="s">
        <v>128</v>
      </c>
      <c r="X2" s="2">
        <v>39173</v>
      </c>
      <c r="Y2" s="32" t="s">
        <v>129</v>
      </c>
      <c r="Z2" s="32" t="s">
        <v>129</v>
      </c>
      <c r="AA2" s="80" t="s">
        <v>130</v>
      </c>
      <c r="CA2" s="1" t="s">
        <v>131</v>
      </c>
      <c r="CB2" s="1" t="s">
        <v>71</v>
      </c>
      <c r="CC2" s="112" t="str">
        <f>AC[[#This Row],[UID]]</f>
        <v>AC-A</v>
      </c>
      <c r="CD2" s="1" t="s">
        <v>132</v>
      </c>
      <c r="CF2" s="112" t="str">
        <f>AC[[#This Row],[Part Type]]</f>
        <v>AC Body</v>
      </c>
      <c r="CG2" s="112" t="str">
        <f>AC[[#This Row],[Name]]</f>
        <v>Old 1"</v>
      </c>
      <c r="CH2" s="1" t="str">
        <f>RIGHT(AC[[#This Row],[UID]],LEN(AC[[#This Row],[UID]])-3)</f>
        <v>A</v>
      </c>
      <c r="CL2" s="1" t="str">
        <f>IF(AC[[#This Row],[Status]]=0,"",AC[[#This Row],[Status]])</f>
        <v>Active</v>
      </c>
    </row>
    <row r="3" spans="1:90" ht="15.95">
      <c r="A3" s="3" t="s">
        <v>133</v>
      </c>
      <c r="B3" s="3" t="s">
        <v>134</v>
      </c>
      <c r="C3" s="3" t="s">
        <v>17</v>
      </c>
      <c r="D3" s="3" t="s">
        <v>135</v>
      </c>
      <c r="E3" s="3" t="s">
        <v>123</v>
      </c>
      <c r="F3" s="32" t="s">
        <v>129</v>
      </c>
      <c r="G3" s="32" t="s">
        <v>129</v>
      </c>
      <c r="H3" s="32" t="s">
        <v>129</v>
      </c>
      <c r="I3" s="3" t="s">
        <v>136</v>
      </c>
      <c r="J3" s="3" t="s">
        <v>137</v>
      </c>
      <c r="K3" s="32" t="s">
        <v>129</v>
      </c>
      <c r="L3" s="32" t="s">
        <v>129</v>
      </c>
      <c r="M3" s="32" t="s">
        <v>129</v>
      </c>
      <c r="N3" s="32" t="s">
        <v>129</v>
      </c>
      <c r="O3" s="32" t="s">
        <v>129</v>
      </c>
      <c r="P3" s="32" t="s">
        <v>129</v>
      </c>
      <c r="Q3" s="32" t="s">
        <v>129</v>
      </c>
      <c r="R3" s="32" t="s">
        <v>129</v>
      </c>
      <c r="S3" s="32" t="s">
        <v>129</v>
      </c>
      <c r="T3" s="32" t="s">
        <v>129</v>
      </c>
      <c r="U3" s="32" t="s">
        <v>129</v>
      </c>
      <c r="V3" s="32"/>
      <c r="W3" s="32" t="s">
        <v>129</v>
      </c>
      <c r="X3" s="32" t="s">
        <v>129</v>
      </c>
      <c r="Y3" s="32" t="s">
        <v>129</v>
      </c>
      <c r="Z3" s="32" t="s">
        <v>129</v>
      </c>
      <c r="AA3" s="32" t="s">
        <v>129</v>
      </c>
      <c r="CB3" s="1" t="s">
        <v>71</v>
      </c>
      <c r="CC3" s="112" t="str">
        <f>AC[[#This Row],[UID]]</f>
        <v>AC-AA</v>
      </c>
      <c r="CD3" s="1" t="s">
        <v>132</v>
      </c>
      <c r="CF3" s="112" t="str">
        <f>AC[[#This Row],[Part Type]]</f>
        <v>AC Body</v>
      </c>
      <c r="CG3" s="112" t="str">
        <f>AC[[#This Row],[Name]]</f>
        <v>New 1" - Bar Seal</v>
      </c>
      <c r="CH3" s="1" t="str">
        <f>RIGHT(AC[[#This Row],[UID]],LEN(AC[[#This Row],[UID]])-3)</f>
        <v>AA</v>
      </c>
      <c r="CL3" s="1" t="str">
        <f>IF(AC[[#This Row],[Status]]=0,"",AC[[#This Row],[Status]])</f>
        <v>Design</v>
      </c>
    </row>
    <row r="4" spans="1:90" ht="15.95">
      <c r="A4" s="3" t="s">
        <v>133</v>
      </c>
      <c r="B4" s="3" t="s">
        <v>138</v>
      </c>
      <c r="C4" s="3" t="s">
        <v>17</v>
      </c>
      <c r="D4" s="3" t="s">
        <v>139</v>
      </c>
      <c r="E4" s="3" t="s">
        <v>123</v>
      </c>
      <c r="F4" s="32" t="s">
        <v>129</v>
      </c>
      <c r="G4" s="32" t="s">
        <v>129</v>
      </c>
      <c r="H4" s="32" t="s">
        <v>129</v>
      </c>
      <c r="I4" s="3" t="s">
        <v>136</v>
      </c>
      <c r="J4" s="3" t="s">
        <v>137</v>
      </c>
      <c r="K4" s="32" t="s">
        <v>129</v>
      </c>
      <c r="L4" s="32" t="s">
        <v>129</v>
      </c>
      <c r="M4" s="32" t="s">
        <v>129</v>
      </c>
      <c r="N4" s="32" t="s">
        <v>129</v>
      </c>
      <c r="O4" s="32" t="s">
        <v>129</v>
      </c>
      <c r="P4" s="32" t="s">
        <v>129</v>
      </c>
      <c r="Q4" s="32" t="s">
        <v>129</v>
      </c>
      <c r="R4" s="32" t="s">
        <v>129</v>
      </c>
      <c r="S4" s="32" t="s">
        <v>129</v>
      </c>
      <c r="T4" s="32" t="s">
        <v>129</v>
      </c>
      <c r="U4" s="32" t="s">
        <v>129</v>
      </c>
      <c r="V4" s="32"/>
      <c r="W4" s="32" t="s">
        <v>129</v>
      </c>
      <c r="X4" s="32" t="s">
        <v>129</v>
      </c>
      <c r="Y4" s="32" t="s">
        <v>129</v>
      </c>
      <c r="Z4" s="32" t="s">
        <v>129</v>
      </c>
      <c r="AA4" s="32" t="s">
        <v>129</v>
      </c>
      <c r="CB4" s="1" t="s">
        <v>71</v>
      </c>
      <c r="CC4" s="112" t="str">
        <f>AC[[#This Row],[UID]]</f>
        <v>AC-AB</v>
      </c>
      <c r="CD4" s="1" t="s">
        <v>132</v>
      </c>
      <c r="CF4" s="112" t="str">
        <f>AC[[#This Row],[Part Type]]</f>
        <v>AC Body</v>
      </c>
      <c r="CG4" s="112" t="str">
        <f>AC[[#This Row],[Name]]</f>
        <v>New 1" - Keyed</v>
      </c>
      <c r="CH4" s="1" t="str">
        <f>RIGHT(AC[[#This Row],[UID]],LEN(AC[[#This Row],[UID]])-3)</f>
        <v>AB</v>
      </c>
      <c r="CL4" s="1" t="str">
        <f>IF(AC[[#This Row],[Status]]=0,"",AC[[#This Row],[Status]])</f>
        <v>Design</v>
      </c>
    </row>
    <row r="5" spans="1:90" ht="15.95">
      <c r="A5" s="3" t="s">
        <v>140</v>
      </c>
      <c r="B5" s="3" t="s">
        <v>141</v>
      </c>
      <c r="C5" s="3" t="s">
        <v>17</v>
      </c>
      <c r="D5" s="3" t="s">
        <v>142</v>
      </c>
      <c r="E5" s="3" t="s">
        <v>123</v>
      </c>
      <c r="F5" s="32">
        <v>160</v>
      </c>
      <c r="G5" s="32">
        <v>22400</v>
      </c>
      <c r="H5" s="32">
        <v>600</v>
      </c>
      <c r="I5" s="3" t="s">
        <v>136</v>
      </c>
      <c r="J5" s="3" t="s">
        <v>137</v>
      </c>
      <c r="K5" s="32" t="s">
        <v>129</v>
      </c>
      <c r="L5" s="154">
        <f>13/25.4</f>
        <v>0.51181102362204722</v>
      </c>
      <c r="M5" s="32">
        <v>13</v>
      </c>
      <c r="N5" s="32" t="s">
        <v>129</v>
      </c>
      <c r="O5" s="32" t="s">
        <v>129</v>
      </c>
      <c r="P5" s="32" t="s">
        <v>129</v>
      </c>
      <c r="Q5" s="32" t="s">
        <v>129</v>
      </c>
      <c r="R5" s="32" t="s">
        <v>129</v>
      </c>
      <c r="S5" s="32" t="s">
        <v>129</v>
      </c>
      <c r="T5" s="32" t="s">
        <v>129</v>
      </c>
      <c r="U5" s="32" t="s">
        <v>129</v>
      </c>
      <c r="V5" s="32"/>
      <c r="W5" s="32" t="s">
        <v>129</v>
      </c>
      <c r="X5" s="32" t="s">
        <v>129</v>
      </c>
      <c r="Y5" s="32" t="s">
        <v>129</v>
      </c>
      <c r="Z5" s="32" t="s">
        <v>129</v>
      </c>
      <c r="AA5" s="32" t="s">
        <v>129</v>
      </c>
      <c r="CB5" s="1" t="s">
        <v>71</v>
      </c>
      <c r="CC5" s="112" t="str">
        <f>AC[[#This Row],[UID]]</f>
        <v>AC-AC</v>
      </c>
      <c r="CD5" s="1" t="s">
        <v>132</v>
      </c>
      <c r="CF5" s="112" t="str">
        <f>AC[[#This Row],[Part Type]]</f>
        <v>AC Body</v>
      </c>
      <c r="CG5" s="112" t="str">
        <f>AC[[#This Row],[Name]]</f>
        <v>TZM-13-260-10</v>
      </c>
      <c r="CH5" s="1" t="str">
        <f>RIGHT(AC[[#This Row],[UID]],LEN(AC[[#This Row],[UID]])-3)</f>
        <v>AC</v>
      </c>
      <c r="CL5" s="1" t="str">
        <f>IF(AC[[#This Row],[Status]]=0,"",AC[[#This Row],[Status]])</f>
        <v>New</v>
      </c>
    </row>
    <row r="6" spans="1:90" ht="15.95">
      <c r="A6" s="3" t="s">
        <v>133</v>
      </c>
      <c r="B6" s="3" t="s">
        <v>143</v>
      </c>
      <c r="C6" s="3" t="s">
        <v>17</v>
      </c>
      <c r="D6" s="3" t="s">
        <v>144</v>
      </c>
      <c r="E6" s="3" t="s">
        <v>123</v>
      </c>
      <c r="F6" s="32" t="s">
        <v>145</v>
      </c>
      <c r="G6" s="5">
        <v>22400</v>
      </c>
      <c r="H6" s="5">
        <v>550</v>
      </c>
      <c r="I6" s="3" t="s">
        <v>136</v>
      </c>
      <c r="J6" s="3" t="s">
        <v>137</v>
      </c>
      <c r="K6" s="32" t="s">
        <v>129</v>
      </c>
      <c r="L6" s="15">
        <f>20/25.4</f>
        <v>0.78740157480314965</v>
      </c>
      <c r="M6" s="11">
        <v>20</v>
      </c>
      <c r="N6" s="32" t="s">
        <v>129</v>
      </c>
      <c r="O6" s="32" t="s">
        <v>129</v>
      </c>
      <c r="P6" s="32" t="s">
        <v>129</v>
      </c>
      <c r="Q6" s="32" t="s">
        <v>129</v>
      </c>
      <c r="R6" s="32" t="s">
        <v>129</v>
      </c>
      <c r="S6" s="32" t="s">
        <v>129</v>
      </c>
      <c r="T6" s="32" t="s">
        <v>129</v>
      </c>
      <c r="U6" s="32" t="s">
        <v>129</v>
      </c>
      <c r="V6" s="32"/>
      <c r="W6" s="32" t="s">
        <v>129</v>
      </c>
      <c r="X6" s="32" t="s">
        <v>129</v>
      </c>
      <c r="Y6" s="32" t="s">
        <v>129</v>
      </c>
      <c r="Z6" s="32" t="s">
        <v>129</v>
      </c>
      <c r="AA6" s="32" t="s">
        <v>129</v>
      </c>
      <c r="CB6" s="1" t="s">
        <v>71</v>
      </c>
      <c r="CC6" s="112" t="str">
        <f>AC[[#This Row],[UID]]</f>
        <v>AC-AD</v>
      </c>
      <c r="CD6" s="1" t="s">
        <v>132</v>
      </c>
      <c r="CF6" s="112" t="str">
        <f>AC[[#This Row],[Part Type]]</f>
        <v>AC Body</v>
      </c>
      <c r="CG6" s="112" t="str">
        <f>AC[[#This Row],[Name]]</f>
        <v>76OD-20ID-TZM</v>
      </c>
      <c r="CH6" s="1" t="str">
        <f>RIGHT(AC[[#This Row],[UID]],LEN(AC[[#This Row],[UID]])-3)</f>
        <v>AD</v>
      </c>
      <c r="CL6" s="1" t="str">
        <f>IF(AC[[#This Row],[Status]]=0,"",AC[[#This Row],[Status]])</f>
        <v>Design</v>
      </c>
    </row>
    <row r="7" spans="1:90" ht="15.95">
      <c r="A7" s="31" t="s">
        <v>133</v>
      </c>
      <c r="B7" s="31" t="s">
        <v>146</v>
      </c>
      <c r="C7" s="31" t="s">
        <v>17</v>
      </c>
      <c r="D7" s="31" t="s">
        <v>147</v>
      </c>
      <c r="E7" s="31" t="s">
        <v>123</v>
      </c>
      <c r="F7" s="32" t="s">
        <v>145</v>
      </c>
      <c r="G7" s="5">
        <f>1750*14</f>
        <v>24500</v>
      </c>
      <c r="H7" s="5">
        <v>1050</v>
      </c>
      <c r="I7" s="3" t="s">
        <v>148</v>
      </c>
      <c r="J7" s="3" t="s">
        <v>137</v>
      </c>
      <c r="K7" s="3" t="s">
        <v>126</v>
      </c>
      <c r="L7" s="6"/>
      <c r="M7" s="6"/>
      <c r="N7" s="6"/>
      <c r="O7" s="6"/>
      <c r="P7" s="5"/>
      <c r="Q7" s="5"/>
      <c r="R7" s="5"/>
      <c r="S7" s="5"/>
      <c r="T7" s="5"/>
      <c r="U7" s="4"/>
      <c r="V7" s="4"/>
      <c r="W7" s="3"/>
      <c r="X7" s="2"/>
      <c r="Y7" s="5"/>
      <c r="Z7" s="5"/>
      <c r="AA7" s="5"/>
      <c r="CB7" s="1" t="s">
        <v>71</v>
      </c>
      <c r="CC7" s="112" t="str">
        <f>AC[[#This Row],[UID]]</f>
        <v>AC-AE</v>
      </c>
      <c r="CD7" s="1" t="s">
        <v>132</v>
      </c>
      <c r="CF7" s="112" t="str">
        <f>AC[[#This Row],[Part Type]]</f>
        <v>AC Body</v>
      </c>
      <c r="CG7" s="112" t="str">
        <f>AC[[#This Row],[Name]]</f>
        <v>76OD-20ID-TZM-Thread</v>
      </c>
      <c r="CH7" s="1" t="str">
        <f>RIGHT(AC[[#This Row],[UID]],LEN(AC[[#This Row],[UID]])-3)</f>
        <v>AE</v>
      </c>
      <c r="CL7" s="1" t="str">
        <f>IF(AC[[#This Row],[Status]]=0,"",AC[[#This Row],[Status]])</f>
        <v>Design</v>
      </c>
    </row>
    <row r="8" spans="1:90" ht="15.95">
      <c r="A8" s="31" t="s">
        <v>133</v>
      </c>
      <c r="B8" s="31" t="s">
        <v>149</v>
      </c>
      <c r="C8" s="31" t="s">
        <v>17</v>
      </c>
      <c r="D8" s="31" t="s">
        <v>150</v>
      </c>
      <c r="E8" s="31" t="s">
        <v>123</v>
      </c>
      <c r="F8" s="32">
        <v>10</v>
      </c>
      <c r="G8" s="5">
        <f>100*14</f>
        <v>1400</v>
      </c>
      <c r="H8" s="5">
        <v>1050</v>
      </c>
      <c r="I8" s="3" t="s">
        <v>148</v>
      </c>
      <c r="J8" s="3" t="s">
        <v>137</v>
      </c>
      <c r="K8" s="3" t="s">
        <v>126</v>
      </c>
      <c r="L8" s="6"/>
      <c r="M8" s="6"/>
      <c r="N8" s="6"/>
      <c r="O8" s="6"/>
      <c r="P8" s="5"/>
      <c r="Q8" s="5"/>
      <c r="R8" s="5"/>
      <c r="S8" s="5"/>
      <c r="T8" s="5"/>
      <c r="U8" s="4"/>
      <c r="V8" s="4"/>
      <c r="W8" s="3"/>
      <c r="X8" s="2"/>
      <c r="Y8" s="5"/>
      <c r="Z8" s="5"/>
      <c r="AA8" s="5"/>
      <c r="CB8" s="1" t="s">
        <v>71</v>
      </c>
      <c r="CC8" s="112" t="str">
        <f>AC[[#This Row],[UID]]</f>
        <v>AC-AF</v>
      </c>
      <c r="CD8" s="1" t="s">
        <v>132</v>
      </c>
      <c r="CF8" s="112" t="str">
        <f>AC[[#This Row],[Part Type]]</f>
        <v>AC Body</v>
      </c>
      <c r="CG8" s="112" t="str">
        <f>AC[[#This Row],[Name]]</f>
        <v>76OD-50ID-TZM-Thread-Hemi</v>
      </c>
      <c r="CH8" s="1" t="str">
        <f>RIGHT(AC[[#This Row],[UID]],LEN(AC[[#This Row],[UID]])-3)</f>
        <v>AF</v>
      </c>
      <c r="CL8" s="1" t="str">
        <f>IF(AC[[#This Row],[Status]]=0,"",AC[[#This Row],[Status]])</f>
        <v>Design</v>
      </c>
    </row>
    <row r="9" spans="1:90" ht="15.95">
      <c r="A9" s="31" t="s">
        <v>133</v>
      </c>
      <c r="B9" s="31" t="s">
        <v>151</v>
      </c>
      <c r="C9" s="31" t="s">
        <v>17</v>
      </c>
      <c r="D9" s="31" t="s">
        <v>152</v>
      </c>
      <c r="E9" s="31" t="s">
        <v>123</v>
      </c>
      <c r="F9" s="5">
        <v>10</v>
      </c>
      <c r="G9" s="5">
        <v>1400</v>
      </c>
      <c r="H9" s="5">
        <v>1050</v>
      </c>
      <c r="I9" s="3" t="s">
        <v>148</v>
      </c>
      <c r="J9" s="3" t="s">
        <v>137</v>
      </c>
      <c r="K9" s="3" t="s">
        <v>126</v>
      </c>
      <c r="L9" s="6"/>
      <c r="M9" s="6"/>
      <c r="N9" s="6"/>
      <c r="O9" s="6"/>
      <c r="P9" s="5"/>
      <c r="Q9" s="5"/>
      <c r="R9" s="5"/>
      <c r="S9" s="5"/>
      <c r="T9" s="5"/>
      <c r="U9" s="4"/>
      <c r="V9" s="4"/>
      <c r="W9" s="3"/>
      <c r="X9" s="2"/>
      <c r="Y9" s="5"/>
      <c r="Z9" s="5"/>
      <c r="AA9" s="5"/>
      <c r="CB9" s="1" t="s">
        <v>71</v>
      </c>
      <c r="CC9" s="112" t="str">
        <f>AC[[#This Row],[UID]]</f>
        <v>AC-AG</v>
      </c>
      <c r="CD9" s="1" t="s">
        <v>132</v>
      </c>
      <c r="CF9" s="112" t="str">
        <f>AC[[#This Row],[Part Type]]</f>
        <v>AC Body</v>
      </c>
      <c r="CG9" s="112" t="str">
        <f>AC[[#This Row],[Name]]</f>
        <v>90OD-70ID-TZM</v>
      </c>
      <c r="CH9" s="1" t="str">
        <f>RIGHT(AC[[#This Row],[UID]],LEN(AC[[#This Row],[UID]])-3)</f>
        <v>AG</v>
      </c>
      <c r="CL9" s="1" t="str">
        <f>IF(AC[[#This Row],[Status]]=0,"",AC[[#This Row],[Status]])</f>
        <v>Design</v>
      </c>
    </row>
    <row r="10" spans="1:90" ht="15.95">
      <c r="A10" s="3" t="s">
        <v>120</v>
      </c>
      <c r="B10" s="3" t="s">
        <v>153</v>
      </c>
      <c r="C10" s="3" t="s">
        <v>17</v>
      </c>
      <c r="D10" s="3" t="s">
        <v>154</v>
      </c>
      <c r="E10" s="3" t="s">
        <v>123</v>
      </c>
      <c r="F10" s="5">
        <v>250</v>
      </c>
      <c r="G10" s="5">
        <v>36259</v>
      </c>
      <c r="H10" s="5">
        <v>575</v>
      </c>
      <c r="I10" s="3" t="s">
        <v>124</v>
      </c>
      <c r="J10" s="3" t="s">
        <v>125</v>
      </c>
      <c r="K10" s="3" t="s">
        <v>155</v>
      </c>
      <c r="L10" s="6">
        <v>1</v>
      </c>
      <c r="M10" s="6">
        <v>25.4</v>
      </c>
      <c r="N10" s="6">
        <v>5</v>
      </c>
      <c r="O10" s="6">
        <v>127</v>
      </c>
      <c r="P10" s="5">
        <v>64.7</v>
      </c>
      <c r="Q10" s="5">
        <v>1713.78</v>
      </c>
      <c r="R10" s="31" t="s">
        <v>127</v>
      </c>
      <c r="S10" s="5">
        <v>265</v>
      </c>
      <c r="T10" s="5">
        <v>50000</v>
      </c>
      <c r="U10" s="4">
        <v>345</v>
      </c>
      <c r="V10" s="4"/>
      <c r="W10" s="3" t="s">
        <v>128</v>
      </c>
      <c r="X10" s="2">
        <v>39814</v>
      </c>
      <c r="Y10" s="32" t="s">
        <v>129</v>
      </c>
      <c r="Z10" s="32" t="s">
        <v>129</v>
      </c>
      <c r="AA10" s="80" t="s">
        <v>156</v>
      </c>
      <c r="CB10" s="1" t="s">
        <v>71</v>
      </c>
      <c r="CC10" s="112" t="str">
        <f>AC[[#This Row],[UID]]</f>
        <v>AC-B</v>
      </c>
      <c r="CD10" s="1" t="s">
        <v>132</v>
      </c>
      <c r="CF10" s="112" t="str">
        <f>AC[[#This Row],[Part Type]]</f>
        <v>AC Body</v>
      </c>
      <c r="CG10" s="112" t="str">
        <f>AC[[#This Row],[Name]]</f>
        <v>Short 1" - Rene 41</v>
      </c>
      <c r="CH10" s="1" t="str">
        <f>RIGHT(AC[[#This Row],[UID]],LEN(AC[[#This Row],[UID]])-3)</f>
        <v>B</v>
      </c>
      <c r="CL10" s="1" t="str">
        <f>IF(AC[[#This Row],[Status]]=0,"",AC[[#This Row],[Status]])</f>
        <v>Active</v>
      </c>
    </row>
    <row r="11" spans="1:90" ht="15.95">
      <c r="A11" s="3" t="s">
        <v>120</v>
      </c>
      <c r="B11" s="3" t="s">
        <v>157</v>
      </c>
      <c r="C11" s="3" t="s">
        <v>17</v>
      </c>
      <c r="D11" s="3" t="s">
        <v>154</v>
      </c>
      <c r="E11" s="3" t="s">
        <v>123</v>
      </c>
      <c r="F11" s="5">
        <v>250</v>
      </c>
      <c r="G11" s="5">
        <v>36259</v>
      </c>
      <c r="H11" s="5">
        <v>575</v>
      </c>
      <c r="I11" s="3" t="s">
        <v>124</v>
      </c>
      <c r="J11" s="3" t="s">
        <v>125</v>
      </c>
      <c r="K11" s="3" t="s">
        <v>126</v>
      </c>
      <c r="L11" s="6">
        <v>1</v>
      </c>
      <c r="M11" s="6">
        <v>25.4</v>
      </c>
      <c r="N11" s="6">
        <v>5</v>
      </c>
      <c r="O11" s="6">
        <v>127</v>
      </c>
      <c r="P11" s="5">
        <v>64.7</v>
      </c>
      <c r="Q11" s="5">
        <v>1910.7</v>
      </c>
      <c r="R11" s="31" t="s">
        <v>127</v>
      </c>
      <c r="S11" s="5">
        <v>265</v>
      </c>
      <c r="T11" s="5">
        <v>50000</v>
      </c>
      <c r="U11" s="4">
        <v>345</v>
      </c>
      <c r="V11" s="4"/>
      <c r="W11" s="3" t="s">
        <v>128</v>
      </c>
      <c r="X11" s="2">
        <v>39814</v>
      </c>
      <c r="Y11" s="32" t="s">
        <v>129</v>
      </c>
      <c r="Z11" s="32" t="s">
        <v>129</v>
      </c>
      <c r="AA11" s="80" t="s">
        <v>156</v>
      </c>
      <c r="CB11" s="1" t="s">
        <v>71</v>
      </c>
      <c r="CC11" s="112" t="str">
        <f>AC[[#This Row],[UID]]</f>
        <v>AC-C</v>
      </c>
      <c r="CD11" s="1" t="s">
        <v>132</v>
      </c>
      <c r="CF11" s="112" t="str">
        <f>AC[[#This Row],[Part Type]]</f>
        <v>AC Body</v>
      </c>
      <c r="CG11" s="112" t="str">
        <f>AC[[#This Row],[Name]]</f>
        <v>Short 1" - Rene 41</v>
      </c>
      <c r="CH11" s="1" t="str">
        <f>RIGHT(AC[[#This Row],[UID]],LEN(AC[[#This Row],[UID]])-3)</f>
        <v>C</v>
      </c>
      <c r="CL11" s="1" t="str">
        <f>IF(AC[[#This Row],[Status]]=0,"",AC[[#This Row],[Status]])</f>
        <v>Active</v>
      </c>
    </row>
    <row r="12" spans="1:90" ht="15.95">
      <c r="A12" s="3" t="s">
        <v>120</v>
      </c>
      <c r="B12" s="3" t="s">
        <v>158</v>
      </c>
      <c r="C12" s="3" t="s">
        <v>17</v>
      </c>
      <c r="D12" s="3" t="s">
        <v>154</v>
      </c>
      <c r="E12" s="3" t="s">
        <v>123</v>
      </c>
      <c r="F12" s="5">
        <v>250</v>
      </c>
      <c r="G12" s="5">
        <v>36259</v>
      </c>
      <c r="H12" s="5">
        <v>575</v>
      </c>
      <c r="I12" s="3" t="s">
        <v>124</v>
      </c>
      <c r="J12" s="3" t="s">
        <v>125</v>
      </c>
      <c r="K12" s="3" t="s">
        <v>126</v>
      </c>
      <c r="L12" s="6">
        <v>1</v>
      </c>
      <c r="M12" s="6">
        <v>25.4</v>
      </c>
      <c r="N12" s="6">
        <v>5</v>
      </c>
      <c r="O12" s="6">
        <v>127</v>
      </c>
      <c r="P12" s="5">
        <v>64.7</v>
      </c>
      <c r="Q12" s="5">
        <v>1913.47</v>
      </c>
      <c r="R12" s="31" t="s">
        <v>127</v>
      </c>
      <c r="S12" s="5">
        <v>265</v>
      </c>
      <c r="T12" s="5">
        <v>50000</v>
      </c>
      <c r="U12" s="4">
        <v>345</v>
      </c>
      <c r="V12" s="4"/>
      <c r="W12" s="3" t="s">
        <v>128</v>
      </c>
      <c r="X12" s="2">
        <v>39814</v>
      </c>
      <c r="Y12" s="32" t="s">
        <v>129</v>
      </c>
      <c r="Z12" s="32" t="s">
        <v>129</v>
      </c>
      <c r="AA12" s="80" t="s">
        <v>156</v>
      </c>
      <c r="CB12" s="1" t="s">
        <v>71</v>
      </c>
      <c r="CC12" s="112" t="str">
        <f>AC[[#This Row],[UID]]</f>
        <v>AC-D</v>
      </c>
      <c r="CD12" s="1" t="s">
        <v>132</v>
      </c>
      <c r="CF12" s="112" t="str">
        <f>AC[[#This Row],[Part Type]]</f>
        <v>AC Body</v>
      </c>
      <c r="CG12" s="112" t="str">
        <f>AC[[#This Row],[Name]]</f>
        <v>Short 1" - Rene 41</v>
      </c>
      <c r="CH12" s="1" t="str">
        <f>RIGHT(AC[[#This Row],[UID]],LEN(AC[[#This Row],[UID]])-3)</f>
        <v>D</v>
      </c>
      <c r="CL12" s="1" t="str">
        <f>IF(AC[[#This Row],[Status]]=0,"",AC[[#This Row],[Status]])</f>
        <v>Active</v>
      </c>
    </row>
    <row r="13" spans="1:90" ht="15.95">
      <c r="A13" s="31" t="s">
        <v>120</v>
      </c>
      <c r="B13" s="31" t="s">
        <v>159</v>
      </c>
      <c r="C13" s="3" t="s">
        <v>17</v>
      </c>
      <c r="D13" s="31" t="s">
        <v>160</v>
      </c>
      <c r="E13" s="31" t="s">
        <v>123</v>
      </c>
      <c r="F13" s="32" t="s">
        <v>129</v>
      </c>
      <c r="G13" s="32" t="s">
        <v>129</v>
      </c>
      <c r="H13" s="32" t="s">
        <v>129</v>
      </c>
      <c r="I13" s="31" t="s">
        <v>161</v>
      </c>
      <c r="J13" s="31" t="s">
        <v>129</v>
      </c>
      <c r="K13" s="31" t="s">
        <v>129</v>
      </c>
      <c r="L13" s="47" t="s">
        <v>129</v>
      </c>
      <c r="M13" s="47" t="s">
        <v>129</v>
      </c>
      <c r="N13" s="47" t="s">
        <v>129</v>
      </c>
      <c r="O13" s="47" t="s">
        <v>129</v>
      </c>
      <c r="P13" s="32" t="s">
        <v>129</v>
      </c>
      <c r="Q13" s="32" t="s">
        <v>129</v>
      </c>
      <c r="R13" s="32" t="s">
        <v>129</v>
      </c>
      <c r="S13" s="32" t="s">
        <v>129</v>
      </c>
      <c r="T13" s="32" t="s">
        <v>129</v>
      </c>
      <c r="U13" s="48" t="s">
        <v>129</v>
      </c>
      <c r="V13" s="48"/>
      <c r="W13" s="31" t="s">
        <v>129</v>
      </c>
      <c r="X13" s="49" t="s">
        <v>129</v>
      </c>
      <c r="Y13" s="32" t="s">
        <v>129</v>
      </c>
      <c r="Z13" s="32" t="s">
        <v>129</v>
      </c>
      <c r="AA13" s="32" t="s">
        <v>129</v>
      </c>
      <c r="CB13" s="1" t="s">
        <v>71</v>
      </c>
      <c r="CC13" s="112" t="str">
        <f>AC[[#This Row],[UID]]</f>
        <v>AC-DUM-1</v>
      </c>
      <c r="CD13" s="1" t="s">
        <v>132</v>
      </c>
      <c r="CF13" s="112" t="str">
        <f>AC[[#This Row],[Part Type]]</f>
        <v>AC Body</v>
      </c>
      <c r="CG13" s="112" t="str">
        <f>AC[[#This Row],[Name]]</f>
        <v>SS Dummy</v>
      </c>
      <c r="CH13" s="1" t="str">
        <f>RIGHT(AC[[#This Row],[UID]],LEN(AC[[#This Row],[UID]])-3)</f>
        <v>DUM-1</v>
      </c>
      <c r="CL13" s="1" t="str">
        <f>IF(AC[[#This Row],[Status]]=0,"",AC[[#This Row],[Status]])</f>
        <v>Active</v>
      </c>
    </row>
    <row r="14" spans="1:90" ht="15.95">
      <c r="A14" s="3" t="s">
        <v>120</v>
      </c>
      <c r="B14" s="3" t="s">
        <v>162</v>
      </c>
      <c r="C14" s="3" t="s">
        <v>17</v>
      </c>
      <c r="D14" s="3" t="s">
        <v>163</v>
      </c>
      <c r="E14" s="3" t="s">
        <v>123</v>
      </c>
      <c r="F14" s="5">
        <v>100</v>
      </c>
      <c r="G14" s="5">
        <v>14504</v>
      </c>
      <c r="H14" s="5">
        <v>575</v>
      </c>
      <c r="I14" s="3" t="s">
        <v>164</v>
      </c>
      <c r="J14" s="3" t="s">
        <v>165</v>
      </c>
      <c r="K14" s="3" t="s">
        <v>126</v>
      </c>
      <c r="L14" s="6">
        <v>1</v>
      </c>
      <c r="M14" s="6">
        <v>25.4</v>
      </c>
      <c r="N14" s="6">
        <v>5</v>
      </c>
      <c r="O14" s="6">
        <v>127</v>
      </c>
      <c r="P14" s="5">
        <v>64.58</v>
      </c>
      <c r="Q14" s="5">
        <v>1856.92</v>
      </c>
      <c r="R14" s="31" t="s">
        <v>127</v>
      </c>
      <c r="S14" s="5">
        <v>115</v>
      </c>
      <c r="T14" s="5">
        <v>22500</v>
      </c>
      <c r="U14" s="4">
        <v>155</v>
      </c>
      <c r="V14" s="4"/>
      <c r="W14" s="3" t="s">
        <v>128</v>
      </c>
      <c r="X14" s="2">
        <v>39814</v>
      </c>
      <c r="Y14" s="32" t="s">
        <v>129</v>
      </c>
      <c r="Z14" s="32" t="s">
        <v>129</v>
      </c>
      <c r="AA14" s="80" t="s">
        <v>156</v>
      </c>
      <c r="CB14" s="1" t="s">
        <v>71</v>
      </c>
      <c r="CC14" s="112" t="str">
        <f>AC[[#This Row],[UID]]</f>
        <v>AC-E</v>
      </c>
      <c r="CD14" s="1" t="s">
        <v>132</v>
      </c>
      <c r="CF14" s="112" t="str">
        <f>AC[[#This Row],[Part Type]]</f>
        <v>AC Body</v>
      </c>
      <c r="CG14" s="112" t="str">
        <f>AC[[#This Row],[Name]]</f>
        <v>Short 1" - Inconel</v>
      </c>
      <c r="CH14" s="1" t="str">
        <f>RIGHT(AC[[#This Row],[UID]],LEN(AC[[#This Row],[UID]])-3)</f>
        <v>E</v>
      </c>
      <c r="CL14" s="1" t="str">
        <f>IF(AC[[#This Row],[Status]]=0,"",AC[[#This Row],[Status]])</f>
        <v>Active</v>
      </c>
    </row>
    <row r="15" spans="1:90" ht="15.95">
      <c r="A15" s="3" t="s">
        <v>120</v>
      </c>
      <c r="B15" s="3" t="s">
        <v>166</v>
      </c>
      <c r="C15" s="3" t="s">
        <v>17</v>
      </c>
      <c r="D15" s="3" t="s">
        <v>163</v>
      </c>
      <c r="E15" s="3" t="s">
        <v>123</v>
      </c>
      <c r="F15" s="5">
        <v>100</v>
      </c>
      <c r="G15" s="5">
        <v>14504</v>
      </c>
      <c r="H15" s="5">
        <v>575</v>
      </c>
      <c r="I15" s="3" t="s">
        <v>164</v>
      </c>
      <c r="J15" s="3" t="s">
        <v>165</v>
      </c>
      <c r="K15" s="3" t="s">
        <v>126</v>
      </c>
      <c r="L15" s="6">
        <v>1</v>
      </c>
      <c r="M15" s="6">
        <v>25.4</v>
      </c>
      <c r="N15" s="6">
        <v>5</v>
      </c>
      <c r="O15" s="6">
        <v>127</v>
      </c>
      <c r="P15" s="5">
        <v>64.84</v>
      </c>
      <c r="Q15" s="5">
        <v>1856.76</v>
      </c>
      <c r="R15" s="31" t="s">
        <v>127</v>
      </c>
      <c r="S15" s="5">
        <v>115</v>
      </c>
      <c r="T15" s="5">
        <v>22500</v>
      </c>
      <c r="U15" s="4">
        <v>155</v>
      </c>
      <c r="V15" s="4"/>
      <c r="W15" s="3" t="s">
        <v>128</v>
      </c>
      <c r="X15" s="2">
        <v>39814</v>
      </c>
      <c r="Y15" s="32" t="s">
        <v>129</v>
      </c>
      <c r="Z15" s="32" t="s">
        <v>129</v>
      </c>
      <c r="AA15" s="80" t="s">
        <v>156</v>
      </c>
      <c r="CB15" s="1" t="s">
        <v>71</v>
      </c>
      <c r="CC15" s="112" t="str">
        <f>AC[[#This Row],[UID]]</f>
        <v>AC-F</v>
      </c>
      <c r="CD15" s="1" t="s">
        <v>132</v>
      </c>
      <c r="CF15" s="112" t="str">
        <f>AC[[#This Row],[Part Type]]</f>
        <v>AC Body</v>
      </c>
      <c r="CG15" s="112" t="str">
        <f>AC[[#This Row],[Name]]</f>
        <v>Short 1" - Inconel</v>
      </c>
      <c r="CH15" s="1" t="str">
        <f>RIGHT(AC[[#This Row],[UID]],LEN(AC[[#This Row],[UID]])-3)</f>
        <v>F</v>
      </c>
      <c r="CL15" s="1" t="str">
        <f>IF(AC[[#This Row],[Status]]=0,"",AC[[#This Row],[Status]])</f>
        <v>Active</v>
      </c>
    </row>
    <row r="16" spans="1:90" ht="15.95">
      <c r="A16" s="3" t="s">
        <v>120</v>
      </c>
      <c r="B16" s="3" t="s">
        <v>167</v>
      </c>
      <c r="C16" s="3" t="s">
        <v>17</v>
      </c>
      <c r="D16" s="3" t="s">
        <v>163</v>
      </c>
      <c r="E16" s="3" t="s">
        <v>123</v>
      </c>
      <c r="F16" s="5">
        <v>100</v>
      </c>
      <c r="G16" s="5">
        <v>14504</v>
      </c>
      <c r="H16" s="5">
        <v>575</v>
      </c>
      <c r="I16" s="3" t="s">
        <v>164</v>
      </c>
      <c r="J16" s="3" t="s">
        <v>165</v>
      </c>
      <c r="K16" s="3" t="s">
        <v>126</v>
      </c>
      <c r="L16" s="6">
        <v>1</v>
      </c>
      <c r="M16" s="6">
        <v>25.4</v>
      </c>
      <c r="N16" s="6">
        <v>5</v>
      </c>
      <c r="O16" s="6">
        <v>127</v>
      </c>
      <c r="P16" s="5">
        <v>64.67</v>
      </c>
      <c r="Q16" s="5">
        <v>1880.05</v>
      </c>
      <c r="R16" s="31" t="s">
        <v>127</v>
      </c>
      <c r="S16" s="5">
        <v>115</v>
      </c>
      <c r="T16" s="5">
        <v>22500</v>
      </c>
      <c r="U16" s="4">
        <v>155</v>
      </c>
      <c r="V16" s="4"/>
      <c r="W16" s="3" t="s">
        <v>128</v>
      </c>
      <c r="X16" s="2">
        <v>39814</v>
      </c>
      <c r="Y16" s="32" t="s">
        <v>129</v>
      </c>
      <c r="Z16" s="32" t="s">
        <v>129</v>
      </c>
      <c r="AA16" s="80" t="s">
        <v>156</v>
      </c>
      <c r="CB16" s="1" t="s">
        <v>71</v>
      </c>
      <c r="CC16" s="112" t="str">
        <f>AC[[#This Row],[UID]]</f>
        <v>AC-G</v>
      </c>
      <c r="CD16" s="1" t="s">
        <v>132</v>
      </c>
      <c r="CF16" s="112" t="str">
        <f>AC[[#This Row],[Part Type]]</f>
        <v>AC Body</v>
      </c>
      <c r="CG16" s="112" t="str">
        <f>AC[[#This Row],[Name]]</f>
        <v>Short 1" - Inconel</v>
      </c>
      <c r="CH16" s="1" t="str">
        <f>RIGHT(AC[[#This Row],[UID]],LEN(AC[[#This Row],[UID]])-3)</f>
        <v>G</v>
      </c>
      <c r="CL16" s="1" t="str">
        <f>IF(AC[[#This Row],[Status]]=0,"",AC[[#This Row],[Status]])</f>
        <v>Active</v>
      </c>
    </row>
    <row r="17" spans="1:90" ht="15.95">
      <c r="A17" s="3" t="s">
        <v>120</v>
      </c>
      <c r="B17" s="3" t="s">
        <v>168</v>
      </c>
      <c r="C17" s="3" t="s">
        <v>17</v>
      </c>
      <c r="D17" s="3" t="s">
        <v>169</v>
      </c>
      <c r="E17" s="3" t="s">
        <v>123</v>
      </c>
      <c r="F17" s="5">
        <v>80</v>
      </c>
      <c r="G17" s="5">
        <v>11603</v>
      </c>
      <c r="H17" s="5">
        <v>420</v>
      </c>
      <c r="I17" s="3" t="s">
        <v>170</v>
      </c>
      <c r="J17" s="3" t="s">
        <v>171</v>
      </c>
      <c r="K17" s="3" t="s">
        <v>126</v>
      </c>
      <c r="L17" s="5">
        <v>1</v>
      </c>
      <c r="M17" s="5">
        <v>25.4</v>
      </c>
      <c r="N17" s="5">
        <v>10</v>
      </c>
      <c r="O17" s="5">
        <v>254</v>
      </c>
      <c r="P17" s="5">
        <v>125</v>
      </c>
      <c r="Q17" s="5">
        <v>6015.25</v>
      </c>
      <c r="R17" s="32" t="s">
        <v>172</v>
      </c>
      <c r="S17" s="5">
        <v>95</v>
      </c>
      <c r="T17" s="5">
        <v>17500</v>
      </c>
      <c r="U17" s="4">
        <v>120</v>
      </c>
      <c r="V17" s="4"/>
      <c r="W17" s="3" t="s">
        <v>173</v>
      </c>
      <c r="X17" s="2">
        <v>39814</v>
      </c>
      <c r="Y17" s="32" t="s">
        <v>129</v>
      </c>
      <c r="Z17" s="32" t="s">
        <v>129</v>
      </c>
      <c r="AA17" s="80" t="s">
        <v>174</v>
      </c>
      <c r="CB17" s="1" t="s">
        <v>71</v>
      </c>
      <c r="CC17" s="112" t="str">
        <f>AC[[#This Row],[UID]]</f>
        <v>AC-H</v>
      </c>
      <c r="CD17" s="1" t="s">
        <v>132</v>
      </c>
      <c r="CF17" s="112" t="str">
        <f>AC[[#This Row],[Part Type]]</f>
        <v>AC Body</v>
      </c>
      <c r="CG17" s="112" t="str">
        <f>AC[[#This Row],[Name]]</f>
        <v>SS</v>
      </c>
      <c r="CH17" s="1" t="str">
        <f>RIGHT(AC[[#This Row],[UID]],LEN(AC[[#This Row],[UID]])-3)</f>
        <v>H</v>
      </c>
      <c r="CL17" s="1" t="str">
        <f>IF(AC[[#This Row],[Status]]=0,"",AC[[#This Row],[Status]])</f>
        <v>Active</v>
      </c>
    </row>
    <row r="18" spans="1:90" ht="15.95">
      <c r="A18" s="3" t="s">
        <v>128</v>
      </c>
      <c r="B18" s="3" t="s">
        <v>175</v>
      </c>
      <c r="C18" s="3" t="s">
        <v>17</v>
      </c>
      <c r="D18" s="3" t="s">
        <v>176</v>
      </c>
      <c r="E18" s="3" t="s">
        <v>128</v>
      </c>
      <c r="F18" s="5">
        <v>400</v>
      </c>
      <c r="G18" s="5">
        <v>58015</v>
      </c>
      <c r="H18" s="5">
        <v>600</v>
      </c>
      <c r="I18" s="3" t="s">
        <v>124</v>
      </c>
      <c r="J18" s="3" t="s">
        <v>125</v>
      </c>
      <c r="K18" s="3" t="s">
        <v>126</v>
      </c>
      <c r="L18" s="6" t="s">
        <v>129</v>
      </c>
      <c r="M18" s="6" t="s">
        <v>129</v>
      </c>
      <c r="N18" s="6" t="s">
        <v>129</v>
      </c>
      <c r="O18" s="6" t="s">
        <v>129</v>
      </c>
      <c r="P18" s="5">
        <v>23.39</v>
      </c>
      <c r="Q18" s="5" t="s">
        <v>129</v>
      </c>
      <c r="R18" s="5" t="s">
        <v>177</v>
      </c>
      <c r="S18" s="5">
        <v>420</v>
      </c>
      <c r="T18" s="5">
        <v>70000</v>
      </c>
      <c r="U18" s="4">
        <v>482</v>
      </c>
      <c r="V18" s="4"/>
      <c r="W18" s="3" t="s">
        <v>178</v>
      </c>
      <c r="X18" s="2">
        <v>39845</v>
      </c>
      <c r="Y18" s="32" t="s">
        <v>129</v>
      </c>
      <c r="Z18" s="32" t="s">
        <v>129</v>
      </c>
      <c r="AA18" s="80" t="s">
        <v>179</v>
      </c>
      <c r="CB18" s="1" t="s">
        <v>71</v>
      </c>
      <c r="CC18" s="112" t="str">
        <f>AC[[#This Row],[UID]]</f>
        <v>AC-K</v>
      </c>
      <c r="CD18" s="1" t="s">
        <v>132</v>
      </c>
      <c r="CF18" s="112" t="str">
        <f>AC[[#This Row],[Part Type]]</f>
        <v>AC Body</v>
      </c>
      <c r="CG18" s="112" t="str">
        <f>AC[[#This Row],[Name]]</f>
        <v>400 MPa</v>
      </c>
      <c r="CH18" s="1" t="str">
        <f>RIGHT(AC[[#This Row],[UID]],LEN(AC[[#This Row],[UID]])-3)</f>
        <v>K</v>
      </c>
      <c r="CL18" s="1" t="str">
        <f>IF(AC[[#This Row],[Status]]=0,"",AC[[#This Row],[Status]])</f>
        <v>UCSB</v>
      </c>
    </row>
    <row r="19" spans="1:90" ht="15.95">
      <c r="A19" s="3" t="s">
        <v>128</v>
      </c>
      <c r="B19" s="3" t="s">
        <v>180</v>
      </c>
      <c r="C19" s="3" t="s">
        <v>17</v>
      </c>
      <c r="D19" s="3" t="s">
        <v>176</v>
      </c>
      <c r="E19" s="3" t="s">
        <v>128</v>
      </c>
      <c r="F19" s="5">
        <v>400</v>
      </c>
      <c r="G19" s="5">
        <v>58015</v>
      </c>
      <c r="H19" s="5">
        <v>600</v>
      </c>
      <c r="I19" s="3" t="s">
        <v>124</v>
      </c>
      <c r="J19" s="3" t="s">
        <v>125</v>
      </c>
      <c r="K19" s="3" t="s">
        <v>126</v>
      </c>
      <c r="L19" s="6" t="s">
        <v>129</v>
      </c>
      <c r="M19" s="6" t="s">
        <v>129</v>
      </c>
      <c r="N19" s="6" t="s">
        <v>129</v>
      </c>
      <c r="O19" s="6" t="s">
        <v>129</v>
      </c>
      <c r="P19" s="5">
        <v>23.39</v>
      </c>
      <c r="Q19" s="6" t="s">
        <v>129</v>
      </c>
      <c r="R19" s="5" t="s">
        <v>177</v>
      </c>
      <c r="S19" s="5">
        <v>420</v>
      </c>
      <c r="T19" s="5">
        <v>70000</v>
      </c>
      <c r="U19" s="4">
        <v>482</v>
      </c>
      <c r="V19" s="4"/>
      <c r="W19" s="3" t="s">
        <v>178</v>
      </c>
      <c r="X19" s="2">
        <v>40118</v>
      </c>
      <c r="Y19" s="32" t="s">
        <v>129</v>
      </c>
      <c r="Z19" s="32" t="s">
        <v>129</v>
      </c>
      <c r="AA19" s="80" t="s">
        <v>179</v>
      </c>
      <c r="CB19" s="1" t="s">
        <v>71</v>
      </c>
      <c r="CC19" s="112" t="str">
        <f>AC[[#This Row],[UID]]</f>
        <v>AC-L</v>
      </c>
      <c r="CD19" s="1" t="s">
        <v>132</v>
      </c>
      <c r="CF19" s="112" t="str">
        <f>AC[[#This Row],[Part Type]]</f>
        <v>AC Body</v>
      </c>
      <c r="CG19" s="112" t="str">
        <f>AC[[#This Row],[Name]]</f>
        <v>400 MPa</v>
      </c>
      <c r="CH19" s="1" t="str">
        <f>RIGHT(AC[[#This Row],[UID]],LEN(AC[[#This Row],[UID]])-3)</f>
        <v>L</v>
      </c>
      <c r="CL19" s="1" t="str">
        <f>IF(AC[[#This Row],[Status]]=0,"",AC[[#This Row],[Status]])</f>
        <v>UCSB</v>
      </c>
    </row>
    <row r="20" spans="1:90" ht="15.95">
      <c r="A20" s="3" t="s">
        <v>128</v>
      </c>
      <c r="B20" s="3" t="s">
        <v>181</v>
      </c>
      <c r="C20" s="3" t="s">
        <v>17</v>
      </c>
      <c r="D20" s="3" t="s">
        <v>182</v>
      </c>
      <c r="E20" s="3" t="s">
        <v>128</v>
      </c>
      <c r="F20" s="5">
        <v>200</v>
      </c>
      <c r="G20" s="5">
        <v>29008</v>
      </c>
      <c r="H20" s="5">
        <v>600</v>
      </c>
      <c r="I20" s="3" t="s">
        <v>124</v>
      </c>
      <c r="J20" s="3" t="s">
        <v>125</v>
      </c>
      <c r="K20" s="3" t="s">
        <v>126</v>
      </c>
      <c r="L20" s="6">
        <v>1</v>
      </c>
      <c r="M20" s="6">
        <v>25.4</v>
      </c>
      <c r="N20" s="6">
        <v>12</v>
      </c>
      <c r="O20" s="6">
        <v>304.8</v>
      </c>
      <c r="P20" s="5">
        <v>159.1</v>
      </c>
      <c r="Q20" s="6" t="s">
        <v>129</v>
      </c>
      <c r="R20" s="5" t="s">
        <v>183</v>
      </c>
      <c r="S20" s="5">
        <v>265</v>
      </c>
      <c r="T20" s="5">
        <v>45000</v>
      </c>
      <c r="U20" s="4">
        <v>310</v>
      </c>
      <c r="V20" s="4"/>
      <c r="W20" s="3" t="s">
        <v>178</v>
      </c>
      <c r="X20" s="2">
        <v>39845</v>
      </c>
      <c r="Y20" s="32" t="s">
        <v>129</v>
      </c>
      <c r="Z20" s="32" t="s">
        <v>129</v>
      </c>
      <c r="AA20" s="80" t="s">
        <v>184</v>
      </c>
      <c r="CB20" s="1" t="s">
        <v>71</v>
      </c>
      <c r="CC20" s="112" t="str">
        <f>AC[[#This Row],[UID]]</f>
        <v>AC-M</v>
      </c>
      <c r="CD20" s="1" t="s">
        <v>132</v>
      </c>
      <c r="CF20" s="112" t="str">
        <f>AC[[#This Row],[Part Type]]</f>
        <v>AC Body</v>
      </c>
      <c r="CG20" s="112" t="str">
        <f>AC[[#This Row],[Name]]</f>
        <v>New 1"</v>
      </c>
      <c r="CH20" s="1" t="str">
        <f>RIGHT(AC[[#This Row],[UID]],LEN(AC[[#This Row],[UID]])-3)</f>
        <v>M</v>
      </c>
      <c r="CL20" s="1" t="str">
        <f>IF(AC[[#This Row],[Status]]=0,"",AC[[#This Row],[Status]])</f>
        <v>UCSB</v>
      </c>
    </row>
    <row r="21" spans="1:90" ht="15.95">
      <c r="A21" s="3" t="s">
        <v>128</v>
      </c>
      <c r="B21" s="3" t="s">
        <v>185</v>
      </c>
      <c r="C21" s="3" t="s">
        <v>17</v>
      </c>
      <c r="D21" s="3" t="s">
        <v>182</v>
      </c>
      <c r="E21" s="3" t="s">
        <v>128</v>
      </c>
      <c r="F21" s="5">
        <v>200</v>
      </c>
      <c r="G21" s="5">
        <v>29008</v>
      </c>
      <c r="H21" s="5">
        <v>600</v>
      </c>
      <c r="I21" s="3" t="s">
        <v>124</v>
      </c>
      <c r="J21" s="3" t="s">
        <v>125</v>
      </c>
      <c r="K21" s="3" t="s">
        <v>126</v>
      </c>
      <c r="L21" s="6">
        <v>1</v>
      </c>
      <c r="M21" s="6">
        <v>25.4</v>
      </c>
      <c r="N21" s="6">
        <v>12</v>
      </c>
      <c r="O21" s="6">
        <v>304.8</v>
      </c>
      <c r="P21" s="5">
        <v>161.80000000000001</v>
      </c>
      <c r="Q21" s="6" t="s">
        <v>129</v>
      </c>
      <c r="R21" s="5" t="s">
        <v>183</v>
      </c>
      <c r="S21" s="5">
        <v>265</v>
      </c>
      <c r="T21" s="5">
        <v>45000</v>
      </c>
      <c r="U21" s="4">
        <v>310</v>
      </c>
      <c r="V21" s="4"/>
      <c r="W21" s="3" t="s">
        <v>178</v>
      </c>
      <c r="X21" s="2">
        <v>40118</v>
      </c>
      <c r="Y21" s="32" t="s">
        <v>129</v>
      </c>
      <c r="Z21" s="32" t="s">
        <v>129</v>
      </c>
      <c r="AA21" s="80" t="s">
        <v>184</v>
      </c>
      <c r="CB21" s="1" t="s">
        <v>71</v>
      </c>
      <c r="CC21" s="112" t="str">
        <f>AC[[#This Row],[UID]]</f>
        <v>AC-N</v>
      </c>
      <c r="CD21" s="1" t="s">
        <v>132</v>
      </c>
      <c r="CF21" s="112" t="str">
        <f>AC[[#This Row],[Part Type]]</f>
        <v>AC Body</v>
      </c>
      <c r="CG21" s="112" t="str">
        <f>AC[[#This Row],[Name]]</f>
        <v>New 1"</v>
      </c>
      <c r="CH21" s="1" t="str">
        <f>RIGHT(AC[[#This Row],[UID]],LEN(AC[[#This Row],[UID]])-3)</f>
        <v>N</v>
      </c>
      <c r="CL21" s="1" t="str">
        <f>IF(AC[[#This Row],[Status]]=0,"",AC[[#This Row],[Status]])</f>
        <v>UCSB</v>
      </c>
    </row>
    <row r="22" spans="1:90" ht="15.95">
      <c r="A22" s="3" t="s">
        <v>120</v>
      </c>
      <c r="B22" s="3" t="s">
        <v>186</v>
      </c>
      <c r="C22" s="3" t="s">
        <v>17</v>
      </c>
      <c r="D22" s="3" t="s">
        <v>182</v>
      </c>
      <c r="E22" s="3" t="s">
        <v>123</v>
      </c>
      <c r="F22" s="5">
        <v>200</v>
      </c>
      <c r="G22" s="5">
        <v>29008</v>
      </c>
      <c r="H22" s="5">
        <v>600</v>
      </c>
      <c r="I22" s="3" t="s">
        <v>124</v>
      </c>
      <c r="J22" s="3" t="s">
        <v>125</v>
      </c>
      <c r="K22" s="3" t="s">
        <v>126</v>
      </c>
      <c r="L22" s="6">
        <v>1</v>
      </c>
      <c r="M22" s="6">
        <v>25.4</v>
      </c>
      <c r="N22" s="6">
        <v>12</v>
      </c>
      <c r="O22" s="6">
        <v>304.8</v>
      </c>
      <c r="P22" s="5">
        <v>159.1</v>
      </c>
      <c r="Q22" s="5">
        <v>5152.3599999999997</v>
      </c>
      <c r="R22" s="5" t="s">
        <v>183</v>
      </c>
      <c r="S22" s="5">
        <v>265</v>
      </c>
      <c r="T22" s="5">
        <v>50000</v>
      </c>
      <c r="U22" s="4">
        <v>345</v>
      </c>
      <c r="V22" s="4"/>
      <c r="W22" s="3" t="s">
        <v>178</v>
      </c>
      <c r="X22" s="2">
        <v>40575</v>
      </c>
      <c r="Y22" s="32" t="s">
        <v>129</v>
      </c>
      <c r="Z22" s="32" t="s">
        <v>129</v>
      </c>
      <c r="AA22" s="80" t="s">
        <v>184</v>
      </c>
      <c r="CB22" s="1" t="s">
        <v>71</v>
      </c>
      <c r="CC22" s="112" t="str">
        <f>AC[[#This Row],[UID]]</f>
        <v>AC-P</v>
      </c>
      <c r="CD22" s="1" t="s">
        <v>132</v>
      </c>
      <c r="CF22" s="112" t="str">
        <f>AC[[#This Row],[Part Type]]</f>
        <v>AC Body</v>
      </c>
      <c r="CG22" s="112" t="str">
        <f>AC[[#This Row],[Name]]</f>
        <v>New 1"</v>
      </c>
      <c r="CH22" s="1" t="str">
        <f>RIGHT(AC[[#This Row],[UID]],LEN(AC[[#This Row],[UID]])-3)</f>
        <v>P</v>
      </c>
      <c r="CL22" s="1" t="str">
        <f>IF(AC[[#This Row],[Status]]=0,"",AC[[#This Row],[Status]])</f>
        <v>Active</v>
      </c>
    </row>
    <row r="23" spans="1:90" ht="15.95">
      <c r="A23" s="3" t="s">
        <v>120</v>
      </c>
      <c r="B23" s="3" t="s">
        <v>187</v>
      </c>
      <c r="C23" s="3" t="s">
        <v>17</v>
      </c>
      <c r="D23" s="3" t="s">
        <v>188</v>
      </c>
      <c r="E23" s="3" t="s">
        <v>123</v>
      </c>
      <c r="F23" s="102"/>
      <c r="G23" s="102"/>
      <c r="H23" s="102"/>
      <c r="I23" s="93"/>
      <c r="J23" s="93"/>
      <c r="K23" s="3" t="s">
        <v>126</v>
      </c>
      <c r="L23" s="6">
        <v>3.75</v>
      </c>
      <c r="M23" s="6">
        <v>95.25</v>
      </c>
      <c r="N23" s="6">
        <v>10.44</v>
      </c>
      <c r="O23" s="6">
        <v>256.17599999999999</v>
      </c>
      <c r="P23" s="5">
        <v>1900</v>
      </c>
      <c r="Q23" s="107"/>
      <c r="R23" s="5" t="s">
        <v>129</v>
      </c>
      <c r="S23" s="102"/>
      <c r="T23" s="102"/>
      <c r="U23" s="103"/>
      <c r="V23" s="103"/>
      <c r="W23" s="3" t="s">
        <v>128</v>
      </c>
      <c r="X23" s="104"/>
      <c r="Y23" s="5" t="s">
        <v>129</v>
      </c>
      <c r="Z23" s="5" t="s">
        <v>129</v>
      </c>
      <c r="AA23" s="80" t="s">
        <v>189</v>
      </c>
      <c r="CB23" s="1" t="s">
        <v>71</v>
      </c>
      <c r="CC23" s="112" t="str">
        <f>AC[[#This Row],[UID]]</f>
        <v>AC-Parr</v>
      </c>
      <c r="CD23" s="1" t="s">
        <v>132</v>
      </c>
      <c r="CF23" s="112" t="str">
        <f>AC[[#This Row],[Part Type]]</f>
        <v>AC Body</v>
      </c>
      <c r="CG23" s="112" t="str">
        <f>AC[[#This Row],[Name]]</f>
        <v>Parr 4"</v>
      </c>
      <c r="CH23" s="1" t="str">
        <f>RIGHT(AC[[#This Row],[UID]],LEN(AC[[#This Row],[UID]])-3)</f>
        <v>Parr</v>
      </c>
      <c r="CL23" s="1" t="str">
        <f>IF(AC[[#This Row],[Status]]=0,"",AC[[#This Row],[Status]])</f>
        <v>Active</v>
      </c>
    </row>
    <row r="24" spans="1:90" ht="15.95">
      <c r="A24" s="3" t="s">
        <v>120</v>
      </c>
      <c r="B24" s="3" t="s">
        <v>190</v>
      </c>
      <c r="C24" s="3" t="s">
        <v>17</v>
      </c>
      <c r="D24" s="3" t="s">
        <v>182</v>
      </c>
      <c r="E24" s="3" t="s">
        <v>123</v>
      </c>
      <c r="F24" s="5">
        <v>200</v>
      </c>
      <c r="G24" s="5">
        <v>29008</v>
      </c>
      <c r="H24" s="5">
        <v>600</v>
      </c>
      <c r="I24" s="3" t="s">
        <v>124</v>
      </c>
      <c r="J24" s="3" t="s">
        <v>125</v>
      </c>
      <c r="K24" s="3" t="s">
        <v>126</v>
      </c>
      <c r="L24" s="6">
        <v>1</v>
      </c>
      <c r="M24" s="6">
        <v>25.4</v>
      </c>
      <c r="N24" s="6">
        <v>12</v>
      </c>
      <c r="O24" s="6">
        <v>304.8</v>
      </c>
      <c r="P24" s="5">
        <v>157.87</v>
      </c>
      <c r="Q24" s="5">
        <v>5153.18</v>
      </c>
      <c r="R24" s="5" t="s">
        <v>183</v>
      </c>
      <c r="S24" s="5">
        <v>265</v>
      </c>
      <c r="T24" s="5">
        <v>50000</v>
      </c>
      <c r="U24" s="4">
        <v>345</v>
      </c>
      <c r="V24" s="4"/>
      <c r="W24" s="3" t="s">
        <v>178</v>
      </c>
      <c r="X24" s="2">
        <v>40575</v>
      </c>
      <c r="Y24" s="32" t="s">
        <v>129</v>
      </c>
      <c r="Z24" s="32" t="s">
        <v>129</v>
      </c>
      <c r="AA24" s="80" t="s">
        <v>184</v>
      </c>
      <c r="CB24" s="1" t="s">
        <v>71</v>
      </c>
      <c r="CC24" s="112" t="str">
        <f>AC[[#This Row],[UID]]</f>
        <v>AC-Q</v>
      </c>
      <c r="CD24" s="1" t="s">
        <v>132</v>
      </c>
      <c r="CF24" s="112" t="str">
        <f>AC[[#This Row],[Part Type]]</f>
        <v>AC Body</v>
      </c>
      <c r="CG24" s="112" t="str">
        <f>AC[[#This Row],[Name]]</f>
        <v>New 1"</v>
      </c>
      <c r="CH24" s="1" t="str">
        <f>RIGHT(AC[[#This Row],[UID]],LEN(AC[[#This Row],[UID]])-3)</f>
        <v>Q</v>
      </c>
      <c r="CL24" s="1" t="str">
        <f>IF(AC[[#This Row],[Status]]=0,"",AC[[#This Row],[Status]])</f>
        <v>Active</v>
      </c>
    </row>
    <row r="25" spans="1:90" ht="15.95">
      <c r="A25" s="3" t="s">
        <v>120</v>
      </c>
      <c r="B25" s="3" t="s">
        <v>191</v>
      </c>
      <c r="C25" s="3" t="s">
        <v>17</v>
      </c>
      <c r="D25" s="3" t="s">
        <v>182</v>
      </c>
      <c r="E25" s="3" t="s">
        <v>123</v>
      </c>
      <c r="F25" s="5">
        <v>200</v>
      </c>
      <c r="G25" s="5">
        <v>29008</v>
      </c>
      <c r="H25" s="5">
        <v>600</v>
      </c>
      <c r="I25" s="3" t="s">
        <v>124</v>
      </c>
      <c r="J25" s="3" t="s">
        <v>125</v>
      </c>
      <c r="K25" s="3" t="s">
        <v>126</v>
      </c>
      <c r="L25" s="6">
        <v>1</v>
      </c>
      <c r="M25" s="6">
        <v>25.4</v>
      </c>
      <c r="N25" s="6">
        <v>12</v>
      </c>
      <c r="O25" s="6">
        <v>304.8</v>
      </c>
      <c r="P25" s="5">
        <v>158.96</v>
      </c>
      <c r="Q25" s="3">
        <v>5140.09</v>
      </c>
      <c r="R25" s="5" t="s">
        <v>183</v>
      </c>
      <c r="S25" s="5">
        <v>265</v>
      </c>
      <c r="T25" s="5">
        <v>50000</v>
      </c>
      <c r="U25" s="4">
        <v>345</v>
      </c>
      <c r="V25" s="4"/>
      <c r="W25" s="3" t="s">
        <v>178</v>
      </c>
      <c r="X25" s="2">
        <v>40575</v>
      </c>
      <c r="Y25" s="32" t="s">
        <v>129</v>
      </c>
      <c r="Z25" s="32" t="s">
        <v>129</v>
      </c>
      <c r="AA25" s="80" t="s">
        <v>184</v>
      </c>
      <c r="CB25" s="1" t="s">
        <v>71</v>
      </c>
      <c r="CC25" s="112" t="str">
        <f>AC[[#This Row],[UID]]</f>
        <v>AC-R</v>
      </c>
      <c r="CD25" s="1" t="s">
        <v>132</v>
      </c>
      <c r="CF25" s="112" t="str">
        <f>AC[[#This Row],[Part Type]]</f>
        <v>AC Body</v>
      </c>
      <c r="CG25" s="112" t="str">
        <f>AC[[#This Row],[Name]]</f>
        <v>New 1"</v>
      </c>
      <c r="CH25" s="1" t="str">
        <f>RIGHT(AC[[#This Row],[UID]],LEN(AC[[#This Row],[UID]])-3)</f>
        <v>R</v>
      </c>
      <c r="CL25" s="1" t="str">
        <f>IF(AC[[#This Row],[Status]]=0,"",AC[[#This Row],[Status]])</f>
        <v>Active</v>
      </c>
    </row>
    <row r="26" spans="1:90" ht="15.95">
      <c r="A26" s="3" t="s">
        <v>120</v>
      </c>
      <c r="B26" s="3" t="s">
        <v>192</v>
      </c>
      <c r="C26" s="3" t="s">
        <v>17</v>
      </c>
      <c r="D26" s="31" t="s">
        <v>142</v>
      </c>
      <c r="E26" s="3" t="s">
        <v>123</v>
      </c>
      <c r="F26" s="5">
        <v>16</v>
      </c>
      <c r="G26" s="5">
        <v>2320</v>
      </c>
      <c r="H26" s="5">
        <v>1000</v>
      </c>
      <c r="I26" s="3" t="s">
        <v>148</v>
      </c>
      <c r="J26" s="3" t="s">
        <v>137</v>
      </c>
      <c r="K26" s="3" t="s">
        <v>126</v>
      </c>
      <c r="L26" s="32">
        <v>0.53100000000000003</v>
      </c>
      <c r="M26" s="3">
        <v>13.5</v>
      </c>
      <c r="N26" s="3">
        <v>10.5</v>
      </c>
      <c r="O26" s="3">
        <v>266.7</v>
      </c>
      <c r="P26" s="3">
        <v>38.18</v>
      </c>
      <c r="Q26" s="6">
        <v>647.73799999999994</v>
      </c>
      <c r="R26" s="31" t="s">
        <v>193</v>
      </c>
      <c r="S26" s="5">
        <v>16</v>
      </c>
      <c r="T26" s="5">
        <v>4500</v>
      </c>
      <c r="U26" s="4">
        <v>31</v>
      </c>
      <c r="V26" s="185"/>
      <c r="W26" s="3" t="s">
        <v>194</v>
      </c>
      <c r="X26" s="31" t="s">
        <v>195</v>
      </c>
      <c r="Y26" s="32" t="s">
        <v>196</v>
      </c>
      <c r="Z26" s="44" t="s">
        <v>197</v>
      </c>
      <c r="AA26" s="96" t="s">
        <v>198</v>
      </c>
      <c r="CB26" s="1" t="s">
        <v>71</v>
      </c>
      <c r="CC26" s="112" t="str">
        <f>AC[[#This Row],[UID]]</f>
        <v>AC-TA</v>
      </c>
      <c r="CD26" s="1" t="s">
        <v>132</v>
      </c>
      <c r="CF26" s="112" t="str">
        <f>AC[[#This Row],[Part Type]]</f>
        <v>AC Body</v>
      </c>
      <c r="CG26" s="112" t="str">
        <f>AC[[#This Row],[Name]]</f>
        <v>TZM-13-260-10</v>
      </c>
      <c r="CH26" s="1" t="str">
        <f>RIGHT(AC[[#This Row],[UID]],LEN(AC[[#This Row],[UID]])-3)</f>
        <v>TA</v>
      </c>
      <c r="CL26" s="1" t="str">
        <f>IF(AC[[#This Row],[Status]]=0,"",AC[[#This Row],[Status]])</f>
        <v>Active</v>
      </c>
    </row>
    <row r="27" spans="1:90" ht="15.95">
      <c r="A27" s="3" t="s">
        <v>120</v>
      </c>
      <c r="B27" s="3" t="s">
        <v>199</v>
      </c>
      <c r="C27" s="3" t="s">
        <v>17</v>
      </c>
      <c r="D27" s="31" t="s">
        <v>142</v>
      </c>
      <c r="E27" s="3" t="s">
        <v>123</v>
      </c>
      <c r="F27" s="5">
        <v>16</v>
      </c>
      <c r="G27" s="5">
        <v>2320</v>
      </c>
      <c r="H27" s="5">
        <v>1000</v>
      </c>
      <c r="I27" s="3" t="s">
        <v>148</v>
      </c>
      <c r="J27" s="3" t="s">
        <v>137</v>
      </c>
      <c r="K27" s="3" t="s">
        <v>126</v>
      </c>
      <c r="L27" s="32">
        <v>0.53100000000000003</v>
      </c>
      <c r="M27" s="3">
        <v>13.5</v>
      </c>
      <c r="N27" s="3">
        <v>10.5</v>
      </c>
      <c r="O27" s="3">
        <v>266.7</v>
      </c>
      <c r="P27" s="3">
        <v>38.18</v>
      </c>
      <c r="Q27" s="6">
        <v>646.15266666666673</v>
      </c>
      <c r="R27" s="31" t="s">
        <v>193</v>
      </c>
      <c r="S27" s="3">
        <v>16</v>
      </c>
      <c r="T27" s="3">
        <v>4500</v>
      </c>
      <c r="U27" s="3">
        <v>31</v>
      </c>
      <c r="V27" s="185"/>
      <c r="W27" s="3" t="s">
        <v>194</v>
      </c>
      <c r="X27" s="31" t="s">
        <v>195</v>
      </c>
      <c r="Y27" s="32" t="s">
        <v>196</v>
      </c>
      <c r="Z27" s="44" t="s">
        <v>197</v>
      </c>
      <c r="AA27" s="96" t="s">
        <v>198</v>
      </c>
      <c r="CB27" s="1" t="s">
        <v>71</v>
      </c>
      <c r="CC27" s="112" t="str">
        <f>AC[[#This Row],[UID]]</f>
        <v>AC-TB</v>
      </c>
      <c r="CD27" s="1" t="s">
        <v>132</v>
      </c>
      <c r="CF27" s="112" t="str">
        <f>AC[[#This Row],[Part Type]]</f>
        <v>AC Body</v>
      </c>
      <c r="CG27" s="112" t="str">
        <f>AC[[#This Row],[Name]]</f>
        <v>TZM-13-260-10</v>
      </c>
      <c r="CH27" s="1" t="str">
        <f>RIGHT(AC[[#This Row],[UID]],LEN(AC[[#This Row],[UID]])-3)</f>
        <v>TB</v>
      </c>
      <c r="CL27" s="1" t="str">
        <f>IF(AC[[#This Row],[Status]]=0,"",AC[[#This Row],[Status]])</f>
        <v>Active</v>
      </c>
    </row>
    <row r="28" spans="1:90" ht="15.95">
      <c r="A28" s="3" t="s">
        <v>120</v>
      </c>
      <c r="B28" s="31" t="s">
        <v>200</v>
      </c>
      <c r="C28" s="3" t="s">
        <v>17</v>
      </c>
      <c r="D28" s="31" t="s">
        <v>142</v>
      </c>
      <c r="E28" s="3" t="s">
        <v>123</v>
      </c>
      <c r="F28" s="5">
        <v>16</v>
      </c>
      <c r="G28" s="5">
        <v>2320</v>
      </c>
      <c r="H28" s="5">
        <v>1000</v>
      </c>
      <c r="I28" s="3" t="s">
        <v>148</v>
      </c>
      <c r="J28" s="3" t="s">
        <v>137</v>
      </c>
      <c r="K28" s="3" t="s">
        <v>126</v>
      </c>
      <c r="L28" s="32">
        <v>0.53100000000000003</v>
      </c>
      <c r="M28" s="3">
        <v>13.5</v>
      </c>
      <c r="N28" s="3">
        <v>10.5</v>
      </c>
      <c r="O28" s="3">
        <v>266.7</v>
      </c>
      <c r="P28" s="3">
        <v>38.18</v>
      </c>
      <c r="Q28" s="5">
        <v>641.00699999999995</v>
      </c>
      <c r="R28" s="31" t="s">
        <v>201</v>
      </c>
      <c r="S28" s="5">
        <v>16</v>
      </c>
      <c r="T28" s="5">
        <v>4500</v>
      </c>
      <c r="U28" s="4">
        <v>31</v>
      </c>
      <c r="V28" s="185"/>
      <c r="W28" s="3" t="s">
        <v>194</v>
      </c>
      <c r="X28" s="44" t="s">
        <v>202</v>
      </c>
      <c r="Y28" s="44" t="s">
        <v>203</v>
      </c>
      <c r="Z28" s="12" t="s">
        <v>204</v>
      </c>
      <c r="AA28" s="156" t="s">
        <v>205</v>
      </c>
      <c r="CB28" s="1" t="s">
        <v>71</v>
      </c>
      <c r="CC28" s="112" t="str">
        <f>AC[[#This Row],[UID]]</f>
        <v>AC-TC</v>
      </c>
      <c r="CD28" s="1" t="s">
        <v>132</v>
      </c>
      <c r="CF28" s="112" t="str">
        <f>AC[[#This Row],[Part Type]]</f>
        <v>AC Body</v>
      </c>
      <c r="CG28" s="112" t="str">
        <f>AC[[#This Row],[Name]]</f>
        <v>TZM-13-260-10</v>
      </c>
      <c r="CH28" s="1" t="str">
        <f>RIGHT(AC[[#This Row],[UID]],LEN(AC[[#This Row],[UID]])-3)</f>
        <v>TC</v>
      </c>
      <c r="CL28" s="1" t="str">
        <f>IF(AC[[#This Row],[Status]]=0,"",AC[[#This Row],[Status]])</f>
        <v>Active</v>
      </c>
    </row>
    <row r="29" spans="1:90" ht="15.95">
      <c r="A29" s="3" t="s">
        <v>120</v>
      </c>
      <c r="B29" s="31" t="s">
        <v>206</v>
      </c>
      <c r="C29" s="3" t="s">
        <v>17</v>
      </c>
      <c r="D29" s="31" t="s">
        <v>142</v>
      </c>
      <c r="E29" s="3" t="s">
        <v>123</v>
      </c>
      <c r="F29" s="5">
        <v>16</v>
      </c>
      <c r="G29" s="5">
        <v>2320</v>
      </c>
      <c r="H29" s="5">
        <v>1000</v>
      </c>
      <c r="I29" s="3" t="s">
        <v>148</v>
      </c>
      <c r="J29" s="3" t="s">
        <v>137</v>
      </c>
      <c r="K29" s="3" t="s">
        <v>126</v>
      </c>
      <c r="L29" s="32">
        <v>0.53100000000000003</v>
      </c>
      <c r="M29" s="3">
        <v>13.5</v>
      </c>
      <c r="N29" s="3">
        <v>10.5</v>
      </c>
      <c r="O29" s="3">
        <v>266.7</v>
      </c>
      <c r="P29" s="3">
        <v>38.18</v>
      </c>
      <c r="Q29" s="5">
        <v>639.07399999999996</v>
      </c>
      <c r="R29" s="31" t="s">
        <v>201</v>
      </c>
      <c r="S29" s="5">
        <v>16</v>
      </c>
      <c r="T29" s="5">
        <v>4500</v>
      </c>
      <c r="U29" s="4">
        <v>31</v>
      </c>
      <c r="V29" s="185"/>
      <c r="W29" s="3" t="s">
        <v>194</v>
      </c>
      <c r="X29" s="44" t="s">
        <v>202</v>
      </c>
      <c r="Y29" s="44" t="s">
        <v>203</v>
      </c>
      <c r="Z29" s="12" t="s">
        <v>204</v>
      </c>
      <c r="AA29" s="156" t="s">
        <v>205</v>
      </c>
      <c r="CB29" s="1" t="s">
        <v>71</v>
      </c>
      <c r="CC29" s="112" t="str">
        <f>AC[[#This Row],[UID]]</f>
        <v>AC-TD</v>
      </c>
      <c r="CD29" s="1" t="s">
        <v>132</v>
      </c>
      <c r="CF29" s="112" t="str">
        <f>AC[[#This Row],[Part Type]]</f>
        <v>AC Body</v>
      </c>
      <c r="CG29" s="112" t="str">
        <f>AC[[#This Row],[Name]]</f>
        <v>TZM-13-260-10</v>
      </c>
      <c r="CH29" s="1" t="str">
        <f>RIGHT(AC[[#This Row],[UID]],LEN(AC[[#This Row],[UID]])-3)</f>
        <v>TD</v>
      </c>
      <c r="CL29" s="1" t="str">
        <f>IF(AC[[#This Row],[Status]]=0,"",AC[[#This Row],[Status]])</f>
        <v>Active</v>
      </c>
    </row>
    <row r="30" spans="1:90" ht="15.95">
      <c r="A30" s="3" t="s">
        <v>120</v>
      </c>
      <c r="B30" s="31" t="s">
        <v>207</v>
      </c>
      <c r="C30" s="3" t="s">
        <v>17</v>
      </c>
      <c r="D30" s="31" t="s">
        <v>142</v>
      </c>
      <c r="E30" s="3" t="s">
        <v>123</v>
      </c>
      <c r="F30" s="5">
        <v>16</v>
      </c>
      <c r="G30" s="5">
        <v>2320</v>
      </c>
      <c r="H30" s="5">
        <v>1000</v>
      </c>
      <c r="I30" s="3" t="s">
        <v>148</v>
      </c>
      <c r="J30" s="3" t="s">
        <v>137</v>
      </c>
      <c r="K30" s="3" t="s">
        <v>126</v>
      </c>
      <c r="L30" s="32">
        <v>0.53100000000000003</v>
      </c>
      <c r="M30" s="3">
        <v>13.5</v>
      </c>
      <c r="N30" s="3">
        <v>10.5</v>
      </c>
      <c r="O30" s="3">
        <v>266.7</v>
      </c>
      <c r="P30" s="3">
        <v>38.18</v>
      </c>
      <c r="Q30" s="5">
        <v>637.87199999999996</v>
      </c>
      <c r="R30" s="31" t="s">
        <v>201</v>
      </c>
      <c r="S30" s="5">
        <v>16</v>
      </c>
      <c r="T30" s="5">
        <v>4500</v>
      </c>
      <c r="U30" s="4">
        <v>31</v>
      </c>
      <c r="V30" s="185"/>
      <c r="W30" s="3" t="s">
        <v>194</v>
      </c>
      <c r="X30" s="44" t="s">
        <v>202</v>
      </c>
      <c r="Y30" s="44" t="s">
        <v>203</v>
      </c>
      <c r="Z30" s="12" t="s">
        <v>204</v>
      </c>
      <c r="AA30" s="156" t="s">
        <v>205</v>
      </c>
      <c r="CB30" s="1" t="s">
        <v>71</v>
      </c>
      <c r="CC30" s="112" t="str">
        <f>AC[[#This Row],[UID]]</f>
        <v>AC-TE</v>
      </c>
      <c r="CD30" s="1" t="s">
        <v>132</v>
      </c>
      <c r="CF30" s="112" t="str">
        <f>AC[[#This Row],[Part Type]]</f>
        <v>AC Body</v>
      </c>
      <c r="CG30" s="112" t="str">
        <f>AC[[#This Row],[Name]]</f>
        <v>TZM-13-260-10</v>
      </c>
      <c r="CH30" s="1" t="str">
        <f>RIGHT(AC[[#This Row],[UID]],LEN(AC[[#This Row],[UID]])-3)</f>
        <v>TE</v>
      </c>
      <c r="CL30" s="1" t="str">
        <f>IF(AC[[#This Row],[Status]]=0,"",AC[[#This Row],[Status]])</f>
        <v>Active</v>
      </c>
    </row>
    <row r="31" spans="1:90" ht="404.25">
      <c r="A31" s="93" t="s">
        <v>140</v>
      </c>
      <c r="B31" s="93" t="s">
        <v>208</v>
      </c>
      <c r="C31" s="105" t="s">
        <v>17</v>
      </c>
      <c r="D31" s="105" t="s">
        <v>209</v>
      </c>
      <c r="E31" s="93" t="s">
        <v>123</v>
      </c>
      <c r="F31" s="102">
        <v>16</v>
      </c>
      <c r="G31" s="102">
        <v>2320</v>
      </c>
      <c r="H31" s="102">
        <v>1000</v>
      </c>
      <c r="I31" s="93" t="s">
        <v>210</v>
      </c>
      <c r="J31" s="93" t="s">
        <v>137</v>
      </c>
      <c r="K31" s="93" t="s">
        <v>126</v>
      </c>
      <c r="L31" s="106">
        <v>0.53100000000000003</v>
      </c>
      <c r="M31" s="93">
        <v>13.5</v>
      </c>
      <c r="N31" s="105" t="s">
        <v>211</v>
      </c>
      <c r="O31" s="105" t="s">
        <v>212</v>
      </c>
      <c r="P31" s="93">
        <v>38.18</v>
      </c>
      <c r="Q31" s="158">
        <v>672.74300000000005</v>
      </c>
      <c r="R31" s="105" t="s">
        <v>213</v>
      </c>
      <c r="S31" s="93">
        <v>16</v>
      </c>
      <c r="T31" s="93">
        <v>4500</v>
      </c>
      <c r="U31" s="93">
        <v>31</v>
      </c>
      <c r="V31" s="190" t="s">
        <v>214</v>
      </c>
      <c r="W31" s="93" t="s">
        <v>215</v>
      </c>
      <c r="X31" s="93">
        <v>240709</v>
      </c>
      <c r="Y31" s="106" t="s">
        <v>216</v>
      </c>
      <c r="Z31" s="102" t="s">
        <v>217</v>
      </c>
      <c r="AA31" s="102"/>
      <c r="CB31" s="1" t="s">
        <v>71</v>
      </c>
      <c r="CC31" s="112" t="str">
        <f>AC[[#This Row],[UID]]</f>
        <v>AC-TF</v>
      </c>
      <c r="CD31" s="1" t="s">
        <v>132</v>
      </c>
      <c r="CF31" s="112" t="str">
        <f>AC[[#This Row],[Part Type]]</f>
        <v>AC Body</v>
      </c>
      <c r="CG31" s="112" t="str">
        <f>AC[[#This Row],[Name]]</f>
        <v>TZM-13-260-13</v>
      </c>
      <c r="CH31" s="1" t="str">
        <f>RIGHT(AC[[#This Row],[UID]],LEN(AC[[#This Row],[UID]])-3)</f>
        <v>TF</v>
      </c>
      <c r="CL31" s="1" t="str">
        <f>IF(AC[[#This Row],[Status]]=0,"",AC[[#This Row],[Status]])</f>
        <v>New</v>
      </c>
    </row>
    <row r="32" spans="1:90" ht="409.6">
      <c r="A32" s="93" t="s">
        <v>140</v>
      </c>
      <c r="B32" s="93" t="s">
        <v>218</v>
      </c>
      <c r="C32" s="105" t="s">
        <v>17</v>
      </c>
      <c r="D32" s="105" t="s">
        <v>219</v>
      </c>
      <c r="E32" s="93" t="s">
        <v>123</v>
      </c>
      <c r="F32" s="102">
        <v>16</v>
      </c>
      <c r="G32" s="102">
        <v>2320</v>
      </c>
      <c r="H32" s="102">
        <v>1000</v>
      </c>
      <c r="I32" s="93" t="s">
        <v>210</v>
      </c>
      <c r="J32" s="93" t="s">
        <v>137</v>
      </c>
      <c r="K32" s="93" t="s">
        <v>126</v>
      </c>
      <c r="L32" s="106">
        <v>0.53100000000000003</v>
      </c>
      <c r="M32" s="93">
        <v>13.5</v>
      </c>
      <c r="N32" s="93">
        <v>10.5</v>
      </c>
      <c r="O32" s="93">
        <v>266.7</v>
      </c>
      <c r="P32" s="93">
        <v>38.18</v>
      </c>
      <c r="Q32" s="158">
        <v>833.428</v>
      </c>
      <c r="R32" s="105" t="s">
        <v>220</v>
      </c>
      <c r="S32" s="93">
        <v>16</v>
      </c>
      <c r="T32" s="93">
        <v>4500</v>
      </c>
      <c r="U32" s="93">
        <v>31</v>
      </c>
      <c r="V32" s="190" t="s">
        <v>221</v>
      </c>
      <c r="W32" s="93" t="s">
        <v>215</v>
      </c>
      <c r="X32" s="93">
        <v>240709</v>
      </c>
      <c r="Y32" s="106" t="s">
        <v>216</v>
      </c>
      <c r="Z32" s="102" t="s">
        <v>217</v>
      </c>
      <c r="AA32" s="102"/>
      <c r="CB32" s="1" t="s">
        <v>71</v>
      </c>
      <c r="CC32" s="112" t="str">
        <f>AC[[#This Row],[UID]]</f>
        <v>AC-TG</v>
      </c>
      <c r="CD32" s="1" t="s">
        <v>132</v>
      </c>
      <c r="CF32" s="112" t="str">
        <f>AC[[#This Row],[Part Type]]</f>
        <v>AC Body</v>
      </c>
      <c r="CG32" s="112" t="str">
        <f>AC[[#This Row],[Name]]</f>
        <v>TZM-13-260-10-DE</v>
      </c>
      <c r="CH32" s="1" t="str">
        <f>RIGHT(AC[[#This Row],[UID]],LEN(AC[[#This Row],[UID]])-3)</f>
        <v>TG</v>
      </c>
      <c r="CL32" s="1" t="str">
        <f>IF(AC[[#This Row],[Status]]=0,"",AC[[#This Row],[Status]])</f>
        <v>New</v>
      </c>
    </row>
    <row r="33" spans="1:90" s="159" customFormat="1" ht="15.95">
      <c r="A33" s="3" t="s">
        <v>128</v>
      </c>
      <c r="B33" s="3" t="s">
        <v>222</v>
      </c>
      <c r="C33" s="3" t="s">
        <v>17</v>
      </c>
      <c r="D33" s="3" t="s">
        <v>223</v>
      </c>
      <c r="E33" s="3" t="s">
        <v>128</v>
      </c>
      <c r="F33" s="5">
        <v>270</v>
      </c>
      <c r="G33" s="5">
        <v>43511</v>
      </c>
      <c r="H33" s="5">
        <v>600</v>
      </c>
      <c r="I33" s="3" t="s">
        <v>124</v>
      </c>
      <c r="J33" s="3" t="s">
        <v>125</v>
      </c>
      <c r="K33" s="3" t="s">
        <v>126</v>
      </c>
      <c r="L33" s="6" t="s">
        <v>129</v>
      </c>
      <c r="M33" s="6" t="s">
        <v>129</v>
      </c>
      <c r="N33" s="6" t="s">
        <v>129</v>
      </c>
      <c r="O33" s="6" t="s">
        <v>129</v>
      </c>
      <c r="P33" s="6" t="s">
        <v>129</v>
      </c>
      <c r="Q33" s="6" t="s">
        <v>129</v>
      </c>
      <c r="R33" s="6" t="s">
        <v>129</v>
      </c>
      <c r="S33" s="5">
        <v>315</v>
      </c>
      <c r="T33" s="5">
        <v>60000</v>
      </c>
      <c r="U33" s="4">
        <v>415</v>
      </c>
      <c r="V33" s="4"/>
      <c r="W33" s="3" t="s">
        <v>178</v>
      </c>
      <c r="X33" s="2">
        <v>40118</v>
      </c>
      <c r="Y33" s="32" t="s">
        <v>129</v>
      </c>
      <c r="Z33" s="32" t="s">
        <v>129</v>
      </c>
      <c r="AA33" s="80" t="s">
        <v>224</v>
      </c>
      <c r="CB33" s="159" t="s">
        <v>71</v>
      </c>
      <c r="CC33" s="160" t="str">
        <f>AC[[#This Row],[UID]]</f>
        <v>AC-Z</v>
      </c>
      <c r="CD33" s="159" t="s">
        <v>132</v>
      </c>
      <c r="CF33" s="160" t="str">
        <f>AC[[#This Row],[Part Type]]</f>
        <v>AC Body</v>
      </c>
      <c r="CG33" s="160" t="str">
        <f>AC[[#This Row],[Name]]</f>
        <v>2"</v>
      </c>
      <c r="CH33" s="159" t="str">
        <f>RIGHT(AC[[#This Row],[UID]],LEN(AC[[#This Row],[UID]])-3)</f>
        <v>Z</v>
      </c>
      <c r="CL33" s="159" t="str">
        <f>IF(AC[[#This Row],[Status]]=0,"",AC[[#This Row],[Status]])</f>
        <v>UCSB</v>
      </c>
    </row>
    <row r="34" spans="1:90" s="159" customFormat="1" ht="15.95">
      <c r="A34" s="3"/>
      <c r="B34" s="31"/>
      <c r="C34" s="31"/>
      <c r="D34" s="3"/>
      <c r="E34" s="3"/>
      <c r="F34" s="5"/>
      <c r="G34" s="5"/>
      <c r="H34" s="5"/>
      <c r="I34" s="3"/>
      <c r="J34" s="3"/>
      <c r="K34" s="3"/>
      <c r="L34" s="6"/>
      <c r="M34" s="6"/>
      <c r="N34" s="6"/>
      <c r="O34" s="6"/>
      <c r="P34" s="5"/>
      <c r="Q34" s="5"/>
      <c r="R34" s="5"/>
      <c r="S34" s="5"/>
      <c r="T34" s="5"/>
      <c r="U34" s="4"/>
      <c r="V34" s="4"/>
      <c r="W34" s="3"/>
      <c r="X34" s="2"/>
      <c r="Y34" s="5"/>
      <c r="Z34" s="5"/>
      <c r="AA34" s="5"/>
      <c r="CB34" s="159" t="s">
        <v>71</v>
      </c>
      <c r="CC34" s="160">
        <f>AC[[#This Row],[UID]]</f>
        <v>0</v>
      </c>
      <c r="CD34" s="159" t="s">
        <v>132</v>
      </c>
      <c r="CF34" s="160">
        <f>AC[[#This Row],[Part Type]]</f>
        <v>0</v>
      </c>
      <c r="CG34" s="160">
        <f>AC[[#This Row],[Name]]</f>
        <v>0</v>
      </c>
      <c r="CH34" s="159" t="e">
        <f>RIGHT(AC[[#This Row],[UID]],LEN(AC[[#This Row],[UID]])-3)</f>
        <v>#VALUE!</v>
      </c>
      <c r="CL34" s="159" t="str">
        <f>IF(AC[[#This Row],[Status]]=0,"",AC[[#This Row],[Status]])</f>
        <v/>
      </c>
    </row>
    <row r="35" spans="1:90" ht="15.95">
      <c r="A35" s="3"/>
      <c r="B35" s="3"/>
      <c r="C35" s="3"/>
      <c r="D35" s="3"/>
      <c r="E35" s="3"/>
      <c r="F35" s="5"/>
      <c r="G35" s="5"/>
      <c r="H35" s="5"/>
      <c r="I35" s="3"/>
      <c r="J35" s="3"/>
      <c r="K35" s="3"/>
      <c r="L35" s="6"/>
      <c r="M35" s="6"/>
      <c r="N35" s="6"/>
      <c r="O35" s="6"/>
      <c r="P35" s="5"/>
      <c r="Q35" s="5"/>
      <c r="R35" s="5"/>
      <c r="S35" s="5"/>
      <c r="T35" s="5"/>
      <c r="U35" s="4"/>
      <c r="V35" s="4"/>
      <c r="W35" s="3"/>
      <c r="X35" s="2"/>
      <c r="Y35" s="5"/>
      <c r="Z35" s="5"/>
      <c r="AA35" s="5"/>
      <c r="CB35" s="1" t="s">
        <v>71</v>
      </c>
      <c r="CC35" s="112">
        <f>AC[[#This Row],[UID]]</f>
        <v>0</v>
      </c>
      <c r="CD35" s="1" t="s">
        <v>132</v>
      </c>
      <c r="CF35" s="112">
        <f>AC[[#This Row],[Part Type]]</f>
        <v>0</v>
      </c>
      <c r="CG35" s="112">
        <f>AC[[#This Row],[Name]]</f>
        <v>0</v>
      </c>
      <c r="CH35" s="1" t="e">
        <f>RIGHT(AC[[#This Row],[UID]],LEN(AC[[#This Row],[UID]])-3)</f>
        <v>#VALUE!</v>
      </c>
      <c r="CL35" s="1" t="str">
        <f>IF(AC[[#This Row],[Status]]=0,"",AC[[#This Row],[Status]])</f>
        <v/>
      </c>
    </row>
    <row r="36" spans="1:90" ht="15.95">
      <c r="A36" s="3"/>
      <c r="B36" s="3"/>
      <c r="C36" s="3"/>
      <c r="D36" s="3"/>
      <c r="E36" s="3"/>
      <c r="F36" s="5"/>
      <c r="G36" s="5"/>
      <c r="H36" s="5"/>
      <c r="I36" s="3"/>
      <c r="J36" s="3"/>
      <c r="K36" s="3"/>
      <c r="L36" s="6"/>
      <c r="M36" s="6"/>
      <c r="N36" s="6"/>
      <c r="O36" s="6"/>
      <c r="P36" s="5"/>
      <c r="Q36" s="5"/>
      <c r="R36" s="5"/>
      <c r="S36" s="5"/>
      <c r="T36" s="5"/>
      <c r="U36" s="4"/>
      <c r="V36" s="4"/>
      <c r="W36" s="3"/>
      <c r="X36" s="2"/>
      <c r="Y36" s="5"/>
      <c r="Z36" s="5"/>
      <c r="AA36" s="5"/>
      <c r="CB36" s="1" t="s">
        <v>71</v>
      </c>
      <c r="CC36" s="112">
        <f>AC[[#This Row],[UID]]</f>
        <v>0</v>
      </c>
      <c r="CD36" s="1" t="s">
        <v>132</v>
      </c>
      <c r="CF36" s="112">
        <f>AC[[#This Row],[Part Type]]</f>
        <v>0</v>
      </c>
      <c r="CG36" s="112">
        <f>AC[[#This Row],[Name]]</f>
        <v>0</v>
      </c>
      <c r="CH36" s="1" t="e">
        <f>RIGHT(AC[[#This Row],[UID]],LEN(AC[[#This Row],[UID]])-3)</f>
        <v>#VALUE!</v>
      </c>
      <c r="CL36" s="1" t="str">
        <f>IF(AC[[#This Row],[Status]]=0,"",AC[[#This Row],[Status]])</f>
        <v/>
      </c>
    </row>
    <row r="37" spans="1:90" ht="15.95">
      <c r="A37" s="3"/>
      <c r="B37" s="3"/>
      <c r="C37" s="3"/>
      <c r="D37" s="3"/>
      <c r="E37" s="3"/>
      <c r="F37" s="5"/>
      <c r="G37" s="5"/>
      <c r="H37" s="5"/>
      <c r="I37" s="3"/>
      <c r="J37" s="3"/>
      <c r="K37" s="3"/>
      <c r="L37" s="6"/>
      <c r="M37" s="6"/>
      <c r="N37" s="6"/>
      <c r="O37" s="6"/>
      <c r="P37" s="5"/>
      <c r="Q37" s="5"/>
      <c r="R37" s="5"/>
      <c r="S37" s="5"/>
      <c r="T37" s="5"/>
      <c r="U37" s="4"/>
      <c r="V37" s="4"/>
      <c r="W37" s="3"/>
      <c r="X37" s="2"/>
      <c r="Y37" s="5"/>
      <c r="Z37" s="5"/>
      <c r="AA37" s="5"/>
      <c r="CB37" s="1" t="s">
        <v>71</v>
      </c>
      <c r="CC37" s="112">
        <f>AC[[#This Row],[UID]]</f>
        <v>0</v>
      </c>
      <c r="CD37" s="1" t="s">
        <v>132</v>
      </c>
      <c r="CF37" s="112">
        <f>AC[[#This Row],[Part Type]]</f>
        <v>0</v>
      </c>
      <c r="CG37" s="112">
        <f>AC[[#This Row],[Name]]</f>
        <v>0</v>
      </c>
      <c r="CH37" s="1" t="e">
        <f>RIGHT(AC[[#This Row],[UID]],LEN(AC[[#This Row],[UID]])-3)</f>
        <v>#VALUE!</v>
      </c>
      <c r="CL37" s="1" t="str">
        <f>IF(AC[[#This Row],[Status]]=0,"",AC[[#This Row],[Status]])</f>
        <v/>
      </c>
    </row>
    <row r="38" spans="1:90" ht="15.95">
      <c r="A38" s="3"/>
      <c r="B38" s="3"/>
      <c r="C38" s="3"/>
      <c r="D38" s="3"/>
      <c r="E38" s="3"/>
      <c r="F38" s="5"/>
      <c r="G38" s="5"/>
      <c r="H38" s="5"/>
      <c r="I38" s="3"/>
      <c r="J38" s="3"/>
      <c r="K38" s="3"/>
      <c r="L38" s="6"/>
      <c r="M38" s="6"/>
      <c r="N38" s="6"/>
      <c r="O38" s="6"/>
      <c r="P38" s="5"/>
      <c r="Q38" s="5"/>
      <c r="R38" s="5"/>
      <c r="S38" s="5"/>
      <c r="T38" s="5"/>
      <c r="U38" s="4"/>
      <c r="V38" s="4"/>
      <c r="W38" s="3"/>
      <c r="X38" s="2"/>
      <c r="Y38" s="5"/>
      <c r="Z38" s="5"/>
      <c r="AA38" s="5"/>
      <c r="CB38" s="1" t="s">
        <v>71</v>
      </c>
      <c r="CC38" s="112">
        <f>AC[[#This Row],[UID]]</f>
        <v>0</v>
      </c>
      <c r="CD38" s="1" t="s">
        <v>132</v>
      </c>
      <c r="CF38" s="112">
        <f>AC[[#This Row],[Part Type]]</f>
        <v>0</v>
      </c>
      <c r="CG38" s="112">
        <f>AC[[#This Row],[Name]]</f>
        <v>0</v>
      </c>
      <c r="CH38" s="1" t="e">
        <f>RIGHT(AC[[#This Row],[UID]],LEN(AC[[#This Row],[UID]])-3)</f>
        <v>#VALUE!</v>
      </c>
      <c r="CL38" s="1" t="str">
        <f>IF(AC[[#This Row],[Status]]=0,"",AC[[#This Row],[Status]])</f>
        <v/>
      </c>
    </row>
    <row r="39" spans="1:90" ht="15.95">
      <c r="A39" s="3"/>
      <c r="B39" s="3"/>
      <c r="C39" s="3"/>
      <c r="D39" s="3"/>
      <c r="E39" s="3"/>
      <c r="F39" s="5"/>
      <c r="G39" s="5"/>
      <c r="H39" s="5"/>
      <c r="I39" s="3"/>
      <c r="J39" s="3"/>
      <c r="K39" s="3"/>
      <c r="L39" s="6"/>
      <c r="M39" s="6"/>
      <c r="N39" s="6"/>
      <c r="O39" s="6"/>
      <c r="P39" s="5"/>
      <c r="Q39" s="5"/>
      <c r="R39" s="5"/>
      <c r="S39" s="5"/>
      <c r="T39" s="5"/>
      <c r="U39" s="4"/>
      <c r="V39" s="4"/>
      <c r="W39" s="3"/>
      <c r="X39" s="2"/>
      <c r="Y39" s="5"/>
      <c r="Z39" s="5"/>
      <c r="AA39" s="5"/>
      <c r="CB39" s="1" t="s">
        <v>71</v>
      </c>
      <c r="CC39" s="112">
        <f>AC[[#This Row],[UID]]</f>
        <v>0</v>
      </c>
      <c r="CD39" s="1" t="s">
        <v>132</v>
      </c>
      <c r="CF39" s="112">
        <f>AC[[#This Row],[Part Type]]</f>
        <v>0</v>
      </c>
      <c r="CG39" s="112">
        <f>AC[[#This Row],[Name]]</f>
        <v>0</v>
      </c>
      <c r="CH39" s="1" t="e">
        <f>RIGHT(AC[[#This Row],[UID]],LEN(AC[[#This Row],[UID]])-3)</f>
        <v>#VALUE!</v>
      </c>
      <c r="CL39" s="1" t="str">
        <f>IF(AC[[#This Row],[Status]]=0,"",AC[[#This Row],[Status]])</f>
        <v/>
      </c>
    </row>
    <row r="40" spans="1:90" ht="15.95">
      <c r="A40" s="3"/>
      <c r="B40" s="3"/>
      <c r="C40" s="3"/>
      <c r="D40" s="3"/>
      <c r="E40" s="3"/>
      <c r="F40" s="5"/>
      <c r="G40" s="5"/>
      <c r="H40" s="5"/>
      <c r="I40" s="3"/>
      <c r="J40" s="3"/>
      <c r="K40" s="3"/>
      <c r="L40" s="6"/>
      <c r="M40" s="6"/>
      <c r="N40" s="6"/>
      <c r="O40" s="6"/>
      <c r="P40" s="5"/>
      <c r="Q40" s="5"/>
      <c r="R40" s="5"/>
      <c r="S40" s="5"/>
      <c r="T40" s="5"/>
      <c r="U40" s="4"/>
      <c r="V40" s="4"/>
      <c r="W40" s="3"/>
      <c r="X40" s="2"/>
      <c r="Y40" s="5"/>
      <c r="Z40" s="5"/>
      <c r="AA40" s="5"/>
      <c r="CB40" s="1" t="s">
        <v>71</v>
      </c>
      <c r="CC40" s="112">
        <f>AC[[#This Row],[UID]]</f>
        <v>0</v>
      </c>
      <c r="CD40" s="1" t="s">
        <v>132</v>
      </c>
      <c r="CF40" s="112">
        <f>AC[[#This Row],[Part Type]]</f>
        <v>0</v>
      </c>
      <c r="CG40" s="112">
        <f>AC[[#This Row],[Name]]</f>
        <v>0</v>
      </c>
      <c r="CH40" s="1" t="e">
        <f>RIGHT(AC[[#This Row],[UID]],LEN(AC[[#This Row],[UID]])-3)</f>
        <v>#VALUE!</v>
      </c>
      <c r="CL40" s="1" t="str">
        <f>IF(AC[[#This Row],[Status]]=0,"",AC[[#This Row],[Status]])</f>
        <v/>
      </c>
    </row>
    <row r="41" spans="1:90" ht="15.95">
      <c r="A41" s="3"/>
      <c r="B41" s="3"/>
      <c r="C41" s="3"/>
      <c r="D41" s="3"/>
      <c r="E41" s="3"/>
      <c r="F41" s="5"/>
      <c r="G41" s="5"/>
      <c r="H41" s="5"/>
      <c r="I41" s="3"/>
      <c r="J41" s="3"/>
      <c r="K41" s="3"/>
      <c r="L41" s="6"/>
      <c r="M41" s="6"/>
      <c r="N41" s="6"/>
      <c r="O41" s="6"/>
      <c r="P41" s="5"/>
      <c r="Q41" s="5"/>
      <c r="R41" s="5"/>
      <c r="S41" s="5"/>
      <c r="T41" s="5"/>
      <c r="U41" s="4"/>
      <c r="V41" s="4"/>
      <c r="W41" s="3"/>
      <c r="X41" s="2"/>
      <c r="Y41" s="5"/>
      <c r="Z41" s="5"/>
      <c r="AA41" s="5"/>
      <c r="CB41" s="1" t="s">
        <v>71</v>
      </c>
      <c r="CC41" s="112">
        <f>AC[[#This Row],[UID]]</f>
        <v>0</v>
      </c>
      <c r="CD41" s="1" t="s">
        <v>132</v>
      </c>
      <c r="CF41" s="112">
        <f>AC[[#This Row],[Part Type]]</f>
        <v>0</v>
      </c>
      <c r="CG41" s="112">
        <f>AC[[#This Row],[Name]]</f>
        <v>0</v>
      </c>
      <c r="CH41" s="1" t="e">
        <f>RIGHT(AC[[#This Row],[UID]],LEN(AC[[#This Row],[UID]])-3)</f>
        <v>#VALUE!</v>
      </c>
      <c r="CL41" s="1" t="str">
        <f>IF(AC[[#This Row],[Status]]=0,"",AC[[#This Row],[Status]])</f>
        <v/>
      </c>
    </row>
    <row r="42" spans="1:90" ht="15.95">
      <c r="A42" s="3"/>
      <c r="B42" s="3"/>
      <c r="C42" s="3"/>
      <c r="D42" s="3"/>
      <c r="E42" s="3"/>
      <c r="F42" s="5"/>
      <c r="G42" s="5"/>
      <c r="H42" s="5"/>
      <c r="I42" s="3"/>
      <c r="J42" s="3"/>
      <c r="K42" s="3"/>
      <c r="L42" s="6"/>
      <c r="M42" s="6"/>
      <c r="N42" s="6"/>
      <c r="O42" s="6"/>
      <c r="P42" s="5"/>
      <c r="Q42" s="5"/>
      <c r="R42" s="5"/>
      <c r="S42" s="5"/>
      <c r="T42" s="5"/>
      <c r="U42" s="4"/>
      <c r="V42" s="4"/>
      <c r="W42" s="3"/>
      <c r="X42" s="2"/>
      <c r="Y42" s="5"/>
      <c r="Z42" s="5"/>
      <c r="AA42" s="5"/>
      <c r="CB42" s="1" t="s">
        <v>71</v>
      </c>
      <c r="CC42" s="112">
        <f>AC[[#This Row],[UID]]</f>
        <v>0</v>
      </c>
      <c r="CD42" s="1" t="s">
        <v>132</v>
      </c>
      <c r="CF42" s="1">
        <f>AC[[#This Row],[Part Type]]</f>
        <v>0</v>
      </c>
      <c r="CG42" s="112">
        <f>AC[[#This Row],[Name]]</f>
        <v>0</v>
      </c>
      <c r="CH42" s="1" t="e">
        <f>RIGHT(AC[[#This Row],[UID]],LEN(AC[[#This Row],[UID]])-3)</f>
        <v>#VALUE!</v>
      </c>
      <c r="CL42" s="1" t="str">
        <f>IF(AC[[#This Row],[Status]]=0,"",AC[[#This Row],[Status]])</f>
        <v/>
      </c>
    </row>
    <row r="43" spans="1:90" ht="15.95">
      <c r="A43" s="3"/>
      <c r="B43" s="3"/>
      <c r="C43" s="3"/>
      <c r="D43" s="3"/>
      <c r="E43" s="3"/>
      <c r="F43" s="5"/>
      <c r="G43" s="5"/>
      <c r="H43" s="5"/>
      <c r="I43" s="3"/>
      <c r="J43" s="3"/>
      <c r="K43" s="3"/>
      <c r="L43" s="6"/>
      <c r="M43" s="6"/>
      <c r="N43" s="6"/>
      <c r="O43" s="6"/>
      <c r="P43" s="5"/>
      <c r="Q43" s="5"/>
      <c r="R43" s="5"/>
      <c r="S43" s="5"/>
      <c r="T43" s="5"/>
      <c r="U43" s="4"/>
      <c r="V43" s="4"/>
      <c r="W43" s="3"/>
      <c r="X43" s="2"/>
      <c r="Y43" s="5"/>
      <c r="Z43" s="5"/>
      <c r="AA43" s="5"/>
      <c r="CB43" s="1" t="s">
        <v>71</v>
      </c>
      <c r="CC43" s="112">
        <f>AC[[#This Row],[UID]]</f>
        <v>0</v>
      </c>
      <c r="CD43" s="1" t="s">
        <v>132</v>
      </c>
      <c r="CF43" s="1">
        <f>AC[[#This Row],[Part Type]]</f>
        <v>0</v>
      </c>
      <c r="CG43" s="112">
        <f>AC[[#This Row],[Name]]</f>
        <v>0</v>
      </c>
      <c r="CH43" s="1" t="e">
        <f>RIGHT(AC[[#This Row],[UID]],LEN(AC[[#This Row],[UID]])-3)</f>
        <v>#VALUE!</v>
      </c>
      <c r="CL43" s="1" t="str">
        <f>IF(AC[[#This Row],[Status]]=0,"",AC[[#This Row],[Status]])</f>
        <v/>
      </c>
    </row>
    <row r="44" spans="1:90" ht="15.95">
      <c r="A44" s="3"/>
      <c r="B44" s="3"/>
      <c r="C44" s="3"/>
      <c r="D44" s="3"/>
      <c r="E44" s="3"/>
      <c r="F44" s="5"/>
      <c r="G44" s="5"/>
      <c r="H44" s="5"/>
      <c r="I44" s="3"/>
      <c r="J44" s="3"/>
      <c r="K44" s="3"/>
      <c r="L44" s="6"/>
      <c r="M44" s="6"/>
      <c r="N44" s="6"/>
      <c r="O44" s="6"/>
      <c r="P44" s="5"/>
      <c r="Q44" s="5"/>
      <c r="R44" s="5"/>
      <c r="S44" s="5"/>
      <c r="T44" s="5"/>
      <c r="U44" s="4"/>
      <c r="V44" s="4"/>
      <c r="W44" s="3"/>
      <c r="X44" s="2"/>
      <c r="Y44" s="5"/>
      <c r="Z44" s="5"/>
      <c r="AA44" s="5"/>
      <c r="CB44" s="1" t="s">
        <v>71</v>
      </c>
      <c r="CC44" s="112">
        <f>AC[[#This Row],[UID]]</f>
        <v>0</v>
      </c>
      <c r="CD44" s="1" t="s">
        <v>132</v>
      </c>
      <c r="CF44" s="1">
        <f>AC[[#This Row],[Part Type]]</f>
        <v>0</v>
      </c>
      <c r="CG44" s="112">
        <f>AC[[#This Row],[Name]]</f>
        <v>0</v>
      </c>
      <c r="CH44" s="1" t="e">
        <f>RIGHT(AC[[#This Row],[UID]],LEN(AC[[#This Row],[UID]])-3)</f>
        <v>#VALUE!</v>
      </c>
      <c r="CL44" s="1" t="str">
        <f>IF(AC[[#This Row],[Status]]=0,"",AC[[#This Row],[Status]])</f>
        <v/>
      </c>
    </row>
    <row r="45" spans="1:90" ht="15.95">
      <c r="A45" s="3"/>
      <c r="B45" s="3"/>
      <c r="C45" s="3"/>
      <c r="D45" s="3"/>
      <c r="E45" s="3"/>
      <c r="F45" s="5"/>
      <c r="G45" s="5"/>
      <c r="H45" s="5"/>
      <c r="I45" s="3"/>
      <c r="J45" s="3"/>
      <c r="K45" s="3"/>
      <c r="L45" s="6"/>
      <c r="M45" s="6"/>
      <c r="N45" s="6"/>
      <c r="O45" s="6"/>
      <c r="P45" s="5"/>
      <c r="Q45" s="5"/>
      <c r="R45" s="5"/>
      <c r="S45" s="5"/>
      <c r="T45" s="5"/>
      <c r="U45" s="4"/>
      <c r="V45" s="4"/>
      <c r="W45" s="3"/>
      <c r="X45" s="2"/>
      <c r="Y45" s="5"/>
      <c r="Z45" s="5"/>
      <c r="AA45" s="5"/>
      <c r="CB45" s="1" t="s">
        <v>71</v>
      </c>
      <c r="CC45" s="112">
        <f>AC[[#This Row],[UID]]</f>
        <v>0</v>
      </c>
      <c r="CD45" s="1" t="s">
        <v>132</v>
      </c>
      <c r="CF45" s="1">
        <f>AC[[#This Row],[Part Type]]</f>
        <v>0</v>
      </c>
      <c r="CG45" s="112">
        <f>AC[[#This Row],[Name]]</f>
        <v>0</v>
      </c>
      <c r="CH45" s="1" t="e">
        <f>RIGHT(AC[[#This Row],[UID]],LEN(AC[[#This Row],[UID]])-3)</f>
        <v>#VALUE!</v>
      </c>
      <c r="CL45" s="1" t="str">
        <f>IF(AC[[#This Row],[Status]]=0,"",AC[[#This Row],[Status]])</f>
        <v/>
      </c>
    </row>
    <row r="46" spans="1:90" ht="15.95">
      <c r="A46" s="3"/>
      <c r="B46" s="3"/>
      <c r="C46" s="3"/>
      <c r="D46" s="3"/>
      <c r="E46" s="3"/>
      <c r="F46" s="5"/>
      <c r="G46" s="5"/>
      <c r="H46" s="5"/>
      <c r="I46" s="3"/>
      <c r="J46" s="3"/>
      <c r="K46" s="3"/>
      <c r="L46" s="6"/>
      <c r="M46" s="6"/>
      <c r="N46" s="6"/>
      <c r="O46" s="6"/>
      <c r="P46" s="5"/>
      <c r="Q46" s="5"/>
      <c r="R46" s="5"/>
      <c r="S46" s="5"/>
      <c r="T46" s="5"/>
      <c r="U46" s="4"/>
      <c r="V46" s="4"/>
      <c r="W46" s="3"/>
      <c r="X46" s="2"/>
      <c r="Y46" s="5"/>
      <c r="Z46" s="5"/>
      <c r="AA46" s="5"/>
      <c r="CB46" s="1" t="s">
        <v>71</v>
      </c>
      <c r="CC46" s="112">
        <f>AC[[#This Row],[UID]]</f>
        <v>0</v>
      </c>
      <c r="CD46" s="1" t="s">
        <v>132</v>
      </c>
      <c r="CF46" s="1">
        <f>AC[[#This Row],[Part Type]]</f>
        <v>0</v>
      </c>
      <c r="CG46" s="112">
        <f>AC[[#This Row],[Name]]</f>
        <v>0</v>
      </c>
      <c r="CH46" s="1" t="e">
        <f>RIGHT(AC[[#This Row],[UID]],LEN(AC[[#This Row],[UID]])-3)</f>
        <v>#VALUE!</v>
      </c>
      <c r="CL46" s="1" t="str">
        <f>IF(AC[[#This Row],[Status]]=0,"",AC[[#This Row],[Status]])</f>
        <v/>
      </c>
    </row>
    <row r="47" spans="1:90" ht="15.95">
      <c r="A47" s="3"/>
      <c r="B47" s="3"/>
      <c r="C47" s="3"/>
      <c r="D47" s="3"/>
      <c r="E47" s="3"/>
      <c r="F47" s="5"/>
      <c r="G47" s="5"/>
      <c r="H47" s="5"/>
      <c r="I47" s="3"/>
      <c r="J47" s="3"/>
      <c r="K47" s="3"/>
      <c r="L47" s="6"/>
      <c r="M47" s="6"/>
      <c r="N47" s="6"/>
      <c r="O47" s="6"/>
      <c r="P47" s="5"/>
      <c r="Q47" s="5"/>
      <c r="R47" s="5"/>
      <c r="S47" s="5"/>
      <c r="T47" s="5"/>
      <c r="U47" s="4"/>
      <c r="V47" s="4"/>
      <c r="W47" s="3"/>
      <c r="X47" s="2"/>
      <c r="Y47" s="5"/>
      <c r="Z47" s="5"/>
      <c r="AA47" s="5"/>
      <c r="CB47" s="1" t="s">
        <v>71</v>
      </c>
      <c r="CC47" s="112">
        <f>AC[[#This Row],[UID]]</f>
        <v>0</v>
      </c>
      <c r="CD47" s="1" t="s">
        <v>132</v>
      </c>
      <c r="CF47" s="1">
        <f>AC[[#This Row],[Part Type]]</f>
        <v>0</v>
      </c>
      <c r="CG47" s="112">
        <f>AC[[#This Row],[Name]]</f>
        <v>0</v>
      </c>
      <c r="CH47" s="1" t="e">
        <f>RIGHT(AC[[#This Row],[UID]],LEN(AC[[#This Row],[UID]])-3)</f>
        <v>#VALUE!</v>
      </c>
      <c r="CL47" s="1" t="str">
        <f>IF(AC[[#This Row],[Status]]=0,"",AC[[#This Row],[Status]])</f>
        <v/>
      </c>
    </row>
    <row r="48" spans="1:90" ht="15.95">
      <c r="A48" s="3"/>
      <c r="B48" s="3"/>
      <c r="C48" s="3"/>
      <c r="D48" s="3"/>
      <c r="E48" s="3"/>
      <c r="F48" s="5"/>
      <c r="G48" s="5"/>
      <c r="H48" s="5"/>
      <c r="I48" s="3"/>
      <c r="J48" s="3"/>
      <c r="K48" s="3"/>
      <c r="L48" s="6"/>
      <c r="M48" s="6"/>
      <c r="N48" s="6"/>
      <c r="O48" s="6"/>
      <c r="P48" s="5"/>
      <c r="Q48" s="5"/>
      <c r="R48" s="5"/>
      <c r="S48" s="5"/>
      <c r="T48" s="5"/>
      <c r="U48" s="4"/>
      <c r="V48" s="4"/>
      <c r="W48" s="3"/>
      <c r="X48" s="2"/>
      <c r="Y48" s="5"/>
      <c r="Z48" s="5"/>
      <c r="AA48" s="5"/>
      <c r="CB48" s="1" t="s">
        <v>71</v>
      </c>
      <c r="CC48" s="112">
        <f>AC[[#This Row],[UID]]</f>
        <v>0</v>
      </c>
      <c r="CD48" s="1" t="s">
        <v>132</v>
      </c>
      <c r="CF48" s="1">
        <f>AC[[#This Row],[Part Type]]</f>
        <v>0</v>
      </c>
      <c r="CG48" s="112">
        <f>AC[[#This Row],[Name]]</f>
        <v>0</v>
      </c>
      <c r="CH48" s="1" t="e">
        <f>RIGHT(AC[[#This Row],[UID]],LEN(AC[[#This Row],[UID]])-3)</f>
        <v>#VALUE!</v>
      </c>
      <c r="CL48" s="1" t="str">
        <f>IF(AC[[#This Row],[Status]]=0,"",AC[[#This Row],[Status]])</f>
        <v/>
      </c>
    </row>
    <row r="49" spans="1:90" ht="15.95">
      <c r="A49" s="3"/>
      <c r="B49" s="3"/>
      <c r="C49" s="3"/>
      <c r="D49" s="3"/>
      <c r="E49" s="3"/>
      <c r="F49" s="5"/>
      <c r="G49" s="5"/>
      <c r="H49" s="5"/>
      <c r="I49" s="3"/>
      <c r="J49" s="3"/>
      <c r="K49" s="3"/>
      <c r="L49" s="6"/>
      <c r="M49" s="6"/>
      <c r="N49" s="6"/>
      <c r="O49" s="6"/>
      <c r="P49" s="5"/>
      <c r="Q49" s="5"/>
      <c r="R49" s="5"/>
      <c r="S49" s="5"/>
      <c r="T49" s="5"/>
      <c r="U49" s="4"/>
      <c r="V49" s="4"/>
      <c r="W49" s="3"/>
      <c r="X49" s="2"/>
      <c r="Y49" s="5"/>
      <c r="Z49" s="5"/>
      <c r="AA49" s="5"/>
      <c r="CB49" s="1" t="s">
        <v>71</v>
      </c>
      <c r="CC49" s="112">
        <f>AC[[#This Row],[UID]]</f>
        <v>0</v>
      </c>
      <c r="CD49" s="1" t="s">
        <v>132</v>
      </c>
      <c r="CF49" s="1">
        <f>AC[[#This Row],[Part Type]]</f>
        <v>0</v>
      </c>
      <c r="CG49" s="112">
        <f>AC[[#This Row],[Name]]</f>
        <v>0</v>
      </c>
      <c r="CH49" s="1" t="e">
        <f>RIGHT(AC[[#This Row],[UID]],LEN(AC[[#This Row],[UID]])-3)</f>
        <v>#VALUE!</v>
      </c>
      <c r="CL49" s="1" t="str">
        <f>IF(AC[[#This Row],[Status]]=0,"",AC[[#This Row],[Status]])</f>
        <v/>
      </c>
    </row>
    <row r="50" spans="1:90" ht="15.95">
      <c r="A50" s="3"/>
      <c r="B50" s="3"/>
      <c r="C50" s="3"/>
      <c r="D50" s="3"/>
      <c r="E50" s="3"/>
      <c r="F50" s="5"/>
      <c r="G50" s="5"/>
      <c r="H50" s="5"/>
      <c r="I50" s="3"/>
      <c r="J50" s="3"/>
      <c r="K50" s="3"/>
      <c r="L50" s="6"/>
      <c r="M50" s="6"/>
      <c r="N50" s="6"/>
      <c r="O50" s="6"/>
      <c r="P50" s="5"/>
      <c r="Q50" s="5"/>
      <c r="R50" s="5"/>
      <c r="S50" s="5"/>
      <c r="T50" s="5"/>
      <c r="U50" s="4"/>
      <c r="V50" s="4"/>
      <c r="W50" s="3"/>
      <c r="X50" s="2"/>
      <c r="Y50" s="5"/>
      <c r="Z50" s="5"/>
      <c r="AA50" s="5"/>
      <c r="CB50" s="1" t="s">
        <v>71</v>
      </c>
      <c r="CC50" s="112">
        <f>AC[[#This Row],[UID]]</f>
        <v>0</v>
      </c>
      <c r="CD50" s="1" t="s">
        <v>132</v>
      </c>
      <c r="CF50" s="1">
        <f>AC[[#This Row],[Part Type]]</f>
        <v>0</v>
      </c>
      <c r="CG50" s="112">
        <f>AC[[#This Row],[Name]]</f>
        <v>0</v>
      </c>
      <c r="CH50" s="1" t="e">
        <f>RIGHT(AC[[#This Row],[UID]],LEN(AC[[#This Row],[UID]])-3)</f>
        <v>#VALUE!</v>
      </c>
      <c r="CL50" s="1" t="str">
        <f>IF(AC[[#This Row],[Status]]=0,"",AC[[#This Row],[Status]])</f>
        <v/>
      </c>
    </row>
    <row r="51" spans="1:90" ht="15.95">
      <c r="A51" s="3"/>
      <c r="B51" s="3"/>
      <c r="C51" s="3"/>
      <c r="D51" s="3"/>
      <c r="E51" s="3"/>
      <c r="F51" s="5"/>
      <c r="G51" s="5"/>
      <c r="H51" s="5"/>
      <c r="I51" s="3"/>
      <c r="J51" s="3"/>
      <c r="K51" s="3"/>
      <c r="L51" s="6"/>
      <c r="M51" s="6"/>
      <c r="N51" s="6"/>
      <c r="O51" s="6"/>
      <c r="P51" s="5"/>
      <c r="Q51" s="5"/>
      <c r="R51" s="5"/>
      <c r="S51" s="5"/>
      <c r="T51" s="5"/>
      <c r="U51" s="4"/>
      <c r="V51" s="4"/>
      <c r="W51" s="3"/>
      <c r="X51" s="2"/>
      <c r="Y51" s="5"/>
      <c r="Z51" s="5"/>
      <c r="AA51" s="5"/>
      <c r="CB51" s="1" t="s">
        <v>71</v>
      </c>
      <c r="CC51" s="112">
        <f>AC[[#This Row],[UID]]</f>
        <v>0</v>
      </c>
      <c r="CD51" s="1" t="s">
        <v>132</v>
      </c>
      <c r="CF51" s="1">
        <f>AC[[#This Row],[Part Type]]</f>
        <v>0</v>
      </c>
      <c r="CG51" s="112">
        <f>AC[[#This Row],[Name]]</f>
        <v>0</v>
      </c>
      <c r="CH51" s="1" t="e">
        <f>RIGHT(AC[[#This Row],[UID]],LEN(AC[[#This Row],[UID]])-3)</f>
        <v>#VALUE!</v>
      </c>
      <c r="CL51" s="1" t="str">
        <f>IF(AC[[#This Row],[Status]]=0,"",AC[[#This Row],[Status]])</f>
        <v/>
      </c>
    </row>
    <row r="52" spans="1:90" ht="15.95">
      <c r="A52" s="3"/>
      <c r="B52" s="3"/>
      <c r="C52" s="3"/>
      <c r="D52" s="3"/>
      <c r="E52" s="3"/>
      <c r="F52" s="5"/>
      <c r="G52" s="5"/>
      <c r="H52" s="5"/>
      <c r="I52" s="3"/>
      <c r="J52" s="3"/>
      <c r="K52" s="3"/>
      <c r="L52" s="6"/>
      <c r="M52" s="6"/>
      <c r="N52" s="6"/>
      <c r="O52" s="6"/>
      <c r="P52" s="5"/>
      <c r="Q52" s="5"/>
      <c r="R52" s="5"/>
      <c r="S52" s="5"/>
      <c r="T52" s="5"/>
      <c r="U52" s="4"/>
      <c r="V52" s="4"/>
      <c r="W52" s="3"/>
      <c r="X52" s="2"/>
      <c r="Y52" s="5"/>
      <c r="Z52" s="5"/>
      <c r="AA52" s="5"/>
      <c r="CB52" s="1" t="s">
        <v>71</v>
      </c>
      <c r="CC52" s="112">
        <f>AC[[#This Row],[UID]]</f>
        <v>0</v>
      </c>
      <c r="CD52" s="1" t="s">
        <v>132</v>
      </c>
      <c r="CF52" s="1">
        <f>AC[[#This Row],[Part Type]]</f>
        <v>0</v>
      </c>
      <c r="CG52" s="112">
        <f>AC[[#This Row],[Name]]</f>
        <v>0</v>
      </c>
      <c r="CH52" s="1" t="e">
        <f>RIGHT(AC[[#This Row],[UID]],LEN(AC[[#This Row],[UID]])-3)</f>
        <v>#VALUE!</v>
      </c>
      <c r="CL52" s="1" t="str">
        <f>IF(AC[[#This Row],[Status]]=0,"",AC[[#This Row],[Status]])</f>
        <v/>
      </c>
    </row>
    <row r="53" spans="1:90" ht="15.95">
      <c r="A53" s="3"/>
      <c r="B53" s="3"/>
      <c r="C53" s="3"/>
      <c r="D53" s="3"/>
      <c r="E53" s="3"/>
      <c r="F53" s="5"/>
      <c r="G53" s="5"/>
      <c r="H53" s="5"/>
      <c r="I53" s="3"/>
      <c r="J53" s="3"/>
      <c r="K53" s="3"/>
      <c r="L53" s="6"/>
      <c r="M53" s="6"/>
      <c r="N53" s="6"/>
      <c r="O53" s="6"/>
      <c r="P53" s="5"/>
      <c r="Q53" s="5"/>
      <c r="R53" s="5"/>
      <c r="S53" s="5"/>
      <c r="T53" s="5"/>
      <c r="U53" s="4"/>
      <c r="V53" s="4"/>
      <c r="W53" s="3"/>
      <c r="X53" s="2"/>
      <c r="Y53" s="5"/>
      <c r="Z53" s="5"/>
      <c r="AA53" s="5"/>
      <c r="CB53" s="1" t="s">
        <v>71</v>
      </c>
      <c r="CC53" s="112">
        <f>AC[[#This Row],[UID]]</f>
        <v>0</v>
      </c>
      <c r="CD53" s="1" t="s">
        <v>132</v>
      </c>
      <c r="CF53" s="1">
        <f>AC[[#This Row],[Part Type]]</f>
        <v>0</v>
      </c>
      <c r="CG53" s="112">
        <f>AC[[#This Row],[Name]]</f>
        <v>0</v>
      </c>
      <c r="CH53" s="1" t="e">
        <f>RIGHT(AC[[#This Row],[UID]],LEN(AC[[#This Row],[UID]])-3)</f>
        <v>#VALUE!</v>
      </c>
      <c r="CL53" s="1" t="str">
        <f>IF(AC[[#This Row],[Status]]=0,"",AC[[#This Row],[Status]])</f>
        <v/>
      </c>
    </row>
    <row r="54" spans="1:90" ht="15.95">
      <c r="A54" s="3"/>
      <c r="B54" s="3"/>
      <c r="C54" s="3"/>
      <c r="D54" s="3"/>
      <c r="E54" s="3"/>
      <c r="F54" s="5"/>
      <c r="G54" s="5"/>
      <c r="H54" s="5"/>
      <c r="I54" s="3"/>
      <c r="J54" s="3"/>
      <c r="K54" s="3"/>
      <c r="L54" s="6"/>
      <c r="M54" s="6"/>
      <c r="N54" s="6"/>
      <c r="O54" s="6"/>
      <c r="P54" s="5"/>
      <c r="Q54" s="5"/>
      <c r="R54" s="5"/>
      <c r="S54" s="5"/>
      <c r="T54" s="5"/>
      <c r="U54" s="4"/>
      <c r="V54" s="4"/>
      <c r="W54" s="3"/>
      <c r="X54" s="2"/>
      <c r="Y54" s="5"/>
      <c r="Z54" s="5"/>
      <c r="AA54" s="5"/>
      <c r="CB54" s="1" t="s">
        <v>71</v>
      </c>
      <c r="CC54" s="112">
        <f>AC[[#This Row],[UID]]</f>
        <v>0</v>
      </c>
      <c r="CD54" s="1" t="s">
        <v>132</v>
      </c>
      <c r="CF54" s="1">
        <f>AC[[#This Row],[Part Type]]</f>
        <v>0</v>
      </c>
      <c r="CG54" s="112">
        <f>AC[[#This Row],[Name]]</f>
        <v>0</v>
      </c>
      <c r="CH54" s="1" t="e">
        <f>RIGHT(AC[[#This Row],[UID]],LEN(AC[[#This Row],[UID]])-3)</f>
        <v>#VALUE!</v>
      </c>
      <c r="CL54" s="1" t="str">
        <f>IF(AC[[#This Row],[Status]]=0,"",AC[[#This Row],[Status]])</f>
        <v/>
      </c>
    </row>
    <row r="55" spans="1:90" ht="15.95">
      <c r="A55" s="3"/>
      <c r="B55" s="3"/>
      <c r="C55" s="3"/>
      <c r="D55" s="3"/>
      <c r="E55" s="3"/>
      <c r="F55" s="5"/>
      <c r="G55" s="5"/>
      <c r="H55" s="5"/>
      <c r="I55" s="3"/>
      <c r="J55" s="3"/>
      <c r="K55" s="3"/>
      <c r="L55" s="6"/>
      <c r="M55" s="6"/>
      <c r="N55" s="6"/>
      <c r="O55" s="6"/>
      <c r="P55" s="5"/>
      <c r="Q55" s="5"/>
      <c r="R55" s="5"/>
      <c r="S55" s="5"/>
      <c r="T55" s="5"/>
      <c r="U55" s="4"/>
      <c r="V55" s="4"/>
      <c r="W55" s="3"/>
      <c r="X55" s="2"/>
      <c r="Y55" s="5"/>
      <c r="Z55" s="5"/>
      <c r="AA55" s="5"/>
      <c r="CB55" s="1" t="s">
        <v>71</v>
      </c>
      <c r="CC55" s="112">
        <f>AC[[#This Row],[UID]]</f>
        <v>0</v>
      </c>
      <c r="CD55" s="1" t="s">
        <v>132</v>
      </c>
      <c r="CF55" s="1">
        <f>AC[[#This Row],[Part Type]]</f>
        <v>0</v>
      </c>
      <c r="CG55" s="112">
        <f>AC[[#This Row],[Name]]</f>
        <v>0</v>
      </c>
      <c r="CH55" s="1" t="e">
        <f>RIGHT(AC[[#This Row],[UID]],LEN(AC[[#This Row],[UID]])-3)</f>
        <v>#VALUE!</v>
      </c>
      <c r="CL55" s="1" t="str">
        <f>IF(AC[[#This Row],[Status]]=0,"",AC[[#This Row],[Status]])</f>
        <v/>
      </c>
    </row>
    <row r="56" spans="1:90" ht="15.95">
      <c r="A56" s="3"/>
      <c r="B56" s="3"/>
      <c r="C56" s="3"/>
      <c r="D56" s="3"/>
      <c r="E56" s="3"/>
      <c r="F56" s="5"/>
      <c r="G56" s="5"/>
      <c r="H56" s="5"/>
      <c r="I56" s="3"/>
      <c r="J56" s="3"/>
      <c r="K56" s="3"/>
      <c r="L56" s="6"/>
      <c r="M56" s="6"/>
      <c r="N56" s="6"/>
      <c r="O56" s="6"/>
      <c r="P56" s="5"/>
      <c r="Q56" s="5"/>
      <c r="R56" s="5"/>
      <c r="S56" s="5"/>
      <c r="T56" s="5"/>
      <c r="U56" s="4"/>
      <c r="V56" s="4"/>
      <c r="W56" s="3"/>
      <c r="X56" s="2"/>
      <c r="Y56" s="5"/>
      <c r="Z56" s="5"/>
      <c r="AA56" s="5"/>
      <c r="CB56" s="1" t="s">
        <v>71</v>
      </c>
      <c r="CC56" s="112">
        <f>AC[[#This Row],[UID]]</f>
        <v>0</v>
      </c>
      <c r="CD56" s="1" t="s">
        <v>132</v>
      </c>
      <c r="CF56" s="1">
        <f>AC[[#This Row],[Part Type]]</f>
        <v>0</v>
      </c>
      <c r="CG56" s="112">
        <f>AC[[#This Row],[Name]]</f>
        <v>0</v>
      </c>
      <c r="CH56" s="1" t="e">
        <f>RIGHT(AC[[#This Row],[UID]],LEN(AC[[#This Row],[UID]])-3)</f>
        <v>#VALUE!</v>
      </c>
      <c r="CL56" s="1" t="str">
        <f>IF(AC[[#This Row],[Status]]=0,"",AC[[#This Row],[Status]])</f>
        <v/>
      </c>
    </row>
    <row r="57" spans="1:90" ht="15.95">
      <c r="A57" s="3"/>
      <c r="B57" s="3"/>
      <c r="C57" s="3"/>
      <c r="D57" s="3"/>
      <c r="E57" s="3"/>
      <c r="F57" s="5"/>
      <c r="G57" s="5"/>
      <c r="H57" s="5"/>
      <c r="I57" s="3"/>
      <c r="J57" s="3"/>
      <c r="K57" s="3"/>
      <c r="L57" s="6"/>
      <c r="M57" s="6"/>
      <c r="N57" s="6"/>
      <c r="O57" s="6"/>
      <c r="P57" s="5"/>
      <c r="Q57" s="5"/>
      <c r="R57" s="5"/>
      <c r="S57" s="5"/>
      <c r="T57" s="5"/>
      <c r="U57" s="4"/>
      <c r="V57" s="4"/>
      <c r="W57" s="3"/>
      <c r="X57" s="2"/>
      <c r="Y57" s="5"/>
      <c r="Z57" s="5"/>
      <c r="AA57" s="5"/>
      <c r="CB57" s="1" t="s">
        <v>71</v>
      </c>
      <c r="CC57" s="112">
        <f>AC[[#This Row],[UID]]</f>
        <v>0</v>
      </c>
      <c r="CD57" s="1" t="s">
        <v>132</v>
      </c>
      <c r="CF57" s="1">
        <f>AC[[#This Row],[Part Type]]</f>
        <v>0</v>
      </c>
      <c r="CG57" s="112">
        <f>AC[[#This Row],[Name]]</f>
        <v>0</v>
      </c>
      <c r="CH57" s="1" t="e">
        <f>RIGHT(AC[[#This Row],[UID]],LEN(AC[[#This Row],[UID]])-3)</f>
        <v>#VALUE!</v>
      </c>
      <c r="CL57" s="1" t="str">
        <f>IF(AC[[#This Row],[Status]]=0,"",AC[[#This Row],[Status]])</f>
        <v/>
      </c>
    </row>
    <row r="58" spans="1:90" ht="15.95">
      <c r="A58" s="3"/>
      <c r="B58" s="3"/>
      <c r="C58" s="3"/>
      <c r="D58" s="3"/>
      <c r="E58" s="3"/>
      <c r="F58" s="5"/>
      <c r="G58" s="5"/>
      <c r="H58" s="5"/>
      <c r="I58" s="3"/>
      <c r="J58" s="3"/>
      <c r="K58" s="3"/>
      <c r="L58" s="6"/>
      <c r="M58" s="6"/>
      <c r="N58" s="6"/>
      <c r="O58" s="6"/>
      <c r="P58" s="5"/>
      <c r="Q58" s="5"/>
      <c r="R58" s="5"/>
      <c r="S58" s="5"/>
      <c r="T58" s="5"/>
      <c r="U58" s="4"/>
      <c r="V58" s="4"/>
      <c r="W58" s="3"/>
      <c r="X58" s="2"/>
      <c r="Y58" s="5"/>
      <c r="Z58" s="5"/>
      <c r="AA58" s="5"/>
      <c r="CB58" s="1" t="s">
        <v>71</v>
      </c>
      <c r="CC58" s="112">
        <f>AC[[#This Row],[UID]]</f>
        <v>0</v>
      </c>
      <c r="CD58" s="1" t="s">
        <v>132</v>
      </c>
      <c r="CF58" s="1">
        <f>AC[[#This Row],[Part Type]]</f>
        <v>0</v>
      </c>
      <c r="CG58" s="112">
        <f>AC[[#This Row],[Name]]</f>
        <v>0</v>
      </c>
      <c r="CH58" s="1" t="e">
        <f>RIGHT(AC[[#This Row],[UID]],LEN(AC[[#This Row],[UID]])-3)</f>
        <v>#VALUE!</v>
      </c>
      <c r="CL58" s="1" t="str">
        <f>IF(AC[[#This Row],[Status]]=0,"",AC[[#This Row],[Status]])</f>
        <v/>
      </c>
    </row>
    <row r="59" spans="1:90" ht="15.95">
      <c r="A59" s="3"/>
      <c r="B59" s="3"/>
      <c r="C59" s="3"/>
      <c r="D59" s="3"/>
      <c r="E59" s="3"/>
      <c r="F59" s="5"/>
      <c r="G59" s="5"/>
      <c r="H59" s="5"/>
      <c r="I59" s="3"/>
      <c r="J59" s="3"/>
      <c r="K59" s="3"/>
      <c r="L59" s="6"/>
      <c r="M59" s="6"/>
      <c r="N59" s="6"/>
      <c r="O59" s="6"/>
      <c r="P59" s="5"/>
      <c r="Q59" s="5"/>
      <c r="R59" s="5"/>
      <c r="S59" s="5"/>
      <c r="T59" s="5"/>
      <c r="U59" s="4"/>
      <c r="V59" s="4"/>
      <c r="W59" s="3"/>
      <c r="X59" s="2"/>
      <c r="Y59" s="5"/>
      <c r="Z59" s="5"/>
      <c r="AA59" s="5"/>
      <c r="CB59" s="1" t="s">
        <v>71</v>
      </c>
      <c r="CC59" s="112">
        <f>AC[[#This Row],[UID]]</f>
        <v>0</v>
      </c>
      <c r="CD59" s="1" t="s">
        <v>132</v>
      </c>
      <c r="CF59" s="1">
        <f>AC[[#This Row],[Part Type]]</f>
        <v>0</v>
      </c>
      <c r="CG59" s="112">
        <f>AC[[#This Row],[Name]]</f>
        <v>0</v>
      </c>
      <c r="CH59" s="1" t="e">
        <f>RIGHT(AC[[#This Row],[UID]],LEN(AC[[#This Row],[UID]])-3)</f>
        <v>#VALUE!</v>
      </c>
      <c r="CL59" s="1" t="str">
        <f>IF(AC[[#This Row],[Status]]=0,"",AC[[#This Row],[Status]])</f>
        <v/>
      </c>
    </row>
    <row r="60" spans="1:90" ht="15.95">
      <c r="A60" s="3"/>
      <c r="B60" s="3"/>
      <c r="C60" s="3"/>
      <c r="D60" s="3"/>
      <c r="E60" s="3"/>
      <c r="F60" s="5"/>
      <c r="G60" s="5"/>
      <c r="H60" s="5"/>
      <c r="I60" s="3"/>
      <c r="J60" s="3"/>
      <c r="K60" s="3"/>
      <c r="L60" s="6"/>
      <c r="M60" s="6"/>
      <c r="N60" s="6"/>
      <c r="O60" s="6"/>
      <c r="P60" s="5"/>
      <c r="Q60" s="5"/>
      <c r="R60" s="5"/>
      <c r="S60" s="5"/>
      <c r="T60" s="5"/>
      <c r="U60" s="4"/>
      <c r="V60" s="4"/>
      <c r="W60" s="3"/>
      <c r="X60" s="2"/>
      <c r="Y60" s="5"/>
      <c r="Z60" s="5"/>
      <c r="AA60" s="5"/>
      <c r="CB60" s="1" t="s">
        <v>71</v>
      </c>
      <c r="CC60" s="112">
        <f>AC[[#This Row],[UID]]</f>
        <v>0</v>
      </c>
      <c r="CD60" s="1" t="s">
        <v>132</v>
      </c>
      <c r="CF60" s="1">
        <f>AC[[#This Row],[Part Type]]</f>
        <v>0</v>
      </c>
      <c r="CG60" s="112">
        <f>AC[[#This Row],[Name]]</f>
        <v>0</v>
      </c>
      <c r="CH60" s="1" t="e">
        <f>RIGHT(AC[[#This Row],[UID]],LEN(AC[[#This Row],[UID]])-3)</f>
        <v>#VALUE!</v>
      </c>
      <c r="CL60" s="1" t="str">
        <f>IF(AC[[#This Row],[Status]]=0,"",AC[[#This Row],[Status]])</f>
        <v/>
      </c>
    </row>
    <row r="61" spans="1:90" ht="15.95">
      <c r="A61" s="3"/>
      <c r="B61" s="3"/>
      <c r="C61" s="3"/>
      <c r="D61" s="3"/>
      <c r="E61" s="3"/>
      <c r="F61" s="5"/>
      <c r="G61" s="5"/>
      <c r="H61" s="5"/>
      <c r="I61" s="3"/>
      <c r="J61" s="3"/>
      <c r="K61" s="3"/>
      <c r="L61" s="6"/>
      <c r="M61" s="6"/>
      <c r="N61" s="6"/>
      <c r="O61" s="6"/>
      <c r="P61" s="5"/>
      <c r="Q61" s="5"/>
      <c r="R61" s="5"/>
      <c r="S61" s="5"/>
      <c r="T61" s="5"/>
      <c r="U61" s="4"/>
      <c r="V61" s="4"/>
      <c r="W61" s="3"/>
      <c r="X61" s="2"/>
      <c r="Y61" s="5"/>
      <c r="Z61" s="5"/>
      <c r="AA61" s="5"/>
      <c r="CB61" s="1" t="s">
        <v>71</v>
      </c>
      <c r="CC61" s="112">
        <f>AC[[#This Row],[UID]]</f>
        <v>0</v>
      </c>
      <c r="CD61" s="1" t="s">
        <v>132</v>
      </c>
      <c r="CF61" s="1">
        <f>AC[[#This Row],[Part Type]]</f>
        <v>0</v>
      </c>
      <c r="CG61" s="112">
        <f>AC[[#This Row],[Name]]</f>
        <v>0</v>
      </c>
      <c r="CH61" s="1" t="e">
        <f>RIGHT(AC[[#This Row],[UID]],LEN(AC[[#This Row],[UID]])-3)</f>
        <v>#VALUE!</v>
      </c>
      <c r="CL61" s="1" t="str">
        <f>IF(AC[[#This Row],[Status]]=0,"",AC[[#This Row],[Status]])</f>
        <v/>
      </c>
    </row>
    <row r="62" spans="1:90" ht="15.95">
      <c r="A62" s="3"/>
      <c r="B62" s="3"/>
      <c r="C62" s="3"/>
      <c r="D62" s="3"/>
      <c r="E62" s="3"/>
      <c r="F62" s="5"/>
      <c r="G62" s="5"/>
      <c r="H62" s="5"/>
      <c r="I62" s="3"/>
      <c r="J62" s="3"/>
      <c r="K62" s="3"/>
      <c r="L62" s="6"/>
      <c r="M62" s="6"/>
      <c r="N62" s="6"/>
      <c r="O62" s="6"/>
      <c r="P62" s="5"/>
      <c r="Q62" s="5"/>
      <c r="R62" s="5"/>
      <c r="S62" s="5"/>
      <c r="T62" s="5"/>
      <c r="U62" s="4"/>
      <c r="V62" s="4"/>
      <c r="W62" s="3"/>
      <c r="X62" s="2"/>
      <c r="Y62" s="5"/>
      <c r="Z62" s="5"/>
      <c r="AA62" s="5"/>
      <c r="CB62" s="1" t="s">
        <v>71</v>
      </c>
      <c r="CC62" s="112">
        <f>AC[[#This Row],[UID]]</f>
        <v>0</v>
      </c>
      <c r="CD62" s="1" t="s">
        <v>132</v>
      </c>
      <c r="CF62" s="1">
        <f>AC[[#This Row],[Part Type]]</f>
        <v>0</v>
      </c>
      <c r="CG62" s="112">
        <f>AC[[#This Row],[Name]]</f>
        <v>0</v>
      </c>
      <c r="CH62" s="1" t="e">
        <f>RIGHT(AC[[#This Row],[UID]],LEN(AC[[#This Row],[UID]])-3)</f>
        <v>#VALUE!</v>
      </c>
      <c r="CL62" s="1" t="str">
        <f>IF(AC[[#This Row],[Status]]=0,"",AC[[#This Row],[Status]])</f>
        <v/>
      </c>
    </row>
    <row r="63" spans="1:90" ht="15.95">
      <c r="A63" s="3"/>
      <c r="B63" s="3"/>
      <c r="C63" s="3"/>
      <c r="D63" s="3"/>
      <c r="E63" s="3"/>
      <c r="F63" s="5"/>
      <c r="G63" s="5"/>
      <c r="H63" s="5"/>
      <c r="I63" s="3"/>
      <c r="J63" s="3"/>
      <c r="K63" s="3"/>
      <c r="L63" s="6"/>
      <c r="M63" s="6"/>
      <c r="N63" s="6"/>
      <c r="O63" s="6"/>
      <c r="P63" s="5"/>
      <c r="Q63" s="5"/>
      <c r="R63" s="5"/>
      <c r="S63" s="5"/>
      <c r="T63" s="5"/>
      <c r="U63" s="4"/>
      <c r="V63" s="4"/>
      <c r="W63" s="3"/>
      <c r="X63" s="2"/>
      <c r="Y63" s="5"/>
      <c r="Z63" s="5"/>
      <c r="AA63" s="5"/>
      <c r="CB63" s="1" t="s">
        <v>71</v>
      </c>
      <c r="CC63" s="112">
        <f>AC[[#This Row],[UID]]</f>
        <v>0</v>
      </c>
      <c r="CD63" s="1" t="s">
        <v>132</v>
      </c>
      <c r="CF63" s="1">
        <f>AC[[#This Row],[Part Type]]</f>
        <v>0</v>
      </c>
      <c r="CG63" s="112">
        <f>AC[[#This Row],[Name]]</f>
        <v>0</v>
      </c>
      <c r="CH63" s="1" t="e">
        <f>RIGHT(AC[[#This Row],[UID]],LEN(AC[[#This Row],[UID]])-3)</f>
        <v>#VALUE!</v>
      </c>
      <c r="CL63" s="1" t="str">
        <f>IF(AC[[#This Row],[Status]]=0,"",AC[[#This Row],[Status]])</f>
        <v/>
      </c>
    </row>
    <row r="64" spans="1:90" ht="15.95">
      <c r="A64" s="3"/>
      <c r="B64" s="3"/>
      <c r="C64" s="3"/>
      <c r="D64" s="3"/>
      <c r="E64" s="3"/>
      <c r="F64" s="5"/>
      <c r="G64" s="5"/>
      <c r="H64" s="5"/>
      <c r="I64" s="3"/>
      <c r="J64" s="3"/>
      <c r="K64" s="3"/>
      <c r="L64" s="6"/>
      <c r="M64" s="6"/>
      <c r="N64" s="6"/>
      <c r="O64" s="6"/>
      <c r="P64" s="5"/>
      <c r="Q64" s="5"/>
      <c r="R64" s="5"/>
      <c r="S64" s="5"/>
      <c r="T64" s="5"/>
      <c r="U64" s="4"/>
      <c r="V64" s="4"/>
      <c r="W64" s="3"/>
      <c r="X64" s="2"/>
      <c r="Y64" s="5"/>
      <c r="Z64" s="5"/>
      <c r="AA64" s="5"/>
      <c r="CB64" s="1" t="s">
        <v>71</v>
      </c>
      <c r="CC64" s="112">
        <f>AC[[#This Row],[UID]]</f>
        <v>0</v>
      </c>
      <c r="CD64" s="1" t="s">
        <v>132</v>
      </c>
      <c r="CF64" s="1">
        <f>AC[[#This Row],[Part Type]]</f>
        <v>0</v>
      </c>
      <c r="CG64" s="112">
        <f>AC[[#This Row],[Name]]</f>
        <v>0</v>
      </c>
      <c r="CH64" s="1" t="e">
        <f>RIGHT(AC[[#This Row],[UID]],LEN(AC[[#This Row],[UID]])-3)</f>
        <v>#VALUE!</v>
      </c>
      <c r="CL64" s="1" t="str">
        <f>IF(AC[[#This Row],[Status]]=0,"",AC[[#This Row],[Status]])</f>
        <v/>
      </c>
    </row>
    <row r="65" spans="1:90" ht="15.95">
      <c r="A65" s="3"/>
      <c r="B65" s="3"/>
      <c r="C65" s="3"/>
      <c r="D65" s="3"/>
      <c r="E65" s="3"/>
      <c r="F65" s="5"/>
      <c r="G65" s="5"/>
      <c r="H65" s="5"/>
      <c r="I65" s="3"/>
      <c r="J65" s="3"/>
      <c r="K65" s="3"/>
      <c r="L65" s="6"/>
      <c r="M65" s="6"/>
      <c r="N65" s="6"/>
      <c r="O65" s="6"/>
      <c r="P65" s="5"/>
      <c r="Q65" s="5"/>
      <c r="R65" s="5"/>
      <c r="S65" s="5"/>
      <c r="T65" s="5"/>
      <c r="U65" s="4"/>
      <c r="V65" s="4"/>
      <c r="W65" s="3"/>
      <c r="X65" s="2"/>
      <c r="Y65" s="5"/>
      <c r="Z65" s="5"/>
      <c r="AA65" s="5"/>
      <c r="CB65" s="1" t="s">
        <v>71</v>
      </c>
      <c r="CC65" s="112">
        <f>AC[[#This Row],[UID]]</f>
        <v>0</v>
      </c>
      <c r="CD65" s="1" t="s">
        <v>132</v>
      </c>
      <c r="CF65" s="1">
        <f>AC[[#This Row],[Part Type]]</f>
        <v>0</v>
      </c>
      <c r="CG65" s="112">
        <f>AC[[#This Row],[Name]]</f>
        <v>0</v>
      </c>
      <c r="CH65" s="1" t="e">
        <f>RIGHT(AC[[#This Row],[UID]],LEN(AC[[#This Row],[UID]])-3)</f>
        <v>#VALUE!</v>
      </c>
      <c r="CL65" s="1" t="str">
        <f>IF(AC[[#This Row],[Status]]=0,"",AC[[#This Row],[Status]])</f>
        <v/>
      </c>
    </row>
    <row r="66" spans="1:90" ht="15.95">
      <c r="A66" s="3"/>
      <c r="B66" s="3"/>
      <c r="C66" s="3"/>
      <c r="D66" s="3"/>
      <c r="E66" s="3"/>
      <c r="F66" s="5"/>
      <c r="G66" s="5"/>
      <c r="H66" s="5"/>
      <c r="I66" s="3"/>
      <c r="J66" s="3"/>
      <c r="K66" s="3"/>
      <c r="L66" s="6"/>
      <c r="M66" s="6"/>
      <c r="N66" s="6"/>
      <c r="O66" s="6"/>
      <c r="P66" s="5"/>
      <c r="Q66" s="5"/>
      <c r="R66" s="5"/>
      <c r="S66" s="5"/>
      <c r="T66" s="5"/>
      <c r="U66" s="4"/>
      <c r="V66" s="4"/>
      <c r="W66" s="3"/>
      <c r="X66" s="2"/>
      <c r="Y66" s="5"/>
      <c r="Z66" s="5"/>
      <c r="AA66" s="5"/>
      <c r="CB66" s="1" t="s">
        <v>71</v>
      </c>
      <c r="CC66" s="112">
        <f>AC[[#This Row],[UID]]</f>
        <v>0</v>
      </c>
      <c r="CD66" s="1" t="s">
        <v>132</v>
      </c>
      <c r="CF66" s="1">
        <f>AC[[#This Row],[Part Type]]</f>
        <v>0</v>
      </c>
      <c r="CG66" s="112">
        <f>AC[[#This Row],[Name]]</f>
        <v>0</v>
      </c>
      <c r="CH66" s="1" t="e">
        <f>RIGHT(AC[[#This Row],[UID]],LEN(AC[[#This Row],[UID]])-3)</f>
        <v>#VALUE!</v>
      </c>
      <c r="CL66" s="1" t="str">
        <f>IF(AC[[#This Row],[Status]]=0,"",AC[[#This Row],[Status]])</f>
        <v/>
      </c>
    </row>
    <row r="67" spans="1:90" ht="15.95">
      <c r="A67" s="3"/>
      <c r="B67" s="3"/>
      <c r="C67" s="3"/>
      <c r="D67" s="3"/>
      <c r="E67" s="3"/>
      <c r="F67" s="5"/>
      <c r="G67" s="5"/>
      <c r="H67" s="5"/>
      <c r="I67" s="3"/>
      <c r="J67" s="3"/>
      <c r="K67" s="3"/>
      <c r="L67" s="6"/>
      <c r="M67" s="6"/>
      <c r="N67" s="6"/>
      <c r="O67" s="6"/>
      <c r="P67" s="5"/>
      <c r="Q67" s="5"/>
      <c r="R67" s="5"/>
      <c r="S67" s="5"/>
      <c r="T67" s="5"/>
      <c r="U67" s="4"/>
      <c r="V67" s="4"/>
      <c r="W67" s="3"/>
      <c r="X67" s="2"/>
      <c r="Y67" s="5"/>
      <c r="Z67" s="5"/>
      <c r="AA67" s="5"/>
      <c r="CB67" s="1" t="s">
        <v>71</v>
      </c>
      <c r="CC67" s="112">
        <f>AC[[#This Row],[UID]]</f>
        <v>0</v>
      </c>
      <c r="CD67" s="1" t="s">
        <v>132</v>
      </c>
      <c r="CF67" s="1">
        <f>AC[[#This Row],[Part Type]]</f>
        <v>0</v>
      </c>
      <c r="CG67" s="112">
        <f>AC[[#This Row],[Name]]</f>
        <v>0</v>
      </c>
      <c r="CH67" s="1" t="e">
        <f>RIGHT(AC[[#This Row],[UID]],LEN(AC[[#This Row],[UID]])-3)</f>
        <v>#VALUE!</v>
      </c>
      <c r="CL67" s="1" t="str">
        <f>IF(AC[[#This Row],[Status]]=0,"",AC[[#This Row],[Status]])</f>
        <v/>
      </c>
    </row>
    <row r="68" spans="1:90" ht="15.95">
      <c r="A68" s="3"/>
      <c r="B68" s="3"/>
      <c r="C68" s="3"/>
      <c r="D68" s="3"/>
      <c r="E68" s="3"/>
      <c r="F68" s="5"/>
      <c r="G68" s="5"/>
      <c r="H68" s="5"/>
      <c r="I68" s="3"/>
      <c r="J68" s="3"/>
      <c r="K68" s="3"/>
      <c r="L68" s="6"/>
      <c r="M68" s="6"/>
      <c r="N68" s="6"/>
      <c r="O68" s="6"/>
      <c r="P68" s="5"/>
      <c r="Q68" s="5"/>
      <c r="R68" s="5"/>
      <c r="S68" s="5"/>
      <c r="T68" s="5"/>
      <c r="U68" s="4"/>
      <c r="V68" s="4"/>
      <c r="W68" s="3"/>
      <c r="X68" s="2"/>
      <c r="Y68" s="5"/>
      <c r="Z68" s="5"/>
      <c r="AA68" s="5"/>
      <c r="CB68" s="1" t="s">
        <v>71</v>
      </c>
      <c r="CC68" s="112">
        <f>AC[[#This Row],[UID]]</f>
        <v>0</v>
      </c>
      <c r="CD68" s="1" t="s">
        <v>132</v>
      </c>
      <c r="CF68" s="1">
        <f>AC[[#This Row],[Part Type]]</f>
        <v>0</v>
      </c>
      <c r="CG68" s="112">
        <f>AC[[#This Row],[Name]]</f>
        <v>0</v>
      </c>
      <c r="CH68" s="1" t="e">
        <f>RIGHT(AC[[#This Row],[UID]],LEN(AC[[#This Row],[UID]])-3)</f>
        <v>#VALUE!</v>
      </c>
      <c r="CL68" s="1" t="str">
        <f>IF(AC[[#This Row],[Status]]=0,"",AC[[#This Row],[Status]])</f>
        <v/>
      </c>
    </row>
    <row r="69" spans="1:90" ht="15.95">
      <c r="A69" s="3"/>
      <c r="B69" s="3"/>
      <c r="C69" s="3"/>
      <c r="D69" s="3"/>
      <c r="E69" s="3"/>
      <c r="F69" s="5"/>
      <c r="G69" s="5"/>
      <c r="H69" s="5"/>
      <c r="I69" s="3"/>
      <c r="J69" s="3"/>
      <c r="K69" s="3"/>
      <c r="L69" s="6"/>
      <c r="M69" s="6"/>
      <c r="N69" s="6"/>
      <c r="O69" s="6"/>
      <c r="P69" s="5"/>
      <c r="Q69" s="5"/>
      <c r="R69" s="5"/>
      <c r="S69" s="5"/>
      <c r="T69" s="5"/>
      <c r="U69" s="4"/>
      <c r="V69" s="4"/>
      <c r="W69" s="3"/>
      <c r="X69" s="2"/>
      <c r="Y69" s="5"/>
      <c r="Z69" s="5"/>
      <c r="AA69" s="5"/>
      <c r="CB69" s="1" t="s">
        <v>71</v>
      </c>
      <c r="CC69" s="112">
        <f>AC[[#This Row],[UID]]</f>
        <v>0</v>
      </c>
      <c r="CD69" s="1" t="s">
        <v>132</v>
      </c>
      <c r="CF69" s="1">
        <f>AC[[#This Row],[Part Type]]</f>
        <v>0</v>
      </c>
      <c r="CG69" s="112">
        <f>AC[[#This Row],[Name]]</f>
        <v>0</v>
      </c>
      <c r="CH69" s="1" t="e">
        <f>RIGHT(AC[[#This Row],[UID]],LEN(AC[[#This Row],[UID]])-3)</f>
        <v>#VALUE!</v>
      </c>
      <c r="CL69" s="1" t="str">
        <f>IF(AC[[#This Row],[Status]]=0,"",AC[[#This Row],[Status]])</f>
        <v/>
      </c>
    </row>
    <row r="70" spans="1:90" ht="15.95">
      <c r="A70" s="3"/>
      <c r="B70" s="3"/>
      <c r="C70" s="3"/>
      <c r="D70" s="3"/>
      <c r="E70" s="3"/>
      <c r="F70" s="5"/>
      <c r="G70" s="5"/>
      <c r="H70" s="5"/>
      <c r="I70" s="3"/>
      <c r="J70" s="3"/>
      <c r="K70" s="3"/>
      <c r="L70" s="6"/>
      <c r="M70" s="6"/>
      <c r="N70" s="6"/>
      <c r="O70" s="6"/>
      <c r="P70" s="5"/>
      <c r="Q70" s="5"/>
      <c r="R70" s="5"/>
      <c r="S70" s="5"/>
      <c r="T70" s="5"/>
      <c r="U70" s="4"/>
      <c r="V70" s="4"/>
      <c r="W70" s="3"/>
      <c r="X70" s="2"/>
      <c r="Y70" s="5"/>
      <c r="Z70" s="5"/>
      <c r="AA70" s="5"/>
      <c r="CB70" s="1" t="s">
        <v>71</v>
      </c>
      <c r="CC70" s="112">
        <f>AC[[#This Row],[UID]]</f>
        <v>0</v>
      </c>
      <c r="CD70" s="1" t="s">
        <v>132</v>
      </c>
      <c r="CF70" s="1">
        <f>AC[[#This Row],[Part Type]]</f>
        <v>0</v>
      </c>
      <c r="CG70" s="112">
        <f>AC[[#This Row],[Name]]</f>
        <v>0</v>
      </c>
      <c r="CH70" s="1" t="e">
        <f>RIGHT(AC[[#This Row],[UID]],LEN(AC[[#This Row],[UID]])-3)</f>
        <v>#VALUE!</v>
      </c>
      <c r="CL70" s="1" t="str">
        <f>IF(AC[[#This Row],[Status]]=0,"",AC[[#This Row],[Status]])</f>
        <v/>
      </c>
    </row>
    <row r="71" spans="1:90" ht="15.95">
      <c r="A71" s="3"/>
      <c r="B71" s="3"/>
      <c r="C71" s="3"/>
      <c r="D71" s="3"/>
      <c r="E71" s="3"/>
      <c r="F71" s="5"/>
      <c r="G71" s="5"/>
      <c r="H71" s="5"/>
      <c r="I71" s="3"/>
      <c r="J71" s="3"/>
      <c r="K71" s="3"/>
      <c r="L71" s="6"/>
      <c r="M71" s="6"/>
      <c r="N71" s="6"/>
      <c r="O71" s="6"/>
      <c r="P71" s="5"/>
      <c r="Q71" s="5"/>
      <c r="R71" s="5"/>
      <c r="S71" s="5"/>
      <c r="T71" s="5"/>
      <c r="U71" s="4"/>
      <c r="V71" s="4"/>
      <c r="W71" s="3"/>
      <c r="X71" s="2"/>
      <c r="Y71" s="5"/>
      <c r="Z71" s="5"/>
      <c r="AA71" s="5"/>
      <c r="CB71" s="1" t="s">
        <v>71</v>
      </c>
      <c r="CC71" s="112">
        <f>AC[[#This Row],[UID]]</f>
        <v>0</v>
      </c>
      <c r="CD71" s="1" t="s">
        <v>132</v>
      </c>
      <c r="CF71" s="1">
        <f>AC[[#This Row],[Part Type]]</f>
        <v>0</v>
      </c>
      <c r="CG71" s="112">
        <f>AC[[#This Row],[Name]]</f>
        <v>0</v>
      </c>
      <c r="CH71" s="1" t="e">
        <f>RIGHT(AC[[#This Row],[UID]],LEN(AC[[#This Row],[UID]])-3)</f>
        <v>#VALUE!</v>
      </c>
      <c r="CL71" s="1" t="str">
        <f>IF(AC[[#This Row],[Status]]=0,"",AC[[#This Row],[Status]])</f>
        <v/>
      </c>
    </row>
    <row r="72" spans="1:90" ht="15.95">
      <c r="A72" s="3"/>
      <c r="B72" s="3"/>
      <c r="C72" s="3"/>
      <c r="D72" s="3"/>
      <c r="E72" s="3"/>
      <c r="F72" s="5"/>
      <c r="G72" s="5"/>
      <c r="H72" s="5"/>
      <c r="I72" s="3"/>
      <c r="J72" s="3"/>
      <c r="K72" s="3"/>
      <c r="L72" s="6"/>
      <c r="M72" s="6"/>
      <c r="N72" s="6"/>
      <c r="O72" s="6"/>
      <c r="P72" s="5"/>
      <c r="Q72" s="5"/>
      <c r="R72" s="5"/>
      <c r="S72" s="5"/>
      <c r="T72" s="5"/>
      <c r="U72" s="4"/>
      <c r="V72" s="4"/>
      <c r="W72" s="3"/>
      <c r="X72" s="2"/>
      <c r="Y72" s="5"/>
      <c r="Z72" s="5"/>
      <c r="AA72" s="5"/>
      <c r="CB72" s="1" t="s">
        <v>71</v>
      </c>
      <c r="CC72" s="112">
        <f>AC[[#This Row],[UID]]</f>
        <v>0</v>
      </c>
      <c r="CD72" s="1" t="s">
        <v>132</v>
      </c>
      <c r="CF72" s="1">
        <f>AC[[#This Row],[Part Type]]</f>
        <v>0</v>
      </c>
      <c r="CG72" s="112">
        <f>AC[[#This Row],[Name]]</f>
        <v>0</v>
      </c>
      <c r="CH72" s="1" t="e">
        <f>RIGHT(AC[[#This Row],[UID]],LEN(AC[[#This Row],[UID]])-3)</f>
        <v>#VALUE!</v>
      </c>
      <c r="CL72" s="1" t="str">
        <f>IF(AC[[#This Row],[Status]]=0,"",AC[[#This Row],[Status]])</f>
        <v/>
      </c>
    </row>
    <row r="73" spans="1:90" ht="15.95">
      <c r="A73" s="3"/>
      <c r="B73" s="3"/>
      <c r="C73" s="3"/>
      <c r="D73" s="3"/>
      <c r="E73" s="3"/>
      <c r="F73" s="5"/>
      <c r="G73" s="5"/>
      <c r="H73" s="5"/>
      <c r="I73" s="3"/>
      <c r="J73" s="3"/>
      <c r="K73" s="3"/>
      <c r="L73" s="6"/>
      <c r="M73" s="6"/>
      <c r="N73" s="6"/>
      <c r="O73" s="6"/>
      <c r="P73" s="5"/>
      <c r="Q73" s="5"/>
      <c r="R73" s="5"/>
      <c r="S73" s="5"/>
      <c r="T73" s="5"/>
      <c r="U73" s="4"/>
      <c r="V73" s="4"/>
      <c r="W73" s="3"/>
      <c r="X73" s="2"/>
      <c r="Y73" s="5"/>
      <c r="Z73" s="5"/>
      <c r="AA73" s="5"/>
      <c r="CB73" s="1" t="s">
        <v>71</v>
      </c>
      <c r="CC73" s="112">
        <f>AC[[#This Row],[UID]]</f>
        <v>0</v>
      </c>
      <c r="CD73" s="1" t="s">
        <v>132</v>
      </c>
      <c r="CF73" s="1">
        <f>AC[[#This Row],[Part Type]]</f>
        <v>0</v>
      </c>
      <c r="CG73" s="112">
        <f>AC[[#This Row],[Name]]</f>
        <v>0</v>
      </c>
      <c r="CH73" s="1" t="e">
        <f>RIGHT(AC[[#This Row],[UID]],LEN(AC[[#This Row],[UID]])-3)</f>
        <v>#VALUE!</v>
      </c>
      <c r="CL73" s="1" t="str">
        <f>IF(AC[[#This Row],[Status]]=0,"",AC[[#This Row],[Status]])</f>
        <v/>
      </c>
    </row>
    <row r="74" spans="1:90" ht="15.95">
      <c r="A74" s="3"/>
      <c r="B74" s="3"/>
      <c r="C74" s="3"/>
      <c r="D74" s="3"/>
      <c r="E74" s="3"/>
      <c r="F74" s="5"/>
      <c r="G74" s="5"/>
      <c r="H74" s="5"/>
      <c r="I74" s="3"/>
      <c r="J74" s="3"/>
      <c r="K74" s="3"/>
      <c r="L74" s="6"/>
      <c r="M74" s="6"/>
      <c r="N74" s="6"/>
      <c r="O74" s="6"/>
      <c r="P74" s="5"/>
      <c r="Q74" s="5"/>
      <c r="R74" s="5"/>
      <c r="S74" s="5"/>
      <c r="T74" s="5"/>
      <c r="U74" s="4"/>
      <c r="V74" s="4"/>
      <c r="W74" s="3"/>
      <c r="X74" s="2"/>
      <c r="Y74" s="5"/>
      <c r="Z74" s="5"/>
      <c r="AA74" s="5"/>
      <c r="CB74" s="1" t="s">
        <v>71</v>
      </c>
      <c r="CC74" s="112">
        <f>AC[[#This Row],[UID]]</f>
        <v>0</v>
      </c>
      <c r="CD74" s="1" t="s">
        <v>132</v>
      </c>
      <c r="CF74" s="1">
        <f>AC[[#This Row],[Part Type]]</f>
        <v>0</v>
      </c>
      <c r="CG74" s="112">
        <f>AC[[#This Row],[Name]]</f>
        <v>0</v>
      </c>
      <c r="CH74" s="1" t="e">
        <f>RIGHT(AC[[#This Row],[UID]],LEN(AC[[#This Row],[UID]])-3)</f>
        <v>#VALUE!</v>
      </c>
      <c r="CL74" s="1" t="str">
        <f>IF(AC[[#This Row],[Status]]=0,"",AC[[#This Row],[Status]])</f>
        <v/>
      </c>
    </row>
    <row r="75" spans="1:90" ht="15.95">
      <c r="A75" s="3"/>
      <c r="B75" s="3"/>
      <c r="C75" s="3"/>
      <c r="D75" s="3"/>
      <c r="E75" s="3"/>
      <c r="F75" s="5"/>
      <c r="G75" s="5"/>
      <c r="H75" s="5"/>
      <c r="I75" s="3"/>
      <c r="J75" s="3"/>
      <c r="K75" s="3"/>
      <c r="L75" s="6"/>
      <c r="M75" s="6"/>
      <c r="N75" s="6"/>
      <c r="O75" s="6"/>
      <c r="P75" s="5"/>
      <c r="Q75" s="5"/>
      <c r="R75" s="5"/>
      <c r="S75" s="5"/>
      <c r="T75" s="5"/>
      <c r="U75" s="4"/>
      <c r="V75" s="4"/>
      <c r="W75" s="3"/>
      <c r="X75" s="2"/>
      <c r="Y75" s="5"/>
      <c r="Z75" s="5"/>
      <c r="AA75" s="5"/>
      <c r="CB75" s="1" t="s">
        <v>71</v>
      </c>
      <c r="CC75" s="112">
        <f>AC[[#This Row],[UID]]</f>
        <v>0</v>
      </c>
      <c r="CD75" s="1" t="s">
        <v>132</v>
      </c>
      <c r="CF75" s="1">
        <f>AC[[#This Row],[Part Type]]</f>
        <v>0</v>
      </c>
      <c r="CG75" s="112">
        <f>AC[[#This Row],[Name]]</f>
        <v>0</v>
      </c>
      <c r="CH75" s="1" t="e">
        <f>RIGHT(AC[[#This Row],[UID]],LEN(AC[[#This Row],[UID]])-3)</f>
        <v>#VALUE!</v>
      </c>
      <c r="CL75" s="1" t="str">
        <f>IF(AC[[#This Row],[Status]]=0,"",AC[[#This Row],[Status]])</f>
        <v/>
      </c>
    </row>
    <row r="76" spans="1:90" ht="15.95">
      <c r="A76" s="3"/>
      <c r="B76" s="3"/>
      <c r="C76" s="3"/>
      <c r="D76" s="3"/>
      <c r="E76" s="3"/>
      <c r="F76" s="5"/>
      <c r="G76" s="5"/>
      <c r="H76" s="5"/>
      <c r="I76" s="3"/>
      <c r="J76" s="3"/>
      <c r="K76" s="3"/>
      <c r="L76" s="6"/>
      <c r="M76" s="6"/>
      <c r="N76" s="6"/>
      <c r="O76" s="6"/>
      <c r="P76" s="5"/>
      <c r="Q76" s="5"/>
      <c r="R76" s="5"/>
      <c r="S76" s="5"/>
      <c r="T76" s="5"/>
      <c r="U76" s="4"/>
      <c r="V76" s="4"/>
      <c r="W76" s="3"/>
      <c r="X76" s="2"/>
      <c r="Y76" s="5"/>
      <c r="Z76" s="5"/>
      <c r="AA76" s="5"/>
      <c r="CB76" s="1" t="s">
        <v>71</v>
      </c>
      <c r="CC76" s="112">
        <f>AC[[#This Row],[UID]]</f>
        <v>0</v>
      </c>
      <c r="CD76" s="1" t="s">
        <v>132</v>
      </c>
      <c r="CF76" s="1">
        <f>AC[[#This Row],[Part Type]]</f>
        <v>0</v>
      </c>
      <c r="CG76" s="112">
        <f>AC[[#This Row],[Name]]</f>
        <v>0</v>
      </c>
      <c r="CH76" s="1" t="e">
        <f>RIGHT(AC[[#This Row],[UID]],LEN(AC[[#This Row],[UID]])-3)</f>
        <v>#VALUE!</v>
      </c>
      <c r="CL76" s="1" t="str">
        <f>IF(AC[[#This Row],[Status]]=0,"",AC[[#This Row],[Status]])</f>
        <v/>
      </c>
    </row>
    <row r="77" spans="1:90" ht="15.95">
      <c r="A77" s="3"/>
      <c r="B77" s="3"/>
      <c r="C77" s="3"/>
      <c r="D77" s="3"/>
      <c r="E77" s="3"/>
      <c r="F77" s="5"/>
      <c r="G77" s="5"/>
      <c r="H77" s="5"/>
      <c r="I77" s="3"/>
      <c r="J77" s="3"/>
      <c r="K77" s="3"/>
      <c r="L77" s="6"/>
      <c r="M77" s="6"/>
      <c r="N77" s="6"/>
      <c r="O77" s="6"/>
      <c r="P77" s="5"/>
      <c r="Q77" s="5"/>
      <c r="R77" s="5"/>
      <c r="S77" s="5"/>
      <c r="T77" s="5"/>
      <c r="U77" s="4"/>
      <c r="V77" s="4"/>
      <c r="W77" s="3"/>
      <c r="X77" s="2"/>
      <c r="Y77" s="5"/>
      <c r="Z77" s="5"/>
      <c r="AA77" s="5"/>
      <c r="CB77" s="1" t="s">
        <v>71</v>
      </c>
      <c r="CC77" s="112">
        <f>AC[[#This Row],[UID]]</f>
        <v>0</v>
      </c>
      <c r="CD77" s="1" t="s">
        <v>132</v>
      </c>
      <c r="CF77" s="1">
        <f>AC[[#This Row],[Part Type]]</f>
        <v>0</v>
      </c>
      <c r="CG77" s="112">
        <f>AC[[#This Row],[Name]]</f>
        <v>0</v>
      </c>
      <c r="CH77" s="1" t="e">
        <f>RIGHT(AC[[#This Row],[UID]],LEN(AC[[#This Row],[UID]])-3)</f>
        <v>#VALUE!</v>
      </c>
      <c r="CL77" s="1" t="str">
        <f>IF(AC[[#This Row],[Status]]=0,"",AC[[#This Row],[Status]])</f>
        <v/>
      </c>
    </row>
    <row r="78" spans="1:90" ht="15.95">
      <c r="A78" s="3"/>
      <c r="B78" s="3"/>
      <c r="C78" s="3"/>
      <c r="D78" s="3"/>
      <c r="E78" s="3"/>
      <c r="F78" s="5"/>
      <c r="G78" s="5"/>
      <c r="H78" s="5"/>
      <c r="I78" s="3"/>
      <c r="J78" s="3"/>
      <c r="K78" s="3"/>
      <c r="L78" s="6"/>
      <c r="M78" s="6"/>
      <c r="N78" s="6"/>
      <c r="O78" s="6"/>
      <c r="P78" s="5"/>
      <c r="Q78" s="5"/>
      <c r="R78" s="5"/>
      <c r="S78" s="5"/>
      <c r="T78" s="5"/>
      <c r="U78" s="4"/>
      <c r="V78" s="4"/>
      <c r="W78" s="3"/>
      <c r="X78" s="2"/>
      <c r="Y78" s="5"/>
      <c r="Z78" s="5"/>
      <c r="AA78" s="5"/>
      <c r="CB78" s="1" t="s">
        <v>71</v>
      </c>
      <c r="CC78" s="112">
        <f>AC[[#This Row],[UID]]</f>
        <v>0</v>
      </c>
      <c r="CD78" s="1" t="s">
        <v>132</v>
      </c>
      <c r="CF78" s="1">
        <f>AC[[#This Row],[Part Type]]</f>
        <v>0</v>
      </c>
      <c r="CG78" s="112">
        <f>AC[[#This Row],[Name]]</f>
        <v>0</v>
      </c>
      <c r="CH78" s="1" t="e">
        <f>RIGHT(AC[[#This Row],[UID]],LEN(AC[[#This Row],[UID]])-3)</f>
        <v>#VALUE!</v>
      </c>
      <c r="CL78" s="1" t="str">
        <f>IF(AC[[#This Row],[Status]]=0,"",AC[[#This Row],[Status]])</f>
        <v/>
      </c>
    </row>
    <row r="79" spans="1:90" ht="15.95">
      <c r="A79" s="3"/>
      <c r="B79" s="3"/>
      <c r="C79" s="3"/>
      <c r="D79" s="3"/>
      <c r="E79" s="3"/>
      <c r="F79" s="5"/>
      <c r="G79" s="5"/>
      <c r="H79" s="5"/>
      <c r="I79" s="3"/>
      <c r="J79" s="3"/>
      <c r="K79" s="3"/>
      <c r="L79" s="6"/>
      <c r="M79" s="6"/>
      <c r="N79" s="6"/>
      <c r="O79" s="6"/>
      <c r="P79" s="5"/>
      <c r="Q79" s="5"/>
      <c r="R79" s="5"/>
      <c r="S79" s="5"/>
      <c r="T79" s="5"/>
      <c r="U79" s="4"/>
      <c r="V79" s="4"/>
      <c r="W79" s="3"/>
      <c r="X79" s="2"/>
      <c r="Y79" s="5"/>
      <c r="Z79" s="5"/>
      <c r="AA79" s="5"/>
      <c r="CB79" s="1" t="s">
        <v>71</v>
      </c>
      <c r="CC79" s="112">
        <f>AC[[#This Row],[UID]]</f>
        <v>0</v>
      </c>
      <c r="CD79" s="1" t="s">
        <v>132</v>
      </c>
      <c r="CF79" s="1">
        <f>AC[[#This Row],[Part Type]]</f>
        <v>0</v>
      </c>
      <c r="CG79" s="112">
        <f>AC[[#This Row],[Name]]</f>
        <v>0</v>
      </c>
      <c r="CH79" s="1" t="e">
        <f>RIGHT(AC[[#This Row],[UID]],LEN(AC[[#This Row],[UID]])-3)</f>
        <v>#VALUE!</v>
      </c>
      <c r="CL79" s="1" t="str">
        <f>IF(AC[[#This Row],[Status]]=0,"",AC[[#This Row],[Status]])</f>
        <v/>
      </c>
    </row>
    <row r="80" spans="1:90" ht="15.95">
      <c r="A80" s="3"/>
      <c r="B80" s="3"/>
      <c r="C80" s="3"/>
      <c r="D80" s="3"/>
      <c r="E80" s="3"/>
      <c r="F80" s="5"/>
      <c r="G80" s="5"/>
      <c r="H80" s="5"/>
      <c r="I80" s="3"/>
      <c r="J80" s="3"/>
      <c r="K80" s="3"/>
      <c r="L80" s="6"/>
      <c r="M80" s="6"/>
      <c r="N80" s="6"/>
      <c r="O80" s="6"/>
      <c r="P80" s="5"/>
      <c r="Q80" s="5"/>
      <c r="R80" s="5"/>
      <c r="S80" s="5"/>
      <c r="T80" s="5"/>
      <c r="U80" s="4"/>
      <c r="V80" s="4"/>
      <c r="W80" s="3"/>
      <c r="X80" s="2"/>
      <c r="Y80" s="5"/>
      <c r="Z80" s="5"/>
      <c r="AA80" s="5"/>
      <c r="CB80" s="1" t="s">
        <v>71</v>
      </c>
      <c r="CC80" s="112">
        <f>AC[[#This Row],[UID]]</f>
        <v>0</v>
      </c>
      <c r="CD80" s="1" t="s">
        <v>132</v>
      </c>
      <c r="CF80" s="1">
        <f>AC[[#This Row],[Part Type]]</f>
        <v>0</v>
      </c>
      <c r="CG80" s="112">
        <f>AC[[#This Row],[Name]]</f>
        <v>0</v>
      </c>
      <c r="CH80" s="1" t="e">
        <f>RIGHT(AC[[#This Row],[UID]],LEN(AC[[#This Row],[UID]])-3)</f>
        <v>#VALUE!</v>
      </c>
      <c r="CL80" s="1" t="str">
        <f>IF(AC[[#This Row],[Status]]=0,"",AC[[#This Row],[Status]])</f>
        <v/>
      </c>
    </row>
    <row r="81" spans="1:90" ht="15.95">
      <c r="A81" s="3"/>
      <c r="B81" s="3"/>
      <c r="C81" s="3"/>
      <c r="D81" s="3"/>
      <c r="E81" s="3"/>
      <c r="F81" s="5"/>
      <c r="G81" s="5"/>
      <c r="H81" s="5"/>
      <c r="I81" s="3"/>
      <c r="J81" s="3"/>
      <c r="K81" s="3"/>
      <c r="L81" s="6"/>
      <c r="M81" s="6"/>
      <c r="N81" s="6"/>
      <c r="O81" s="6"/>
      <c r="P81" s="5"/>
      <c r="Q81" s="5"/>
      <c r="R81" s="5"/>
      <c r="S81" s="5"/>
      <c r="T81" s="5"/>
      <c r="U81" s="4"/>
      <c r="V81" s="4"/>
      <c r="W81" s="3"/>
      <c r="X81" s="2"/>
      <c r="Y81" s="5"/>
      <c r="Z81" s="5"/>
      <c r="AA81" s="5"/>
      <c r="CB81" s="1" t="s">
        <v>71</v>
      </c>
      <c r="CC81" s="112">
        <f>AC[[#This Row],[UID]]</f>
        <v>0</v>
      </c>
      <c r="CD81" s="1" t="s">
        <v>132</v>
      </c>
      <c r="CF81" s="1">
        <f>AC[[#This Row],[Part Type]]</f>
        <v>0</v>
      </c>
      <c r="CG81" s="112">
        <f>AC[[#This Row],[Name]]</f>
        <v>0</v>
      </c>
      <c r="CH81" s="1" t="e">
        <f>RIGHT(AC[[#This Row],[UID]],LEN(AC[[#This Row],[UID]])-3)</f>
        <v>#VALUE!</v>
      </c>
      <c r="CL81" s="1" t="str">
        <f>IF(AC[[#This Row],[Status]]=0,"",AC[[#This Row],[Status]])</f>
        <v/>
      </c>
    </row>
    <row r="82" spans="1:90" ht="15.95">
      <c r="A82" s="3"/>
      <c r="B82" s="3"/>
      <c r="C82" s="3"/>
      <c r="D82" s="3"/>
      <c r="E82" s="3"/>
      <c r="F82" s="5"/>
      <c r="G82" s="5"/>
      <c r="H82" s="5"/>
      <c r="I82" s="3"/>
      <c r="J82" s="3"/>
      <c r="K82" s="3"/>
      <c r="L82" s="6"/>
      <c r="M82" s="6"/>
      <c r="N82" s="6"/>
      <c r="O82" s="6"/>
      <c r="P82" s="5"/>
      <c r="Q82" s="5"/>
      <c r="R82" s="5"/>
      <c r="S82" s="5"/>
      <c r="T82" s="5"/>
      <c r="U82" s="4"/>
      <c r="V82" s="4"/>
      <c r="W82" s="3"/>
      <c r="X82" s="2"/>
      <c r="Y82" s="5"/>
      <c r="Z82" s="5"/>
      <c r="AA82" s="5"/>
      <c r="CB82" s="1" t="s">
        <v>71</v>
      </c>
      <c r="CC82" s="112">
        <f>AC[[#This Row],[UID]]</f>
        <v>0</v>
      </c>
      <c r="CD82" s="1" t="s">
        <v>132</v>
      </c>
      <c r="CF82" s="1">
        <f>AC[[#This Row],[Part Type]]</f>
        <v>0</v>
      </c>
      <c r="CG82" s="112">
        <f>AC[[#This Row],[Name]]</f>
        <v>0</v>
      </c>
      <c r="CH82" s="1" t="e">
        <f>RIGHT(AC[[#This Row],[UID]],LEN(AC[[#This Row],[UID]])-3)</f>
        <v>#VALUE!</v>
      </c>
      <c r="CL82" s="1" t="str">
        <f>IF(AC[[#This Row],[Status]]=0,"",AC[[#This Row],[Status]])</f>
        <v/>
      </c>
    </row>
    <row r="83" spans="1:90" ht="15.95">
      <c r="A83" s="3"/>
      <c r="B83" s="3"/>
      <c r="C83" s="3"/>
      <c r="D83" s="3"/>
      <c r="E83" s="3"/>
      <c r="F83" s="5"/>
      <c r="G83" s="5"/>
      <c r="H83" s="5"/>
      <c r="I83" s="3"/>
      <c r="J83" s="3"/>
      <c r="K83" s="3"/>
      <c r="L83" s="6"/>
      <c r="M83" s="6"/>
      <c r="N83" s="6"/>
      <c r="O83" s="6"/>
      <c r="P83" s="5"/>
      <c r="Q83" s="5"/>
      <c r="R83" s="5"/>
      <c r="S83" s="5"/>
      <c r="T83" s="5"/>
      <c r="U83" s="4"/>
      <c r="V83" s="4"/>
      <c r="W83" s="3"/>
      <c r="X83" s="2"/>
      <c r="Y83" s="5"/>
      <c r="Z83" s="5"/>
      <c r="AA83" s="5"/>
      <c r="CB83" s="1" t="s">
        <v>71</v>
      </c>
      <c r="CC83" s="112">
        <f>AC[[#This Row],[UID]]</f>
        <v>0</v>
      </c>
      <c r="CD83" s="1" t="s">
        <v>132</v>
      </c>
      <c r="CF83" s="1">
        <f>AC[[#This Row],[Part Type]]</f>
        <v>0</v>
      </c>
      <c r="CG83" s="112">
        <f>AC[[#This Row],[Name]]</f>
        <v>0</v>
      </c>
      <c r="CH83" s="1" t="e">
        <f>RIGHT(AC[[#This Row],[UID]],LEN(AC[[#This Row],[UID]])-3)</f>
        <v>#VALUE!</v>
      </c>
      <c r="CL83" s="1" t="str">
        <f>IF(AC[[#This Row],[Status]]=0,"",AC[[#This Row],[Status]])</f>
        <v/>
      </c>
    </row>
    <row r="84" spans="1:90" ht="15.95">
      <c r="A84" s="3"/>
      <c r="B84" s="3"/>
      <c r="C84" s="3"/>
      <c r="D84" s="3"/>
      <c r="E84" s="3"/>
      <c r="F84" s="5"/>
      <c r="G84" s="5"/>
      <c r="H84" s="5"/>
      <c r="I84" s="3"/>
      <c r="J84" s="3"/>
      <c r="K84" s="3"/>
      <c r="L84" s="6"/>
      <c r="M84" s="6"/>
      <c r="N84" s="6"/>
      <c r="O84" s="6"/>
      <c r="P84" s="5"/>
      <c r="Q84" s="5"/>
      <c r="R84" s="5"/>
      <c r="S84" s="5"/>
      <c r="T84" s="5"/>
      <c r="U84" s="4"/>
      <c r="V84" s="4"/>
      <c r="W84" s="3"/>
      <c r="X84" s="2"/>
      <c r="Y84" s="5"/>
      <c r="Z84" s="5"/>
      <c r="AA84" s="5"/>
      <c r="CB84" s="1" t="s">
        <v>71</v>
      </c>
      <c r="CC84" s="112">
        <f>AC[[#This Row],[UID]]</f>
        <v>0</v>
      </c>
      <c r="CD84" s="1" t="s">
        <v>132</v>
      </c>
      <c r="CF84" s="1">
        <f>AC[[#This Row],[Part Type]]</f>
        <v>0</v>
      </c>
      <c r="CG84" s="112">
        <f>AC[[#This Row],[Name]]</f>
        <v>0</v>
      </c>
      <c r="CH84" s="1" t="e">
        <f>RIGHT(AC[[#This Row],[UID]],LEN(AC[[#This Row],[UID]])-3)</f>
        <v>#VALUE!</v>
      </c>
      <c r="CL84" s="1" t="str">
        <f>IF(AC[[#This Row],[Status]]=0,"",AC[[#This Row],[Status]])</f>
        <v/>
      </c>
    </row>
    <row r="85" spans="1:90" ht="15.95">
      <c r="A85" s="3"/>
      <c r="B85" s="3"/>
      <c r="C85" s="3"/>
      <c r="D85" s="3"/>
      <c r="E85" s="3"/>
      <c r="F85" s="5"/>
      <c r="G85" s="5"/>
      <c r="H85" s="5"/>
      <c r="I85" s="3"/>
      <c r="J85" s="3"/>
      <c r="K85" s="3"/>
      <c r="L85" s="6"/>
      <c r="M85" s="6"/>
      <c r="N85" s="6"/>
      <c r="O85" s="6"/>
      <c r="P85" s="5"/>
      <c r="Q85" s="5"/>
      <c r="R85" s="5"/>
      <c r="S85" s="5"/>
      <c r="T85" s="5"/>
      <c r="U85" s="4"/>
      <c r="V85" s="4"/>
      <c r="W85" s="3"/>
      <c r="X85" s="2"/>
      <c r="Y85" s="5"/>
      <c r="Z85" s="5"/>
      <c r="AA85" s="5"/>
      <c r="CB85" s="1" t="s">
        <v>71</v>
      </c>
      <c r="CC85" s="112">
        <f>AC[[#This Row],[UID]]</f>
        <v>0</v>
      </c>
      <c r="CD85" s="1" t="s">
        <v>132</v>
      </c>
      <c r="CF85" s="1">
        <f>AC[[#This Row],[Part Type]]</f>
        <v>0</v>
      </c>
      <c r="CG85" s="112">
        <f>AC[[#This Row],[Name]]</f>
        <v>0</v>
      </c>
      <c r="CH85" s="1" t="e">
        <f>RIGHT(AC[[#This Row],[UID]],LEN(AC[[#This Row],[UID]])-3)</f>
        <v>#VALUE!</v>
      </c>
      <c r="CL85" s="1" t="str">
        <f>IF(AC[[#This Row],[Status]]=0,"",AC[[#This Row],[Status]])</f>
        <v/>
      </c>
    </row>
    <row r="86" spans="1:90" ht="15.95">
      <c r="A86" s="3"/>
      <c r="B86" s="3"/>
      <c r="C86" s="3"/>
      <c r="D86" s="3"/>
      <c r="E86" s="3"/>
      <c r="F86" s="5"/>
      <c r="G86" s="5"/>
      <c r="H86" s="5"/>
      <c r="I86" s="3"/>
      <c r="J86" s="3"/>
      <c r="K86" s="3"/>
      <c r="L86" s="6"/>
      <c r="M86" s="6"/>
      <c r="N86" s="6"/>
      <c r="O86" s="6"/>
      <c r="P86" s="5"/>
      <c r="Q86" s="5"/>
      <c r="R86" s="5"/>
      <c r="S86" s="5"/>
      <c r="T86" s="5"/>
      <c r="U86" s="4"/>
      <c r="V86" s="4"/>
      <c r="W86" s="3"/>
      <c r="X86" s="2"/>
      <c r="Y86" s="5"/>
      <c r="Z86" s="5"/>
      <c r="AA86" s="5"/>
      <c r="CB86" s="1" t="s">
        <v>71</v>
      </c>
      <c r="CC86" s="112">
        <f>AC[[#This Row],[UID]]</f>
        <v>0</v>
      </c>
      <c r="CD86" s="1" t="s">
        <v>132</v>
      </c>
      <c r="CF86" s="1">
        <f>AC[[#This Row],[Part Type]]</f>
        <v>0</v>
      </c>
      <c r="CG86" s="112">
        <f>AC[[#This Row],[Name]]</f>
        <v>0</v>
      </c>
      <c r="CH86" s="1" t="e">
        <f>RIGHT(AC[[#This Row],[UID]],LEN(AC[[#This Row],[UID]])-3)</f>
        <v>#VALUE!</v>
      </c>
      <c r="CL86" s="1" t="str">
        <f>IF(AC[[#This Row],[Status]]=0,"",AC[[#This Row],[Status]])</f>
        <v/>
      </c>
    </row>
    <row r="87" spans="1:90" ht="15.95">
      <c r="A87" s="3"/>
      <c r="B87" s="3"/>
      <c r="C87" s="3"/>
      <c r="D87" s="3"/>
      <c r="E87" s="3"/>
      <c r="F87" s="5"/>
      <c r="G87" s="5"/>
      <c r="H87" s="5"/>
      <c r="I87" s="3"/>
      <c r="J87" s="3"/>
      <c r="K87" s="3"/>
      <c r="L87" s="6"/>
      <c r="M87" s="6"/>
      <c r="N87" s="6"/>
      <c r="O87" s="6"/>
      <c r="P87" s="5"/>
      <c r="Q87" s="5"/>
      <c r="R87" s="5"/>
      <c r="S87" s="5"/>
      <c r="T87" s="5"/>
      <c r="U87" s="4"/>
      <c r="V87" s="4"/>
      <c r="W87" s="3"/>
      <c r="X87" s="2"/>
      <c r="Y87" s="5"/>
      <c r="Z87" s="5"/>
      <c r="AA87" s="5"/>
      <c r="CB87" s="1" t="s">
        <v>71</v>
      </c>
      <c r="CC87" s="112">
        <f>AC[[#This Row],[UID]]</f>
        <v>0</v>
      </c>
      <c r="CD87" s="1" t="s">
        <v>132</v>
      </c>
      <c r="CF87" s="1">
        <f>AC[[#This Row],[Part Type]]</f>
        <v>0</v>
      </c>
      <c r="CG87" s="112">
        <f>AC[[#This Row],[Name]]</f>
        <v>0</v>
      </c>
      <c r="CH87" s="1" t="e">
        <f>RIGHT(AC[[#This Row],[UID]],LEN(AC[[#This Row],[UID]])-3)</f>
        <v>#VALUE!</v>
      </c>
      <c r="CL87" s="1" t="str">
        <f>IF(AC[[#This Row],[Status]]=0,"",AC[[#This Row],[Status]])</f>
        <v/>
      </c>
    </row>
    <row r="88" spans="1:90" ht="15.95">
      <c r="A88" s="3"/>
      <c r="B88" s="3"/>
      <c r="C88" s="3"/>
      <c r="D88" s="3"/>
      <c r="E88" s="3"/>
      <c r="F88" s="5"/>
      <c r="G88" s="5"/>
      <c r="H88" s="5"/>
      <c r="I88" s="3"/>
      <c r="J88" s="3"/>
      <c r="K88" s="3"/>
      <c r="L88" s="6"/>
      <c r="M88" s="6"/>
      <c r="N88" s="6"/>
      <c r="O88" s="6"/>
      <c r="P88" s="5"/>
      <c r="Q88" s="5"/>
      <c r="R88" s="5"/>
      <c r="S88" s="5"/>
      <c r="T88" s="5"/>
      <c r="U88" s="4"/>
      <c r="V88" s="4"/>
      <c r="W88" s="3"/>
      <c r="X88" s="2"/>
      <c r="Y88" s="5"/>
      <c r="Z88" s="5"/>
      <c r="AA88" s="5"/>
      <c r="CB88" s="1" t="s">
        <v>71</v>
      </c>
      <c r="CC88" s="112">
        <f>AC[[#This Row],[UID]]</f>
        <v>0</v>
      </c>
      <c r="CD88" s="1" t="s">
        <v>132</v>
      </c>
      <c r="CF88" s="1">
        <f>AC[[#This Row],[Part Type]]</f>
        <v>0</v>
      </c>
      <c r="CG88" s="112">
        <f>AC[[#This Row],[Name]]</f>
        <v>0</v>
      </c>
      <c r="CH88" s="1" t="e">
        <f>RIGHT(AC[[#This Row],[UID]],LEN(AC[[#This Row],[UID]])-3)</f>
        <v>#VALUE!</v>
      </c>
      <c r="CL88" s="1" t="str">
        <f>IF(AC[[#This Row],[Status]]=0,"",AC[[#This Row],[Status]])</f>
        <v/>
      </c>
    </row>
    <row r="89" spans="1:90" ht="15.95">
      <c r="A89" s="3"/>
      <c r="B89" s="3"/>
      <c r="C89" s="3"/>
      <c r="D89" s="3"/>
      <c r="E89" s="3"/>
      <c r="F89" s="5"/>
      <c r="G89" s="5"/>
      <c r="H89" s="5"/>
      <c r="I89" s="3"/>
      <c r="J89" s="3"/>
      <c r="K89" s="3"/>
      <c r="L89" s="6"/>
      <c r="M89" s="6"/>
      <c r="N89" s="6"/>
      <c r="O89" s="6"/>
      <c r="P89" s="5"/>
      <c r="Q89" s="5"/>
      <c r="R89" s="5"/>
      <c r="S89" s="5"/>
      <c r="T89" s="5"/>
      <c r="U89" s="4"/>
      <c r="V89" s="4"/>
      <c r="W89" s="3"/>
      <c r="X89" s="2"/>
      <c r="Y89" s="5"/>
      <c r="Z89" s="5"/>
      <c r="AA89" s="5"/>
      <c r="CB89" s="1" t="s">
        <v>71</v>
      </c>
      <c r="CC89" s="112">
        <f>AC[[#This Row],[UID]]</f>
        <v>0</v>
      </c>
      <c r="CD89" s="1" t="s">
        <v>132</v>
      </c>
      <c r="CF89" s="1">
        <f>AC[[#This Row],[Part Type]]</f>
        <v>0</v>
      </c>
      <c r="CG89" s="112">
        <f>AC[[#This Row],[Name]]</f>
        <v>0</v>
      </c>
      <c r="CH89" s="1" t="e">
        <f>RIGHT(AC[[#This Row],[UID]],LEN(AC[[#This Row],[UID]])-3)</f>
        <v>#VALUE!</v>
      </c>
      <c r="CL89" s="1" t="str">
        <f>IF(AC[[#This Row],[Status]]=0,"",AC[[#This Row],[Status]])</f>
        <v/>
      </c>
    </row>
    <row r="90" spans="1:90" ht="15.95">
      <c r="A90" s="3"/>
      <c r="B90" s="3"/>
      <c r="C90" s="3"/>
      <c r="D90" s="3"/>
      <c r="E90" s="3"/>
      <c r="F90" s="5"/>
      <c r="G90" s="5"/>
      <c r="H90" s="5"/>
      <c r="I90" s="3"/>
      <c r="J90" s="3"/>
      <c r="K90" s="3"/>
      <c r="L90" s="6"/>
      <c r="M90" s="6"/>
      <c r="N90" s="6"/>
      <c r="O90" s="6"/>
      <c r="P90" s="5"/>
      <c r="Q90" s="5"/>
      <c r="R90" s="5"/>
      <c r="S90" s="5"/>
      <c r="T90" s="5"/>
      <c r="U90" s="4"/>
      <c r="V90" s="4"/>
      <c r="W90" s="3"/>
      <c r="X90" s="2"/>
      <c r="Y90" s="5"/>
      <c r="Z90" s="5"/>
      <c r="AA90" s="5"/>
      <c r="CB90" s="1" t="s">
        <v>71</v>
      </c>
      <c r="CC90" s="112">
        <f>AC[[#This Row],[UID]]</f>
        <v>0</v>
      </c>
      <c r="CD90" s="1" t="s">
        <v>132</v>
      </c>
      <c r="CF90" s="1">
        <f>AC[[#This Row],[Part Type]]</f>
        <v>0</v>
      </c>
      <c r="CG90" s="112">
        <f>AC[[#This Row],[Name]]</f>
        <v>0</v>
      </c>
      <c r="CH90" s="1" t="e">
        <f>RIGHT(AC[[#This Row],[UID]],LEN(AC[[#This Row],[UID]])-3)</f>
        <v>#VALUE!</v>
      </c>
      <c r="CL90" s="1" t="str">
        <f>IF(AC[[#This Row],[Status]]=0,"",AC[[#This Row],[Status]])</f>
        <v/>
      </c>
    </row>
    <row r="91" spans="1:90" ht="15.95">
      <c r="A91" s="3"/>
      <c r="B91" s="3"/>
      <c r="C91" s="3"/>
      <c r="D91" s="3"/>
      <c r="E91" s="3"/>
      <c r="F91" s="5"/>
      <c r="G91" s="5"/>
      <c r="H91" s="5"/>
      <c r="I91" s="3"/>
      <c r="J91" s="3"/>
      <c r="K91" s="3"/>
      <c r="L91" s="6"/>
      <c r="M91" s="6"/>
      <c r="N91" s="6"/>
      <c r="O91" s="6"/>
      <c r="P91" s="5"/>
      <c r="Q91" s="5"/>
      <c r="R91" s="5"/>
      <c r="S91" s="5"/>
      <c r="T91" s="5"/>
      <c r="U91" s="4"/>
      <c r="V91" s="4"/>
      <c r="W91" s="3"/>
      <c r="X91" s="2"/>
      <c r="Y91" s="5"/>
      <c r="Z91" s="5"/>
      <c r="AA91" s="5"/>
      <c r="CB91" s="1" t="s">
        <v>71</v>
      </c>
      <c r="CC91" s="112">
        <f>AC[[#This Row],[UID]]</f>
        <v>0</v>
      </c>
      <c r="CD91" s="1" t="s">
        <v>132</v>
      </c>
      <c r="CF91" s="1">
        <f>AC[[#This Row],[Part Type]]</f>
        <v>0</v>
      </c>
      <c r="CG91" s="112">
        <f>AC[[#This Row],[Name]]</f>
        <v>0</v>
      </c>
      <c r="CH91" s="1" t="e">
        <f>RIGHT(AC[[#This Row],[UID]],LEN(AC[[#This Row],[UID]])-3)</f>
        <v>#VALUE!</v>
      </c>
      <c r="CL91" s="1" t="str">
        <f>IF(AC[[#This Row],[Status]]=0,"",AC[[#This Row],[Status]])</f>
        <v/>
      </c>
    </row>
    <row r="92" spans="1:90" ht="15.95">
      <c r="A92" s="3"/>
      <c r="B92" s="3"/>
      <c r="C92" s="3"/>
      <c r="D92" s="3"/>
      <c r="E92" s="3"/>
      <c r="F92" s="5"/>
      <c r="G92" s="5"/>
      <c r="H92" s="5"/>
      <c r="I92" s="3"/>
      <c r="J92" s="3"/>
      <c r="K92" s="3"/>
      <c r="L92" s="6"/>
      <c r="M92" s="6"/>
      <c r="N92" s="6"/>
      <c r="O92" s="6"/>
      <c r="P92" s="5"/>
      <c r="Q92" s="5"/>
      <c r="R92" s="5"/>
      <c r="S92" s="5"/>
      <c r="T92" s="5"/>
      <c r="U92" s="4"/>
      <c r="V92" s="4"/>
      <c r="W92" s="3"/>
      <c r="X92" s="2"/>
      <c r="Y92" s="5"/>
      <c r="Z92" s="5"/>
      <c r="AA92" s="5"/>
      <c r="CB92" s="1" t="s">
        <v>71</v>
      </c>
      <c r="CC92" s="112">
        <f>AC[[#This Row],[UID]]</f>
        <v>0</v>
      </c>
      <c r="CD92" s="1" t="s">
        <v>132</v>
      </c>
      <c r="CF92" s="1">
        <f>AC[[#This Row],[Part Type]]</f>
        <v>0</v>
      </c>
      <c r="CG92" s="112">
        <f>AC[[#This Row],[Name]]</f>
        <v>0</v>
      </c>
      <c r="CH92" s="1" t="e">
        <f>RIGHT(AC[[#This Row],[UID]],LEN(AC[[#This Row],[UID]])-3)</f>
        <v>#VALUE!</v>
      </c>
      <c r="CL92" s="1" t="str">
        <f>IF(AC[[#This Row],[Status]]=0,"",AC[[#This Row],[Status]])</f>
        <v/>
      </c>
    </row>
    <row r="93" spans="1:90" ht="15.95">
      <c r="A93" s="3"/>
      <c r="B93" s="3"/>
      <c r="C93" s="3"/>
      <c r="D93" s="3"/>
      <c r="E93" s="3"/>
      <c r="F93" s="5"/>
      <c r="G93" s="5"/>
      <c r="H93" s="5"/>
      <c r="I93" s="3"/>
      <c r="J93" s="3"/>
      <c r="K93" s="3"/>
      <c r="L93" s="6"/>
      <c r="M93" s="6"/>
      <c r="N93" s="6"/>
      <c r="O93" s="6"/>
      <c r="P93" s="5"/>
      <c r="Q93" s="5"/>
      <c r="R93" s="5"/>
      <c r="S93" s="5"/>
      <c r="T93" s="5"/>
      <c r="U93" s="4"/>
      <c r="V93" s="4"/>
      <c r="W93" s="3"/>
      <c r="X93" s="2"/>
      <c r="Y93" s="5"/>
      <c r="Z93" s="5"/>
      <c r="AA93" s="5"/>
      <c r="CB93" s="1" t="s">
        <v>71</v>
      </c>
      <c r="CC93" s="112">
        <f>AC[[#This Row],[UID]]</f>
        <v>0</v>
      </c>
      <c r="CD93" s="1" t="s">
        <v>132</v>
      </c>
      <c r="CF93" s="1">
        <f>AC[[#This Row],[Part Type]]</f>
        <v>0</v>
      </c>
      <c r="CG93" s="112">
        <f>AC[[#This Row],[Name]]</f>
        <v>0</v>
      </c>
      <c r="CH93" s="1" t="e">
        <f>RIGHT(AC[[#This Row],[UID]],LEN(AC[[#This Row],[UID]])-3)</f>
        <v>#VALUE!</v>
      </c>
      <c r="CL93" s="1" t="str">
        <f>IF(AC[[#This Row],[Status]]=0,"",AC[[#This Row],[Status]])</f>
        <v/>
      </c>
    </row>
    <row r="94" spans="1:90" ht="15.95">
      <c r="A94" s="3"/>
      <c r="B94" s="3"/>
      <c r="C94" s="3"/>
      <c r="D94" s="3"/>
      <c r="E94" s="3"/>
      <c r="F94" s="5"/>
      <c r="G94" s="5"/>
      <c r="H94" s="5"/>
      <c r="I94" s="3"/>
      <c r="J94" s="3"/>
      <c r="K94" s="3"/>
      <c r="L94" s="6"/>
      <c r="M94" s="6"/>
      <c r="N94" s="6"/>
      <c r="O94" s="6"/>
      <c r="P94" s="5"/>
      <c r="Q94" s="5"/>
      <c r="R94" s="5"/>
      <c r="S94" s="5"/>
      <c r="T94" s="5"/>
      <c r="U94" s="4"/>
      <c r="V94" s="4"/>
      <c r="W94" s="3"/>
      <c r="X94" s="2"/>
      <c r="Y94" s="5"/>
      <c r="Z94" s="5"/>
      <c r="AA94" s="5"/>
      <c r="CB94" s="1" t="s">
        <v>71</v>
      </c>
      <c r="CC94" s="112">
        <f>AC[[#This Row],[UID]]</f>
        <v>0</v>
      </c>
      <c r="CD94" s="1" t="s">
        <v>132</v>
      </c>
      <c r="CF94" s="1">
        <f>AC[[#This Row],[Part Type]]</f>
        <v>0</v>
      </c>
      <c r="CG94" s="112">
        <f>AC[[#This Row],[Name]]</f>
        <v>0</v>
      </c>
      <c r="CH94" s="1" t="e">
        <f>RIGHT(AC[[#This Row],[UID]],LEN(AC[[#This Row],[UID]])-3)</f>
        <v>#VALUE!</v>
      </c>
      <c r="CL94" s="1" t="str">
        <f>IF(AC[[#This Row],[Status]]=0,"",AC[[#This Row],[Status]])</f>
        <v/>
      </c>
    </row>
    <row r="95" spans="1:90" ht="15.95">
      <c r="A95" s="3"/>
      <c r="B95" s="3"/>
      <c r="C95" s="3"/>
      <c r="D95" s="3"/>
      <c r="E95" s="3"/>
      <c r="F95" s="5"/>
      <c r="G95" s="5"/>
      <c r="H95" s="5"/>
      <c r="I95" s="3"/>
      <c r="J95" s="3"/>
      <c r="K95" s="3"/>
      <c r="L95" s="6"/>
      <c r="M95" s="6"/>
      <c r="N95" s="6"/>
      <c r="O95" s="6"/>
      <c r="P95" s="5"/>
      <c r="Q95" s="5"/>
      <c r="R95" s="5"/>
      <c r="S95" s="5"/>
      <c r="T95" s="5"/>
      <c r="U95" s="4"/>
      <c r="V95" s="4"/>
      <c r="W95" s="3"/>
      <c r="X95" s="2"/>
      <c r="Y95" s="5"/>
      <c r="Z95" s="5"/>
      <c r="AA95" s="5"/>
      <c r="CB95" s="1" t="s">
        <v>71</v>
      </c>
      <c r="CC95" s="112">
        <f>AC[[#This Row],[UID]]</f>
        <v>0</v>
      </c>
      <c r="CD95" s="1" t="s">
        <v>132</v>
      </c>
      <c r="CF95" s="1">
        <f>AC[[#This Row],[Part Type]]</f>
        <v>0</v>
      </c>
      <c r="CG95" s="112">
        <f>AC[[#This Row],[Name]]</f>
        <v>0</v>
      </c>
      <c r="CH95" s="1" t="e">
        <f>RIGHT(AC[[#This Row],[UID]],LEN(AC[[#This Row],[UID]])-3)</f>
        <v>#VALUE!</v>
      </c>
      <c r="CL95" s="1" t="str">
        <f>IF(AC[[#This Row],[Status]]=0,"",AC[[#This Row],[Status]])</f>
        <v/>
      </c>
    </row>
    <row r="96" spans="1:90" ht="15.95">
      <c r="A96" s="3"/>
      <c r="B96" s="3"/>
      <c r="C96" s="3"/>
      <c r="D96" s="3"/>
      <c r="E96" s="3"/>
      <c r="F96" s="5"/>
      <c r="G96" s="5"/>
      <c r="H96" s="5"/>
      <c r="I96" s="3"/>
      <c r="J96" s="3"/>
      <c r="K96" s="3"/>
      <c r="L96" s="6"/>
      <c r="M96" s="6"/>
      <c r="N96" s="6"/>
      <c r="O96" s="6"/>
      <c r="P96" s="5"/>
      <c r="Q96" s="5"/>
      <c r="R96" s="5"/>
      <c r="S96" s="5"/>
      <c r="T96" s="5"/>
      <c r="U96" s="4"/>
      <c r="V96" s="4"/>
      <c r="W96" s="3"/>
      <c r="X96" s="2"/>
      <c r="Y96" s="5"/>
      <c r="Z96" s="5"/>
      <c r="AA96" s="5"/>
      <c r="CB96" s="1" t="s">
        <v>71</v>
      </c>
      <c r="CC96" s="112">
        <f>AC[[#This Row],[UID]]</f>
        <v>0</v>
      </c>
      <c r="CD96" s="1" t="s">
        <v>132</v>
      </c>
      <c r="CF96" s="1">
        <f>AC[[#This Row],[Part Type]]</f>
        <v>0</v>
      </c>
      <c r="CG96" s="112">
        <f>AC[[#This Row],[Name]]</f>
        <v>0</v>
      </c>
      <c r="CH96" s="1" t="e">
        <f>RIGHT(AC[[#This Row],[UID]],LEN(AC[[#This Row],[UID]])-3)</f>
        <v>#VALUE!</v>
      </c>
      <c r="CL96" s="1" t="str">
        <f>IF(AC[[#This Row],[Status]]=0,"",AC[[#This Row],[Status]])</f>
        <v/>
      </c>
    </row>
    <row r="97" spans="1:90" ht="15.95">
      <c r="A97" s="3"/>
      <c r="B97" s="3"/>
      <c r="C97" s="3"/>
      <c r="D97" s="3"/>
      <c r="E97" s="3"/>
      <c r="F97" s="5"/>
      <c r="G97" s="5"/>
      <c r="H97" s="5"/>
      <c r="I97" s="3"/>
      <c r="J97" s="3"/>
      <c r="K97" s="3"/>
      <c r="L97" s="6"/>
      <c r="M97" s="6"/>
      <c r="N97" s="6"/>
      <c r="O97" s="6"/>
      <c r="P97" s="5"/>
      <c r="Q97" s="5"/>
      <c r="R97" s="5"/>
      <c r="S97" s="5"/>
      <c r="T97" s="5"/>
      <c r="U97" s="4"/>
      <c r="V97" s="4"/>
      <c r="W97" s="3"/>
      <c r="X97" s="2"/>
      <c r="Y97" s="5"/>
      <c r="Z97" s="5"/>
      <c r="AA97" s="5"/>
      <c r="CB97" s="1" t="s">
        <v>71</v>
      </c>
      <c r="CC97" s="112">
        <f>AC[[#This Row],[UID]]</f>
        <v>0</v>
      </c>
      <c r="CD97" s="1" t="s">
        <v>132</v>
      </c>
      <c r="CF97" s="1">
        <f>AC[[#This Row],[Part Type]]</f>
        <v>0</v>
      </c>
      <c r="CG97" s="112">
        <f>AC[[#This Row],[Name]]</f>
        <v>0</v>
      </c>
      <c r="CH97" s="1" t="e">
        <f>RIGHT(AC[[#This Row],[UID]],LEN(AC[[#This Row],[UID]])-3)</f>
        <v>#VALUE!</v>
      </c>
      <c r="CL97" s="1" t="str">
        <f>IF(AC[[#This Row],[Status]]=0,"",AC[[#This Row],[Status]])</f>
        <v/>
      </c>
    </row>
    <row r="98" spans="1:90" ht="15.95">
      <c r="A98" s="3"/>
      <c r="B98" s="3"/>
      <c r="C98" s="3"/>
      <c r="D98" s="3"/>
      <c r="E98" s="3"/>
      <c r="F98" s="5"/>
      <c r="G98" s="5"/>
      <c r="H98" s="5"/>
      <c r="I98" s="3"/>
      <c r="J98" s="3"/>
      <c r="K98" s="3"/>
      <c r="L98" s="6"/>
      <c r="M98" s="6"/>
      <c r="N98" s="6"/>
      <c r="O98" s="6"/>
      <c r="P98" s="5"/>
      <c r="Q98" s="5"/>
      <c r="R98" s="5"/>
      <c r="S98" s="5"/>
      <c r="T98" s="5"/>
      <c r="U98" s="4"/>
      <c r="V98" s="4"/>
      <c r="W98" s="3"/>
      <c r="X98" s="2"/>
      <c r="Y98" s="5"/>
      <c r="Z98" s="5"/>
      <c r="AA98" s="5"/>
      <c r="CB98" s="1" t="s">
        <v>71</v>
      </c>
      <c r="CC98" s="112">
        <f>AC[[#This Row],[UID]]</f>
        <v>0</v>
      </c>
      <c r="CD98" s="1" t="s">
        <v>132</v>
      </c>
      <c r="CF98" s="1">
        <f>AC[[#This Row],[Part Type]]</f>
        <v>0</v>
      </c>
      <c r="CG98" s="112">
        <f>AC[[#This Row],[Name]]</f>
        <v>0</v>
      </c>
      <c r="CH98" s="1" t="e">
        <f>RIGHT(AC[[#This Row],[UID]],LEN(AC[[#This Row],[UID]])-3)</f>
        <v>#VALUE!</v>
      </c>
      <c r="CL98" s="1" t="str">
        <f>IF(AC[[#This Row],[Status]]=0,"",AC[[#This Row],[Status]])</f>
        <v/>
      </c>
    </row>
    <row r="99" spans="1:90" ht="15.95">
      <c r="A99" s="3"/>
      <c r="B99" s="3"/>
      <c r="C99" s="3"/>
      <c r="D99" s="3"/>
      <c r="E99" s="3"/>
      <c r="F99" s="5"/>
      <c r="G99" s="5"/>
      <c r="H99" s="5"/>
      <c r="I99" s="3"/>
      <c r="J99" s="3"/>
      <c r="K99" s="3"/>
      <c r="L99" s="6"/>
      <c r="M99" s="6"/>
      <c r="N99" s="6"/>
      <c r="O99" s="6"/>
      <c r="P99" s="5"/>
      <c r="Q99" s="5"/>
      <c r="R99" s="5"/>
      <c r="S99" s="5"/>
      <c r="T99" s="5"/>
      <c r="U99" s="4"/>
      <c r="V99" s="4"/>
      <c r="W99" s="3"/>
      <c r="X99" s="2"/>
      <c r="Y99" s="5"/>
      <c r="Z99" s="5"/>
      <c r="AA99" s="5"/>
      <c r="CB99" s="1" t="s">
        <v>71</v>
      </c>
      <c r="CC99" s="112">
        <f>AC[[#This Row],[UID]]</f>
        <v>0</v>
      </c>
      <c r="CD99" s="1" t="s">
        <v>132</v>
      </c>
      <c r="CF99" s="1">
        <f>AC[[#This Row],[Part Type]]</f>
        <v>0</v>
      </c>
      <c r="CG99" s="112">
        <f>AC[[#This Row],[Name]]</f>
        <v>0</v>
      </c>
      <c r="CH99" s="1" t="e">
        <f>RIGHT(AC[[#This Row],[UID]],LEN(AC[[#This Row],[UID]])-3)</f>
        <v>#VALUE!</v>
      </c>
      <c r="CL99" s="1" t="str">
        <f>IF(AC[[#This Row],[Status]]=0,"",AC[[#This Row],[Status]])</f>
        <v/>
      </c>
    </row>
    <row r="100" spans="1:90" ht="15.95">
      <c r="A100" s="3"/>
      <c r="B100" s="3"/>
      <c r="C100" s="3"/>
      <c r="D100" s="3"/>
      <c r="E100" s="3"/>
      <c r="F100" s="5"/>
      <c r="G100" s="5"/>
      <c r="H100" s="5"/>
      <c r="I100" s="3"/>
      <c r="J100" s="3"/>
      <c r="K100" s="3"/>
      <c r="L100" s="6"/>
      <c r="M100" s="6"/>
      <c r="N100" s="6"/>
      <c r="O100" s="6"/>
      <c r="P100" s="5"/>
      <c r="Q100" s="5"/>
      <c r="R100" s="5"/>
      <c r="S100" s="5"/>
      <c r="T100" s="5"/>
      <c r="U100" s="4"/>
      <c r="V100" s="4"/>
      <c r="W100" s="3"/>
      <c r="X100" s="2"/>
      <c r="Y100" s="5"/>
      <c r="Z100" s="5"/>
      <c r="AA100" s="5"/>
      <c r="CB100" s="1" t="s">
        <v>71</v>
      </c>
      <c r="CC100" s="112">
        <f>AC[[#This Row],[UID]]</f>
        <v>0</v>
      </c>
      <c r="CD100" s="1" t="s">
        <v>132</v>
      </c>
      <c r="CF100" s="1">
        <f>AC[[#This Row],[Part Type]]</f>
        <v>0</v>
      </c>
      <c r="CG100" s="112">
        <f>AC[[#This Row],[Name]]</f>
        <v>0</v>
      </c>
      <c r="CH100" s="1" t="e">
        <f>RIGHT(AC[[#This Row],[UID]],LEN(AC[[#This Row],[UID]])-3)</f>
        <v>#VALUE!</v>
      </c>
      <c r="CL100" s="1" t="str">
        <f>IF(AC[[#This Row],[Status]]=0,"",AC[[#This Row],[Status]])</f>
        <v/>
      </c>
    </row>
    <row r="101" spans="1:90" ht="15.95">
      <c r="A101" s="3"/>
      <c r="B101" s="3"/>
      <c r="C101" s="3"/>
      <c r="D101" s="3"/>
      <c r="E101" s="3"/>
      <c r="F101" s="5"/>
      <c r="G101" s="5"/>
      <c r="H101" s="5"/>
      <c r="I101" s="3"/>
      <c r="J101" s="3"/>
      <c r="K101" s="3"/>
      <c r="L101" s="6"/>
      <c r="M101" s="6"/>
      <c r="N101" s="6"/>
      <c r="O101" s="6"/>
      <c r="P101" s="5"/>
      <c r="Q101" s="5"/>
      <c r="R101" s="5"/>
      <c r="S101" s="5"/>
      <c r="T101" s="5"/>
      <c r="U101" s="4"/>
      <c r="V101" s="4"/>
      <c r="W101" s="3"/>
      <c r="X101" s="2"/>
      <c r="Y101" s="5"/>
      <c r="Z101" s="5"/>
      <c r="AA101" s="5"/>
      <c r="CB101" s="1" t="s">
        <v>71</v>
      </c>
      <c r="CC101" s="112">
        <f>AC[[#This Row],[UID]]</f>
        <v>0</v>
      </c>
      <c r="CD101" s="1" t="s">
        <v>132</v>
      </c>
      <c r="CF101" s="1">
        <f>AC[[#This Row],[Part Type]]</f>
        <v>0</v>
      </c>
      <c r="CG101" s="112">
        <f>AC[[#This Row],[Name]]</f>
        <v>0</v>
      </c>
      <c r="CH101" s="1" t="e">
        <f>RIGHT(AC[[#This Row],[UID]],LEN(AC[[#This Row],[UID]])-3)</f>
        <v>#VALUE!</v>
      </c>
      <c r="CL101" s="1" t="str">
        <f>IF(AC[[#This Row],[Status]]=0,"",AC[[#This Row],[Status]])</f>
        <v/>
      </c>
    </row>
  </sheetData>
  <phoneticPr fontId="5" type="noConversion"/>
  <hyperlinks>
    <hyperlink ref="AA2" r:id="rId1" xr:uid="{DF345282-FF67-8840-A29B-FB1B9FC905DD}"/>
    <hyperlink ref="AA10" r:id="rId2" xr:uid="{747C2BF5-D395-8944-A1A2-3658F7C66909}"/>
    <hyperlink ref="AA4:AA8" r:id="rId3" display="https://drive.google.com/open?id=1ufwTYDKRXg9fWiytCJ2PaqUQyXha5s67&amp;authuser=jrd419%40lehigh.edu&amp;usp=drive_fs " xr:uid="{C5C647F1-9633-E543-A573-ED3FD6C9EF7E}"/>
    <hyperlink ref="AA17" r:id="rId4" xr:uid="{451DD095-3E4F-1F42-A6F7-A1A8B2F2D321}"/>
    <hyperlink ref="AA18" r:id="rId5" xr:uid="{AFCB6C58-4EF3-0D49-8789-E75BBA72C6BA}"/>
    <hyperlink ref="AA19" r:id="rId6" xr:uid="{1FB37DB2-5387-5E42-9CA9-56D587E1F9B7}"/>
    <hyperlink ref="AA25" r:id="rId7" xr:uid="{5BA3BF72-EEA2-EF44-9394-88109C171FFE}"/>
    <hyperlink ref="AA12:AA15" r:id="rId8" display="https://drive.google.com/open?id=113d_Olu0z9ccyHV_PV5r8tnf4eArQJQH&amp;authuser=jrd419%40lehigh.edu&amp;usp=drive_fs " xr:uid="{7D9D08D5-B6AC-E846-8513-2ECA0CA2CD75}"/>
    <hyperlink ref="AA33" r:id="rId9" xr:uid="{D69B5DD2-873E-074A-A2C0-2D0ADB4079D8}"/>
    <hyperlink ref="AA26" r:id="rId10" xr:uid="{D11E186C-3FE3-4AD7-95BA-561A00A6226D}"/>
    <hyperlink ref="AA27" r:id="rId11" xr:uid="{EE758445-33F9-4334-A200-B7E5ECA8C71A}"/>
    <hyperlink ref="AA23" r:id="rId12" xr:uid="{1C358C32-ACD8-0E4A-B598-A2F2519A08E1}"/>
    <hyperlink ref="AA28" r:id="rId13" xr:uid="{7DEE8261-2379-44FC-A2AA-310727B02FB2}"/>
    <hyperlink ref="AA29" r:id="rId14" xr:uid="{6B1979E2-C3BD-4CC9-BB5A-7351C99FD922}"/>
    <hyperlink ref="AA30" r:id="rId15" xr:uid="{47B0BF0C-0F46-4FC7-AF2A-88A29B24EE52}"/>
  </hyperlinks>
  <pageMargins left="0.7" right="0.7" top="0.75" bottom="0.75" header="0.3" footer="0.3"/>
  <pageSetup orientation="portrait" horizontalDpi="4294967295" verticalDpi="4294967295" r:id="rId16"/>
  <tableParts count="2">
    <tablePart r:id="rId17"/>
    <tablePart r:id="rId1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3CFB7-0908-5748-955D-5A93AF4ECA2F}">
  <sheetPr codeName="Sheet9"/>
  <dimension ref="A1:DJ111"/>
  <sheetViews>
    <sheetView topLeftCell="C1" zoomScale="91" zoomScaleNormal="91" workbookViewId="0">
      <selection activeCell="C1" sqref="C1"/>
    </sheetView>
  </sheetViews>
  <sheetFormatPr defaultColWidth="10.875" defaultRowHeight="15.95"/>
  <cols>
    <col min="1" max="1" width="11.875" style="18" bestFit="1" customWidth="1"/>
    <col min="2" max="2" width="20.625" style="18" bestFit="1" customWidth="1"/>
    <col min="3" max="3" width="12.625" style="18" bestFit="1" customWidth="1"/>
    <col min="4" max="4" width="24.625" style="18" bestFit="1" customWidth="1"/>
    <col min="5" max="5" width="14.375" style="18" bestFit="1" customWidth="1"/>
    <col min="6" max="6" width="26.875" style="18" bestFit="1" customWidth="1"/>
    <col min="7" max="7" width="26" style="18" bestFit="1" customWidth="1"/>
    <col min="8" max="9" width="12.375" style="18" bestFit="1" customWidth="1"/>
    <col min="10" max="10" width="17.625" style="18" bestFit="1" customWidth="1"/>
    <col min="11" max="11" width="13.625" style="18" bestFit="1" customWidth="1"/>
    <col min="12" max="12" width="10.875" style="18" bestFit="1" customWidth="1"/>
    <col min="13" max="13" width="14.125" style="18" bestFit="1" customWidth="1"/>
    <col min="14" max="14" width="16.875" style="18" bestFit="1" customWidth="1"/>
    <col min="16" max="16" width="26.625" style="18" bestFit="1" customWidth="1"/>
    <col min="17" max="17" width="9.125" style="18" bestFit="1" customWidth="1"/>
    <col min="18" max="18" width="13.125" style="18" bestFit="1" customWidth="1"/>
    <col min="19" max="19" width="53.125" style="18" bestFit="1" customWidth="1"/>
    <col min="20" max="78" width="10.875" style="18"/>
    <col min="79" max="87" width="11.125" style="18" customWidth="1"/>
    <col min="88" max="89" width="12.375" style="18" customWidth="1"/>
    <col min="90" max="104" width="10.875" style="18"/>
    <col min="105" max="105" width="16.125" style="18" customWidth="1"/>
    <col min="106" max="106" width="19.875" style="18" customWidth="1"/>
    <col min="107" max="107" width="20.5" style="18" customWidth="1"/>
    <col min="108" max="109" width="10.875" style="18"/>
    <col min="110" max="110" width="13.625" style="18" customWidth="1"/>
    <col min="111" max="111" width="12.5" style="18" customWidth="1"/>
    <col min="112" max="112" width="17" style="18" customWidth="1"/>
    <col min="113" max="113" width="10.875" style="18"/>
    <col min="114" max="114" width="15.125" style="18" customWidth="1"/>
    <col min="115" max="16384" width="10.875" style="18"/>
  </cols>
  <sheetData>
    <row r="1" spans="1:114">
      <c r="A1" s="18" t="s">
        <v>12</v>
      </c>
      <c r="B1" s="25" t="s">
        <v>95</v>
      </c>
      <c r="C1" s="178" t="s">
        <v>94</v>
      </c>
      <c r="D1" s="18" t="s">
        <v>225</v>
      </c>
      <c r="E1" s="18" t="s">
        <v>226</v>
      </c>
      <c r="F1" s="18" t="s">
        <v>227</v>
      </c>
      <c r="G1" s="18" t="s">
        <v>228</v>
      </c>
      <c r="H1" s="18" t="s">
        <v>229</v>
      </c>
      <c r="I1" s="18" t="s">
        <v>230</v>
      </c>
      <c r="J1" s="19" t="s">
        <v>231</v>
      </c>
      <c r="K1" s="53" t="s">
        <v>232</v>
      </c>
      <c r="L1" s="19" t="s">
        <v>233</v>
      </c>
      <c r="M1" s="18" t="s">
        <v>234</v>
      </c>
      <c r="N1" s="18" t="s">
        <v>235</v>
      </c>
      <c r="O1" s="18" t="s">
        <v>236</v>
      </c>
      <c r="P1" s="18" t="s">
        <v>117</v>
      </c>
      <c r="Q1" s="18" t="s">
        <v>237</v>
      </c>
      <c r="R1" s="18" t="s">
        <v>238</v>
      </c>
      <c r="BZ1" s="1" t="s">
        <v>119</v>
      </c>
      <c r="CA1" s="113" t="s">
        <v>2</v>
      </c>
      <c r="CB1" s="114" t="s">
        <v>3</v>
      </c>
      <c r="CC1" s="114" t="s">
        <v>4</v>
      </c>
      <c r="CD1" s="114" t="s">
        <v>5</v>
      </c>
      <c r="CE1" s="114" t="s">
        <v>6</v>
      </c>
      <c r="CF1" s="115" t="s">
        <v>7</v>
      </c>
      <c r="CG1" s="114" t="s">
        <v>8</v>
      </c>
      <c r="CH1" s="114" t="s">
        <v>9</v>
      </c>
      <c r="CI1" s="114" t="s">
        <v>10</v>
      </c>
      <c r="CJ1" s="114" t="s">
        <v>11</v>
      </c>
      <c r="CK1" s="116" t="s">
        <v>12</v>
      </c>
      <c r="CL1" s="1"/>
      <c r="CM1" s="1"/>
      <c r="CN1" s="1"/>
      <c r="CO1" s="1"/>
      <c r="CP1" s="1"/>
      <c r="CQ1" s="1"/>
      <c r="CR1" s="1"/>
      <c r="CS1" s="1"/>
      <c r="CT1" s="1"/>
      <c r="CU1" s="1"/>
      <c r="CV1" s="1"/>
      <c r="CW1" s="1"/>
      <c r="CX1" s="1"/>
      <c r="CY1" s="1"/>
      <c r="CZ1" s="1"/>
      <c r="DA1"/>
      <c r="DB1"/>
      <c r="DC1"/>
      <c r="DD1"/>
      <c r="DE1" s="51"/>
      <c r="DF1"/>
      <c r="DG1"/>
      <c r="DH1"/>
      <c r="DI1"/>
    </row>
    <row r="2" spans="1:114">
      <c r="A2" s="18" t="s">
        <v>239</v>
      </c>
      <c r="B2" s="18" t="s">
        <v>21</v>
      </c>
      <c r="C2" s="18" t="s">
        <v>240</v>
      </c>
      <c r="D2" s="28">
        <v>60000</v>
      </c>
      <c r="E2" s="18" t="s">
        <v>241</v>
      </c>
      <c r="F2" s="18">
        <v>220930</v>
      </c>
      <c r="G2" s="19">
        <v>162.69</v>
      </c>
      <c r="H2" s="18" t="s">
        <v>242</v>
      </c>
      <c r="I2" s="18" t="s">
        <v>243</v>
      </c>
      <c r="J2" s="53">
        <v>1.625</v>
      </c>
      <c r="K2" s="53">
        <v>6.25E-2</v>
      </c>
      <c r="L2" s="19" t="s">
        <v>244</v>
      </c>
      <c r="M2" s="18" t="s">
        <v>161</v>
      </c>
      <c r="N2" s="18" t="s">
        <v>129</v>
      </c>
      <c r="O2" s="18" t="s">
        <v>129</v>
      </c>
      <c r="P2" s="18" t="s">
        <v>128</v>
      </c>
      <c r="Q2" s="18" t="s">
        <v>173</v>
      </c>
      <c r="R2" s="20" t="s">
        <v>245</v>
      </c>
      <c r="BZ2" s="1" t="s">
        <v>131</v>
      </c>
      <c r="CA2" s="1" t="s">
        <v>71</v>
      </c>
      <c r="CB2" s="1" t="s">
        <v>18</v>
      </c>
      <c r="CC2" s="1" t="s">
        <v>132</v>
      </c>
      <c r="CD2" s="1"/>
      <c r="CE2" s="1" t="str">
        <f>AD[[#This Row],[Part Type]]</f>
        <v>Adaptors</v>
      </c>
      <c r="CF2" s="1" t="str">
        <f>AD[[#This Row],[Part Nr.]]</f>
        <v>60-21HF4HF6</v>
      </c>
      <c r="CG2" s="1" t="str">
        <f>AD[[#This Row],[UID]]</f>
        <v>AD-K2</v>
      </c>
      <c r="CH2" s="1"/>
      <c r="CI2" s="1"/>
      <c r="CJ2" s="1"/>
      <c r="CK2" s="1" t="str">
        <f>IF(AD[[#This Row],[Status]]=0,"",AD[[#This Row],[Status]])</f>
        <v>Superceded</v>
      </c>
      <c r="CL2" s="1"/>
      <c r="CM2" s="1"/>
      <c r="CN2" s="1"/>
      <c r="CO2" s="1"/>
      <c r="CP2" s="1"/>
      <c r="CQ2" s="1"/>
      <c r="CR2" s="1"/>
      <c r="CS2" s="1"/>
      <c r="CT2" s="1"/>
      <c r="CU2" s="1"/>
      <c r="CV2" s="1"/>
      <c r="CW2" s="1"/>
      <c r="CX2" s="1"/>
      <c r="CY2" s="1"/>
      <c r="CZ2" s="1"/>
      <c r="DA2" s="112"/>
      <c r="DB2" s="1"/>
      <c r="DC2" s="1"/>
      <c r="DD2" s="1"/>
      <c r="DE2" s="112"/>
      <c r="DF2" s="1"/>
      <c r="DG2" s="1"/>
      <c r="DH2" s="1"/>
      <c r="DI2" s="1"/>
    </row>
    <row r="3" spans="1:114">
      <c r="A3" s="18" t="s">
        <v>239</v>
      </c>
      <c r="B3" s="18" t="s">
        <v>21</v>
      </c>
      <c r="C3" s="18" t="s">
        <v>246</v>
      </c>
      <c r="D3" s="28">
        <v>60000</v>
      </c>
      <c r="E3" s="18" t="s">
        <v>241</v>
      </c>
      <c r="F3" s="18">
        <v>220930</v>
      </c>
      <c r="G3" s="19">
        <v>162.70099999999999</v>
      </c>
      <c r="H3" s="18" t="s">
        <v>242</v>
      </c>
      <c r="I3" s="18" t="s">
        <v>243</v>
      </c>
      <c r="J3" s="53">
        <v>1.625</v>
      </c>
      <c r="K3" s="53">
        <v>6.25E-2</v>
      </c>
      <c r="L3" s="19" t="s">
        <v>244</v>
      </c>
      <c r="M3" s="18" t="s">
        <v>161</v>
      </c>
      <c r="N3" s="18" t="s">
        <v>129</v>
      </c>
      <c r="O3" s="18" t="s">
        <v>129</v>
      </c>
      <c r="P3" s="18" t="s">
        <v>128</v>
      </c>
      <c r="Q3" s="18" t="s">
        <v>173</v>
      </c>
      <c r="R3" s="20" t="s">
        <v>245</v>
      </c>
      <c r="BZ3" s="1"/>
      <c r="CA3" s="1" t="s">
        <v>71</v>
      </c>
      <c r="CB3" s="1" t="s">
        <v>18</v>
      </c>
      <c r="CC3" s="1" t="s">
        <v>132</v>
      </c>
      <c r="CD3" s="1"/>
      <c r="CE3" s="1" t="str">
        <f>AD[[#This Row],[Part Type]]</f>
        <v>Adaptors</v>
      </c>
      <c r="CF3" s="1" t="str">
        <f>AD[[#This Row],[Part Nr.]]</f>
        <v>60-21HF4HF6</v>
      </c>
      <c r="CG3" s="1" t="str">
        <f>AD[[#This Row],[UID]]</f>
        <v>AD-L1</v>
      </c>
      <c r="CH3" s="1"/>
      <c r="CI3" s="1"/>
      <c r="CJ3" s="1"/>
      <c r="CK3" s="1" t="str">
        <f>IF(AD[[#This Row],[Status]]=0,"",AD[[#This Row],[Status]])</f>
        <v>Superceded</v>
      </c>
      <c r="CL3" s="1"/>
      <c r="CM3" s="1"/>
      <c r="CN3" s="1"/>
      <c r="CO3" s="1"/>
      <c r="CP3" s="1"/>
      <c r="CQ3" s="1"/>
      <c r="CR3" s="1"/>
      <c r="CS3" s="1"/>
      <c r="CT3" s="1"/>
      <c r="CU3" s="1"/>
      <c r="CV3" s="1"/>
      <c r="CW3" s="1"/>
      <c r="CX3" s="1"/>
      <c r="CY3" s="1"/>
      <c r="CZ3" s="1"/>
      <c r="DA3" s="1"/>
      <c r="DB3" s="112"/>
      <c r="DC3" s="1"/>
      <c r="DD3" s="1"/>
      <c r="DE3" s="1"/>
      <c r="DF3" s="112"/>
      <c r="DG3" s="1"/>
      <c r="DH3" s="1"/>
      <c r="DI3" s="1"/>
      <c r="DJ3" s="1"/>
    </row>
    <row r="4" spans="1:114">
      <c r="A4" s="18" t="s">
        <v>239</v>
      </c>
      <c r="B4" s="18" t="s">
        <v>21</v>
      </c>
      <c r="C4" s="18" t="s">
        <v>247</v>
      </c>
      <c r="D4" s="28">
        <v>60000</v>
      </c>
      <c r="E4" s="18" t="s">
        <v>241</v>
      </c>
      <c r="F4" s="18">
        <v>220930</v>
      </c>
      <c r="G4" s="19">
        <v>162.81100000000001</v>
      </c>
      <c r="H4" s="18" t="s">
        <v>242</v>
      </c>
      <c r="I4" s="18" t="s">
        <v>243</v>
      </c>
      <c r="J4" s="53">
        <v>1.625</v>
      </c>
      <c r="K4" s="53">
        <v>6.25E-2</v>
      </c>
      <c r="L4" s="19" t="s">
        <v>244</v>
      </c>
      <c r="M4" s="18" t="s">
        <v>161</v>
      </c>
      <c r="N4" s="18" t="s">
        <v>129</v>
      </c>
      <c r="O4" s="18" t="s">
        <v>129</v>
      </c>
      <c r="P4" s="18" t="s">
        <v>128</v>
      </c>
      <c r="Q4" s="18" t="s">
        <v>173</v>
      </c>
      <c r="R4" s="20" t="s">
        <v>245</v>
      </c>
      <c r="BZ4" s="1"/>
      <c r="CA4" s="1" t="s">
        <v>71</v>
      </c>
      <c r="CB4" s="1" t="s">
        <v>18</v>
      </c>
      <c r="CC4" s="1" t="s">
        <v>132</v>
      </c>
      <c r="CD4" s="1"/>
      <c r="CE4" s="1" t="str">
        <f>AD[[#This Row],[Part Type]]</f>
        <v>Adaptors</v>
      </c>
      <c r="CF4" s="1" t="str">
        <f>AD[[#This Row],[Part Nr.]]</f>
        <v>60-21HF4HF6</v>
      </c>
      <c r="CG4" s="1" t="str">
        <f>AD[[#This Row],[UID]]</f>
        <v>AD-N1</v>
      </c>
      <c r="CH4" s="1"/>
      <c r="CI4" s="1"/>
      <c r="CJ4" s="1"/>
      <c r="CK4" s="1" t="str">
        <f>IF(AD[[#This Row],[Status]]=0,"",AD[[#This Row],[Status]])</f>
        <v>Superceded</v>
      </c>
      <c r="CL4" s="1"/>
      <c r="CM4" s="1"/>
      <c r="CN4" s="1"/>
      <c r="CO4" s="1"/>
      <c r="CP4" s="1"/>
      <c r="CQ4" s="1"/>
      <c r="CR4" s="1"/>
      <c r="CS4" s="1"/>
      <c r="CT4" s="1"/>
      <c r="CU4" s="1"/>
      <c r="CV4" s="1"/>
      <c r="CW4" s="1"/>
      <c r="CX4" s="1"/>
      <c r="CY4" s="1"/>
      <c r="CZ4" s="1"/>
      <c r="DA4" s="1"/>
      <c r="DB4" s="112"/>
      <c r="DC4" s="1"/>
      <c r="DD4" s="1"/>
      <c r="DE4" s="1"/>
      <c r="DF4" s="112"/>
      <c r="DG4" s="1"/>
      <c r="DH4" s="1"/>
      <c r="DI4" s="1"/>
      <c r="DJ4" s="1"/>
    </row>
    <row r="5" spans="1:114">
      <c r="A5" s="18" t="s">
        <v>239</v>
      </c>
      <c r="B5" s="18" t="s">
        <v>21</v>
      </c>
      <c r="C5" s="18" t="s">
        <v>248</v>
      </c>
      <c r="D5" s="28">
        <v>60000</v>
      </c>
      <c r="E5" s="18" t="s">
        <v>241</v>
      </c>
      <c r="F5" s="18">
        <v>220930</v>
      </c>
      <c r="G5" s="19">
        <v>160.929</v>
      </c>
      <c r="H5" s="18" t="s">
        <v>242</v>
      </c>
      <c r="I5" s="18" t="s">
        <v>243</v>
      </c>
      <c r="J5" s="53">
        <v>1.625</v>
      </c>
      <c r="K5" s="53">
        <v>6.25E-2</v>
      </c>
      <c r="L5" s="19" t="s">
        <v>244</v>
      </c>
      <c r="M5" s="18" t="s">
        <v>161</v>
      </c>
      <c r="N5" s="18" t="s">
        <v>129</v>
      </c>
      <c r="O5" s="18" t="s">
        <v>129</v>
      </c>
      <c r="P5" s="18" t="s">
        <v>128</v>
      </c>
      <c r="Q5" s="18" t="s">
        <v>173</v>
      </c>
      <c r="R5" s="20" t="s">
        <v>245</v>
      </c>
      <c r="CA5" s="1" t="s">
        <v>71</v>
      </c>
      <c r="CB5" s="1" t="s">
        <v>18</v>
      </c>
      <c r="CC5" s="1" t="s">
        <v>132</v>
      </c>
      <c r="CE5" s="18" t="str">
        <f>AD[[#This Row],[Part Type]]</f>
        <v>Adaptors</v>
      </c>
      <c r="CF5" s="18" t="str">
        <f>AD[[#This Row],[Part Nr.]]</f>
        <v>60-21HF4HF6</v>
      </c>
      <c r="CG5" s="18" t="str">
        <f>AD[[#This Row],[UID]]</f>
        <v>AD-P1</v>
      </c>
      <c r="CK5" s="18" t="str">
        <f>IF(AD[[#This Row],[Status]]=0,"",AD[[#This Row],[Status]])</f>
        <v>Superceded</v>
      </c>
    </row>
    <row r="6" spans="1:114">
      <c r="A6" s="18" t="s">
        <v>239</v>
      </c>
      <c r="B6" s="18" t="s">
        <v>21</v>
      </c>
      <c r="C6" s="18" t="s">
        <v>249</v>
      </c>
      <c r="D6" s="28">
        <v>60000</v>
      </c>
      <c r="E6" s="18" t="s">
        <v>241</v>
      </c>
      <c r="F6" s="18">
        <v>220930</v>
      </c>
      <c r="G6" s="19">
        <v>161.149</v>
      </c>
      <c r="H6" s="18" t="s">
        <v>242</v>
      </c>
      <c r="I6" s="18" t="s">
        <v>243</v>
      </c>
      <c r="J6" s="53">
        <v>1.625</v>
      </c>
      <c r="K6" s="53">
        <v>6.25E-2</v>
      </c>
      <c r="L6" s="19" t="s">
        <v>244</v>
      </c>
      <c r="M6" s="18" t="s">
        <v>161</v>
      </c>
      <c r="N6" s="18" t="s">
        <v>129</v>
      </c>
      <c r="O6" s="18" t="s">
        <v>129</v>
      </c>
      <c r="P6" s="18" t="s">
        <v>128</v>
      </c>
      <c r="Q6" s="18" t="s">
        <v>173</v>
      </c>
      <c r="R6" s="20" t="s">
        <v>245</v>
      </c>
      <c r="CA6" s="1" t="s">
        <v>71</v>
      </c>
      <c r="CB6" s="1" t="s">
        <v>18</v>
      </c>
      <c r="CC6" s="1" t="s">
        <v>132</v>
      </c>
      <c r="CE6" s="18" t="str">
        <f>AD[[#This Row],[Part Type]]</f>
        <v>Adaptors</v>
      </c>
      <c r="CF6" s="18" t="str">
        <f>AD[[#This Row],[Part Nr.]]</f>
        <v>60-21HF4HF6</v>
      </c>
      <c r="CG6" s="18" t="str">
        <f>AD[[#This Row],[UID]]</f>
        <v>AD-Q1</v>
      </c>
      <c r="CK6" s="18" t="str">
        <f>IF(AD[[#This Row],[Status]]=0,"",AD[[#This Row],[Status]])</f>
        <v>Superceded</v>
      </c>
    </row>
    <row r="7" spans="1:114">
      <c r="A7" s="18" t="s">
        <v>239</v>
      </c>
      <c r="B7" s="18" t="s">
        <v>21</v>
      </c>
      <c r="C7" s="18" t="s">
        <v>250</v>
      </c>
      <c r="D7" s="28">
        <v>60000</v>
      </c>
      <c r="E7" s="18" t="s">
        <v>241</v>
      </c>
      <c r="F7" s="18">
        <v>220930</v>
      </c>
      <c r="G7" s="19">
        <v>160.99299999999999</v>
      </c>
      <c r="H7" s="18" t="s">
        <v>242</v>
      </c>
      <c r="I7" s="18" t="s">
        <v>243</v>
      </c>
      <c r="J7" s="53">
        <v>1.625</v>
      </c>
      <c r="K7" s="53">
        <v>6.25E-2</v>
      </c>
      <c r="L7" s="19" t="s">
        <v>244</v>
      </c>
      <c r="M7" s="18" t="s">
        <v>161</v>
      </c>
      <c r="N7" s="18" t="s">
        <v>129</v>
      </c>
      <c r="O7" s="18" t="s">
        <v>129</v>
      </c>
      <c r="P7" s="18" t="s">
        <v>128</v>
      </c>
      <c r="Q7" s="18" t="s">
        <v>173</v>
      </c>
      <c r="R7" s="20" t="s">
        <v>245</v>
      </c>
      <c r="CA7" s="1" t="s">
        <v>71</v>
      </c>
      <c r="CB7" s="1" t="s">
        <v>18</v>
      </c>
      <c r="CC7" s="1" t="s">
        <v>132</v>
      </c>
      <c r="CE7" s="18" t="str">
        <f>AD[[#This Row],[Part Type]]</f>
        <v>Adaptors</v>
      </c>
      <c r="CF7" s="18" t="str">
        <f>AD[[#This Row],[Part Nr.]]</f>
        <v>60-21HF4HF6</v>
      </c>
      <c r="CG7" s="18" t="str">
        <f>AD[[#This Row],[UID]]</f>
        <v>AD-R1</v>
      </c>
      <c r="CK7" s="18" t="str">
        <f>IF(AD[[#This Row],[Status]]=0,"",AD[[#This Row],[Status]])</f>
        <v>Superceded</v>
      </c>
    </row>
    <row r="8" spans="1:114">
      <c r="A8" s="18" t="s">
        <v>120</v>
      </c>
      <c r="B8" s="18" t="s">
        <v>21</v>
      </c>
      <c r="C8" s="18" t="s">
        <v>251</v>
      </c>
      <c r="D8" s="28">
        <v>60000</v>
      </c>
      <c r="E8" s="18" t="s">
        <v>252</v>
      </c>
      <c r="F8" s="28">
        <v>220929</v>
      </c>
      <c r="G8" s="19">
        <v>418.21699999999998</v>
      </c>
      <c r="H8" s="18" t="s">
        <v>242</v>
      </c>
      <c r="I8" s="18" t="s">
        <v>253</v>
      </c>
      <c r="J8" s="53">
        <v>1.75</v>
      </c>
      <c r="K8" s="53">
        <v>6.25E-2</v>
      </c>
      <c r="L8" s="19" t="s">
        <v>254</v>
      </c>
      <c r="M8" s="18" t="s">
        <v>161</v>
      </c>
      <c r="N8" s="18" t="s">
        <v>129</v>
      </c>
      <c r="O8" s="18" t="s">
        <v>129</v>
      </c>
      <c r="P8" s="18" t="s">
        <v>128</v>
      </c>
      <c r="Q8" s="18" t="s">
        <v>173</v>
      </c>
      <c r="R8" s="20" t="s">
        <v>245</v>
      </c>
      <c r="CA8" s="1" t="s">
        <v>71</v>
      </c>
      <c r="CB8" s="1" t="s">
        <v>18</v>
      </c>
      <c r="CC8" s="1" t="s">
        <v>132</v>
      </c>
      <c r="CE8" s="18" t="str">
        <f>AD[[#This Row],[Part Type]]</f>
        <v>Adaptors</v>
      </c>
      <c r="CF8" s="18" t="str">
        <f>AD[[#This Row],[Part Nr.]]</f>
        <v>60-21HF6HM4</v>
      </c>
      <c r="CG8" s="18" t="str">
        <f>AD[[#This Row],[UID]]</f>
        <v>AD-1</v>
      </c>
      <c r="CK8" s="18" t="str">
        <f>IF(AD[[#This Row],[Status]]=0,"",AD[[#This Row],[Status]])</f>
        <v>Active</v>
      </c>
    </row>
    <row r="9" spans="1:114">
      <c r="A9" s="18" t="s">
        <v>120</v>
      </c>
      <c r="B9" s="18" t="s">
        <v>21</v>
      </c>
      <c r="C9" s="18" t="s">
        <v>255</v>
      </c>
      <c r="D9" s="28">
        <v>60000</v>
      </c>
      <c r="E9" s="18" t="s">
        <v>252</v>
      </c>
      <c r="F9" s="18">
        <v>220930</v>
      </c>
      <c r="G9" s="19">
        <v>416.15100000000001</v>
      </c>
      <c r="H9" s="18" t="s">
        <v>242</v>
      </c>
      <c r="I9" s="18" t="s">
        <v>253</v>
      </c>
      <c r="J9" s="53">
        <v>1.75</v>
      </c>
      <c r="K9" s="53">
        <v>6.25E-2</v>
      </c>
      <c r="L9" s="19" t="s">
        <v>254</v>
      </c>
      <c r="M9" s="18" t="s">
        <v>161</v>
      </c>
      <c r="N9" s="18" t="s">
        <v>129</v>
      </c>
      <c r="O9" s="18" t="s">
        <v>129</v>
      </c>
      <c r="P9" s="18" t="s">
        <v>128</v>
      </c>
      <c r="Q9" s="18" t="s">
        <v>173</v>
      </c>
      <c r="R9" s="20" t="s">
        <v>245</v>
      </c>
      <c r="CA9" s="1" t="s">
        <v>71</v>
      </c>
      <c r="CB9" s="1" t="s">
        <v>18</v>
      </c>
      <c r="CC9" s="1" t="s">
        <v>132</v>
      </c>
      <c r="CE9" s="18" t="str">
        <f>AD[[#This Row],[Part Type]]</f>
        <v>Adaptors</v>
      </c>
      <c r="CF9" s="18" t="str">
        <f>AD[[#This Row],[Part Nr.]]</f>
        <v>60-21HF6HM4</v>
      </c>
      <c r="CG9" s="18" t="str">
        <f>AD[[#This Row],[UID]]</f>
        <v>AD-2</v>
      </c>
      <c r="CK9" s="18" t="str">
        <f>IF(AD[[#This Row],[Status]]=0,"",AD[[#This Row],[Status]])</f>
        <v>Active</v>
      </c>
    </row>
    <row r="10" spans="1:114">
      <c r="A10" s="18" t="s">
        <v>120</v>
      </c>
      <c r="B10" s="18" t="s">
        <v>21</v>
      </c>
      <c r="C10" s="18" t="s">
        <v>256</v>
      </c>
      <c r="D10" s="28">
        <v>60000</v>
      </c>
      <c r="E10" s="18" t="s">
        <v>252</v>
      </c>
      <c r="F10" s="18">
        <v>220930</v>
      </c>
      <c r="G10" s="19">
        <v>417.31299999999999</v>
      </c>
      <c r="H10" s="18" t="s">
        <v>242</v>
      </c>
      <c r="I10" s="18" t="s">
        <v>253</v>
      </c>
      <c r="J10" s="53">
        <v>1.75</v>
      </c>
      <c r="K10" s="53">
        <v>6.25E-2</v>
      </c>
      <c r="L10" s="19" t="s">
        <v>254</v>
      </c>
      <c r="M10" s="18" t="s">
        <v>161</v>
      </c>
      <c r="N10" s="18" t="s">
        <v>129</v>
      </c>
      <c r="O10" s="18" t="s">
        <v>129</v>
      </c>
      <c r="P10" s="18" t="s">
        <v>128</v>
      </c>
      <c r="Q10" s="18" t="s">
        <v>173</v>
      </c>
      <c r="R10" s="20" t="s">
        <v>245</v>
      </c>
      <c r="CA10" s="1" t="s">
        <v>71</v>
      </c>
      <c r="CB10" s="1" t="s">
        <v>18</v>
      </c>
      <c r="CC10" s="1" t="s">
        <v>132</v>
      </c>
      <c r="CE10" s="18" t="str">
        <f>AD[[#This Row],[Part Type]]</f>
        <v>Adaptors</v>
      </c>
      <c r="CF10" s="18" t="str">
        <f>AD[[#This Row],[Part Nr.]]</f>
        <v>60-21HF6HM4</v>
      </c>
      <c r="CG10" s="18" t="str">
        <f>AD[[#This Row],[UID]]</f>
        <v>AD-3</v>
      </c>
      <c r="CK10" s="18" t="str">
        <f>IF(AD[[#This Row],[Status]]=0,"",AD[[#This Row],[Status]])</f>
        <v>Active</v>
      </c>
    </row>
    <row r="11" spans="1:114">
      <c r="A11" s="18" t="s">
        <v>120</v>
      </c>
      <c r="B11" s="18" t="s">
        <v>21</v>
      </c>
      <c r="C11" s="18" t="s">
        <v>257</v>
      </c>
      <c r="D11" s="28">
        <v>60000</v>
      </c>
      <c r="E11" s="18" t="s">
        <v>252</v>
      </c>
      <c r="F11" s="18">
        <v>220930</v>
      </c>
      <c r="G11" s="19">
        <v>417.173</v>
      </c>
      <c r="H11" s="18" t="s">
        <v>242</v>
      </c>
      <c r="I11" s="18" t="s">
        <v>253</v>
      </c>
      <c r="J11" s="53">
        <v>1.75</v>
      </c>
      <c r="K11" s="53">
        <v>6.25E-2</v>
      </c>
      <c r="L11" s="19" t="s">
        <v>254</v>
      </c>
      <c r="M11" s="18" t="s">
        <v>161</v>
      </c>
      <c r="N11" s="18" t="s">
        <v>129</v>
      </c>
      <c r="O11" s="18" t="s">
        <v>129</v>
      </c>
      <c r="P11" s="18" t="s">
        <v>128</v>
      </c>
      <c r="Q11" s="18" t="s">
        <v>173</v>
      </c>
      <c r="R11" s="20" t="s">
        <v>245</v>
      </c>
      <c r="CA11" s="1" t="s">
        <v>71</v>
      </c>
      <c r="CB11" s="1" t="s">
        <v>18</v>
      </c>
      <c r="CC11" s="1" t="s">
        <v>132</v>
      </c>
      <c r="CE11" s="18" t="str">
        <f>AD[[#This Row],[Part Type]]</f>
        <v>Adaptors</v>
      </c>
      <c r="CF11" s="18" t="str">
        <f>AD[[#This Row],[Part Nr.]]</f>
        <v>60-21HF6HM4</v>
      </c>
      <c r="CG11" s="18" t="str">
        <f>AD[[#This Row],[UID]]</f>
        <v>AD-4</v>
      </c>
      <c r="CK11" s="18" t="str">
        <f>IF(AD[[#This Row],[Status]]=0,"",AD[[#This Row],[Status]])</f>
        <v>Active</v>
      </c>
    </row>
    <row r="12" spans="1:114">
      <c r="A12" s="18" t="s">
        <v>120</v>
      </c>
      <c r="B12" s="18" t="s">
        <v>21</v>
      </c>
      <c r="C12" s="18" t="s">
        <v>258</v>
      </c>
      <c r="D12" s="28">
        <v>60000</v>
      </c>
      <c r="E12" s="18" t="s">
        <v>252</v>
      </c>
      <c r="F12" s="18">
        <v>220930</v>
      </c>
      <c r="G12" s="19">
        <v>415.3</v>
      </c>
      <c r="H12" s="18" t="s">
        <v>242</v>
      </c>
      <c r="I12" s="18" t="s">
        <v>253</v>
      </c>
      <c r="J12" s="53">
        <v>1.75</v>
      </c>
      <c r="K12" s="53">
        <v>6.25E-2</v>
      </c>
      <c r="L12" s="19" t="s">
        <v>254</v>
      </c>
      <c r="M12" s="18" t="s">
        <v>161</v>
      </c>
      <c r="N12" s="18" t="s">
        <v>129</v>
      </c>
      <c r="O12" s="18" t="s">
        <v>129</v>
      </c>
      <c r="P12" s="18" t="s">
        <v>128</v>
      </c>
      <c r="Q12" s="18" t="s">
        <v>173</v>
      </c>
      <c r="R12" s="20" t="s">
        <v>245</v>
      </c>
      <c r="CA12" s="1" t="s">
        <v>71</v>
      </c>
      <c r="CB12" s="1" t="s">
        <v>18</v>
      </c>
      <c r="CC12" s="1" t="s">
        <v>132</v>
      </c>
      <c r="CE12" s="18" t="str">
        <f>AD[[#This Row],[Part Type]]</f>
        <v>Adaptors</v>
      </c>
      <c r="CF12" s="18" t="str">
        <f>AD[[#This Row],[Part Nr.]]</f>
        <v>60-21HF6HM4</v>
      </c>
      <c r="CG12" s="18" t="str">
        <f>AD[[#This Row],[UID]]</f>
        <v>AD-5</v>
      </c>
      <c r="CK12" s="18" t="str">
        <f>IF(AD[[#This Row],[Status]]=0,"",AD[[#This Row],[Status]])</f>
        <v>Active</v>
      </c>
    </row>
    <row r="13" spans="1:114">
      <c r="A13" s="18" t="s">
        <v>120</v>
      </c>
      <c r="B13" s="18" t="s">
        <v>21</v>
      </c>
      <c r="C13" s="18" t="s">
        <v>259</v>
      </c>
      <c r="D13" s="28">
        <v>60000</v>
      </c>
      <c r="E13" s="18" t="s">
        <v>252</v>
      </c>
      <c r="F13" s="18">
        <v>220930</v>
      </c>
      <c r="G13" s="19">
        <v>408.12200000000001</v>
      </c>
      <c r="H13" s="18" t="s">
        <v>242</v>
      </c>
      <c r="I13" s="18" t="s">
        <v>253</v>
      </c>
      <c r="J13" s="53">
        <v>1.75</v>
      </c>
      <c r="K13" s="53">
        <v>6.25E-2</v>
      </c>
      <c r="L13" s="19" t="s">
        <v>254</v>
      </c>
      <c r="M13" s="18" t="s">
        <v>161</v>
      </c>
      <c r="N13" s="18" t="s">
        <v>129</v>
      </c>
      <c r="O13" s="18" t="s">
        <v>129</v>
      </c>
      <c r="P13" s="18" t="s">
        <v>128</v>
      </c>
      <c r="Q13" s="18" t="s">
        <v>173</v>
      </c>
      <c r="R13" s="20" t="s">
        <v>245</v>
      </c>
      <c r="CA13" s="1" t="s">
        <v>71</v>
      </c>
      <c r="CB13" s="1" t="s">
        <v>18</v>
      </c>
      <c r="CC13" s="1" t="s">
        <v>132</v>
      </c>
      <c r="CE13" s="18" t="str">
        <f>AD[[#This Row],[Part Type]]</f>
        <v>Adaptors</v>
      </c>
      <c r="CF13" s="18" t="str">
        <f>AD[[#This Row],[Part Nr.]]</f>
        <v>60-21HF6HM4</v>
      </c>
      <c r="CG13" s="18" t="str">
        <f>AD[[#This Row],[UID]]</f>
        <v>AD-6</v>
      </c>
      <c r="CK13" s="18" t="str">
        <f>IF(AD[[#This Row],[Status]]=0,"",AD[[#This Row],[Status]])</f>
        <v>Active</v>
      </c>
    </row>
    <row r="14" spans="1:114">
      <c r="A14" s="18" t="s">
        <v>260</v>
      </c>
      <c r="B14" s="18" t="s">
        <v>21</v>
      </c>
      <c r="C14" s="18" t="s">
        <v>261</v>
      </c>
      <c r="D14" s="28">
        <v>60000</v>
      </c>
      <c r="E14" s="18" t="s">
        <v>252</v>
      </c>
      <c r="F14" s="18">
        <v>220930</v>
      </c>
      <c r="G14" s="19">
        <v>416.68</v>
      </c>
      <c r="H14" s="18" t="s">
        <v>242</v>
      </c>
      <c r="I14" s="18" t="s">
        <v>253</v>
      </c>
      <c r="J14" s="53">
        <v>1.75</v>
      </c>
      <c r="K14" s="53">
        <v>6.25E-2</v>
      </c>
      <c r="L14" s="19" t="s">
        <v>254</v>
      </c>
      <c r="M14" s="18" t="s">
        <v>161</v>
      </c>
      <c r="N14" s="18" t="s">
        <v>129</v>
      </c>
      <c r="O14" s="18" t="s">
        <v>129</v>
      </c>
      <c r="P14" s="18" t="s">
        <v>128</v>
      </c>
      <c r="Q14" s="18" t="s">
        <v>173</v>
      </c>
      <c r="R14" s="20" t="s">
        <v>245</v>
      </c>
      <c r="CA14" s="1" t="s">
        <v>71</v>
      </c>
      <c r="CB14" s="1" t="s">
        <v>18</v>
      </c>
      <c r="CC14" s="1" t="s">
        <v>132</v>
      </c>
      <c r="CE14" s="18" t="str">
        <f>AD[[#This Row],[Part Type]]</f>
        <v>Adaptors</v>
      </c>
      <c r="CF14" s="18" t="str">
        <f>AD[[#This Row],[Part Nr.]]</f>
        <v>60-21HF6HM4</v>
      </c>
      <c r="CG14" s="18" t="str">
        <f>AD[[#This Row],[UID]]</f>
        <v>AD-7</v>
      </c>
      <c r="CK14" s="18" t="str">
        <f>IF(AD[[#This Row],[Status]]=0,"",AD[[#This Row],[Status]])</f>
        <v>Retired</v>
      </c>
    </row>
    <row r="15" spans="1:114">
      <c r="A15" s="18" t="s">
        <v>120</v>
      </c>
      <c r="B15" s="18" t="s">
        <v>21</v>
      </c>
      <c r="C15" s="18" t="s">
        <v>262</v>
      </c>
      <c r="D15" s="28">
        <v>60000</v>
      </c>
      <c r="E15" s="18" t="s">
        <v>252</v>
      </c>
      <c r="F15" s="18">
        <v>220930</v>
      </c>
      <c r="G15" s="19">
        <v>410.02600000000001</v>
      </c>
      <c r="H15" s="18" t="s">
        <v>242</v>
      </c>
      <c r="I15" s="18" t="s">
        <v>253</v>
      </c>
      <c r="J15" s="53">
        <v>1.75</v>
      </c>
      <c r="K15" s="53">
        <v>6.25E-2</v>
      </c>
      <c r="L15" s="19" t="s">
        <v>254</v>
      </c>
      <c r="M15" s="18" t="s">
        <v>161</v>
      </c>
      <c r="N15" s="18" t="s">
        <v>129</v>
      </c>
      <c r="O15" s="18" t="s">
        <v>129</v>
      </c>
      <c r="P15" s="18" t="s">
        <v>128</v>
      </c>
      <c r="Q15" s="18" t="s">
        <v>173</v>
      </c>
      <c r="R15" s="20" t="s">
        <v>245</v>
      </c>
      <c r="CA15" s="1" t="s">
        <v>71</v>
      </c>
      <c r="CB15" s="1" t="s">
        <v>18</v>
      </c>
      <c r="CC15" s="1" t="s">
        <v>132</v>
      </c>
      <c r="CE15" s="18" t="str">
        <f>AD[[#This Row],[Part Type]]</f>
        <v>Adaptors</v>
      </c>
      <c r="CF15" s="18" t="str">
        <f>AD[[#This Row],[Part Nr.]]</f>
        <v>60-21HF6HM4</v>
      </c>
      <c r="CG15" s="18" t="str">
        <f>AD[[#This Row],[UID]]</f>
        <v>AD-8</v>
      </c>
      <c r="CK15" s="18" t="str">
        <f>IF(AD[[#This Row],[Status]]=0,"",AD[[#This Row],[Status]])</f>
        <v>Active</v>
      </c>
    </row>
    <row r="16" spans="1:114">
      <c r="A16" s="18" t="s">
        <v>120</v>
      </c>
      <c r="B16" s="18" t="s">
        <v>21</v>
      </c>
      <c r="C16" s="18" t="s">
        <v>263</v>
      </c>
      <c r="D16" s="28">
        <v>60000</v>
      </c>
      <c r="E16" s="18" t="s">
        <v>252</v>
      </c>
      <c r="F16" s="18">
        <v>220930</v>
      </c>
      <c r="G16" s="19">
        <v>81.67</v>
      </c>
      <c r="H16" s="18" t="s">
        <v>242</v>
      </c>
      <c r="I16" s="18" t="s">
        <v>253</v>
      </c>
      <c r="J16" s="53">
        <v>1.75</v>
      </c>
      <c r="K16" s="53">
        <v>6.25E-2</v>
      </c>
      <c r="L16" s="19" t="s">
        <v>254</v>
      </c>
      <c r="M16" s="18" t="s">
        <v>161</v>
      </c>
      <c r="N16" s="18" t="s">
        <v>129</v>
      </c>
      <c r="O16" s="18" t="s">
        <v>129</v>
      </c>
      <c r="P16" s="18" t="s">
        <v>128</v>
      </c>
      <c r="Q16" s="18" t="s">
        <v>173</v>
      </c>
      <c r="R16" s="20" t="s">
        <v>245</v>
      </c>
      <c r="CA16" s="1" t="s">
        <v>71</v>
      </c>
      <c r="CB16" s="1" t="s">
        <v>18</v>
      </c>
      <c r="CC16" s="1" t="s">
        <v>132</v>
      </c>
      <c r="CE16" s="18" t="str">
        <f>AD[[#This Row],[Part Type]]</f>
        <v>Adaptors</v>
      </c>
      <c r="CF16" s="18" t="str">
        <f>AD[[#This Row],[Part Nr.]]</f>
        <v>60-21HF6HM4</v>
      </c>
      <c r="CG16" s="18" t="str">
        <f>AD[[#This Row],[UID]]</f>
        <v>AD-9</v>
      </c>
      <c r="CK16" s="18" t="str">
        <f>IF(AD[[#This Row],[Status]]=0,"",AD[[#This Row],[Status]])</f>
        <v>Active</v>
      </c>
    </row>
    <row r="17" spans="1:89">
      <c r="A17" s="18" t="s">
        <v>120</v>
      </c>
      <c r="B17" s="18" t="s">
        <v>21</v>
      </c>
      <c r="C17" s="18" t="s">
        <v>264</v>
      </c>
      <c r="D17" s="28">
        <v>60000</v>
      </c>
      <c r="E17" s="18" t="s">
        <v>252</v>
      </c>
      <c r="F17" s="18">
        <v>220930</v>
      </c>
      <c r="G17" s="19">
        <v>81.817999999999998</v>
      </c>
      <c r="H17" s="18" t="s">
        <v>242</v>
      </c>
      <c r="I17" s="18" t="s">
        <v>253</v>
      </c>
      <c r="J17" s="53">
        <v>1.75</v>
      </c>
      <c r="K17" s="53">
        <v>6.25E-2</v>
      </c>
      <c r="L17" s="19" t="s">
        <v>254</v>
      </c>
      <c r="M17" s="18" t="s">
        <v>161</v>
      </c>
      <c r="N17" s="18" t="s">
        <v>129</v>
      </c>
      <c r="O17" s="18" t="s">
        <v>129</v>
      </c>
      <c r="P17" s="18" t="s">
        <v>128</v>
      </c>
      <c r="Q17" s="18" t="s">
        <v>173</v>
      </c>
      <c r="R17" s="20" t="s">
        <v>245</v>
      </c>
      <c r="CA17" s="1" t="s">
        <v>71</v>
      </c>
      <c r="CB17" s="1" t="s">
        <v>18</v>
      </c>
      <c r="CC17" s="1" t="s">
        <v>132</v>
      </c>
      <c r="CE17" s="18" t="str">
        <f>AD[[#This Row],[Part Type]]</f>
        <v>Adaptors</v>
      </c>
      <c r="CF17" s="18" t="str">
        <f>AD[[#This Row],[Part Nr.]]</f>
        <v>60-21HF6HM4</v>
      </c>
      <c r="CG17" s="18" t="str">
        <f>AD[[#This Row],[UID]]</f>
        <v>AD-10</v>
      </c>
      <c r="CK17" s="18" t="str">
        <f>IF(AD[[#This Row],[Status]]=0,"",AD[[#This Row],[Status]])</f>
        <v>Active</v>
      </c>
    </row>
    <row r="18" spans="1:89">
      <c r="A18" s="18" t="s">
        <v>120</v>
      </c>
      <c r="B18" s="18" t="s">
        <v>21</v>
      </c>
      <c r="C18" s="18" t="s">
        <v>265</v>
      </c>
      <c r="D18" s="28">
        <v>60000</v>
      </c>
      <c r="E18" s="18" t="s">
        <v>252</v>
      </c>
      <c r="F18" s="18">
        <v>220930</v>
      </c>
      <c r="G18" s="19">
        <v>82.605999999999995</v>
      </c>
      <c r="H18" s="18" t="s">
        <v>242</v>
      </c>
      <c r="I18" s="18" t="s">
        <v>253</v>
      </c>
      <c r="J18" s="53">
        <v>1.75</v>
      </c>
      <c r="K18" s="53">
        <v>6.25E-2</v>
      </c>
      <c r="L18" s="19" t="s">
        <v>254</v>
      </c>
      <c r="M18" s="18" t="s">
        <v>161</v>
      </c>
      <c r="N18" s="18" t="s">
        <v>129</v>
      </c>
      <c r="O18" s="18" t="s">
        <v>129</v>
      </c>
      <c r="P18" s="18" t="s">
        <v>128</v>
      </c>
      <c r="Q18" s="18" t="s">
        <v>173</v>
      </c>
      <c r="R18" s="20" t="s">
        <v>245</v>
      </c>
      <c r="CA18" s="1" t="s">
        <v>71</v>
      </c>
      <c r="CB18" s="1" t="s">
        <v>18</v>
      </c>
      <c r="CC18" s="1" t="s">
        <v>132</v>
      </c>
      <c r="CE18" s="18" t="str">
        <f>AD[[#This Row],[Part Type]]</f>
        <v>Adaptors</v>
      </c>
      <c r="CF18" s="18" t="str">
        <f>AD[[#This Row],[Part Nr.]]</f>
        <v>60-21HF6HM4</v>
      </c>
      <c r="CG18" s="18" t="str">
        <f>AD[[#This Row],[UID]]</f>
        <v>AD-11</v>
      </c>
      <c r="CK18" s="18" t="str">
        <f>IF(AD[[#This Row],[Status]]=0,"",AD[[#This Row],[Status]])</f>
        <v>Active</v>
      </c>
    </row>
    <row r="19" spans="1:89">
      <c r="A19" s="18" t="s">
        <v>120</v>
      </c>
      <c r="B19" s="18" t="s">
        <v>21</v>
      </c>
      <c r="C19" s="18" t="s">
        <v>266</v>
      </c>
      <c r="D19" s="28">
        <v>60000</v>
      </c>
      <c r="E19" s="18" t="s">
        <v>252</v>
      </c>
      <c r="F19" s="18">
        <v>220930</v>
      </c>
      <c r="G19" s="19">
        <v>81.441999999999993</v>
      </c>
      <c r="H19" s="18" t="s">
        <v>242</v>
      </c>
      <c r="I19" s="18" t="s">
        <v>253</v>
      </c>
      <c r="J19" s="53">
        <v>1.75</v>
      </c>
      <c r="K19" s="53">
        <v>6.25E-2</v>
      </c>
      <c r="L19" s="19" t="s">
        <v>254</v>
      </c>
      <c r="M19" s="18" t="s">
        <v>161</v>
      </c>
      <c r="N19" s="18" t="s">
        <v>129</v>
      </c>
      <c r="O19" s="18" t="s">
        <v>129</v>
      </c>
      <c r="P19" s="18" t="s">
        <v>128</v>
      </c>
      <c r="Q19" s="18" t="s">
        <v>173</v>
      </c>
      <c r="R19" s="20" t="s">
        <v>245</v>
      </c>
      <c r="CA19" s="1" t="s">
        <v>71</v>
      </c>
      <c r="CB19" s="1" t="s">
        <v>18</v>
      </c>
      <c r="CC19" s="1" t="s">
        <v>132</v>
      </c>
      <c r="CE19" s="18" t="str">
        <f>AD[[#This Row],[Part Type]]</f>
        <v>Adaptors</v>
      </c>
      <c r="CF19" s="18" t="str">
        <f>AD[[#This Row],[Part Nr.]]</f>
        <v>60-21HF6HM4</v>
      </c>
      <c r="CG19" s="18" t="str">
        <f>AD[[#This Row],[UID]]</f>
        <v>AD-12</v>
      </c>
      <c r="CK19" s="18" t="str">
        <f>IF(AD[[#This Row],[Status]]=0,"",AD[[#This Row],[Status]])</f>
        <v>Active</v>
      </c>
    </row>
    <row r="20" spans="1:89">
      <c r="A20" s="18" t="s">
        <v>120</v>
      </c>
      <c r="B20" s="18" t="s">
        <v>21</v>
      </c>
      <c r="C20" s="18" t="s">
        <v>267</v>
      </c>
      <c r="D20" s="28">
        <v>60000</v>
      </c>
      <c r="E20" s="18" t="s">
        <v>252</v>
      </c>
      <c r="F20" s="18">
        <v>220930</v>
      </c>
      <c r="G20" s="19">
        <v>81.233000000000004</v>
      </c>
      <c r="H20" s="18" t="s">
        <v>242</v>
      </c>
      <c r="I20" s="18" t="s">
        <v>253</v>
      </c>
      <c r="J20" s="53">
        <v>1.75</v>
      </c>
      <c r="K20" s="53">
        <v>6.25E-2</v>
      </c>
      <c r="L20" s="19" t="s">
        <v>254</v>
      </c>
      <c r="M20" s="18" t="s">
        <v>161</v>
      </c>
      <c r="N20" s="18" t="s">
        <v>129</v>
      </c>
      <c r="O20" s="18" t="s">
        <v>129</v>
      </c>
      <c r="P20" s="18" t="s">
        <v>128</v>
      </c>
      <c r="Q20" s="18" t="s">
        <v>173</v>
      </c>
      <c r="R20" s="20" t="s">
        <v>245</v>
      </c>
      <c r="CA20" s="1" t="s">
        <v>71</v>
      </c>
      <c r="CB20" s="1" t="s">
        <v>18</v>
      </c>
      <c r="CC20" s="1" t="s">
        <v>132</v>
      </c>
      <c r="CE20" s="18" t="str">
        <f>AD[[#This Row],[Part Type]]</f>
        <v>Adaptors</v>
      </c>
      <c r="CF20" s="18" t="str">
        <f>AD[[#This Row],[Part Nr.]]</f>
        <v>60-21HF6HM4</v>
      </c>
      <c r="CG20" s="18" t="str">
        <f>AD[[#This Row],[UID]]</f>
        <v>AD-13</v>
      </c>
      <c r="CK20" s="18" t="str">
        <f>IF(AD[[#This Row],[Status]]=0,"",AD[[#This Row],[Status]])</f>
        <v>Active</v>
      </c>
    </row>
    <row r="21" spans="1:89">
      <c r="A21" s="18" t="s">
        <v>120</v>
      </c>
      <c r="B21" s="18" t="s">
        <v>21</v>
      </c>
      <c r="C21" s="18" t="s">
        <v>268</v>
      </c>
      <c r="D21" s="28">
        <v>60000</v>
      </c>
      <c r="E21" s="18" t="s">
        <v>252</v>
      </c>
      <c r="F21" s="18">
        <v>220930</v>
      </c>
      <c r="G21" s="19">
        <v>74.019000000000005</v>
      </c>
      <c r="H21" s="18" t="s">
        <v>242</v>
      </c>
      <c r="I21" s="18" t="s">
        <v>253</v>
      </c>
      <c r="J21" s="53">
        <v>1.75</v>
      </c>
      <c r="K21" s="53">
        <v>6.25E-2</v>
      </c>
      <c r="L21" s="19" t="s">
        <v>254</v>
      </c>
      <c r="M21" s="18" t="s">
        <v>161</v>
      </c>
      <c r="N21" s="18" t="s">
        <v>129</v>
      </c>
      <c r="O21" s="18" t="s">
        <v>129</v>
      </c>
      <c r="P21" s="18" t="s">
        <v>128</v>
      </c>
      <c r="Q21" s="18" t="s">
        <v>173</v>
      </c>
      <c r="R21" s="20" t="s">
        <v>245</v>
      </c>
      <c r="CA21" s="1" t="s">
        <v>71</v>
      </c>
      <c r="CB21" s="1" t="s">
        <v>18</v>
      </c>
      <c r="CC21" s="1" t="s">
        <v>132</v>
      </c>
      <c r="CE21" s="18" t="str">
        <f>AD[[#This Row],[Part Type]]</f>
        <v>Adaptors</v>
      </c>
      <c r="CF21" s="18" t="str">
        <f>AD[[#This Row],[Part Nr.]]</f>
        <v>60-21HF6HM4</v>
      </c>
      <c r="CG21" s="18" t="str">
        <f>AD[[#This Row],[UID]]</f>
        <v>AD-14</v>
      </c>
      <c r="CK21" s="18" t="str">
        <f>IF(AD[[#This Row],[Status]]=0,"",AD[[#This Row],[Status]])</f>
        <v>Active</v>
      </c>
    </row>
    <row r="22" spans="1:89">
      <c r="A22" s="18" t="s">
        <v>120</v>
      </c>
      <c r="B22" s="18" t="s">
        <v>21</v>
      </c>
      <c r="C22" s="18" t="s">
        <v>269</v>
      </c>
      <c r="D22" s="28">
        <v>60000</v>
      </c>
      <c r="E22" s="18" t="s">
        <v>241</v>
      </c>
      <c r="F22" s="18">
        <v>220930</v>
      </c>
      <c r="G22" s="19">
        <v>162.69</v>
      </c>
      <c r="H22" s="18" t="s">
        <v>242</v>
      </c>
      <c r="I22" s="18" t="s">
        <v>243</v>
      </c>
      <c r="J22" s="53">
        <v>1.625</v>
      </c>
      <c r="K22" s="53">
        <v>6.25E-2</v>
      </c>
      <c r="L22" s="19" t="s">
        <v>244</v>
      </c>
      <c r="M22" s="18" t="s">
        <v>161</v>
      </c>
      <c r="N22" s="18" t="s">
        <v>129</v>
      </c>
      <c r="O22" s="18" t="s">
        <v>129</v>
      </c>
      <c r="P22" s="18" t="s">
        <v>128</v>
      </c>
      <c r="Q22" s="18" t="s">
        <v>173</v>
      </c>
      <c r="R22" s="20" t="s">
        <v>245</v>
      </c>
      <c r="CA22" s="1" t="s">
        <v>71</v>
      </c>
      <c r="CB22" s="1" t="s">
        <v>18</v>
      </c>
      <c r="CC22" s="1" t="s">
        <v>132</v>
      </c>
      <c r="CE22" s="18" t="str">
        <f>AD[[#This Row],[Part Type]]</f>
        <v>Adaptors</v>
      </c>
      <c r="CF22" s="18" t="str">
        <f>AD[[#This Row],[Part Nr.]]</f>
        <v>60-21HF4HF6</v>
      </c>
      <c r="CG22" s="18" t="str">
        <f>AD[[#This Row],[UID]]</f>
        <v>AD-15</v>
      </c>
      <c r="CK22" s="18" t="str">
        <f>IF(AD[[#This Row],[Status]]=0,"",AD[[#This Row],[Status]])</f>
        <v>Active</v>
      </c>
    </row>
    <row r="23" spans="1:89">
      <c r="A23" s="18" t="s">
        <v>120</v>
      </c>
      <c r="B23" s="18" t="s">
        <v>21</v>
      </c>
      <c r="C23" s="18" t="s">
        <v>270</v>
      </c>
      <c r="D23" s="28">
        <v>60000</v>
      </c>
      <c r="E23" s="18" t="s">
        <v>241</v>
      </c>
      <c r="F23" s="18">
        <v>220930</v>
      </c>
      <c r="G23" s="19">
        <v>162.70099999999999</v>
      </c>
      <c r="H23" s="18" t="s">
        <v>242</v>
      </c>
      <c r="I23" s="18" t="s">
        <v>243</v>
      </c>
      <c r="J23" s="53">
        <v>1.625</v>
      </c>
      <c r="K23" s="53">
        <v>6.25E-2</v>
      </c>
      <c r="L23" s="19" t="s">
        <v>244</v>
      </c>
      <c r="M23" s="18" t="s">
        <v>161</v>
      </c>
      <c r="N23" s="18" t="s">
        <v>129</v>
      </c>
      <c r="O23" s="18" t="s">
        <v>129</v>
      </c>
      <c r="P23" s="18" t="s">
        <v>128</v>
      </c>
      <c r="Q23" s="18" t="s">
        <v>173</v>
      </c>
      <c r="R23" s="20" t="s">
        <v>245</v>
      </c>
      <c r="CA23" s="1" t="s">
        <v>71</v>
      </c>
      <c r="CB23" s="1" t="s">
        <v>18</v>
      </c>
      <c r="CC23" s="1" t="s">
        <v>132</v>
      </c>
      <c r="CE23" s="18" t="str">
        <f>AD[[#This Row],[Part Type]]</f>
        <v>Adaptors</v>
      </c>
      <c r="CF23" s="18" t="str">
        <f>AD[[#This Row],[Part Nr.]]</f>
        <v>60-21HF4HF6</v>
      </c>
      <c r="CG23" s="18" t="str">
        <f>AD[[#This Row],[UID]]</f>
        <v>AD-16</v>
      </c>
      <c r="CK23" s="18" t="str">
        <f>IF(AD[[#This Row],[Status]]=0,"",AD[[#This Row],[Status]])</f>
        <v>Active</v>
      </c>
    </row>
    <row r="24" spans="1:89">
      <c r="A24" s="18" t="s">
        <v>120</v>
      </c>
      <c r="B24" s="18" t="s">
        <v>21</v>
      </c>
      <c r="C24" s="18" t="s">
        <v>271</v>
      </c>
      <c r="D24" s="28">
        <v>60000</v>
      </c>
      <c r="E24" s="18" t="s">
        <v>241</v>
      </c>
      <c r="F24" s="18">
        <v>220930</v>
      </c>
      <c r="G24" s="19">
        <v>162.81100000000001</v>
      </c>
      <c r="H24" s="18" t="s">
        <v>242</v>
      </c>
      <c r="I24" s="18" t="s">
        <v>243</v>
      </c>
      <c r="J24" s="53">
        <v>1.625</v>
      </c>
      <c r="K24" s="53">
        <v>6.25E-2</v>
      </c>
      <c r="L24" s="19" t="s">
        <v>244</v>
      </c>
      <c r="M24" s="18" t="s">
        <v>161</v>
      </c>
      <c r="N24" s="18" t="s">
        <v>129</v>
      </c>
      <c r="O24" s="18" t="s">
        <v>129</v>
      </c>
      <c r="P24" s="18" t="s">
        <v>128</v>
      </c>
      <c r="Q24" s="18" t="s">
        <v>173</v>
      </c>
      <c r="R24" s="20" t="s">
        <v>245</v>
      </c>
      <c r="CA24" s="1" t="s">
        <v>71</v>
      </c>
      <c r="CB24" s="1" t="s">
        <v>18</v>
      </c>
      <c r="CC24" s="1" t="s">
        <v>132</v>
      </c>
      <c r="CE24" s="18" t="str">
        <f>AD[[#This Row],[Part Type]]</f>
        <v>Adaptors</v>
      </c>
      <c r="CF24" s="18" t="str">
        <f>AD[[#This Row],[Part Nr.]]</f>
        <v>60-21HF4HF6</v>
      </c>
      <c r="CG24" s="18" t="str">
        <f>AD[[#This Row],[UID]]</f>
        <v>AD-17</v>
      </c>
      <c r="CK24" s="18" t="str">
        <f>IF(AD[[#This Row],[Status]]=0,"",AD[[#This Row],[Status]])</f>
        <v>Active</v>
      </c>
    </row>
    <row r="25" spans="1:89">
      <c r="A25" s="18" t="s">
        <v>120</v>
      </c>
      <c r="B25" s="18" t="s">
        <v>21</v>
      </c>
      <c r="C25" s="18" t="s">
        <v>272</v>
      </c>
      <c r="D25" s="28">
        <v>60000</v>
      </c>
      <c r="E25" s="18" t="s">
        <v>241</v>
      </c>
      <c r="F25" s="18">
        <v>220930</v>
      </c>
      <c r="G25" s="19">
        <v>160.929</v>
      </c>
      <c r="H25" s="18" t="s">
        <v>242</v>
      </c>
      <c r="I25" s="18" t="s">
        <v>243</v>
      </c>
      <c r="J25" s="53">
        <v>1.625</v>
      </c>
      <c r="K25" s="53">
        <v>6.25E-2</v>
      </c>
      <c r="L25" s="19" t="s">
        <v>244</v>
      </c>
      <c r="M25" s="18" t="s">
        <v>161</v>
      </c>
      <c r="N25" s="18" t="s">
        <v>129</v>
      </c>
      <c r="O25" s="18" t="s">
        <v>129</v>
      </c>
      <c r="P25" s="18" t="s">
        <v>128</v>
      </c>
      <c r="Q25" s="18" t="s">
        <v>173</v>
      </c>
      <c r="R25" s="20" t="s">
        <v>245</v>
      </c>
      <c r="CA25" s="1" t="s">
        <v>71</v>
      </c>
      <c r="CB25" s="1" t="s">
        <v>18</v>
      </c>
      <c r="CC25" s="1" t="s">
        <v>132</v>
      </c>
      <c r="CE25" s="18" t="str">
        <f>AD[[#This Row],[Part Type]]</f>
        <v>Adaptors</v>
      </c>
      <c r="CF25" s="18" t="str">
        <f>AD[[#This Row],[Part Nr.]]</f>
        <v>60-21HF4HF6</v>
      </c>
      <c r="CG25" s="18" t="str">
        <f>AD[[#This Row],[UID]]</f>
        <v>AD-18</v>
      </c>
      <c r="CK25" s="18" t="str">
        <f>IF(AD[[#This Row],[Status]]=0,"",AD[[#This Row],[Status]])</f>
        <v>Active</v>
      </c>
    </row>
    <row r="26" spans="1:89">
      <c r="A26" s="18" t="s">
        <v>120</v>
      </c>
      <c r="B26" s="18" t="s">
        <v>21</v>
      </c>
      <c r="C26" s="18" t="s">
        <v>273</v>
      </c>
      <c r="D26" s="28">
        <v>60000</v>
      </c>
      <c r="E26" s="18" t="s">
        <v>241</v>
      </c>
      <c r="F26" s="18">
        <v>220930</v>
      </c>
      <c r="G26" s="19">
        <v>161.149</v>
      </c>
      <c r="H26" s="18" t="s">
        <v>242</v>
      </c>
      <c r="I26" s="18" t="s">
        <v>243</v>
      </c>
      <c r="J26" s="53">
        <v>1.625</v>
      </c>
      <c r="K26" s="53">
        <v>6.25E-2</v>
      </c>
      <c r="L26" s="19" t="s">
        <v>244</v>
      </c>
      <c r="M26" s="18" t="s">
        <v>161</v>
      </c>
      <c r="N26" s="18" t="s">
        <v>129</v>
      </c>
      <c r="O26" s="18" t="s">
        <v>129</v>
      </c>
      <c r="P26" s="18" t="s">
        <v>128</v>
      </c>
      <c r="Q26" s="18" t="s">
        <v>173</v>
      </c>
      <c r="R26" s="20" t="s">
        <v>245</v>
      </c>
      <c r="CA26" s="1" t="s">
        <v>71</v>
      </c>
      <c r="CB26" s="1" t="s">
        <v>18</v>
      </c>
      <c r="CC26" s="1" t="s">
        <v>132</v>
      </c>
      <c r="CE26" s="18" t="str">
        <f>AD[[#This Row],[Part Type]]</f>
        <v>Adaptors</v>
      </c>
      <c r="CF26" s="18" t="str">
        <f>AD[[#This Row],[Part Nr.]]</f>
        <v>60-21HF4HF6</v>
      </c>
      <c r="CG26" s="18" t="str">
        <f>AD[[#This Row],[UID]]</f>
        <v>AD-19</v>
      </c>
      <c r="CK26" s="18" t="str">
        <f>IF(AD[[#This Row],[Status]]=0,"",AD[[#This Row],[Status]])</f>
        <v>Active</v>
      </c>
    </row>
    <row r="27" spans="1:89">
      <c r="A27" s="18" t="s">
        <v>120</v>
      </c>
      <c r="B27" s="18" t="s">
        <v>21</v>
      </c>
      <c r="C27" s="18" t="s">
        <v>274</v>
      </c>
      <c r="D27" s="28">
        <v>60000</v>
      </c>
      <c r="E27" s="18" t="s">
        <v>241</v>
      </c>
      <c r="F27" s="18">
        <v>220930</v>
      </c>
      <c r="G27" s="19">
        <v>160.99299999999999</v>
      </c>
      <c r="H27" s="18" t="s">
        <v>242</v>
      </c>
      <c r="I27" s="18" t="s">
        <v>243</v>
      </c>
      <c r="J27" s="53">
        <v>1.625</v>
      </c>
      <c r="K27" s="53">
        <v>6.25E-2</v>
      </c>
      <c r="L27" s="19" t="s">
        <v>244</v>
      </c>
      <c r="M27" s="18" t="s">
        <v>161</v>
      </c>
      <c r="N27" s="18" t="s">
        <v>129</v>
      </c>
      <c r="O27" s="18" t="s">
        <v>129</v>
      </c>
      <c r="P27" s="18" t="s">
        <v>128</v>
      </c>
      <c r="Q27" s="18" t="s">
        <v>173</v>
      </c>
      <c r="R27" s="20" t="s">
        <v>245</v>
      </c>
      <c r="CA27" s="1" t="s">
        <v>71</v>
      </c>
      <c r="CB27" s="1" t="s">
        <v>18</v>
      </c>
      <c r="CC27" s="1" t="s">
        <v>132</v>
      </c>
      <c r="CE27" s="18" t="str">
        <f>AD[[#This Row],[Part Type]]</f>
        <v>Adaptors</v>
      </c>
      <c r="CF27" s="18" t="str">
        <f>AD[[#This Row],[Part Nr.]]</f>
        <v>60-21HF4HF6</v>
      </c>
      <c r="CG27" s="18" t="str">
        <f>AD[[#This Row],[UID]]</f>
        <v>AD-20</v>
      </c>
      <c r="CK27" s="18" t="str">
        <f>IF(AD[[#This Row],[Status]]=0,"",AD[[#This Row],[Status]])</f>
        <v>Active</v>
      </c>
    </row>
    <row r="28" spans="1:89">
      <c r="A28" s="18" t="s">
        <v>120</v>
      </c>
      <c r="B28" s="18" t="s">
        <v>21</v>
      </c>
      <c r="C28" s="18" t="s">
        <v>275</v>
      </c>
      <c r="D28" s="28">
        <v>60000</v>
      </c>
      <c r="E28" s="18" t="s">
        <v>241</v>
      </c>
      <c r="F28" s="18">
        <v>220930</v>
      </c>
      <c r="G28" s="19">
        <v>160.66399999999999</v>
      </c>
      <c r="H28" s="18" t="s">
        <v>242</v>
      </c>
      <c r="I28" s="18" t="s">
        <v>243</v>
      </c>
      <c r="J28" s="53">
        <v>1.625</v>
      </c>
      <c r="K28" s="53">
        <v>6.25E-2</v>
      </c>
      <c r="L28" s="19" t="s">
        <v>244</v>
      </c>
      <c r="M28" s="18" t="s">
        <v>161</v>
      </c>
      <c r="N28" s="18" t="s">
        <v>129</v>
      </c>
      <c r="O28" s="18" t="s">
        <v>129</v>
      </c>
      <c r="P28" s="18" t="s">
        <v>128</v>
      </c>
      <c r="Q28" s="18" t="s">
        <v>173</v>
      </c>
      <c r="R28" s="20" t="s">
        <v>245</v>
      </c>
      <c r="CA28" s="1" t="s">
        <v>71</v>
      </c>
      <c r="CB28" s="1" t="s">
        <v>18</v>
      </c>
      <c r="CC28" s="1" t="s">
        <v>132</v>
      </c>
      <c r="CE28" s="18" t="str">
        <f>AD[[#This Row],[Part Type]]</f>
        <v>Adaptors</v>
      </c>
      <c r="CF28" s="18" t="str">
        <f>AD[[#This Row],[Part Nr.]]</f>
        <v>60-21HF4HF6</v>
      </c>
      <c r="CG28" s="18" t="str">
        <f>AD[[#This Row],[UID]]</f>
        <v>AD-21</v>
      </c>
      <c r="CK28" s="18" t="str">
        <f>IF(AD[[#This Row],[Status]]=0,"",AD[[#This Row],[Status]])</f>
        <v>Active</v>
      </c>
    </row>
    <row r="29" spans="1:89">
      <c r="A29" s="18" t="s">
        <v>120</v>
      </c>
      <c r="B29" s="18" t="s">
        <v>21</v>
      </c>
      <c r="C29" s="18" t="s">
        <v>276</v>
      </c>
      <c r="D29" s="28">
        <v>60000</v>
      </c>
      <c r="E29" s="18" t="s">
        <v>241</v>
      </c>
      <c r="F29" s="18">
        <v>220930</v>
      </c>
      <c r="G29" s="19">
        <v>160.042</v>
      </c>
      <c r="H29" s="18" t="s">
        <v>242</v>
      </c>
      <c r="I29" s="18" t="s">
        <v>243</v>
      </c>
      <c r="J29" s="53">
        <v>1.625</v>
      </c>
      <c r="K29" s="53">
        <v>6.25E-2</v>
      </c>
      <c r="L29" s="19" t="s">
        <v>244</v>
      </c>
      <c r="M29" s="18" t="s">
        <v>161</v>
      </c>
      <c r="N29" s="18" t="s">
        <v>129</v>
      </c>
      <c r="O29" s="18" t="s">
        <v>129</v>
      </c>
      <c r="P29" s="18" t="s">
        <v>128</v>
      </c>
      <c r="Q29" s="18" t="s">
        <v>173</v>
      </c>
      <c r="R29" s="20" t="s">
        <v>245</v>
      </c>
      <c r="CA29" s="1" t="s">
        <v>71</v>
      </c>
      <c r="CB29" s="1" t="s">
        <v>18</v>
      </c>
      <c r="CC29" s="1" t="s">
        <v>132</v>
      </c>
      <c r="CE29" s="18" t="str">
        <f>AD[[#This Row],[Part Type]]</f>
        <v>Adaptors</v>
      </c>
      <c r="CF29" s="18" t="str">
        <f>AD[[#This Row],[Part Nr.]]</f>
        <v>60-21HF4HF6</v>
      </c>
      <c r="CG29" s="18" t="str">
        <f>AD[[#This Row],[UID]]</f>
        <v>AD-22</v>
      </c>
      <c r="CK29" s="18" t="str">
        <f>IF(AD[[#This Row],[Status]]=0,"",AD[[#This Row],[Status]])</f>
        <v>Active</v>
      </c>
    </row>
    <row r="30" spans="1:89">
      <c r="A30" s="18" t="s">
        <v>120</v>
      </c>
      <c r="B30" s="18" t="s">
        <v>21</v>
      </c>
      <c r="C30" s="18" t="s">
        <v>277</v>
      </c>
      <c r="D30" s="28">
        <v>60000</v>
      </c>
      <c r="E30" s="18" t="s">
        <v>241</v>
      </c>
      <c r="F30" s="18">
        <v>220930</v>
      </c>
      <c r="G30" s="19">
        <v>159.68199999999999</v>
      </c>
      <c r="H30" s="18" t="s">
        <v>242</v>
      </c>
      <c r="I30" s="18" t="s">
        <v>243</v>
      </c>
      <c r="J30" s="53">
        <v>1.625</v>
      </c>
      <c r="K30" s="53">
        <v>6.25E-2</v>
      </c>
      <c r="L30" s="19" t="s">
        <v>244</v>
      </c>
      <c r="M30" s="18" t="s">
        <v>161</v>
      </c>
      <c r="N30" s="18" t="s">
        <v>129</v>
      </c>
      <c r="O30" s="18" t="s">
        <v>129</v>
      </c>
      <c r="P30" s="18" t="s">
        <v>128</v>
      </c>
      <c r="Q30" s="18" t="s">
        <v>173</v>
      </c>
      <c r="R30" s="20" t="s">
        <v>245</v>
      </c>
      <c r="CA30" s="1" t="s">
        <v>71</v>
      </c>
      <c r="CB30" s="1" t="s">
        <v>18</v>
      </c>
      <c r="CC30" s="1" t="s">
        <v>132</v>
      </c>
      <c r="CE30" s="18" t="str">
        <f>AD[[#This Row],[Part Type]]</f>
        <v>Adaptors</v>
      </c>
      <c r="CF30" s="18" t="str">
        <f>AD[[#This Row],[Part Nr.]]</f>
        <v>60-21HF4HF6</v>
      </c>
      <c r="CG30" s="18" t="str">
        <f>AD[[#This Row],[UID]]</f>
        <v>AD-23</v>
      </c>
      <c r="CK30" s="18" t="str">
        <f>IF(AD[[#This Row],[Status]]=0,"",AD[[#This Row],[Status]])</f>
        <v>Active</v>
      </c>
    </row>
    <row r="31" spans="1:89">
      <c r="A31" s="18" t="s">
        <v>120</v>
      </c>
      <c r="B31" s="18" t="s">
        <v>21</v>
      </c>
      <c r="C31" s="18" t="s">
        <v>278</v>
      </c>
      <c r="D31" s="28">
        <v>60000</v>
      </c>
      <c r="E31" s="18" t="s">
        <v>241</v>
      </c>
      <c r="F31" s="18">
        <v>220930</v>
      </c>
      <c r="G31" s="19">
        <v>160.649</v>
      </c>
      <c r="H31" s="18" t="s">
        <v>242</v>
      </c>
      <c r="I31" s="18" t="s">
        <v>243</v>
      </c>
      <c r="J31" s="53">
        <v>1.625</v>
      </c>
      <c r="K31" s="53">
        <v>6.25E-2</v>
      </c>
      <c r="L31" s="19" t="s">
        <v>244</v>
      </c>
      <c r="M31" s="18" t="s">
        <v>161</v>
      </c>
      <c r="N31" s="18" t="s">
        <v>129</v>
      </c>
      <c r="O31" s="18" t="s">
        <v>129</v>
      </c>
      <c r="P31" s="18" t="s">
        <v>128</v>
      </c>
      <c r="Q31" s="18" t="s">
        <v>173</v>
      </c>
      <c r="R31" s="20" t="s">
        <v>245</v>
      </c>
      <c r="CA31" s="1" t="s">
        <v>71</v>
      </c>
      <c r="CB31" s="1" t="s">
        <v>18</v>
      </c>
      <c r="CC31" s="1" t="s">
        <v>132</v>
      </c>
      <c r="CE31" s="18" t="str">
        <f>AD[[#This Row],[Part Type]]</f>
        <v>Adaptors</v>
      </c>
      <c r="CF31" s="18" t="str">
        <f>AD[[#This Row],[Part Nr.]]</f>
        <v>60-21HF4HF6</v>
      </c>
      <c r="CG31" s="18" t="str">
        <f>AD[[#This Row],[UID]]</f>
        <v>AD-24</v>
      </c>
      <c r="CK31" s="18" t="str">
        <f>IF(AD[[#This Row],[Status]]=0,"",AD[[#This Row],[Status]])</f>
        <v>Active</v>
      </c>
    </row>
    <row r="32" spans="1:89">
      <c r="A32" s="18" t="s">
        <v>120</v>
      </c>
      <c r="B32" s="18" t="s">
        <v>21</v>
      </c>
      <c r="C32" s="18" t="s">
        <v>279</v>
      </c>
      <c r="D32" s="28">
        <v>60000</v>
      </c>
      <c r="E32" s="18" t="s">
        <v>241</v>
      </c>
      <c r="F32" s="18">
        <v>220930</v>
      </c>
      <c r="G32" s="19">
        <v>160.15199999999999</v>
      </c>
      <c r="H32" s="18" t="s">
        <v>242</v>
      </c>
      <c r="I32" s="18" t="s">
        <v>243</v>
      </c>
      <c r="J32" s="53">
        <v>1.625</v>
      </c>
      <c r="K32" s="53">
        <v>6.25E-2</v>
      </c>
      <c r="L32" s="19" t="s">
        <v>244</v>
      </c>
      <c r="M32" s="18" t="s">
        <v>161</v>
      </c>
      <c r="N32" s="18" t="s">
        <v>129</v>
      </c>
      <c r="O32" s="18" t="s">
        <v>129</v>
      </c>
      <c r="P32" s="18" t="s">
        <v>128</v>
      </c>
      <c r="Q32" s="18" t="s">
        <v>173</v>
      </c>
      <c r="R32" s="20" t="s">
        <v>245</v>
      </c>
      <c r="CA32" s="1" t="s">
        <v>71</v>
      </c>
      <c r="CB32" s="1" t="s">
        <v>18</v>
      </c>
      <c r="CC32" s="1" t="s">
        <v>132</v>
      </c>
      <c r="CE32" s="18" t="str">
        <f>AD[[#This Row],[Part Type]]</f>
        <v>Adaptors</v>
      </c>
      <c r="CF32" s="18" t="str">
        <f>AD[[#This Row],[Part Nr.]]</f>
        <v>60-21HF4HF6</v>
      </c>
      <c r="CG32" s="18" t="str">
        <f>AD[[#This Row],[UID]]</f>
        <v>AD-25</v>
      </c>
      <c r="CK32" s="18" t="str">
        <f>IF(AD[[#This Row],[Status]]=0,"",AD[[#This Row],[Status]])</f>
        <v>Active</v>
      </c>
    </row>
    <row r="33" spans="1:89">
      <c r="A33" s="18" t="s">
        <v>120</v>
      </c>
      <c r="B33" s="18" t="s">
        <v>21</v>
      </c>
      <c r="C33" s="18" t="s">
        <v>280</v>
      </c>
      <c r="D33" s="28">
        <v>60000</v>
      </c>
      <c r="E33" s="18" t="s">
        <v>241</v>
      </c>
      <c r="F33" s="18">
        <v>220930</v>
      </c>
      <c r="G33" s="19">
        <v>159.893</v>
      </c>
      <c r="H33" s="18" t="s">
        <v>242</v>
      </c>
      <c r="I33" s="18" t="s">
        <v>243</v>
      </c>
      <c r="J33" s="53">
        <v>1.625</v>
      </c>
      <c r="K33" s="53">
        <v>6.25E-2</v>
      </c>
      <c r="L33" s="19" t="s">
        <v>244</v>
      </c>
      <c r="M33" s="18" t="s">
        <v>161</v>
      </c>
      <c r="N33" s="18" t="s">
        <v>129</v>
      </c>
      <c r="O33" s="18" t="s">
        <v>129</v>
      </c>
      <c r="P33" s="18" t="s">
        <v>128</v>
      </c>
      <c r="Q33" s="18" t="s">
        <v>173</v>
      </c>
      <c r="R33" s="20" t="s">
        <v>245</v>
      </c>
      <c r="CA33" s="1" t="s">
        <v>71</v>
      </c>
      <c r="CB33" s="1" t="s">
        <v>18</v>
      </c>
      <c r="CC33" s="1" t="s">
        <v>132</v>
      </c>
      <c r="CE33" s="18" t="str">
        <f>AD[[#This Row],[Part Type]]</f>
        <v>Adaptors</v>
      </c>
      <c r="CF33" s="18" t="str">
        <f>AD[[#This Row],[Part Nr.]]</f>
        <v>60-21HF4HF6</v>
      </c>
      <c r="CG33" s="18" t="str">
        <f>AD[[#This Row],[UID]]</f>
        <v>AD-26</v>
      </c>
      <c r="CK33" s="18" t="str">
        <f>IF(AD[[#This Row],[Status]]=0,"",AD[[#This Row],[Status]])</f>
        <v>Active</v>
      </c>
    </row>
    <row r="34" spans="1:89">
      <c r="A34" s="18" t="s">
        <v>120</v>
      </c>
      <c r="B34" s="18" t="s">
        <v>21</v>
      </c>
      <c r="C34" s="18" t="s">
        <v>281</v>
      </c>
      <c r="D34" s="28">
        <v>60000</v>
      </c>
      <c r="E34" s="18" t="s">
        <v>241</v>
      </c>
      <c r="F34" s="18">
        <v>220930</v>
      </c>
      <c r="G34" s="19">
        <v>159.28100000000001</v>
      </c>
      <c r="H34" s="18" t="s">
        <v>242</v>
      </c>
      <c r="I34" s="18" t="s">
        <v>243</v>
      </c>
      <c r="J34" s="53">
        <v>1.625</v>
      </c>
      <c r="K34" s="53">
        <v>6.25E-2</v>
      </c>
      <c r="L34" s="19" t="s">
        <v>244</v>
      </c>
      <c r="M34" s="18" t="s">
        <v>161</v>
      </c>
      <c r="N34" s="18" t="s">
        <v>129</v>
      </c>
      <c r="O34" s="18" t="s">
        <v>129</v>
      </c>
      <c r="P34" s="18" t="s">
        <v>128</v>
      </c>
      <c r="Q34" s="18" t="s">
        <v>173</v>
      </c>
      <c r="R34" s="20" t="s">
        <v>245</v>
      </c>
      <c r="CA34" s="1" t="s">
        <v>71</v>
      </c>
      <c r="CB34" s="1" t="s">
        <v>18</v>
      </c>
      <c r="CC34" s="1" t="s">
        <v>132</v>
      </c>
      <c r="CE34" s="18" t="str">
        <f>AD[[#This Row],[Part Type]]</f>
        <v>Adaptors</v>
      </c>
      <c r="CF34" s="18" t="str">
        <f>AD[[#This Row],[Part Nr.]]</f>
        <v>60-21HF4HF6</v>
      </c>
      <c r="CG34" s="18" t="str">
        <f>AD[[#This Row],[UID]]</f>
        <v>AD-27</v>
      </c>
      <c r="CK34" s="18" t="str">
        <f>IF(AD[[#This Row],[Status]]=0,"",AD[[#This Row],[Status]])</f>
        <v>Active</v>
      </c>
    </row>
    <row r="35" spans="1:89">
      <c r="A35" s="18" t="s">
        <v>120</v>
      </c>
      <c r="B35" s="18" t="s">
        <v>21</v>
      </c>
      <c r="C35" s="18" t="s">
        <v>282</v>
      </c>
      <c r="D35" s="28">
        <v>60000</v>
      </c>
      <c r="E35" s="18" t="s">
        <v>241</v>
      </c>
      <c r="F35" s="18">
        <v>220930</v>
      </c>
      <c r="G35" s="19">
        <v>159.89500000000001</v>
      </c>
      <c r="H35" s="18" t="s">
        <v>242</v>
      </c>
      <c r="I35" s="18" t="s">
        <v>243</v>
      </c>
      <c r="J35" s="53">
        <v>1.625</v>
      </c>
      <c r="K35" s="53">
        <v>6.25E-2</v>
      </c>
      <c r="L35" s="19" t="s">
        <v>244</v>
      </c>
      <c r="M35" s="18" t="s">
        <v>161</v>
      </c>
      <c r="N35" s="18" t="s">
        <v>129</v>
      </c>
      <c r="O35" s="18" t="s">
        <v>129</v>
      </c>
      <c r="P35" s="18" t="s">
        <v>128</v>
      </c>
      <c r="Q35" s="18" t="s">
        <v>173</v>
      </c>
      <c r="R35" s="20" t="s">
        <v>245</v>
      </c>
      <c r="CA35" s="1" t="s">
        <v>71</v>
      </c>
      <c r="CB35" s="1" t="s">
        <v>18</v>
      </c>
      <c r="CC35" s="1" t="s">
        <v>132</v>
      </c>
      <c r="CE35" s="18" t="str">
        <f>AD[[#This Row],[Part Type]]</f>
        <v>Adaptors</v>
      </c>
      <c r="CF35" s="18" t="str">
        <f>AD[[#This Row],[Part Nr.]]</f>
        <v>60-21HF4HF6</v>
      </c>
      <c r="CG35" s="18" t="str">
        <f>AD[[#This Row],[UID]]</f>
        <v>AD-28</v>
      </c>
      <c r="CK35" s="18" t="str">
        <f>IF(AD[[#This Row],[Status]]=0,"",AD[[#This Row],[Status]])</f>
        <v>Active</v>
      </c>
    </row>
    <row r="36" spans="1:89">
      <c r="A36" s="18" t="s">
        <v>120</v>
      </c>
      <c r="B36" s="18" t="s">
        <v>21</v>
      </c>
      <c r="C36" s="18" t="s">
        <v>283</v>
      </c>
      <c r="D36" s="28">
        <v>60000</v>
      </c>
      <c r="E36" s="18" t="s">
        <v>241</v>
      </c>
      <c r="F36" s="18">
        <v>220930</v>
      </c>
      <c r="G36" s="19">
        <v>160.483</v>
      </c>
      <c r="H36" s="18" t="s">
        <v>242</v>
      </c>
      <c r="I36" s="18" t="s">
        <v>243</v>
      </c>
      <c r="J36" s="53">
        <v>1.625</v>
      </c>
      <c r="K36" s="53">
        <v>6.25E-2</v>
      </c>
      <c r="L36" s="19" t="s">
        <v>244</v>
      </c>
      <c r="M36" s="18" t="s">
        <v>161</v>
      </c>
      <c r="N36" s="18" t="s">
        <v>129</v>
      </c>
      <c r="O36" s="18" t="s">
        <v>129</v>
      </c>
      <c r="P36" s="18" t="s">
        <v>128</v>
      </c>
      <c r="Q36" s="18" t="s">
        <v>173</v>
      </c>
      <c r="R36" s="20" t="s">
        <v>245</v>
      </c>
      <c r="CA36" s="1" t="s">
        <v>71</v>
      </c>
      <c r="CB36" s="1" t="s">
        <v>18</v>
      </c>
      <c r="CC36" s="1" t="s">
        <v>132</v>
      </c>
      <c r="CE36" s="18" t="str">
        <f>AD[[#This Row],[Part Type]]</f>
        <v>Adaptors</v>
      </c>
      <c r="CF36" s="18" t="str">
        <f>AD[[#This Row],[Part Nr.]]</f>
        <v>60-21HF4HF6</v>
      </c>
      <c r="CG36" s="18" t="str">
        <f>AD[[#This Row],[UID]]</f>
        <v>AD-29</v>
      </c>
      <c r="CK36" s="18" t="str">
        <f>IF(AD[[#This Row],[Status]]=0,"",AD[[#This Row],[Status]])</f>
        <v>Active</v>
      </c>
    </row>
    <row r="37" spans="1:89">
      <c r="A37" s="18" t="s">
        <v>120</v>
      </c>
      <c r="B37" s="18" t="s">
        <v>21</v>
      </c>
      <c r="C37" s="18" t="s">
        <v>284</v>
      </c>
      <c r="D37" s="28">
        <v>60000</v>
      </c>
      <c r="E37" s="18" t="s">
        <v>241</v>
      </c>
      <c r="F37" s="18">
        <v>220930</v>
      </c>
      <c r="G37" s="19">
        <v>159.755</v>
      </c>
      <c r="H37" s="18" t="s">
        <v>242</v>
      </c>
      <c r="I37" s="18" t="s">
        <v>243</v>
      </c>
      <c r="J37" s="53">
        <v>1.625</v>
      </c>
      <c r="K37" s="53">
        <v>6.25E-2</v>
      </c>
      <c r="L37" s="19" t="s">
        <v>244</v>
      </c>
      <c r="M37" s="18" t="s">
        <v>161</v>
      </c>
      <c r="N37" s="18" t="s">
        <v>129</v>
      </c>
      <c r="O37" s="18" t="s">
        <v>129</v>
      </c>
      <c r="P37" s="18" t="s">
        <v>128</v>
      </c>
      <c r="Q37" s="18" t="s">
        <v>173</v>
      </c>
      <c r="R37" s="20" t="s">
        <v>245</v>
      </c>
      <c r="CA37" s="1" t="s">
        <v>71</v>
      </c>
      <c r="CB37" s="1" t="s">
        <v>18</v>
      </c>
      <c r="CC37" s="1" t="s">
        <v>132</v>
      </c>
      <c r="CE37" s="18" t="str">
        <f>AD[[#This Row],[Part Type]]</f>
        <v>Adaptors</v>
      </c>
      <c r="CF37" s="18" t="str">
        <f>AD[[#This Row],[Part Nr.]]</f>
        <v>60-21HF4HF6</v>
      </c>
      <c r="CG37" s="18" t="str">
        <f>AD[[#This Row],[UID]]</f>
        <v>AD-30</v>
      </c>
      <c r="CK37" s="18" t="str">
        <f>IF(AD[[#This Row],[Status]]=0,"",AD[[#This Row],[Status]])</f>
        <v>Active</v>
      </c>
    </row>
    <row r="38" spans="1:89">
      <c r="A38" s="18" t="s">
        <v>120</v>
      </c>
      <c r="B38" s="18" t="s">
        <v>21</v>
      </c>
      <c r="C38" s="18" t="s">
        <v>285</v>
      </c>
      <c r="D38" s="28">
        <v>60000</v>
      </c>
      <c r="E38" s="18" t="s">
        <v>241</v>
      </c>
      <c r="F38" s="18">
        <v>220930</v>
      </c>
      <c r="G38" s="19">
        <v>159.54300000000001</v>
      </c>
      <c r="H38" s="18" t="s">
        <v>242</v>
      </c>
      <c r="I38" s="18" t="s">
        <v>243</v>
      </c>
      <c r="J38" s="53">
        <v>1.625</v>
      </c>
      <c r="K38" s="53">
        <v>6.25E-2</v>
      </c>
      <c r="L38" s="19" t="s">
        <v>244</v>
      </c>
      <c r="M38" s="18" t="s">
        <v>161</v>
      </c>
      <c r="N38" s="18" t="s">
        <v>129</v>
      </c>
      <c r="O38" s="18" t="s">
        <v>129</v>
      </c>
      <c r="P38" s="18" t="s">
        <v>128</v>
      </c>
      <c r="Q38" s="18" t="s">
        <v>173</v>
      </c>
      <c r="R38" s="20" t="s">
        <v>245</v>
      </c>
      <c r="CA38" s="1" t="s">
        <v>71</v>
      </c>
      <c r="CB38" s="1" t="s">
        <v>18</v>
      </c>
      <c r="CC38" s="1" t="s">
        <v>132</v>
      </c>
      <c r="CE38" s="18" t="str">
        <f>AD[[#This Row],[Part Type]]</f>
        <v>Adaptors</v>
      </c>
      <c r="CF38" s="18" t="str">
        <f>AD[[#This Row],[Part Nr.]]</f>
        <v>60-21HF4HF6</v>
      </c>
      <c r="CG38" s="18" t="str">
        <f>AD[[#This Row],[UID]]</f>
        <v>AD-31</v>
      </c>
      <c r="CK38" s="18" t="str">
        <f>IF(AD[[#This Row],[Status]]=0,"",AD[[#This Row],[Status]])</f>
        <v>Active</v>
      </c>
    </row>
    <row r="39" spans="1:89">
      <c r="A39" s="18" t="s">
        <v>120</v>
      </c>
      <c r="B39" s="18" t="s">
        <v>21</v>
      </c>
      <c r="C39" s="18" t="s">
        <v>286</v>
      </c>
      <c r="D39" s="28">
        <v>60000</v>
      </c>
      <c r="E39" s="18" t="s">
        <v>241</v>
      </c>
      <c r="F39" s="18">
        <v>220930</v>
      </c>
      <c r="G39" s="19">
        <v>159.63</v>
      </c>
      <c r="H39" s="18" t="s">
        <v>242</v>
      </c>
      <c r="I39" s="18" t="s">
        <v>243</v>
      </c>
      <c r="J39" s="53">
        <v>1.625</v>
      </c>
      <c r="K39" s="53">
        <v>6.25E-2</v>
      </c>
      <c r="L39" s="19" t="s">
        <v>244</v>
      </c>
      <c r="M39" s="18" t="s">
        <v>161</v>
      </c>
      <c r="N39" s="18" t="s">
        <v>129</v>
      </c>
      <c r="O39" s="18" t="s">
        <v>129</v>
      </c>
      <c r="P39" s="18" t="s">
        <v>128</v>
      </c>
      <c r="Q39" s="18" t="s">
        <v>173</v>
      </c>
      <c r="R39" s="20" t="s">
        <v>245</v>
      </c>
      <c r="CA39" s="1" t="s">
        <v>71</v>
      </c>
      <c r="CB39" s="1" t="s">
        <v>18</v>
      </c>
      <c r="CC39" s="1" t="s">
        <v>132</v>
      </c>
      <c r="CE39" s="18" t="str">
        <f>AD[[#This Row],[Part Type]]</f>
        <v>Adaptors</v>
      </c>
      <c r="CF39" s="18" t="str">
        <f>AD[[#This Row],[Part Nr.]]</f>
        <v>60-21HF4HF6</v>
      </c>
      <c r="CG39" s="18" t="str">
        <f>AD[[#This Row],[UID]]</f>
        <v>AD-32</v>
      </c>
      <c r="CK39" s="18" t="str">
        <f>IF(AD[[#This Row],[Status]]=0,"",AD[[#This Row],[Status]])</f>
        <v>Active</v>
      </c>
    </row>
    <row r="40" spans="1:89">
      <c r="A40" s="18" t="s">
        <v>120</v>
      </c>
      <c r="B40" s="18" t="s">
        <v>21</v>
      </c>
      <c r="C40" s="18" t="s">
        <v>287</v>
      </c>
      <c r="D40" s="28">
        <v>60000</v>
      </c>
      <c r="E40" s="18" t="s">
        <v>241</v>
      </c>
      <c r="F40" s="18">
        <v>220930</v>
      </c>
      <c r="G40" s="19">
        <v>151.64500000000001</v>
      </c>
      <c r="H40" s="18" t="s">
        <v>242</v>
      </c>
      <c r="I40" s="18" t="s">
        <v>243</v>
      </c>
      <c r="J40" s="53">
        <v>1.625</v>
      </c>
      <c r="K40" s="53">
        <v>6.25E-2</v>
      </c>
      <c r="L40" s="19" t="s">
        <v>244</v>
      </c>
      <c r="M40" s="18" t="s">
        <v>161</v>
      </c>
      <c r="N40" s="18" t="s">
        <v>129</v>
      </c>
      <c r="O40" s="18" t="s">
        <v>129</v>
      </c>
      <c r="P40" s="18" t="s">
        <v>128</v>
      </c>
      <c r="Q40" s="18" t="s">
        <v>173</v>
      </c>
      <c r="R40" s="20" t="s">
        <v>245</v>
      </c>
      <c r="CA40" s="1" t="s">
        <v>71</v>
      </c>
      <c r="CB40" s="1" t="s">
        <v>18</v>
      </c>
      <c r="CC40" s="1" t="s">
        <v>132</v>
      </c>
      <c r="CE40" s="18" t="str">
        <f>AD[[#This Row],[Part Type]]</f>
        <v>Adaptors</v>
      </c>
      <c r="CF40" s="18" t="str">
        <f>AD[[#This Row],[Part Nr.]]</f>
        <v>60-21HF4HF6</v>
      </c>
      <c r="CG40" s="18" t="str">
        <f>AD[[#This Row],[UID]]</f>
        <v>AD-33</v>
      </c>
      <c r="CK40" s="18" t="str">
        <f>IF(AD[[#This Row],[Status]]=0,"",AD[[#This Row],[Status]])</f>
        <v>Active</v>
      </c>
    </row>
    <row r="41" spans="1:89">
      <c r="A41" s="18" t="s">
        <v>120</v>
      </c>
      <c r="B41" s="18" t="s">
        <v>21</v>
      </c>
      <c r="C41" s="18" t="s">
        <v>288</v>
      </c>
      <c r="D41" s="28">
        <v>100000</v>
      </c>
      <c r="E41" s="18" t="s">
        <v>289</v>
      </c>
      <c r="F41" s="18">
        <v>221003</v>
      </c>
      <c r="G41" s="19">
        <v>175.30600000000001</v>
      </c>
      <c r="H41" s="18" t="s">
        <v>242</v>
      </c>
      <c r="I41" s="18" t="s">
        <v>253</v>
      </c>
      <c r="J41" s="53">
        <v>2.5</v>
      </c>
      <c r="K41" s="53">
        <v>6.25E-2</v>
      </c>
      <c r="L41" s="19" t="s">
        <v>254</v>
      </c>
      <c r="M41" s="18" t="s">
        <v>161</v>
      </c>
      <c r="N41" s="18" t="s">
        <v>129</v>
      </c>
      <c r="O41" s="18" t="s">
        <v>129</v>
      </c>
      <c r="P41" s="18" t="s">
        <v>128</v>
      </c>
      <c r="Q41" s="18" t="s">
        <v>173</v>
      </c>
      <c r="R41" s="20" t="s">
        <v>245</v>
      </c>
      <c r="CA41" s="1" t="s">
        <v>71</v>
      </c>
      <c r="CB41" s="1" t="s">
        <v>18</v>
      </c>
      <c r="CC41" s="1" t="s">
        <v>132</v>
      </c>
      <c r="CE41" s="18" t="str">
        <f>AD[[#This Row],[Part Type]]</f>
        <v>Adaptors</v>
      </c>
      <c r="CF41" s="18" t="str">
        <f>AD[[#This Row],[Part Nr.]]</f>
        <v>100-21XF6XM4</v>
      </c>
      <c r="CG41" s="18" t="str">
        <f>AD[[#This Row],[UID]]</f>
        <v>AD-34</v>
      </c>
      <c r="CK41" s="18" t="str">
        <f>IF(AD[[#This Row],[Status]]=0,"",AD[[#This Row],[Status]])</f>
        <v>Active</v>
      </c>
    </row>
    <row r="42" spans="1:89">
      <c r="A42" s="18" t="s">
        <v>120</v>
      </c>
      <c r="B42" s="18" t="s">
        <v>21</v>
      </c>
      <c r="C42" s="18" t="s">
        <v>290</v>
      </c>
      <c r="D42" s="28">
        <v>100000</v>
      </c>
      <c r="E42" s="18" t="s">
        <v>289</v>
      </c>
      <c r="F42" s="18">
        <v>221003</v>
      </c>
      <c r="G42" s="19">
        <v>174.71600000000001</v>
      </c>
      <c r="H42" s="18" t="s">
        <v>242</v>
      </c>
      <c r="I42" s="18" t="s">
        <v>253</v>
      </c>
      <c r="J42" s="53">
        <v>2.5</v>
      </c>
      <c r="K42" s="53">
        <v>6.25E-2</v>
      </c>
      <c r="L42" s="19" t="s">
        <v>254</v>
      </c>
      <c r="M42" s="18" t="s">
        <v>161</v>
      </c>
      <c r="N42" s="18" t="s">
        <v>129</v>
      </c>
      <c r="O42" s="18" t="s">
        <v>129</v>
      </c>
      <c r="P42" s="18" t="s">
        <v>128</v>
      </c>
      <c r="Q42" s="18" t="s">
        <v>173</v>
      </c>
      <c r="R42" s="20" t="s">
        <v>245</v>
      </c>
      <c r="CA42" s="1" t="s">
        <v>71</v>
      </c>
      <c r="CB42" s="1" t="s">
        <v>18</v>
      </c>
      <c r="CC42" s="1" t="s">
        <v>132</v>
      </c>
      <c r="CE42" s="18" t="str">
        <f>AD[[#This Row],[Part Type]]</f>
        <v>Adaptors</v>
      </c>
      <c r="CF42" s="18" t="str">
        <f>AD[[#This Row],[Part Nr.]]</f>
        <v>100-21XF6XM4</v>
      </c>
      <c r="CG42" s="18" t="str">
        <f>AD[[#This Row],[UID]]</f>
        <v>AD-35</v>
      </c>
      <c r="CK42" s="18" t="str">
        <f>IF(AD[[#This Row],[Status]]=0,"",AD[[#This Row],[Status]])</f>
        <v>Active</v>
      </c>
    </row>
    <row r="43" spans="1:89">
      <c r="A43" s="18" t="s">
        <v>120</v>
      </c>
      <c r="B43" s="18" t="s">
        <v>21</v>
      </c>
      <c r="C43" s="18" t="s">
        <v>291</v>
      </c>
      <c r="D43" s="28">
        <v>100000</v>
      </c>
      <c r="E43" s="18" t="s">
        <v>289</v>
      </c>
      <c r="F43" s="18">
        <v>221003</v>
      </c>
      <c r="G43" s="19">
        <v>173.048</v>
      </c>
      <c r="H43" s="18" t="s">
        <v>242</v>
      </c>
      <c r="I43" s="18" t="s">
        <v>253</v>
      </c>
      <c r="J43" s="53">
        <v>2.5</v>
      </c>
      <c r="K43" s="53">
        <v>6.25E-2</v>
      </c>
      <c r="L43" s="19" t="s">
        <v>254</v>
      </c>
      <c r="M43" s="18" t="s">
        <v>161</v>
      </c>
      <c r="N43" s="18" t="s">
        <v>129</v>
      </c>
      <c r="O43" s="18" t="s">
        <v>129</v>
      </c>
      <c r="P43" s="18" t="s">
        <v>128</v>
      </c>
      <c r="Q43" s="18" t="s">
        <v>173</v>
      </c>
      <c r="R43" s="20" t="s">
        <v>245</v>
      </c>
      <c r="CA43" s="1" t="s">
        <v>71</v>
      </c>
      <c r="CB43" s="1" t="s">
        <v>18</v>
      </c>
      <c r="CC43" s="1" t="s">
        <v>132</v>
      </c>
      <c r="CE43" s="18" t="str">
        <f>AD[[#This Row],[Part Type]]</f>
        <v>Adaptors</v>
      </c>
      <c r="CF43" s="18" t="str">
        <f>AD[[#This Row],[Part Nr.]]</f>
        <v>100-21XF6XM4</v>
      </c>
      <c r="CG43" s="18" t="str">
        <f>AD[[#This Row],[UID]]</f>
        <v>AD-36</v>
      </c>
      <c r="CK43" s="18" t="str">
        <f>IF(AD[[#This Row],[Status]]=0,"",AD[[#This Row],[Status]])</f>
        <v>Active</v>
      </c>
    </row>
    <row r="44" spans="1:89">
      <c r="A44" s="18" t="s">
        <v>120</v>
      </c>
      <c r="B44" s="18" t="s">
        <v>21</v>
      </c>
      <c r="C44" s="18" t="s">
        <v>292</v>
      </c>
      <c r="D44" s="28">
        <v>100000</v>
      </c>
      <c r="E44" s="18" t="s">
        <v>293</v>
      </c>
      <c r="F44" s="18">
        <v>221003</v>
      </c>
      <c r="G44" s="19">
        <v>450.12700000000001</v>
      </c>
      <c r="H44" s="18" t="s">
        <v>243</v>
      </c>
      <c r="I44" s="18" t="s">
        <v>243</v>
      </c>
      <c r="J44" s="53">
        <v>2.25</v>
      </c>
      <c r="K44" s="53">
        <v>6.25E-2</v>
      </c>
      <c r="L44" s="19" t="s">
        <v>244</v>
      </c>
      <c r="M44" s="18" t="s">
        <v>294</v>
      </c>
      <c r="N44" s="18" t="s">
        <v>129</v>
      </c>
      <c r="O44" s="18" t="s">
        <v>129</v>
      </c>
      <c r="P44" s="18" t="s">
        <v>128</v>
      </c>
      <c r="Q44" s="18" t="s">
        <v>173</v>
      </c>
      <c r="R44" s="20" t="s">
        <v>129</v>
      </c>
      <c r="CA44" s="1" t="s">
        <v>71</v>
      </c>
      <c r="CB44" s="1" t="s">
        <v>18</v>
      </c>
      <c r="CC44" s="1" t="s">
        <v>132</v>
      </c>
      <c r="CE44" s="18" t="str">
        <f>AD[[#This Row],[Part Type]]</f>
        <v>Adaptors</v>
      </c>
      <c r="CF44" s="18" t="str">
        <f>AD[[#This Row],[Part Nr.]]</f>
        <v>Custom</v>
      </c>
      <c r="CG44" s="18" t="str">
        <f>AD[[#This Row],[UID]]</f>
        <v>AD-37</v>
      </c>
      <c r="CK44" s="18" t="str">
        <f>IF(AD[[#This Row],[Status]]=0,"",AD[[#This Row],[Status]])</f>
        <v>Active</v>
      </c>
    </row>
    <row r="45" spans="1:89">
      <c r="A45" s="18" t="s">
        <v>120</v>
      </c>
      <c r="B45" s="18" t="s">
        <v>21</v>
      </c>
      <c r="C45" s="18" t="s">
        <v>295</v>
      </c>
      <c r="D45" s="28">
        <v>100000</v>
      </c>
      <c r="E45" s="18" t="s">
        <v>289</v>
      </c>
      <c r="F45" s="11">
        <v>230215</v>
      </c>
      <c r="G45" s="19">
        <v>202.721</v>
      </c>
      <c r="H45" s="18" t="s">
        <v>242</v>
      </c>
      <c r="I45" s="18" t="s">
        <v>253</v>
      </c>
      <c r="J45" s="53">
        <v>2.5</v>
      </c>
      <c r="K45" s="53">
        <v>6.25E-2</v>
      </c>
      <c r="L45" s="19" t="s">
        <v>254</v>
      </c>
      <c r="M45" s="18" t="s">
        <v>294</v>
      </c>
      <c r="N45" s="18" t="s">
        <v>129</v>
      </c>
      <c r="O45" s="18" t="s">
        <v>129</v>
      </c>
      <c r="P45" s="18" t="s">
        <v>128</v>
      </c>
      <c r="Q45" s="18" t="s">
        <v>173</v>
      </c>
      <c r="R45" s="20" t="s">
        <v>245</v>
      </c>
      <c r="CA45" s="1" t="s">
        <v>71</v>
      </c>
      <c r="CB45" s="1" t="s">
        <v>18</v>
      </c>
      <c r="CC45" s="1" t="s">
        <v>132</v>
      </c>
      <c r="CE45" s="18" t="str">
        <f>AD[[#This Row],[Part Type]]</f>
        <v>Adaptors</v>
      </c>
      <c r="CF45" s="18" t="str">
        <f>AD[[#This Row],[Part Nr.]]</f>
        <v>100-21XF6XM4</v>
      </c>
      <c r="CG45" s="18" t="str">
        <f>AD[[#This Row],[UID]]</f>
        <v>AD-38</v>
      </c>
      <c r="CK45" s="18" t="str">
        <f>IF(AD[[#This Row],[Status]]=0,"",AD[[#This Row],[Status]])</f>
        <v>Active</v>
      </c>
    </row>
    <row r="46" spans="1:89">
      <c r="A46" s="18" t="s">
        <v>120</v>
      </c>
      <c r="B46" s="18" t="s">
        <v>21</v>
      </c>
      <c r="C46" s="18" t="s">
        <v>296</v>
      </c>
      <c r="D46" s="28">
        <v>100000</v>
      </c>
      <c r="E46" s="18" t="s">
        <v>289</v>
      </c>
      <c r="F46" s="11">
        <v>230215</v>
      </c>
      <c r="G46" s="19">
        <v>202.28700000000001</v>
      </c>
      <c r="H46" s="18" t="s">
        <v>242</v>
      </c>
      <c r="I46" s="18" t="s">
        <v>253</v>
      </c>
      <c r="J46" s="53">
        <v>2.5</v>
      </c>
      <c r="K46" s="53">
        <v>6.25E-2</v>
      </c>
      <c r="L46" s="19" t="s">
        <v>254</v>
      </c>
      <c r="M46" s="18" t="s">
        <v>294</v>
      </c>
      <c r="N46" s="18" t="s">
        <v>129</v>
      </c>
      <c r="O46" s="18" t="s">
        <v>129</v>
      </c>
      <c r="P46" s="18" t="s">
        <v>128</v>
      </c>
      <c r="Q46" s="18" t="s">
        <v>173</v>
      </c>
      <c r="R46" s="20" t="s">
        <v>245</v>
      </c>
      <c r="CA46" s="1" t="s">
        <v>71</v>
      </c>
      <c r="CB46" s="1" t="s">
        <v>18</v>
      </c>
      <c r="CC46" s="1" t="s">
        <v>132</v>
      </c>
      <c r="CE46" s="18" t="str">
        <f>AD[[#This Row],[Part Type]]</f>
        <v>Adaptors</v>
      </c>
      <c r="CF46" s="18" t="str">
        <f>AD[[#This Row],[Part Nr.]]</f>
        <v>100-21XF6XM4</v>
      </c>
      <c r="CG46" s="18" t="str">
        <f>AD[[#This Row],[UID]]</f>
        <v>AD-39</v>
      </c>
      <c r="CK46" s="18" t="str">
        <f>IF(AD[[#This Row],[Status]]=0,"",AD[[#This Row],[Status]])</f>
        <v>Active</v>
      </c>
    </row>
    <row r="47" spans="1:89">
      <c r="A47" s="18" t="s">
        <v>120</v>
      </c>
      <c r="B47" s="18" t="s">
        <v>21</v>
      </c>
      <c r="C47" s="18" t="s">
        <v>297</v>
      </c>
      <c r="D47" s="28">
        <v>100000</v>
      </c>
      <c r="E47" s="18" t="s">
        <v>289</v>
      </c>
      <c r="F47" s="11">
        <v>230215</v>
      </c>
      <c r="G47" s="19">
        <v>202.68600000000001</v>
      </c>
      <c r="H47" s="18" t="s">
        <v>242</v>
      </c>
      <c r="I47" s="18" t="s">
        <v>253</v>
      </c>
      <c r="J47" s="53">
        <v>2.5</v>
      </c>
      <c r="K47" s="53">
        <v>6.25E-2</v>
      </c>
      <c r="L47" s="19" t="s">
        <v>254</v>
      </c>
      <c r="M47" s="18" t="s">
        <v>294</v>
      </c>
      <c r="N47" s="18" t="s">
        <v>129</v>
      </c>
      <c r="O47" s="18" t="s">
        <v>129</v>
      </c>
      <c r="P47" s="18" t="s">
        <v>128</v>
      </c>
      <c r="Q47" s="18" t="s">
        <v>173</v>
      </c>
      <c r="R47" s="20" t="s">
        <v>245</v>
      </c>
      <c r="CA47" s="1" t="s">
        <v>71</v>
      </c>
      <c r="CB47" s="1" t="s">
        <v>18</v>
      </c>
      <c r="CC47" s="1" t="s">
        <v>132</v>
      </c>
      <c r="CE47" s="18" t="str">
        <f>AD[[#This Row],[Part Type]]</f>
        <v>Adaptors</v>
      </c>
      <c r="CF47" s="18" t="str">
        <f>AD[[#This Row],[Part Nr.]]</f>
        <v>100-21XF6XM4</v>
      </c>
      <c r="CG47" s="18" t="str">
        <f>AD[[#This Row],[UID]]</f>
        <v>AD-40</v>
      </c>
      <c r="CK47" s="18" t="str">
        <f>IF(AD[[#This Row],[Status]]=0,"",AD[[#This Row],[Status]])</f>
        <v>Active</v>
      </c>
    </row>
    <row r="48" spans="1:89">
      <c r="A48" s="18" t="s">
        <v>120</v>
      </c>
      <c r="B48" s="18" t="s">
        <v>21</v>
      </c>
      <c r="C48" s="18" t="s">
        <v>298</v>
      </c>
      <c r="D48" s="28">
        <v>60000</v>
      </c>
      <c r="E48" s="18" t="s">
        <v>293</v>
      </c>
      <c r="F48" s="18">
        <v>250131</v>
      </c>
      <c r="G48" s="19">
        <v>742.76700000000005</v>
      </c>
      <c r="J48" s="53"/>
      <c r="K48" s="53"/>
      <c r="L48" s="19"/>
      <c r="O48" s="18"/>
      <c r="CA48" s="1" t="s">
        <v>71</v>
      </c>
      <c r="CB48" s="1" t="s">
        <v>18</v>
      </c>
      <c r="CC48" s="1" t="s">
        <v>132</v>
      </c>
      <c r="CE48" s="18" t="str">
        <f>AD[[#This Row],[Part Type]]</f>
        <v>Adaptors</v>
      </c>
      <c r="CF48" s="18" t="str">
        <f>AD[[#This Row],[Part Nr.]]</f>
        <v>Custom</v>
      </c>
      <c r="CG48" s="18" t="str">
        <f>AD[[#This Row],[UID]]</f>
        <v>AD-41</v>
      </c>
      <c r="CK48" s="18" t="str">
        <f>IF(AD[[#This Row],[Status]]=0,"",AD[[#This Row],[Status]])</f>
        <v>Active</v>
      </c>
    </row>
    <row r="49" spans="1:89">
      <c r="A49" s="18" t="s">
        <v>120</v>
      </c>
      <c r="B49" s="18" t="s">
        <v>21</v>
      </c>
      <c r="C49" s="18" t="s">
        <v>299</v>
      </c>
      <c r="D49" s="28">
        <v>60000</v>
      </c>
      <c r="E49" s="18" t="s">
        <v>293</v>
      </c>
      <c r="F49" s="18">
        <v>250131</v>
      </c>
      <c r="G49" s="19">
        <v>739.56600000000003</v>
      </c>
      <c r="J49" s="53"/>
      <c r="K49" s="53"/>
      <c r="L49" s="19"/>
      <c r="O49" s="18"/>
      <c r="CA49" s="1" t="s">
        <v>71</v>
      </c>
      <c r="CB49" s="1" t="s">
        <v>18</v>
      </c>
      <c r="CC49" s="1" t="s">
        <v>132</v>
      </c>
      <c r="CE49" s="18" t="str">
        <f>AD[[#This Row],[Part Type]]</f>
        <v>Adaptors</v>
      </c>
      <c r="CF49" s="18" t="str">
        <f>AD[[#This Row],[Part Nr.]]</f>
        <v>Custom</v>
      </c>
      <c r="CG49" s="18" t="str">
        <f>AD[[#This Row],[UID]]</f>
        <v>AD-42</v>
      </c>
      <c r="CK49" s="18" t="str">
        <f>IF(AD[[#This Row],[Status]]=0,"",AD[[#This Row],[Status]])</f>
        <v>Active</v>
      </c>
    </row>
    <row r="50" spans="1:89">
      <c r="D50" s="28"/>
      <c r="G50" s="19"/>
      <c r="J50" s="53"/>
      <c r="K50" s="53"/>
      <c r="L50" s="19"/>
      <c r="O50" s="18"/>
      <c r="CA50" s="1" t="s">
        <v>71</v>
      </c>
      <c r="CB50" s="1" t="s">
        <v>18</v>
      </c>
      <c r="CC50" s="1" t="s">
        <v>132</v>
      </c>
      <c r="CE50" s="18">
        <f>AD[[#This Row],[Part Type]]</f>
        <v>0</v>
      </c>
      <c r="CF50" s="18">
        <f>AD[[#This Row],[Part Nr.]]</f>
        <v>0</v>
      </c>
      <c r="CG50" s="18">
        <f>AD[[#This Row],[UID]]</f>
        <v>0</v>
      </c>
      <c r="CK50" s="18" t="str">
        <f>IF(AD[[#This Row],[Status]]=0,"",AD[[#This Row],[Status]])</f>
        <v/>
      </c>
    </row>
    <row r="51" spans="1:89">
      <c r="D51" s="28"/>
      <c r="G51" s="19"/>
      <c r="J51" s="53"/>
      <c r="K51" s="53"/>
      <c r="L51" s="19"/>
      <c r="O51" s="18"/>
      <c r="CA51" s="1" t="s">
        <v>71</v>
      </c>
      <c r="CB51" s="1" t="s">
        <v>18</v>
      </c>
      <c r="CC51" s="1" t="s">
        <v>132</v>
      </c>
      <c r="CE51" s="18">
        <f>AD[[#This Row],[Part Type]]</f>
        <v>0</v>
      </c>
      <c r="CF51" s="18">
        <f>AD[[#This Row],[Part Nr.]]</f>
        <v>0</v>
      </c>
      <c r="CG51" s="18">
        <f>AD[[#This Row],[UID]]</f>
        <v>0</v>
      </c>
      <c r="CK51" s="18" t="str">
        <f>IF(AD[[#This Row],[Status]]=0,"",AD[[#This Row],[Status]])</f>
        <v/>
      </c>
    </row>
    <row r="52" spans="1:89">
      <c r="D52" s="28"/>
      <c r="G52" s="19"/>
      <c r="J52" s="53"/>
      <c r="K52" s="53"/>
      <c r="L52" s="19"/>
      <c r="O52" s="18"/>
      <c r="CA52" s="1" t="s">
        <v>71</v>
      </c>
      <c r="CB52" s="1" t="s">
        <v>18</v>
      </c>
      <c r="CC52" s="1" t="s">
        <v>132</v>
      </c>
      <c r="CE52" s="18">
        <f>AD[[#This Row],[Part Type]]</f>
        <v>0</v>
      </c>
      <c r="CF52" s="18">
        <f>AD[[#This Row],[Part Nr.]]</f>
        <v>0</v>
      </c>
      <c r="CG52" s="18">
        <f>AD[[#This Row],[UID]]</f>
        <v>0</v>
      </c>
      <c r="CK52" s="18" t="str">
        <f>IF(AD[[#This Row],[Status]]=0,"",AD[[#This Row],[Status]])</f>
        <v/>
      </c>
    </row>
    <row r="53" spans="1:89">
      <c r="D53" s="28"/>
      <c r="G53" s="19"/>
      <c r="J53" s="53"/>
      <c r="K53" s="53"/>
      <c r="L53" s="19"/>
      <c r="O53" s="18"/>
      <c r="CA53" s="1" t="s">
        <v>71</v>
      </c>
      <c r="CB53" s="1" t="s">
        <v>18</v>
      </c>
      <c r="CC53" s="1" t="s">
        <v>132</v>
      </c>
      <c r="CE53" s="18">
        <f>AD[[#This Row],[Part Type]]</f>
        <v>0</v>
      </c>
      <c r="CF53" s="18">
        <f>AD[[#This Row],[Part Nr.]]</f>
        <v>0</v>
      </c>
      <c r="CG53" s="18">
        <f>AD[[#This Row],[UID]]</f>
        <v>0</v>
      </c>
      <c r="CK53" s="18" t="str">
        <f>IF(AD[[#This Row],[Status]]=0,"",AD[[#This Row],[Status]])</f>
        <v/>
      </c>
    </row>
    <row r="54" spans="1:89">
      <c r="D54" s="28"/>
      <c r="G54" s="19"/>
      <c r="J54" s="53"/>
      <c r="K54" s="53"/>
      <c r="L54" s="19"/>
      <c r="O54" s="18"/>
      <c r="CA54" s="1" t="s">
        <v>71</v>
      </c>
      <c r="CB54" s="1" t="s">
        <v>18</v>
      </c>
      <c r="CC54" s="1" t="s">
        <v>132</v>
      </c>
      <c r="CE54" s="18">
        <f>AD[[#This Row],[Part Type]]</f>
        <v>0</v>
      </c>
      <c r="CF54" s="18">
        <f>AD[[#This Row],[Part Nr.]]</f>
        <v>0</v>
      </c>
      <c r="CG54" s="18">
        <f>AD[[#This Row],[UID]]</f>
        <v>0</v>
      </c>
      <c r="CK54" s="18" t="str">
        <f>IF(AD[[#This Row],[Status]]=0,"",AD[[#This Row],[Status]])</f>
        <v/>
      </c>
    </row>
    <row r="55" spans="1:89">
      <c r="D55" s="28"/>
      <c r="G55" s="19"/>
      <c r="J55" s="53"/>
      <c r="K55" s="53"/>
      <c r="L55" s="19"/>
      <c r="O55" s="18"/>
      <c r="CA55" s="1" t="s">
        <v>71</v>
      </c>
      <c r="CB55" s="1" t="s">
        <v>18</v>
      </c>
      <c r="CC55" s="1" t="s">
        <v>132</v>
      </c>
      <c r="CE55" s="18">
        <f>AD[[#This Row],[Part Type]]</f>
        <v>0</v>
      </c>
      <c r="CF55" s="18">
        <f>AD[[#This Row],[Part Nr.]]</f>
        <v>0</v>
      </c>
      <c r="CG55" s="18">
        <f>AD[[#This Row],[UID]]</f>
        <v>0</v>
      </c>
      <c r="CK55" s="18" t="str">
        <f>IF(AD[[#This Row],[Status]]=0,"",AD[[#This Row],[Status]])</f>
        <v/>
      </c>
    </row>
    <row r="56" spans="1:89">
      <c r="D56" s="28"/>
      <c r="G56" s="19"/>
      <c r="J56" s="53"/>
      <c r="K56" s="53"/>
      <c r="L56" s="19"/>
      <c r="O56" s="18"/>
      <c r="CA56" s="1" t="s">
        <v>71</v>
      </c>
      <c r="CB56" s="1" t="s">
        <v>18</v>
      </c>
      <c r="CC56" s="1" t="s">
        <v>132</v>
      </c>
      <c r="CE56" s="18">
        <f>AD[[#This Row],[Part Type]]</f>
        <v>0</v>
      </c>
      <c r="CF56" s="18">
        <f>AD[[#This Row],[Part Nr.]]</f>
        <v>0</v>
      </c>
      <c r="CG56" s="18">
        <f>AD[[#This Row],[UID]]</f>
        <v>0</v>
      </c>
      <c r="CK56" s="18" t="str">
        <f>IF(AD[[#This Row],[Status]]=0,"",AD[[#This Row],[Status]])</f>
        <v/>
      </c>
    </row>
    <row r="57" spans="1:89">
      <c r="D57" s="28"/>
      <c r="G57" s="19"/>
      <c r="J57" s="53"/>
      <c r="K57" s="53"/>
      <c r="L57" s="19"/>
      <c r="O57" s="18"/>
      <c r="CA57" s="1" t="s">
        <v>71</v>
      </c>
      <c r="CB57" s="1" t="s">
        <v>18</v>
      </c>
      <c r="CC57" s="1" t="s">
        <v>132</v>
      </c>
      <c r="CE57" s="18">
        <f>AD[[#This Row],[Part Type]]</f>
        <v>0</v>
      </c>
      <c r="CF57" s="18">
        <f>AD[[#This Row],[Part Nr.]]</f>
        <v>0</v>
      </c>
      <c r="CG57" s="18">
        <f>AD[[#This Row],[UID]]</f>
        <v>0</v>
      </c>
      <c r="CK57" s="18" t="str">
        <f>IF(AD[[#This Row],[Status]]=0,"",AD[[#This Row],[Status]])</f>
        <v/>
      </c>
    </row>
    <row r="58" spans="1:89">
      <c r="D58" s="28"/>
      <c r="G58" s="19"/>
      <c r="J58" s="53"/>
      <c r="K58" s="53"/>
      <c r="L58" s="19"/>
      <c r="O58" s="18"/>
      <c r="CA58" s="1" t="s">
        <v>71</v>
      </c>
      <c r="CB58" s="1" t="s">
        <v>18</v>
      </c>
      <c r="CC58" s="1" t="s">
        <v>132</v>
      </c>
      <c r="CE58" s="18">
        <f>AD[[#This Row],[Part Type]]</f>
        <v>0</v>
      </c>
      <c r="CF58" s="18">
        <f>AD[[#This Row],[Part Nr.]]</f>
        <v>0</v>
      </c>
      <c r="CG58" s="18">
        <f>AD[[#This Row],[UID]]</f>
        <v>0</v>
      </c>
      <c r="CK58" s="18" t="str">
        <f>IF(AD[[#This Row],[Status]]=0,"",AD[[#This Row],[Status]])</f>
        <v/>
      </c>
    </row>
    <row r="59" spans="1:89">
      <c r="D59" s="28"/>
      <c r="G59" s="19"/>
      <c r="J59" s="53"/>
      <c r="K59" s="53"/>
      <c r="L59" s="19"/>
      <c r="O59" s="18"/>
      <c r="CA59" s="1" t="s">
        <v>71</v>
      </c>
      <c r="CB59" s="1" t="s">
        <v>18</v>
      </c>
      <c r="CC59" s="1" t="s">
        <v>132</v>
      </c>
      <c r="CE59" s="18">
        <f>AD[[#This Row],[Part Type]]</f>
        <v>0</v>
      </c>
      <c r="CF59" s="18">
        <f>AD[[#This Row],[Part Nr.]]</f>
        <v>0</v>
      </c>
      <c r="CG59" s="18">
        <f>AD[[#This Row],[UID]]</f>
        <v>0</v>
      </c>
      <c r="CK59" s="18" t="str">
        <f>IF(AD[[#This Row],[Status]]=0,"",AD[[#This Row],[Status]])</f>
        <v/>
      </c>
    </row>
    <row r="60" spans="1:89">
      <c r="D60" s="28"/>
      <c r="G60" s="19"/>
      <c r="J60" s="53"/>
      <c r="K60" s="53"/>
      <c r="L60" s="19"/>
      <c r="O60" s="18"/>
      <c r="CA60" s="1" t="s">
        <v>71</v>
      </c>
      <c r="CB60" s="1" t="s">
        <v>18</v>
      </c>
      <c r="CC60" s="1" t="s">
        <v>132</v>
      </c>
      <c r="CE60" s="18">
        <f>AD[[#This Row],[Part Type]]</f>
        <v>0</v>
      </c>
      <c r="CF60" s="18">
        <f>AD[[#This Row],[Part Nr.]]</f>
        <v>0</v>
      </c>
      <c r="CG60" s="18">
        <f>AD[[#This Row],[UID]]</f>
        <v>0</v>
      </c>
      <c r="CK60" s="18" t="str">
        <f>IF(AD[[#This Row],[Status]]=0,"",AD[[#This Row],[Status]])</f>
        <v/>
      </c>
    </row>
    <row r="61" spans="1:89">
      <c r="D61" s="28"/>
      <c r="G61" s="19"/>
      <c r="J61" s="53"/>
      <c r="K61" s="53"/>
      <c r="L61" s="19"/>
      <c r="O61" s="18"/>
      <c r="CA61" s="1" t="s">
        <v>71</v>
      </c>
      <c r="CB61" s="1" t="s">
        <v>18</v>
      </c>
      <c r="CC61" s="1" t="s">
        <v>132</v>
      </c>
      <c r="CE61" s="18">
        <f>AD[[#This Row],[Part Type]]</f>
        <v>0</v>
      </c>
      <c r="CF61" s="18">
        <f>AD[[#This Row],[Part Nr.]]</f>
        <v>0</v>
      </c>
      <c r="CG61" s="18">
        <f>AD[[#This Row],[UID]]</f>
        <v>0</v>
      </c>
      <c r="CK61" s="18" t="str">
        <f>IF(AD[[#This Row],[Status]]=0,"",AD[[#This Row],[Status]])</f>
        <v/>
      </c>
    </row>
    <row r="62" spans="1:89">
      <c r="D62" s="28"/>
      <c r="G62" s="19"/>
      <c r="J62" s="53"/>
      <c r="K62" s="53"/>
      <c r="L62" s="19"/>
      <c r="O62" s="18"/>
      <c r="CA62" s="1" t="s">
        <v>71</v>
      </c>
      <c r="CB62" s="1" t="s">
        <v>18</v>
      </c>
      <c r="CC62" s="1" t="s">
        <v>132</v>
      </c>
      <c r="CE62" s="18">
        <f>AD[[#This Row],[Part Type]]</f>
        <v>0</v>
      </c>
      <c r="CF62" s="18">
        <f>AD[[#This Row],[Part Nr.]]</f>
        <v>0</v>
      </c>
      <c r="CG62" s="18">
        <f>AD[[#This Row],[UID]]</f>
        <v>0</v>
      </c>
      <c r="CK62" s="18" t="str">
        <f>IF(AD[[#This Row],[Status]]=0,"",AD[[#This Row],[Status]])</f>
        <v/>
      </c>
    </row>
    <row r="63" spans="1:89">
      <c r="D63" s="28"/>
      <c r="G63" s="19"/>
      <c r="J63" s="53"/>
      <c r="K63" s="53"/>
      <c r="L63" s="19"/>
      <c r="O63" s="18"/>
      <c r="CA63" s="1" t="s">
        <v>71</v>
      </c>
      <c r="CB63" s="1" t="s">
        <v>18</v>
      </c>
      <c r="CC63" s="1" t="s">
        <v>132</v>
      </c>
      <c r="CE63" s="18">
        <f>AD[[#This Row],[Part Type]]</f>
        <v>0</v>
      </c>
      <c r="CF63" s="18">
        <f>AD[[#This Row],[Part Nr.]]</f>
        <v>0</v>
      </c>
      <c r="CG63" s="18">
        <f>AD[[#This Row],[UID]]</f>
        <v>0</v>
      </c>
      <c r="CK63" s="18" t="str">
        <f>IF(AD[[#This Row],[Status]]=0,"",AD[[#This Row],[Status]])</f>
        <v/>
      </c>
    </row>
    <row r="64" spans="1:89">
      <c r="D64" s="28"/>
      <c r="G64" s="19"/>
      <c r="J64" s="53"/>
      <c r="K64" s="53"/>
      <c r="L64" s="19"/>
      <c r="O64" s="18"/>
      <c r="CA64" s="1" t="s">
        <v>71</v>
      </c>
      <c r="CB64" s="1" t="s">
        <v>18</v>
      </c>
      <c r="CC64" s="1" t="s">
        <v>132</v>
      </c>
      <c r="CE64" s="18">
        <f>AD[[#This Row],[Part Type]]</f>
        <v>0</v>
      </c>
      <c r="CF64" s="18">
        <f>AD[[#This Row],[Part Nr.]]</f>
        <v>0</v>
      </c>
      <c r="CG64" s="18">
        <f>AD[[#This Row],[UID]]</f>
        <v>0</v>
      </c>
      <c r="CK64" s="18" t="str">
        <f>IF(AD[[#This Row],[Status]]=0,"",AD[[#This Row],[Status]])</f>
        <v/>
      </c>
    </row>
    <row r="65" spans="4:89">
      <c r="D65" s="28"/>
      <c r="G65" s="19"/>
      <c r="J65" s="53"/>
      <c r="K65" s="53"/>
      <c r="L65" s="19"/>
      <c r="O65" s="18"/>
      <c r="CA65" s="1" t="s">
        <v>71</v>
      </c>
      <c r="CB65" s="1" t="s">
        <v>18</v>
      </c>
      <c r="CC65" s="1" t="s">
        <v>132</v>
      </c>
      <c r="CE65" s="18">
        <f>AD[[#This Row],[Part Type]]</f>
        <v>0</v>
      </c>
      <c r="CF65" s="18">
        <f>AD[[#This Row],[Part Nr.]]</f>
        <v>0</v>
      </c>
      <c r="CG65" s="18">
        <f>AD[[#This Row],[UID]]</f>
        <v>0</v>
      </c>
      <c r="CK65" s="18" t="str">
        <f>IF(AD[[#This Row],[Status]]=0,"",AD[[#This Row],[Status]])</f>
        <v/>
      </c>
    </row>
    <row r="66" spans="4:89">
      <c r="D66" s="28"/>
      <c r="G66" s="19"/>
      <c r="J66" s="53"/>
      <c r="K66" s="53"/>
      <c r="L66" s="19"/>
      <c r="O66" s="18"/>
      <c r="CA66" s="1" t="s">
        <v>71</v>
      </c>
      <c r="CB66" s="1" t="s">
        <v>18</v>
      </c>
      <c r="CC66" s="1" t="s">
        <v>132</v>
      </c>
      <c r="CE66" s="18">
        <f>AD[[#This Row],[Part Type]]</f>
        <v>0</v>
      </c>
      <c r="CF66" s="18">
        <f>AD[[#This Row],[Part Nr.]]</f>
        <v>0</v>
      </c>
      <c r="CG66" s="18">
        <f>AD[[#This Row],[UID]]</f>
        <v>0</v>
      </c>
      <c r="CK66" s="18" t="str">
        <f>IF(AD[[#This Row],[Status]]=0,"",AD[[#This Row],[Status]])</f>
        <v/>
      </c>
    </row>
    <row r="67" spans="4:89">
      <c r="D67" s="28"/>
      <c r="G67" s="19"/>
      <c r="J67" s="53"/>
      <c r="K67" s="53"/>
      <c r="L67" s="19"/>
      <c r="O67" s="18"/>
      <c r="CA67" s="1" t="s">
        <v>71</v>
      </c>
      <c r="CB67" s="1" t="s">
        <v>18</v>
      </c>
      <c r="CC67" s="1" t="s">
        <v>132</v>
      </c>
      <c r="CE67" s="18">
        <f>AD[[#This Row],[Part Type]]</f>
        <v>0</v>
      </c>
      <c r="CF67" s="18">
        <f>AD[[#This Row],[Part Nr.]]</f>
        <v>0</v>
      </c>
      <c r="CG67" s="18">
        <f>AD[[#This Row],[UID]]</f>
        <v>0</v>
      </c>
      <c r="CK67" s="18" t="str">
        <f>IF(AD[[#This Row],[Status]]=0,"",AD[[#This Row],[Status]])</f>
        <v/>
      </c>
    </row>
    <row r="68" spans="4:89">
      <c r="D68" s="28"/>
      <c r="G68" s="19"/>
      <c r="J68" s="53"/>
      <c r="K68" s="53"/>
      <c r="L68" s="19"/>
      <c r="O68" s="18"/>
      <c r="CA68" s="1" t="s">
        <v>71</v>
      </c>
      <c r="CB68" s="1" t="s">
        <v>18</v>
      </c>
      <c r="CC68" s="1" t="s">
        <v>132</v>
      </c>
      <c r="CE68" s="18">
        <f>AD[[#This Row],[Part Type]]</f>
        <v>0</v>
      </c>
      <c r="CF68" s="18">
        <f>AD[[#This Row],[Part Nr.]]</f>
        <v>0</v>
      </c>
      <c r="CG68" s="18">
        <f>AD[[#This Row],[UID]]</f>
        <v>0</v>
      </c>
      <c r="CK68" s="18" t="str">
        <f>IF(AD[[#This Row],[Status]]=0,"",AD[[#This Row],[Status]])</f>
        <v/>
      </c>
    </row>
    <row r="69" spans="4:89">
      <c r="D69" s="28"/>
      <c r="G69" s="19"/>
      <c r="J69" s="53"/>
      <c r="K69" s="53"/>
      <c r="L69" s="19"/>
      <c r="O69" s="18"/>
      <c r="CA69" s="1" t="s">
        <v>71</v>
      </c>
      <c r="CB69" s="1" t="s">
        <v>18</v>
      </c>
      <c r="CC69" s="1" t="s">
        <v>132</v>
      </c>
      <c r="CE69" s="18">
        <f>AD[[#This Row],[Part Type]]</f>
        <v>0</v>
      </c>
      <c r="CF69" s="18">
        <f>AD[[#This Row],[Part Nr.]]</f>
        <v>0</v>
      </c>
      <c r="CG69" s="18">
        <f>AD[[#This Row],[UID]]</f>
        <v>0</v>
      </c>
      <c r="CK69" s="18" t="str">
        <f>IF(AD[[#This Row],[Status]]=0,"",AD[[#This Row],[Status]])</f>
        <v/>
      </c>
    </row>
    <row r="70" spans="4:89">
      <c r="D70" s="28"/>
      <c r="G70" s="19"/>
      <c r="J70" s="53"/>
      <c r="K70" s="53"/>
      <c r="L70" s="19"/>
      <c r="O70" s="18"/>
      <c r="CA70" s="1" t="s">
        <v>71</v>
      </c>
      <c r="CB70" s="1" t="s">
        <v>18</v>
      </c>
      <c r="CC70" s="1" t="s">
        <v>132</v>
      </c>
      <c r="CE70" s="18">
        <f>AD[[#This Row],[Part Type]]</f>
        <v>0</v>
      </c>
      <c r="CF70" s="18">
        <f>AD[[#This Row],[Part Nr.]]</f>
        <v>0</v>
      </c>
      <c r="CG70" s="18">
        <f>AD[[#This Row],[UID]]</f>
        <v>0</v>
      </c>
      <c r="CK70" s="18" t="str">
        <f>IF(AD[[#This Row],[Status]]=0,"",AD[[#This Row],[Status]])</f>
        <v/>
      </c>
    </row>
    <row r="71" spans="4:89">
      <c r="D71" s="28"/>
      <c r="G71" s="19"/>
      <c r="J71" s="53"/>
      <c r="K71" s="53"/>
      <c r="L71" s="19"/>
      <c r="O71" s="18"/>
      <c r="CA71" s="1" t="s">
        <v>71</v>
      </c>
      <c r="CB71" s="1" t="s">
        <v>18</v>
      </c>
      <c r="CC71" s="1" t="s">
        <v>132</v>
      </c>
      <c r="CE71" s="18">
        <f>AD[[#This Row],[Part Type]]</f>
        <v>0</v>
      </c>
      <c r="CF71" s="18">
        <f>AD[[#This Row],[Part Nr.]]</f>
        <v>0</v>
      </c>
      <c r="CG71" s="18">
        <f>AD[[#This Row],[UID]]</f>
        <v>0</v>
      </c>
      <c r="CK71" s="18" t="str">
        <f>IF(AD[[#This Row],[Status]]=0,"",AD[[#This Row],[Status]])</f>
        <v/>
      </c>
    </row>
    <row r="72" spans="4:89">
      <c r="D72" s="28"/>
      <c r="G72" s="19"/>
      <c r="J72" s="53"/>
      <c r="K72" s="53"/>
      <c r="L72" s="19"/>
      <c r="O72" s="18"/>
      <c r="CA72" s="1" t="s">
        <v>71</v>
      </c>
      <c r="CB72" s="1" t="s">
        <v>18</v>
      </c>
      <c r="CC72" s="1" t="s">
        <v>132</v>
      </c>
      <c r="CE72" s="18">
        <f>AD[[#This Row],[Part Type]]</f>
        <v>0</v>
      </c>
      <c r="CF72" s="18">
        <f>AD[[#This Row],[Part Nr.]]</f>
        <v>0</v>
      </c>
      <c r="CG72" s="18">
        <f>AD[[#This Row],[UID]]</f>
        <v>0</v>
      </c>
      <c r="CK72" s="18" t="str">
        <f>IF(AD[[#This Row],[Status]]=0,"",AD[[#This Row],[Status]])</f>
        <v/>
      </c>
    </row>
    <row r="73" spans="4:89">
      <c r="D73" s="28"/>
      <c r="G73" s="19"/>
      <c r="J73" s="53"/>
      <c r="K73" s="53"/>
      <c r="L73" s="19"/>
      <c r="O73" s="18"/>
      <c r="CA73" s="1" t="s">
        <v>71</v>
      </c>
      <c r="CB73" s="1" t="s">
        <v>18</v>
      </c>
      <c r="CC73" s="1" t="s">
        <v>132</v>
      </c>
      <c r="CE73" s="18">
        <f>AD[[#This Row],[Part Type]]</f>
        <v>0</v>
      </c>
      <c r="CF73" s="18">
        <f>AD[[#This Row],[Part Nr.]]</f>
        <v>0</v>
      </c>
      <c r="CG73" s="18">
        <f>AD[[#This Row],[UID]]</f>
        <v>0</v>
      </c>
      <c r="CK73" s="18" t="str">
        <f>IF(AD[[#This Row],[Status]]=0,"",AD[[#This Row],[Status]])</f>
        <v/>
      </c>
    </row>
    <row r="74" spans="4:89">
      <c r="D74" s="28"/>
      <c r="G74" s="19"/>
      <c r="J74" s="53"/>
      <c r="K74" s="53"/>
      <c r="L74" s="19"/>
      <c r="O74" s="18"/>
      <c r="CA74" s="1" t="s">
        <v>71</v>
      </c>
      <c r="CB74" s="1" t="s">
        <v>18</v>
      </c>
      <c r="CC74" s="1" t="s">
        <v>132</v>
      </c>
      <c r="CE74" s="18">
        <f>AD[[#This Row],[Part Type]]</f>
        <v>0</v>
      </c>
      <c r="CF74" s="18">
        <f>AD[[#This Row],[Part Nr.]]</f>
        <v>0</v>
      </c>
      <c r="CG74" s="18">
        <f>AD[[#This Row],[UID]]</f>
        <v>0</v>
      </c>
      <c r="CK74" s="18" t="str">
        <f>IF(AD[[#This Row],[Status]]=0,"",AD[[#This Row],[Status]])</f>
        <v/>
      </c>
    </row>
    <row r="75" spans="4:89">
      <c r="D75" s="28"/>
      <c r="G75" s="19"/>
      <c r="J75" s="53"/>
      <c r="K75" s="53"/>
      <c r="L75" s="19"/>
      <c r="O75" s="18"/>
      <c r="CA75" s="1" t="s">
        <v>71</v>
      </c>
      <c r="CB75" s="1" t="s">
        <v>18</v>
      </c>
      <c r="CC75" s="1" t="s">
        <v>132</v>
      </c>
      <c r="CE75" s="18">
        <f>AD[[#This Row],[Part Type]]</f>
        <v>0</v>
      </c>
      <c r="CF75" s="18">
        <f>AD[[#This Row],[Part Nr.]]</f>
        <v>0</v>
      </c>
      <c r="CG75" s="18">
        <f>AD[[#This Row],[UID]]</f>
        <v>0</v>
      </c>
      <c r="CK75" s="18" t="str">
        <f>IF(AD[[#This Row],[Status]]=0,"",AD[[#This Row],[Status]])</f>
        <v/>
      </c>
    </row>
    <row r="76" spans="4:89">
      <c r="D76" s="28"/>
      <c r="G76" s="19"/>
      <c r="J76" s="53"/>
      <c r="K76" s="53"/>
      <c r="L76" s="19"/>
      <c r="O76" s="18"/>
      <c r="CA76" s="1" t="s">
        <v>71</v>
      </c>
      <c r="CB76" s="1" t="s">
        <v>18</v>
      </c>
      <c r="CC76" s="1" t="s">
        <v>132</v>
      </c>
      <c r="CE76" s="18">
        <f>AD[[#This Row],[Part Type]]</f>
        <v>0</v>
      </c>
      <c r="CF76" s="18">
        <f>AD[[#This Row],[Part Nr.]]</f>
        <v>0</v>
      </c>
      <c r="CG76" s="18">
        <f>AD[[#This Row],[UID]]</f>
        <v>0</v>
      </c>
      <c r="CK76" s="18" t="str">
        <f>IF(AD[[#This Row],[Status]]=0,"",AD[[#This Row],[Status]])</f>
        <v/>
      </c>
    </row>
    <row r="77" spans="4:89">
      <c r="D77" s="28"/>
      <c r="G77" s="19"/>
      <c r="J77" s="53"/>
      <c r="K77" s="53"/>
      <c r="L77" s="19"/>
      <c r="O77" s="18"/>
      <c r="CA77" s="1" t="s">
        <v>71</v>
      </c>
      <c r="CB77" s="1" t="s">
        <v>18</v>
      </c>
      <c r="CC77" s="1" t="s">
        <v>132</v>
      </c>
      <c r="CE77" s="18">
        <f>AD[[#This Row],[Part Type]]</f>
        <v>0</v>
      </c>
      <c r="CF77" s="18">
        <f>AD[[#This Row],[Part Nr.]]</f>
        <v>0</v>
      </c>
      <c r="CG77" s="18">
        <f>AD[[#This Row],[UID]]</f>
        <v>0</v>
      </c>
      <c r="CK77" s="18" t="str">
        <f>IF(AD[[#This Row],[Status]]=0,"",AD[[#This Row],[Status]])</f>
        <v/>
      </c>
    </row>
    <row r="78" spans="4:89">
      <c r="D78" s="28"/>
      <c r="G78" s="19"/>
      <c r="J78" s="53"/>
      <c r="K78" s="53"/>
      <c r="L78" s="19"/>
      <c r="O78" s="18"/>
      <c r="CA78" s="1" t="s">
        <v>71</v>
      </c>
      <c r="CB78" s="1" t="s">
        <v>18</v>
      </c>
      <c r="CC78" s="1" t="s">
        <v>132</v>
      </c>
      <c r="CE78" s="18">
        <f>AD[[#This Row],[Part Type]]</f>
        <v>0</v>
      </c>
      <c r="CF78" s="18">
        <f>AD[[#This Row],[Part Nr.]]</f>
        <v>0</v>
      </c>
      <c r="CG78" s="18">
        <f>AD[[#This Row],[UID]]</f>
        <v>0</v>
      </c>
      <c r="CK78" s="18" t="str">
        <f>IF(AD[[#This Row],[Status]]=0,"",AD[[#This Row],[Status]])</f>
        <v/>
      </c>
    </row>
    <row r="79" spans="4:89">
      <c r="D79" s="28"/>
      <c r="G79" s="19"/>
      <c r="J79" s="53"/>
      <c r="K79" s="53"/>
      <c r="L79" s="19"/>
      <c r="O79" s="18"/>
      <c r="CA79" s="1" t="s">
        <v>71</v>
      </c>
      <c r="CB79" s="1" t="s">
        <v>18</v>
      </c>
      <c r="CC79" s="1" t="s">
        <v>132</v>
      </c>
      <c r="CE79" s="18">
        <f>AD[[#This Row],[Part Type]]</f>
        <v>0</v>
      </c>
      <c r="CF79" s="18">
        <f>AD[[#This Row],[Part Nr.]]</f>
        <v>0</v>
      </c>
      <c r="CG79" s="18">
        <f>AD[[#This Row],[UID]]</f>
        <v>0</v>
      </c>
      <c r="CK79" s="18" t="str">
        <f>IF(AD[[#This Row],[Status]]=0,"",AD[[#This Row],[Status]])</f>
        <v/>
      </c>
    </row>
    <row r="80" spans="4:89">
      <c r="D80" s="28"/>
      <c r="G80" s="19"/>
      <c r="J80" s="53"/>
      <c r="K80" s="53"/>
      <c r="L80" s="19"/>
      <c r="O80" s="18"/>
      <c r="CA80" s="1" t="s">
        <v>71</v>
      </c>
      <c r="CB80" s="1" t="s">
        <v>18</v>
      </c>
      <c r="CC80" s="1" t="s">
        <v>132</v>
      </c>
      <c r="CE80" s="18">
        <f>AD[[#This Row],[Part Type]]</f>
        <v>0</v>
      </c>
      <c r="CF80" s="18">
        <f>AD[[#This Row],[Part Nr.]]</f>
        <v>0</v>
      </c>
      <c r="CG80" s="18">
        <f>AD[[#This Row],[UID]]</f>
        <v>0</v>
      </c>
      <c r="CK80" s="18" t="str">
        <f>IF(AD[[#This Row],[Status]]=0,"",AD[[#This Row],[Status]])</f>
        <v/>
      </c>
    </row>
    <row r="81" spans="4:89">
      <c r="D81" s="28"/>
      <c r="G81" s="19"/>
      <c r="J81" s="53"/>
      <c r="K81" s="53"/>
      <c r="L81" s="19"/>
      <c r="O81" s="18"/>
      <c r="CA81" s="1" t="s">
        <v>71</v>
      </c>
      <c r="CB81" s="1" t="s">
        <v>18</v>
      </c>
      <c r="CC81" s="1" t="s">
        <v>132</v>
      </c>
      <c r="CE81" s="18">
        <f>AD[[#This Row],[Part Type]]</f>
        <v>0</v>
      </c>
      <c r="CF81" s="18">
        <f>AD[[#This Row],[Part Nr.]]</f>
        <v>0</v>
      </c>
      <c r="CG81" s="18">
        <f>AD[[#This Row],[UID]]</f>
        <v>0</v>
      </c>
      <c r="CK81" s="18" t="str">
        <f>IF(AD[[#This Row],[Status]]=0,"",AD[[#This Row],[Status]])</f>
        <v/>
      </c>
    </row>
    <row r="82" spans="4:89">
      <c r="D82" s="28"/>
      <c r="G82" s="19"/>
      <c r="J82" s="53"/>
      <c r="K82" s="53"/>
      <c r="L82" s="19"/>
      <c r="O82" s="18"/>
      <c r="CA82" s="1" t="s">
        <v>71</v>
      </c>
      <c r="CB82" s="1" t="s">
        <v>18</v>
      </c>
      <c r="CC82" s="1" t="s">
        <v>132</v>
      </c>
      <c r="CE82" s="18">
        <f>AD[[#This Row],[Part Type]]</f>
        <v>0</v>
      </c>
      <c r="CF82" s="18">
        <f>AD[[#This Row],[Part Nr.]]</f>
        <v>0</v>
      </c>
      <c r="CG82" s="18">
        <f>AD[[#This Row],[UID]]</f>
        <v>0</v>
      </c>
      <c r="CK82" s="18" t="str">
        <f>IF(AD[[#This Row],[Status]]=0,"",AD[[#This Row],[Status]])</f>
        <v/>
      </c>
    </row>
    <row r="83" spans="4:89">
      <c r="D83" s="28"/>
      <c r="G83" s="19"/>
      <c r="J83" s="53"/>
      <c r="K83" s="53"/>
      <c r="L83" s="19"/>
      <c r="O83" s="18"/>
      <c r="CA83" s="1" t="s">
        <v>71</v>
      </c>
      <c r="CB83" s="1" t="s">
        <v>18</v>
      </c>
      <c r="CC83" s="1" t="s">
        <v>132</v>
      </c>
      <c r="CE83" s="18">
        <f>AD[[#This Row],[Part Type]]</f>
        <v>0</v>
      </c>
      <c r="CF83" s="18">
        <f>AD[[#This Row],[Part Nr.]]</f>
        <v>0</v>
      </c>
      <c r="CG83" s="18">
        <f>AD[[#This Row],[UID]]</f>
        <v>0</v>
      </c>
      <c r="CK83" s="18" t="str">
        <f>IF(AD[[#This Row],[Status]]=0,"",AD[[#This Row],[Status]])</f>
        <v/>
      </c>
    </row>
    <row r="84" spans="4:89">
      <c r="D84" s="28"/>
      <c r="G84" s="19"/>
      <c r="J84" s="53"/>
      <c r="K84" s="53"/>
      <c r="L84" s="19"/>
      <c r="O84" s="18"/>
      <c r="CA84" s="1" t="s">
        <v>71</v>
      </c>
      <c r="CB84" s="1" t="s">
        <v>18</v>
      </c>
      <c r="CC84" s="1" t="s">
        <v>132</v>
      </c>
      <c r="CE84" s="18">
        <f>AD[[#This Row],[Part Type]]</f>
        <v>0</v>
      </c>
      <c r="CF84" s="18">
        <f>AD[[#This Row],[Part Nr.]]</f>
        <v>0</v>
      </c>
      <c r="CG84" s="18">
        <f>AD[[#This Row],[UID]]</f>
        <v>0</v>
      </c>
      <c r="CK84" s="18" t="str">
        <f>IF(AD[[#This Row],[Status]]=0,"",AD[[#This Row],[Status]])</f>
        <v/>
      </c>
    </row>
    <row r="85" spans="4:89">
      <c r="D85" s="28"/>
      <c r="G85" s="19"/>
      <c r="J85" s="53"/>
      <c r="K85" s="53"/>
      <c r="L85" s="19"/>
      <c r="O85" s="18"/>
      <c r="CA85" s="1" t="s">
        <v>71</v>
      </c>
      <c r="CB85" s="1" t="s">
        <v>18</v>
      </c>
      <c r="CC85" s="1" t="s">
        <v>132</v>
      </c>
      <c r="CE85" s="18">
        <f>AD[[#This Row],[Part Type]]</f>
        <v>0</v>
      </c>
      <c r="CF85" s="18">
        <f>AD[[#This Row],[Part Nr.]]</f>
        <v>0</v>
      </c>
      <c r="CG85" s="18">
        <f>AD[[#This Row],[UID]]</f>
        <v>0</v>
      </c>
      <c r="CK85" s="18" t="str">
        <f>IF(AD[[#This Row],[Status]]=0,"",AD[[#This Row],[Status]])</f>
        <v/>
      </c>
    </row>
    <row r="86" spans="4:89">
      <c r="D86" s="28"/>
      <c r="G86" s="19"/>
      <c r="J86" s="53"/>
      <c r="K86" s="53"/>
      <c r="L86" s="19"/>
      <c r="O86" s="18"/>
      <c r="CA86" s="1" t="s">
        <v>71</v>
      </c>
      <c r="CB86" s="1" t="s">
        <v>18</v>
      </c>
      <c r="CC86" s="1" t="s">
        <v>132</v>
      </c>
      <c r="CE86" s="18">
        <f>AD[[#This Row],[Part Type]]</f>
        <v>0</v>
      </c>
      <c r="CF86" s="18">
        <f>AD[[#This Row],[Part Nr.]]</f>
        <v>0</v>
      </c>
      <c r="CG86" s="18">
        <f>AD[[#This Row],[UID]]</f>
        <v>0</v>
      </c>
      <c r="CK86" s="18" t="str">
        <f>IF(AD[[#This Row],[Status]]=0,"",AD[[#This Row],[Status]])</f>
        <v/>
      </c>
    </row>
    <row r="87" spans="4:89">
      <c r="D87" s="28"/>
      <c r="G87" s="19"/>
      <c r="J87" s="53"/>
      <c r="K87" s="53"/>
      <c r="L87" s="19"/>
      <c r="O87" s="18"/>
      <c r="CA87" s="1" t="s">
        <v>71</v>
      </c>
      <c r="CB87" s="1" t="s">
        <v>18</v>
      </c>
      <c r="CC87" s="1" t="s">
        <v>132</v>
      </c>
      <c r="CE87" s="18">
        <f>AD[[#This Row],[Part Type]]</f>
        <v>0</v>
      </c>
      <c r="CF87" s="18">
        <f>AD[[#This Row],[Part Nr.]]</f>
        <v>0</v>
      </c>
      <c r="CG87" s="18">
        <f>AD[[#This Row],[UID]]</f>
        <v>0</v>
      </c>
      <c r="CK87" s="18" t="str">
        <f>IF(AD[[#This Row],[Status]]=0,"",AD[[#This Row],[Status]])</f>
        <v/>
      </c>
    </row>
    <row r="88" spans="4:89">
      <c r="D88" s="28"/>
      <c r="G88" s="19"/>
      <c r="J88" s="53"/>
      <c r="K88" s="53"/>
      <c r="L88" s="19"/>
      <c r="O88" s="18"/>
      <c r="CA88" s="1" t="s">
        <v>71</v>
      </c>
      <c r="CB88" s="1" t="s">
        <v>18</v>
      </c>
      <c r="CC88" s="1" t="s">
        <v>132</v>
      </c>
      <c r="CE88" s="18">
        <f>AD[[#This Row],[Part Type]]</f>
        <v>0</v>
      </c>
      <c r="CF88" s="18">
        <f>AD[[#This Row],[Part Nr.]]</f>
        <v>0</v>
      </c>
      <c r="CG88" s="18">
        <f>AD[[#This Row],[UID]]</f>
        <v>0</v>
      </c>
      <c r="CK88" s="18" t="str">
        <f>IF(AD[[#This Row],[Status]]=0,"",AD[[#This Row],[Status]])</f>
        <v/>
      </c>
    </row>
    <row r="89" spans="4:89">
      <c r="D89" s="28"/>
      <c r="G89" s="19"/>
      <c r="J89" s="53"/>
      <c r="K89" s="53"/>
      <c r="L89" s="19"/>
      <c r="O89" s="18"/>
      <c r="CA89" s="1" t="s">
        <v>71</v>
      </c>
      <c r="CB89" s="1" t="s">
        <v>18</v>
      </c>
      <c r="CC89" s="1" t="s">
        <v>132</v>
      </c>
      <c r="CE89" s="18">
        <f>AD[[#This Row],[Part Type]]</f>
        <v>0</v>
      </c>
      <c r="CF89" s="18">
        <f>AD[[#This Row],[Part Nr.]]</f>
        <v>0</v>
      </c>
      <c r="CG89" s="18">
        <f>AD[[#This Row],[UID]]</f>
        <v>0</v>
      </c>
      <c r="CK89" s="18" t="str">
        <f>IF(AD[[#This Row],[Status]]=0,"",AD[[#This Row],[Status]])</f>
        <v/>
      </c>
    </row>
    <row r="90" spans="4:89">
      <c r="D90" s="28"/>
      <c r="G90" s="19"/>
      <c r="J90" s="53"/>
      <c r="K90" s="53"/>
      <c r="L90" s="19"/>
      <c r="O90" s="18"/>
      <c r="CA90" s="1" t="s">
        <v>71</v>
      </c>
      <c r="CB90" s="1" t="s">
        <v>18</v>
      </c>
      <c r="CC90" s="1" t="s">
        <v>132</v>
      </c>
      <c r="CE90" s="18">
        <f>AD[[#This Row],[Part Type]]</f>
        <v>0</v>
      </c>
      <c r="CF90" s="18">
        <f>AD[[#This Row],[Part Nr.]]</f>
        <v>0</v>
      </c>
      <c r="CG90" s="18">
        <f>AD[[#This Row],[UID]]</f>
        <v>0</v>
      </c>
      <c r="CK90" s="18" t="str">
        <f>IF(AD[[#This Row],[Status]]=0,"",AD[[#This Row],[Status]])</f>
        <v/>
      </c>
    </row>
    <row r="91" spans="4:89">
      <c r="D91" s="28"/>
      <c r="G91" s="19"/>
      <c r="J91" s="53"/>
      <c r="K91" s="53"/>
      <c r="L91" s="19"/>
      <c r="O91" s="18"/>
      <c r="CA91" s="1" t="s">
        <v>71</v>
      </c>
      <c r="CB91" s="1" t="s">
        <v>18</v>
      </c>
      <c r="CC91" s="1" t="s">
        <v>132</v>
      </c>
      <c r="CE91" s="18">
        <f>AD[[#This Row],[Part Type]]</f>
        <v>0</v>
      </c>
      <c r="CF91" s="18">
        <f>AD[[#This Row],[Part Nr.]]</f>
        <v>0</v>
      </c>
      <c r="CG91" s="18">
        <f>AD[[#This Row],[UID]]</f>
        <v>0</v>
      </c>
      <c r="CK91" s="18" t="str">
        <f>IF(AD[[#This Row],[Status]]=0,"",AD[[#This Row],[Status]])</f>
        <v/>
      </c>
    </row>
    <row r="92" spans="4:89">
      <c r="D92" s="28"/>
      <c r="G92" s="19"/>
      <c r="J92" s="53"/>
      <c r="K92" s="53"/>
      <c r="L92" s="19"/>
      <c r="O92" s="18"/>
      <c r="CA92" s="1" t="s">
        <v>71</v>
      </c>
      <c r="CB92" s="1" t="s">
        <v>18</v>
      </c>
      <c r="CC92" s="1" t="s">
        <v>132</v>
      </c>
      <c r="CE92" s="18">
        <f>AD[[#This Row],[Part Type]]</f>
        <v>0</v>
      </c>
      <c r="CF92" s="18">
        <f>AD[[#This Row],[Part Nr.]]</f>
        <v>0</v>
      </c>
      <c r="CG92" s="18">
        <f>AD[[#This Row],[UID]]</f>
        <v>0</v>
      </c>
      <c r="CK92" s="18" t="str">
        <f>IF(AD[[#This Row],[Status]]=0,"",AD[[#This Row],[Status]])</f>
        <v/>
      </c>
    </row>
    <row r="93" spans="4:89">
      <c r="D93" s="28"/>
      <c r="G93" s="19"/>
      <c r="J93" s="53"/>
      <c r="K93" s="53"/>
      <c r="L93" s="19"/>
      <c r="O93" s="18"/>
      <c r="CA93" s="1" t="s">
        <v>71</v>
      </c>
      <c r="CB93" s="1" t="s">
        <v>18</v>
      </c>
      <c r="CC93" s="1" t="s">
        <v>132</v>
      </c>
      <c r="CE93" s="18">
        <f>AD[[#This Row],[Part Type]]</f>
        <v>0</v>
      </c>
      <c r="CF93" s="18">
        <f>AD[[#This Row],[Part Nr.]]</f>
        <v>0</v>
      </c>
      <c r="CG93" s="18">
        <f>AD[[#This Row],[UID]]</f>
        <v>0</v>
      </c>
      <c r="CK93" s="18" t="str">
        <f>IF(AD[[#This Row],[Status]]=0,"",AD[[#This Row],[Status]])</f>
        <v/>
      </c>
    </row>
    <row r="94" spans="4:89">
      <c r="D94" s="28"/>
      <c r="G94" s="19"/>
      <c r="J94" s="53"/>
      <c r="K94" s="53"/>
      <c r="L94" s="19"/>
      <c r="O94" s="18"/>
      <c r="CA94" s="1" t="s">
        <v>71</v>
      </c>
      <c r="CB94" s="1" t="s">
        <v>18</v>
      </c>
      <c r="CC94" s="1" t="s">
        <v>132</v>
      </c>
      <c r="CE94" s="18">
        <f>AD[[#This Row],[Part Type]]</f>
        <v>0</v>
      </c>
      <c r="CF94" s="18">
        <f>AD[[#This Row],[Part Nr.]]</f>
        <v>0</v>
      </c>
      <c r="CG94" s="18">
        <f>AD[[#This Row],[UID]]</f>
        <v>0</v>
      </c>
      <c r="CK94" s="18" t="str">
        <f>IF(AD[[#This Row],[Status]]=0,"",AD[[#This Row],[Status]])</f>
        <v/>
      </c>
    </row>
    <row r="95" spans="4:89">
      <c r="D95" s="28"/>
      <c r="G95" s="19"/>
      <c r="J95" s="53"/>
      <c r="K95" s="53"/>
      <c r="L95" s="19"/>
      <c r="O95" s="18"/>
      <c r="CA95" s="1" t="s">
        <v>71</v>
      </c>
      <c r="CB95" s="1" t="s">
        <v>18</v>
      </c>
      <c r="CC95" s="1" t="s">
        <v>132</v>
      </c>
      <c r="CE95" s="18">
        <f>AD[[#This Row],[Part Type]]</f>
        <v>0</v>
      </c>
      <c r="CF95" s="18">
        <f>AD[[#This Row],[Part Nr.]]</f>
        <v>0</v>
      </c>
      <c r="CG95" s="18">
        <f>AD[[#This Row],[UID]]</f>
        <v>0</v>
      </c>
      <c r="CK95" s="18" t="str">
        <f>IF(AD[[#This Row],[Status]]=0,"",AD[[#This Row],[Status]])</f>
        <v/>
      </c>
    </row>
    <row r="96" spans="4:89">
      <c r="D96" s="28"/>
      <c r="G96" s="19"/>
      <c r="J96" s="53"/>
      <c r="K96" s="53"/>
      <c r="L96" s="19"/>
      <c r="O96" s="18"/>
      <c r="CA96" s="1" t="s">
        <v>71</v>
      </c>
      <c r="CB96" s="1" t="s">
        <v>18</v>
      </c>
      <c r="CC96" s="1" t="s">
        <v>132</v>
      </c>
      <c r="CE96" s="18">
        <f>AD[[#This Row],[Part Type]]</f>
        <v>0</v>
      </c>
      <c r="CF96" s="18">
        <f>AD[[#This Row],[Part Nr.]]</f>
        <v>0</v>
      </c>
      <c r="CG96" s="18">
        <f>AD[[#This Row],[UID]]</f>
        <v>0</v>
      </c>
      <c r="CK96" s="18" t="str">
        <f>IF(AD[[#This Row],[Status]]=0,"",AD[[#This Row],[Status]])</f>
        <v/>
      </c>
    </row>
    <row r="97" spans="4:89">
      <c r="D97" s="28"/>
      <c r="G97" s="19"/>
      <c r="J97" s="53"/>
      <c r="K97" s="53"/>
      <c r="L97" s="19"/>
      <c r="O97" s="18"/>
      <c r="CA97" s="1" t="s">
        <v>71</v>
      </c>
      <c r="CB97" s="1" t="s">
        <v>18</v>
      </c>
      <c r="CC97" s="1" t="s">
        <v>132</v>
      </c>
      <c r="CE97" s="18">
        <f>AD[[#This Row],[Part Type]]</f>
        <v>0</v>
      </c>
      <c r="CF97" s="18">
        <f>AD[[#This Row],[Part Nr.]]</f>
        <v>0</v>
      </c>
      <c r="CG97" s="18">
        <f>AD[[#This Row],[UID]]</f>
        <v>0</v>
      </c>
      <c r="CK97" s="18" t="str">
        <f>IF(AD[[#This Row],[Status]]=0,"",AD[[#This Row],[Status]])</f>
        <v/>
      </c>
    </row>
    <row r="98" spans="4:89">
      <c r="D98" s="28"/>
      <c r="G98" s="19"/>
      <c r="J98" s="53"/>
      <c r="K98" s="53"/>
      <c r="L98" s="19"/>
      <c r="O98" s="18"/>
      <c r="CA98" s="1" t="s">
        <v>71</v>
      </c>
      <c r="CB98" s="1" t="s">
        <v>18</v>
      </c>
      <c r="CC98" s="1" t="s">
        <v>132</v>
      </c>
      <c r="CE98" s="18">
        <f>AD[[#This Row],[Part Type]]</f>
        <v>0</v>
      </c>
      <c r="CF98" s="18">
        <f>AD[[#This Row],[Part Nr.]]</f>
        <v>0</v>
      </c>
      <c r="CG98" s="18">
        <f>AD[[#This Row],[UID]]</f>
        <v>0</v>
      </c>
      <c r="CK98" s="18" t="str">
        <f>IF(AD[[#This Row],[Status]]=0,"",AD[[#This Row],[Status]])</f>
        <v/>
      </c>
    </row>
    <row r="99" spans="4:89">
      <c r="D99" s="28"/>
      <c r="G99" s="19"/>
      <c r="J99" s="53"/>
      <c r="K99" s="53"/>
      <c r="L99" s="19"/>
      <c r="O99" s="18"/>
      <c r="CA99" s="1" t="s">
        <v>71</v>
      </c>
      <c r="CB99" s="1" t="s">
        <v>18</v>
      </c>
      <c r="CC99" s="1" t="s">
        <v>132</v>
      </c>
      <c r="CE99" s="18">
        <f>AD[[#This Row],[Part Type]]</f>
        <v>0</v>
      </c>
      <c r="CF99" s="18">
        <f>AD[[#This Row],[Part Nr.]]</f>
        <v>0</v>
      </c>
      <c r="CG99" s="18">
        <f>AD[[#This Row],[UID]]</f>
        <v>0</v>
      </c>
      <c r="CK99" s="18" t="str">
        <f>IF(AD[[#This Row],[Status]]=0,"",AD[[#This Row],[Status]])</f>
        <v/>
      </c>
    </row>
    <row r="100" spans="4:89">
      <c r="D100" s="28"/>
      <c r="G100" s="19"/>
      <c r="J100" s="53"/>
      <c r="K100" s="53"/>
      <c r="L100" s="19"/>
      <c r="O100" s="18"/>
      <c r="CA100" s="1" t="s">
        <v>71</v>
      </c>
      <c r="CB100" s="1" t="s">
        <v>18</v>
      </c>
      <c r="CC100" s="1" t="s">
        <v>132</v>
      </c>
      <c r="CE100" s="18">
        <f>AD[[#This Row],[Part Type]]</f>
        <v>0</v>
      </c>
      <c r="CF100" s="18">
        <f>AD[[#This Row],[Part Nr.]]</f>
        <v>0</v>
      </c>
      <c r="CG100" s="18">
        <f>AD[[#This Row],[UID]]</f>
        <v>0</v>
      </c>
      <c r="CK100" s="18" t="str">
        <f>IF(AD[[#This Row],[Status]]=0,"",AD[[#This Row],[Status]])</f>
        <v/>
      </c>
    </row>
    <row r="101" spans="4:89">
      <c r="D101" s="28"/>
      <c r="G101" s="19"/>
      <c r="J101" s="53"/>
      <c r="K101" s="53"/>
      <c r="L101" s="19"/>
      <c r="O101" s="18"/>
      <c r="CA101" s="1" t="s">
        <v>71</v>
      </c>
      <c r="CB101" s="1" t="s">
        <v>18</v>
      </c>
      <c r="CC101" s="1" t="s">
        <v>132</v>
      </c>
      <c r="CE101" s="18">
        <f>AD[[#This Row],[Part Type]]</f>
        <v>0</v>
      </c>
      <c r="CF101" s="18">
        <f>AD[[#This Row],[Part Nr.]]</f>
        <v>0</v>
      </c>
      <c r="CG101" s="18">
        <f>AD[[#This Row],[UID]]</f>
        <v>0</v>
      </c>
      <c r="CK101" s="18" t="str">
        <f>IF(AD[[#This Row],[Status]]=0,"",AD[[#This Row],[Status]])</f>
        <v/>
      </c>
    </row>
    <row r="102" spans="4:89">
      <c r="D102" s="28"/>
      <c r="G102" s="19"/>
      <c r="J102" s="53"/>
      <c r="K102" s="53"/>
      <c r="L102" s="19"/>
      <c r="O102" s="18"/>
      <c r="CA102" s="1" t="s">
        <v>71</v>
      </c>
      <c r="CB102" s="1" t="s">
        <v>18</v>
      </c>
      <c r="CC102" s="1" t="s">
        <v>132</v>
      </c>
      <c r="CE102" s="18">
        <f>AD[[#This Row],[Part Type]]</f>
        <v>0</v>
      </c>
      <c r="CF102" s="18">
        <f>AD[[#This Row],[Part Nr.]]</f>
        <v>0</v>
      </c>
      <c r="CG102" s="18">
        <f>AD[[#This Row],[UID]]</f>
        <v>0</v>
      </c>
      <c r="CK102" s="18" t="str">
        <f>IF(AD[[#This Row],[Status]]=0,"",AD[[#This Row],[Status]])</f>
        <v/>
      </c>
    </row>
    <row r="103" spans="4:89">
      <c r="D103" s="28"/>
      <c r="G103" s="19"/>
      <c r="J103" s="53"/>
      <c r="K103" s="53"/>
      <c r="L103" s="19"/>
      <c r="O103" s="18"/>
      <c r="CA103" s="1" t="s">
        <v>71</v>
      </c>
      <c r="CB103" s="1" t="s">
        <v>18</v>
      </c>
      <c r="CC103" s="1" t="s">
        <v>132</v>
      </c>
      <c r="CE103" s="18">
        <f>AD[[#This Row],[Part Type]]</f>
        <v>0</v>
      </c>
      <c r="CF103" s="18">
        <f>AD[[#This Row],[Part Nr.]]</f>
        <v>0</v>
      </c>
      <c r="CG103" s="18">
        <f>AD[[#This Row],[UID]]</f>
        <v>0</v>
      </c>
      <c r="CK103" s="18" t="str">
        <f>IF(AD[[#This Row],[Status]]=0,"",AD[[#This Row],[Status]])</f>
        <v/>
      </c>
    </row>
    <row r="104" spans="4:89">
      <c r="D104" s="28"/>
      <c r="G104" s="19"/>
      <c r="J104" s="53"/>
      <c r="K104" s="53"/>
      <c r="L104" s="19"/>
      <c r="O104" s="18"/>
      <c r="CA104" s="1" t="s">
        <v>71</v>
      </c>
      <c r="CB104" s="1" t="s">
        <v>18</v>
      </c>
      <c r="CC104" s="1" t="s">
        <v>132</v>
      </c>
      <c r="CE104" s="18">
        <f>AD[[#This Row],[Part Type]]</f>
        <v>0</v>
      </c>
      <c r="CF104" s="18">
        <f>AD[[#This Row],[Part Nr.]]</f>
        <v>0</v>
      </c>
      <c r="CG104" s="18">
        <f>AD[[#This Row],[UID]]</f>
        <v>0</v>
      </c>
      <c r="CK104" s="18" t="str">
        <f>IF(AD[[#This Row],[Status]]=0,"",AD[[#This Row],[Status]])</f>
        <v/>
      </c>
    </row>
    <row r="105" spans="4:89">
      <c r="D105" s="28"/>
      <c r="G105" s="19"/>
      <c r="J105" s="53"/>
      <c r="K105" s="53"/>
      <c r="L105" s="19"/>
      <c r="O105" s="18"/>
      <c r="CA105" s="1" t="s">
        <v>71</v>
      </c>
      <c r="CB105" s="1" t="s">
        <v>18</v>
      </c>
      <c r="CC105" s="1" t="s">
        <v>132</v>
      </c>
      <c r="CE105" s="18">
        <f>AD[[#This Row],[Part Type]]</f>
        <v>0</v>
      </c>
      <c r="CF105" s="18">
        <f>AD[[#This Row],[Part Nr.]]</f>
        <v>0</v>
      </c>
      <c r="CG105" s="18">
        <f>AD[[#This Row],[UID]]</f>
        <v>0</v>
      </c>
      <c r="CK105" s="18" t="str">
        <f>IF(AD[[#This Row],[Status]]=0,"",AD[[#This Row],[Status]])</f>
        <v/>
      </c>
    </row>
    <row r="106" spans="4:89">
      <c r="D106" s="28"/>
      <c r="G106" s="19"/>
      <c r="J106" s="53"/>
      <c r="K106" s="53"/>
      <c r="L106" s="19"/>
      <c r="O106" s="18"/>
      <c r="CA106" s="1" t="s">
        <v>71</v>
      </c>
      <c r="CB106" s="1" t="s">
        <v>18</v>
      </c>
      <c r="CC106" s="1" t="s">
        <v>132</v>
      </c>
      <c r="CE106" s="18">
        <f>AD[[#This Row],[Part Type]]</f>
        <v>0</v>
      </c>
      <c r="CF106" s="18">
        <f>AD[[#This Row],[Part Nr.]]</f>
        <v>0</v>
      </c>
      <c r="CG106" s="18">
        <f>AD[[#This Row],[UID]]</f>
        <v>0</v>
      </c>
      <c r="CK106" s="18" t="str">
        <f>IF(AD[[#This Row],[Status]]=0,"",AD[[#This Row],[Status]])</f>
        <v/>
      </c>
    </row>
    <row r="107" spans="4:89">
      <c r="D107" s="28"/>
      <c r="G107" s="19"/>
      <c r="J107" s="53"/>
      <c r="K107" s="53"/>
      <c r="L107" s="19"/>
      <c r="O107" s="18"/>
      <c r="CA107" s="1" t="s">
        <v>71</v>
      </c>
      <c r="CB107" s="1" t="s">
        <v>18</v>
      </c>
      <c r="CC107" s="1" t="s">
        <v>132</v>
      </c>
      <c r="CE107" s="18">
        <f>AD[[#This Row],[Part Type]]</f>
        <v>0</v>
      </c>
      <c r="CF107" s="18">
        <f>AD[[#This Row],[Part Nr.]]</f>
        <v>0</v>
      </c>
      <c r="CG107" s="18">
        <f>AD[[#This Row],[UID]]</f>
        <v>0</v>
      </c>
      <c r="CK107" s="18" t="str">
        <f>IF(AD[[#This Row],[Status]]=0,"",AD[[#This Row],[Status]])</f>
        <v/>
      </c>
    </row>
    <row r="108" spans="4:89">
      <c r="D108" s="28"/>
      <c r="G108" s="19"/>
      <c r="J108" s="53"/>
      <c r="K108" s="53"/>
      <c r="L108" s="19"/>
      <c r="O108" s="18"/>
      <c r="CA108" s="1" t="s">
        <v>71</v>
      </c>
      <c r="CB108" s="1" t="s">
        <v>18</v>
      </c>
      <c r="CC108" s="1" t="s">
        <v>132</v>
      </c>
      <c r="CE108" s="18">
        <f>AD[[#This Row],[Part Type]]</f>
        <v>0</v>
      </c>
      <c r="CF108" s="18">
        <f>AD[[#This Row],[Part Nr.]]</f>
        <v>0</v>
      </c>
      <c r="CG108" s="18">
        <f>AD[[#This Row],[UID]]</f>
        <v>0</v>
      </c>
      <c r="CK108" s="18" t="str">
        <f>IF(AD[[#This Row],[Status]]=0,"",AD[[#This Row],[Status]])</f>
        <v/>
      </c>
    </row>
    <row r="109" spans="4:89">
      <c r="D109" s="28"/>
      <c r="G109" s="19"/>
      <c r="J109" s="53"/>
      <c r="K109" s="53"/>
      <c r="L109" s="19"/>
      <c r="O109" s="18"/>
      <c r="CA109" s="1" t="s">
        <v>71</v>
      </c>
      <c r="CB109" s="1" t="s">
        <v>18</v>
      </c>
      <c r="CC109" s="1" t="s">
        <v>132</v>
      </c>
      <c r="CE109" s="18">
        <f>AD[[#This Row],[Part Type]]</f>
        <v>0</v>
      </c>
      <c r="CF109" s="18">
        <f>AD[[#This Row],[Part Nr.]]</f>
        <v>0</v>
      </c>
      <c r="CG109" s="18">
        <f>AD[[#This Row],[UID]]</f>
        <v>0</v>
      </c>
      <c r="CK109" s="18" t="str">
        <f>IF(AD[[#This Row],[Status]]=0,"",AD[[#This Row],[Status]])</f>
        <v/>
      </c>
    </row>
    <row r="110" spans="4:89">
      <c r="D110" s="28"/>
      <c r="G110" s="19"/>
      <c r="J110" s="53"/>
      <c r="K110" s="53"/>
      <c r="L110" s="19"/>
      <c r="O110" s="18"/>
      <c r="CA110" s="1" t="s">
        <v>71</v>
      </c>
      <c r="CB110" s="1" t="s">
        <v>18</v>
      </c>
      <c r="CC110" s="1" t="s">
        <v>132</v>
      </c>
      <c r="CE110" s="18">
        <f>AD[[#This Row],[Part Type]]</f>
        <v>0</v>
      </c>
      <c r="CF110" s="18">
        <f>AD[[#This Row],[Part Nr.]]</f>
        <v>0</v>
      </c>
      <c r="CG110" s="18">
        <f>AD[[#This Row],[UID]]</f>
        <v>0</v>
      </c>
      <c r="CK110" s="18" t="str">
        <f>IF(AD[[#This Row],[Status]]=0,"",AD[[#This Row],[Status]])</f>
        <v/>
      </c>
    </row>
    <row r="111" spans="4:89">
      <c r="D111" s="28"/>
      <c r="G111" s="19"/>
      <c r="J111" s="53"/>
      <c r="K111" s="53"/>
      <c r="L111" s="19"/>
      <c r="O111" s="18"/>
      <c r="CA111" s="1" t="s">
        <v>71</v>
      </c>
      <c r="CB111" s="1" t="s">
        <v>18</v>
      </c>
      <c r="CC111" s="1" t="s">
        <v>132</v>
      </c>
      <c r="CE111" s="18">
        <f>AD[[#This Row],[Part Type]]</f>
        <v>0</v>
      </c>
      <c r="CF111" s="18">
        <f>AD[[#This Row],[Part Nr.]]</f>
        <v>0</v>
      </c>
      <c r="CG111" s="18">
        <f>AD[[#This Row],[UID]]</f>
        <v>0</v>
      </c>
      <c r="CK111" s="18" t="str">
        <f>IF(AD[[#This Row],[Status]]=0,"",AD[[#This Row],[Status]])</f>
        <v/>
      </c>
    </row>
  </sheetData>
  <phoneticPr fontId="5" type="noConversion"/>
  <hyperlinks>
    <hyperlink ref="R21" r:id="rId1" xr:uid="{B990E4DA-FB40-814A-94E3-D1D9BFD794C1}"/>
    <hyperlink ref="R2" r:id="rId2" xr:uid="{93E8D3E2-6D76-4DE2-8D0B-E17103566C5C}"/>
  </hyperlinks>
  <pageMargins left="0.7" right="0.7" top="0.75" bottom="0.75" header="0.3" footer="0.3"/>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D8D76-D56F-EE43-95D3-0878B1BBDBDF}">
  <sheetPr codeName="Sheet10"/>
  <dimension ref="A1:CK61"/>
  <sheetViews>
    <sheetView topLeftCell="C1" zoomScale="91" zoomScaleNormal="91" workbookViewId="0">
      <selection activeCell="C1" sqref="C1"/>
    </sheetView>
  </sheetViews>
  <sheetFormatPr defaultColWidth="10.875" defaultRowHeight="15.95"/>
  <cols>
    <col min="1" max="1" width="11.875" style="18" bestFit="1" customWidth="1"/>
    <col min="2" max="2" width="20.625" style="18" bestFit="1" customWidth="1"/>
    <col min="3" max="3" width="12.625" style="18" bestFit="1" customWidth="1"/>
    <col min="4" max="4" width="24.625" style="18" bestFit="1" customWidth="1"/>
    <col min="5" max="5" width="11.5" style="18" bestFit="1" customWidth="1"/>
    <col min="6" max="6" width="26.875" style="18" bestFit="1" customWidth="1"/>
    <col min="7" max="7" width="26" style="18" bestFit="1" customWidth="1"/>
    <col min="8" max="11" width="12.375" style="18" bestFit="1" customWidth="1"/>
    <col min="12" max="12" width="17.625" style="18" bestFit="1" customWidth="1"/>
    <col min="13" max="14" width="17.125" style="18" bestFit="1" customWidth="1"/>
    <col min="15" max="15" width="13.625" style="18" bestFit="1" customWidth="1"/>
    <col min="16" max="16" width="10.875" style="18" bestFit="1" customWidth="1"/>
    <col min="17" max="17" width="14.125" style="18" bestFit="1" customWidth="1"/>
    <col min="18" max="18" width="16.875" style="18" bestFit="1" customWidth="1"/>
    <col min="20" max="20" width="26.625" style="18" bestFit="1" customWidth="1"/>
    <col min="21" max="21" width="9.125" style="18" bestFit="1" customWidth="1"/>
    <col min="22" max="22" width="13.125" style="18" bestFit="1" customWidth="1"/>
    <col min="23" max="23" width="59.375" style="18" bestFit="1" customWidth="1"/>
    <col min="24" max="78" width="10.875" style="18"/>
    <col min="79" max="79" width="16.125" style="18" customWidth="1"/>
    <col min="80" max="80" width="19.875" style="18" customWidth="1"/>
    <col min="81" max="81" width="20.5" style="18" customWidth="1"/>
    <col min="82" max="83" width="10.875" style="18"/>
    <col min="84" max="84" width="13.625" style="18" customWidth="1"/>
    <col min="85" max="85" width="12.5" style="18" customWidth="1"/>
    <col min="86" max="86" width="17" style="18" customWidth="1"/>
    <col min="87" max="87" width="10.875" style="18"/>
    <col min="88" max="88" width="15.125" style="18" customWidth="1"/>
    <col min="89" max="16384" width="10.875" style="18"/>
  </cols>
  <sheetData>
    <row r="1" spans="1:89">
      <c r="A1" s="18" t="s">
        <v>12</v>
      </c>
      <c r="B1" s="25" t="s">
        <v>95</v>
      </c>
      <c r="C1" s="178" t="s">
        <v>94</v>
      </c>
      <c r="D1" s="18" t="s">
        <v>225</v>
      </c>
      <c r="E1" s="18" t="s">
        <v>226</v>
      </c>
      <c r="F1" s="18" t="s">
        <v>227</v>
      </c>
      <c r="G1" s="18" t="s">
        <v>228</v>
      </c>
      <c r="H1" s="18" t="s">
        <v>229</v>
      </c>
      <c r="I1" s="18" t="s">
        <v>230</v>
      </c>
      <c r="J1" s="18" t="s">
        <v>300</v>
      </c>
      <c r="K1" s="18" t="s">
        <v>301</v>
      </c>
      <c r="L1" s="19" t="s">
        <v>231</v>
      </c>
      <c r="M1" s="19" t="s">
        <v>302</v>
      </c>
      <c r="N1" s="19" t="s">
        <v>303</v>
      </c>
      <c r="O1" s="53" t="s">
        <v>232</v>
      </c>
      <c r="P1" s="19" t="s">
        <v>233</v>
      </c>
      <c r="Q1" s="18" t="s">
        <v>234</v>
      </c>
      <c r="R1" s="18" t="s">
        <v>235</v>
      </c>
      <c r="S1" s="18" t="s">
        <v>236</v>
      </c>
      <c r="T1" s="18" t="s">
        <v>117</v>
      </c>
      <c r="U1" s="18" t="s">
        <v>237</v>
      </c>
      <c r="V1" s="18" t="s">
        <v>238</v>
      </c>
      <c r="BZ1" s="1" t="s">
        <v>119</v>
      </c>
      <c r="CA1" s="117" t="s">
        <v>2</v>
      </c>
      <c r="CB1" s="118" t="s">
        <v>3</v>
      </c>
      <c r="CC1" s="118" t="s">
        <v>4</v>
      </c>
      <c r="CD1" s="118" t="s">
        <v>5</v>
      </c>
      <c r="CE1" s="118" t="s">
        <v>6</v>
      </c>
      <c r="CF1" s="119" t="s">
        <v>7</v>
      </c>
      <c r="CG1" s="118" t="s">
        <v>8</v>
      </c>
      <c r="CH1" s="118" t="s">
        <v>9</v>
      </c>
      <c r="CI1" s="118" t="s">
        <v>10</v>
      </c>
      <c r="CJ1" s="118" t="s">
        <v>11</v>
      </c>
      <c r="CK1" s="120" t="s">
        <v>12</v>
      </c>
    </row>
    <row r="2" spans="1:89">
      <c r="A2" s="18" t="s">
        <v>120</v>
      </c>
      <c r="B2" s="18" t="s">
        <v>304</v>
      </c>
      <c r="C2" s="18" t="s">
        <v>305</v>
      </c>
      <c r="D2" s="28">
        <v>60000</v>
      </c>
      <c r="E2" s="18" t="s">
        <v>306</v>
      </c>
      <c r="F2" s="28">
        <v>220929</v>
      </c>
      <c r="G2" s="19">
        <v>418.21699999999998</v>
      </c>
      <c r="H2" s="18" t="s">
        <v>243</v>
      </c>
      <c r="I2" s="18" t="s">
        <v>243</v>
      </c>
      <c r="J2" s="18" t="s">
        <v>243</v>
      </c>
      <c r="K2" s="18" t="s">
        <v>243</v>
      </c>
      <c r="L2" s="53">
        <v>2</v>
      </c>
      <c r="M2" s="53">
        <v>1.5</v>
      </c>
      <c r="N2" s="53">
        <v>1</v>
      </c>
      <c r="O2" s="53">
        <v>6.25E-2</v>
      </c>
      <c r="P2" s="18" t="s">
        <v>304</v>
      </c>
      <c r="Q2" s="18" t="s">
        <v>161</v>
      </c>
      <c r="R2" s="18" t="s">
        <v>129</v>
      </c>
      <c r="S2" s="18" t="s">
        <v>129</v>
      </c>
      <c r="T2" s="18" t="s">
        <v>128</v>
      </c>
      <c r="U2" s="18" t="s">
        <v>173</v>
      </c>
      <c r="V2" s="20" t="s">
        <v>307</v>
      </c>
      <c r="BZ2" s="1" t="s">
        <v>131</v>
      </c>
      <c r="CA2" s="1" t="s">
        <v>71</v>
      </c>
      <c r="CB2" s="1" t="s">
        <v>18</v>
      </c>
      <c r="CC2" s="1" t="s">
        <v>308</v>
      </c>
      <c r="CD2" s="1"/>
      <c r="CE2" s="1" t="str">
        <f>CR[[#This Row],[Part Type]]</f>
        <v>Cross</v>
      </c>
      <c r="CF2" s="1" t="str">
        <f>CR[[#This Row],[Part Nr.]]</f>
        <v>60-24HF4</v>
      </c>
      <c r="CG2" s="1" t="str">
        <f>CR[[#This Row],[UID]]</f>
        <v>CR-1</v>
      </c>
      <c r="CH2" s="1"/>
      <c r="CI2" s="1"/>
      <c r="CJ2" s="1"/>
      <c r="CK2" s="1" t="str">
        <f>IF(CR[[#This Row],[Status]]=0,"",CR[[#This Row],[Status]])</f>
        <v>Active</v>
      </c>
    </row>
    <row r="3" spans="1:89">
      <c r="A3" s="18" t="s">
        <v>120</v>
      </c>
      <c r="B3" s="18" t="s">
        <v>304</v>
      </c>
      <c r="C3" s="18" t="s">
        <v>309</v>
      </c>
      <c r="D3" s="28">
        <v>60000</v>
      </c>
      <c r="E3" s="18" t="s">
        <v>306</v>
      </c>
      <c r="F3" s="18">
        <v>220930</v>
      </c>
      <c r="G3" s="19">
        <v>416.149</v>
      </c>
      <c r="H3" s="18" t="s">
        <v>243</v>
      </c>
      <c r="I3" s="18" t="s">
        <v>243</v>
      </c>
      <c r="J3" s="18" t="s">
        <v>243</v>
      </c>
      <c r="K3" s="18" t="s">
        <v>243</v>
      </c>
      <c r="L3" s="53">
        <v>2</v>
      </c>
      <c r="M3" s="53">
        <v>1.5</v>
      </c>
      <c r="N3" s="53">
        <v>1</v>
      </c>
      <c r="O3" s="53">
        <v>6.25E-2</v>
      </c>
      <c r="P3" s="18" t="s">
        <v>304</v>
      </c>
      <c r="Q3" s="18" t="s">
        <v>161</v>
      </c>
      <c r="R3" s="18" t="s">
        <v>129</v>
      </c>
      <c r="S3" s="18" t="s">
        <v>129</v>
      </c>
      <c r="T3" s="18" t="s">
        <v>128</v>
      </c>
      <c r="U3" s="18" t="s">
        <v>173</v>
      </c>
      <c r="V3" s="20" t="s">
        <v>307</v>
      </c>
      <c r="BZ3" s="1"/>
      <c r="CA3" s="1" t="s">
        <v>71</v>
      </c>
      <c r="CB3" s="1" t="s">
        <v>18</v>
      </c>
      <c r="CC3" s="1" t="s">
        <v>308</v>
      </c>
      <c r="CD3" s="1"/>
      <c r="CE3" s="1" t="str">
        <f>CR[[#This Row],[Part Type]]</f>
        <v>Cross</v>
      </c>
      <c r="CF3" s="1" t="str">
        <f>CR[[#This Row],[Part Nr.]]</f>
        <v>60-24HF4</v>
      </c>
      <c r="CG3" s="1" t="str">
        <f>CR[[#This Row],[UID]]</f>
        <v>CR-2</v>
      </c>
      <c r="CH3" s="1"/>
      <c r="CI3" s="1"/>
      <c r="CJ3" s="1"/>
      <c r="CK3" s="1" t="str">
        <f>IF(CR[[#This Row],[Status]]=0,"",CR[[#This Row],[Status]])</f>
        <v>Active</v>
      </c>
    </row>
    <row r="4" spans="1:89">
      <c r="A4" s="18" t="s">
        <v>120</v>
      </c>
      <c r="B4" s="18" t="s">
        <v>304</v>
      </c>
      <c r="C4" s="18" t="s">
        <v>310</v>
      </c>
      <c r="D4" s="28">
        <v>60000</v>
      </c>
      <c r="E4" s="18" t="s">
        <v>306</v>
      </c>
      <c r="F4" s="18">
        <v>220930</v>
      </c>
      <c r="G4" s="19">
        <v>417.31099999999998</v>
      </c>
      <c r="H4" s="18" t="s">
        <v>243</v>
      </c>
      <c r="I4" s="18" t="s">
        <v>243</v>
      </c>
      <c r="J4" s="18" t="s">
        <v>243</v>
      </c>
      <c r="K4" s="18" t="s">
        <v>243</v>
      </c>
      <c r="L4" s="53">
        <v>2</v>
      </c>
      <c r="M4" s="53">
        <v>1.5</v>
      </c>
      <c r="N4" s="53">
        <v>1</v>
      </c>
      <c r="O4" s="53">
        <v>6.25E-2</v>
      </c>
      <c r="P4" s="18" t="s">
        <v>304</v>
      </c>
      <c r="Q4" s="18" t="s">
        <v>161</v>
      </c>
      <c r="R4" s="18" t="s">
        <v>129</v>
      </c>
      <c r="S4" s="18" t="s">
        <v>129</v>
      </c>
      <c r="T4" s="18" t="s">
        <v>128</v>
      </c>
      <c r="U4" s="18" t="s">
        <v>173</v>
      </c>
      <c r="V4" s="20" t="s">
        <v>307</v>
      </c>
      <c r="BZ4" s="1"/>
      <c r="CA4" s="1" t="s">
        <v>71</v>
      </c>
      <c r="CB4" s="1" t="s">
        <v>18</v>
      </c>
      <c r="CC4" s="1" t="s">
        <v>308</v>
      </c>
      <c r="CD4" s="1"/>
      <c r="CE4" s="1" t="str">
        <f>CR[[#This Row],[Part Type]]</f>
        <v>Cross</v>
      </c>
      <c r="CF4" s="1" t="str">
        <f>CR[[#This Row],[Part Nr.]]</f>
        <v>60-24HF4</v>
      </c>
      <c r="CG4" s="1" t="str">
        <f>CR[[#This Row],[UID]]</f>
        <v>CR-3</v>
      </c>
      <c r="CH4" s="1"/>
      <c r="CI4" s="1"/>
      <c r="CJ4" s="1"/>
      <c r="CK4" s="1" t="str">
        <f>IF(CR[[#This Row],[Status]]=0,"",CR[[#This Row],[Status]])</f>
        <v>Active</v>
      </c>
    </row>
    <row r="5" spans="1:89">
      <c r="A5" s="18" t="s">
        <v>120</v>
      </c>
      <c r="B5" s="18" t="s">
        <v>304</v>
      </c>
      <c r="C5" s="18" t="s">
        <v>311</v>
      </c>
      <c r="D5" s="28">
        <v>60000</v>
      </c>
      <c r="E5" s="18" t="s">
        <v>306</v>
      </c>
      <c r="F5" s="18">
        <v>220930</v>
      </c>
      <c r="G5" s="19">
        <v>417.17099999999999</v>
      </c>
      <c r="H5" s="18" t="s">
        <v>243</v>
      </c>
      <c r="I5" s="18" t="s">
        <v>243</v>
      </c>
      <c r="J5" s="18" t="s">
        <v>243</v>
      </c>
      <c r="K5" s="18" t="s">
        <v>243</v>
      </c>
      <c r="L5" s="53">
        <v>2</v>
      </c>
      <c r="M5" s="53">
        <v>1.5</v>
      </c>
      <c r="N5" s="53">
        <v>1</v>
      </c>
      <c r="O5" s="53">
        <v>6.25E-2</v>
      </c>
      <c r="P5" s="18" t="s">
        <v>304</v>
      </c>
      <c r="Q5" s="18" t="s">
        <v>161</v>
      </c>
      <c r="R5" s="18" t="s">
        <v>129</v>
      </c>
      <c r="S5" s="18" t="s">
        <v>129</v>
      </c>
      <c r="T5" s="18" t="s">
        <v>128</v>
      </c>
      <c r="U5" s="18" t="s">
        <v>173</v>
      </c>
      <c r="V5" s="20" t="s">
        <v>307</v>
      </c>
      <c r="CA5" s="1" t="s">
        <v>71</v>
      </c>
      <c r="CB5" s="1" t="s">
        <v>18</v>
      </c>
      <c r="CC5" s="1" t="s">
        <v>308</v>
      </c>
      <c r="CE5" s="18" t="str">
        <f>CR[[#This Row],[Part Type]]</f>
        <v>Cross</v>
      </c>
      <c r="CF5" s="18" t="str">
        <f>CR[[#This Row],[Part Nr.]]</f>
        <v>60-24HF4</v>
      </c>
      <c r="CG5" s="18" t="str">
        <f>CR[[#This Row],[UID]]</f>
        <v>CR-4</v>
      </c>
      <c r="CK5" s="18" t="str">
        <f>IF(CR[[#This Row],[Status]]=0,"",CR[[#This Row],[Status]])</f>
        <v>Active</v>
      </c>
    </row>
    <row r="6" spans="1:89">
      <c r="A6" s="18" t="s">
        <v>120</v>
      </c>
      <c r="B6" s="18" t="s">
        <v>304</v>
      </c>
      <c r="C6" s="18" t="s">
        <v>312</v>
      </c>
      <c r="D6" s="28">
        <v>60000</v>
      </c>
      <c r="E6" s="18" t="s">
        <v>306</v>
      </c>
      <c r="F6" s="18">
        <v>220930</v>
      </c>
      <c r="G6" s="19">
        <v>415.298</v>
      </c>
      <c r="H6" s="18" t="s">
        <v>243</v>
      </c>
      <c r="I6" s="18" t="s">
        <v>243</v>
      </c>
      <c r="J6" s="18" t="s">
        <v>243</v>
      </c>
      <c r="K6" s="18" t="s">
        <v>243</v>
      </c>
      <c r="L6" s="53">
        <v>2</v>
      </c>
      <c r="M6" s="53">
        <v>1.5</v>
      </c>
      <c r="N6" s="53">
        <v>1</v>
      </c>
      <c r="O6" s="53">
        <v>6.25E-2</v>
      </c>
      <c r="P6" s="18" t="s">
        <v>304</v>
      </c>
      <c r="Q6" s="18" t="s">
        <v>161</v>
      </c>
      <c r="R6" s="18" t="s">
        <v>129</v>
      </c>
      <c r="S6" s="18" t="s">
        <v>129</v>
      </c>
      <c r="T6" s="18" t="s">
        <v>128</v>
      </c>
      <c r="U6" s="18" t="s">
        <v>173</v>
      </c>
      <c r="V6" s="20" t="s">
        <v>307</v>
      </c>
      <c r="CA6" s="1" t="s">
        <v>71</v>
      </c>
      <c r="CB6" s="1" t="s">
        <v>18</v>
      </c>
      <c r="CC6" s="1" t="s">
        <v>308</v>
      </c>
      <c r="CE6" s="18" t="str">
        <f>CR[[#This Row],[Part Type]]</f>
        <v>Cross</v>
      </c>
      <c r="CF6" s="18" t="str">
        <f>CR[[#This Row],[Part Nr.]]</f>
        <v>60-24HF4</v>
      </c>
      <c r="CG6" s="18" t="str">
        <f>CR[[#This Row],[UID]]</f>
        <v>CR-5</v>
      </c>
      <c r="CK6" s="18" t="str">
        <f>IF(CR[[#This Row],[Status]]=0,"",CR[[#This Row],[Status]])</f>
        <v>Active</v>
      </c>
    </row>
    <row r="7" spans="1:89">
      <c r="A7" s="18" t="s">
        <v>120</v>
      </c>
      <c r="B7" s="18" t="s">
        <v>304</v>
      </c>
      <c r="C7" s="18" t="s">
        <v>313</v>
      </c>
      <c r="D7" s="28">
        <v>60000</v>
      </c>
      <c r="E7" s="18" t="s">
        <v>306</v>
      </c>
      <c r="F7" s="18">
        <v>220930</v>
      </c>
      <c r="G7" s="19">
        <v>408.12</v>
      </c>
      <c r="H7" s="18" t="s">
        <v>243</v>
      </c>
      <c r="I7" s="18" t="s">
        <v>243</v>
      </c>
      <c r="J7" s="18" t="s">
        <v>243</v>
      </c>
      <c r="K7" s="18" t="s">
        <v>243</v>
      </c>
      <c r="L7" s="53">
        <v>2</v>
      </c>
      <c r="M7" s="53">
        <v>1.5</v>
      </c>
      <c r="N7" s="53">
        <v>1</v>
      </c>
      <c r="O7" s="53">
        <v>6.25E-2</v>
      </c>
      <c r="P7" s="18" t="s">
        <v>304</v>
      </c>
      <c r="Q7" s="18" t="s">
        <v>161</v>
      </c>
      <c r="R7" s="18" t="s">
        <v>129</v>
      </c>
      <c r="S7" s="18" t="s">
        <v>129</v>
      </c>
      <c r="T7" s="18" t="s">
        <v>128</v>
      </c>
      <c r="U7" s="18" t="s">
        <v>173</v>
      </c>
      <c r="V7" s="20" t="s">
        <v>307</v>
      </c>
      <c r="CA7" s="1" t="s">
        <v>71</v>
      </c>
      <c r="CB7" s="1" t="s">
        <v>18</v>
      </c>
      <c r="CC7" s="1" t="s">
        <v>308</v>
      </c>
      <c r="CE7" s="18" t="str">
        <f>CR[[#This Row],[Part Type]]</f>
        <v>Cross</v>
      </c>
      <c r="CF7" s="18" t="str">
        <f>CR[[#This Row],[Part Nr.]]</f>
        <v>60-24HF4</v>
      </c>
      <c r="CG7" s="18" t="str">
        <f>CR[[#This Row],[UID]]</f>
        <v>CR-6</v>
      </c>
      <c r="CK7" s="18" t="str">
        <f>IF(CR[[#This Row],[Status]]=0,"",CR[[#This Row],[Status]])</f>
        <v>Active</v>
      </c>
    </row>
    <row r="8" spans="1:89">
      <c r="A8" s="18" t="s">
        <v>120</v>
      </c>
      <c r="B8" s="18" t="s">
        <v>304</v>
      </c>
      <c r="C8" s="18" t="s">
        <v>314</v>
      </c>
      <c r="D8" s="28">
        <v>60000</v>
      </c>
      <c r="E8" s="18" t="s">
        <v>306</v>
      </c>
      <c r="F8" s="18">
        <v>220930</v>
      </c>
      <c r="G8" s="19">
        <v>416.678</v>
      </c>
      <c r="H8" s="18" t="s">
        <v>243</v>
      </c>
      <c r="I8" s="18" t="s">
        <v>243</v>
      </c>
      <c r="J8" s="18" t="s">
        <v>243</v>
      </c>
      <c r="K8" s="18" t="s">
        <v>243</v>
      </c>
      <c r="L8" s="53">
        <v>2</v>
      </c>
      <c r="M8" s="53">
        <v>1.5</v>
      </c>
      <c r="N8" s="53">
        <v>1</v>
      </c>
      <c r="O8" s="53">
        <v>6.25E-2</v>
      </c>
      <c r="P8" s="18" t="s">
        <v>304</v>
      </c>
      <c r="Q8" s="18" t="s">
        <v>161</v>
      </c>
      <c r="R8" s="18" t="s">
        <v>129</v>
      </c>
      <c r="S8" s="18" t="s">
        <v>129</v>
      </c>
      <c r="T8" s="18" t="s">
        <v>128</v>
      </c>
      <c r="U8" s="18" t="s">
        <v>173</v>
      </c>
      <c r="V8" s="20" t="s">
        <v>307</v>
      </c>
      <c r="CA8" s="1" t="s">
        <v>71</v>
      </c>
      <c r="CB8" s="1" t="s">
        <v>18</v>
      </c>
      <c r="CC8" s="1" t="s">
        <v>308</v>
      </c>
      <c r="CE8" s="18" t="str">
        <f>CR[[#This Row],[Part Type]]</f>
        <v>Cross</v>
      </c>
      <c r="CF8" s="18" t="str">
        <f>CR[[#This Row],[Part Nr.]]</f>
        <v>60-24HF4</v>
      </c>
      <c r="CG8" s="18" t="str">
        <f>CR[[#This Row],[UID]]</f>
        <v>CR-7</v>
      </c>
      <c r="CK8" s="18" t="str">
        <f>IF(CR[[#This Row],[Status]]=0,"",CR[[#This Row],[Status]])</f>
        <v>Active</v>
      </c>
    </row>
    <row r="9" spans="1:89">
      <c r="A9" s="18" t="s">
        <v>120</v>
      </c>
      <c r="B9" s="18" t="s">
        <v>304</v>
      </c>
      <c r="C9" s="18" t="s">
        <v>315</v>
      </c>
      <c r="D9" s="28">
        <v>60000</v>
      </c>
      <c r="E9" s="18" t="s">
        <v>306</v>
      </c>
      <c r="F9" s="18">
        <v>220930</v>
      </c>
      <c r="G9" s="19">
        <v>410.024</v>
      </c>
      <c r="H9" s="18" t="s">
        <v>243</v>
      </c>
      <c r="I9" s="18" t="s">
        <v>243</v>
      </c>
      <c r="J9" s="18" t="s">
        <v>243</v>
      </c>
      <c r="K9" s="18" t="s">
        <v>243</v>
      </c>
      <c r="L9" s="53">
        <v>2</v>
      </c>
      <c r="M9" s="53">
        <v>1.5</v>
      </c>
      <c r="N9" s="53">
        <v>1</v>
      </c>
      <c r="O9" s="53">
        <v>6.25E-2</v>
      </c>
      <c r="P9" s="18" t="s">
        <v>304</v>
      </c>
      <c r="Q9" s="18" t="s">
        <v>161</v>
      </c>
      <c r="R9" s="18" t="s">
        <v>129</v>
      </c>
      <c r="S9" s="18" t="s">
        <v>129</v>
      </c>
      <c r="T9" s="18" t="s">
        <v>128</v>
      </c>
      <c r="U9" s="18" t="s">
        <v>173</v>
      </c>
      <c r="V9" s="20" t="s">
        <v>307</v>
      </c>
      <c r="CA9" s="1" t="s">
        <v>71</v>
      </c>
      <c r="CB9" s="1" t="s">
        <v>18</v>
      </c>
      <c r="CC9" s="1" t="s">
        <v>308</v>
      </c>
      <c r="CE9" s="18" t="str">
        <f>CR[[#This Row],[Part Type]]</f>
        <v>Cross</v>
      </c>
      <c r="CF9" s="18" t="str">
        <f>CR[[#This Row],[Part Nr.]]</f>
        <v>60-24HF4</v>
      </c>
      <c r="CG9" s="18" t="str">
        <f>CR[[#This Row],[UID]]</f>
        <v>CR-8</v>
      </c>
      <c r="CK9" s="18" t="str">
        <f>IF(CR[[#This Row],[Status]]=0,"",CR[[#This Row],[Status]])</f>
        <v>Active</v>
      </c>
    </row>
    <row r="10" spans="1:89">
      <c r="A10" s="18" t="s">
        <v>120</v>
      </c>
      <c r="B10" s="18" t="s">
        <v>304</v>
      </c>
      <c r="C10" s="18" t="s">
        <v>316</v>
      </c>
      <c r="D10" s="28">
        <v>60000</v>
      </c>
      <c r="E10" s="18" t="s">
        <v>306</v>
      </c>
      <c r="F10" s="18">
        <v>221003</v>
      </c>
      <c r="G10" s="19">
        <v>335.96199999999999</v>
      </c>
      <c r="H10" s="18" t="s">
        <v>243</v>
      </c>
      <c r="I10" s="18" t="s">
        <v>243</v>
      </c>
      <c r="J10" s="18" t="s">
        <v>243</v>
      </c>
      <c r="K10" s="18" t="s">
        <v>243</v>
      </c>
      <c r="L10" s="53">
        <v>2</v>
      </c>
      <c r="M10" s="53">
        <v>1.5</v>
      </c>
      <c r="N10" s="53">
        <v>1</v>
      </c>
      <c r="O10" s="53">
        <v>6.25E-2</v>
      </c>
      <c r="P10" s="18" t="s">
        <v>304</v>
      </c>
      <c r="Q10" s="18" t="s">
        <v>161</v>
      </c>
      <c r="R10" s="18" t="s">
        <v>129</v>
      </c>
      <c r="S10" s="18" t="s">
        <v>129</v>
      </c>
      <c r="T10" s="18" t="s">
        <v>128</v>
      </c>
      <c r="U10" s="18" t="s">
        <v>173</v>
      </c>
      <c r="V10" s="20" t="s">
        <v>307</v>
      </c>
      <c r="CA10" s="1" t="s">
        <v>71</v>
      </c>
      <c r="CB10" s="1" t="s">
        <v>18</v>
      </c>
      <c r="CC10" s="1" t="s">
        <v>308</v>
      </c>
      <c r="CE10" s="18" t="str">
        <f>CR[[#This Row],[Part Type]]</f>
        <v>Cross</v>
      </c>
      <c r="CF10" s="18" t="str">
        <f>CR[[#This Row],[Part Nr.]]</f>
        <v>60-24HF4</v>
      </c>
      <c r="CG10" s="18" t="str">
        <f>CR[[#This Row],[UID]]</f>
        <v>CR-9</v>
      </c>
      <c r="CK10" s="18" t="str">
        <f>IF(CR[[#This Row],[Status]]=0,"",CR[[#This Row],[Status]])</f>
        <v>Active</v>
      </c>
    </row>
    <row r="11" spans="1:89">
      <c r="A11" s="18" t="s">
        <v>120</v>
      </c>
      <c r="B11" s="18" t="s">
        <v>304</v>
      </c>
      <c r="C11" s="18" t="s">
        <v>317</v>
      </c>
      <c r="D11" s="28">
        <v>60000</v>
      </c>
      <c r="E11" s="18" t="s">
        <v>306</v>
      </c>
      <c r="F11" s="18">
        <v>221003</v>
      </c>
      <c r="G11" s="19">
        <v>334.12200000000001</v>
      </c>
      <c r="H11" s="18" t="s">
        <v>243</v>
      </c>
      <c r="I11" s="18" t="s">
        <v>243</v>
      </c>
      <c r="J11" s="18" t="s">
        <v>243</v>
      </c>
      <c r="K11" s="18" t="s">
        <v>243</v>
      </c>
      <c r="L11" s="53">
        <v>2</v>
      </c>
      <c r="M11" s="53">
        <v>1.5</v>
      </c>
      <c r="N11" s="53">
        <v>1</v>
      </c>
      <c r="O11" s="53">
        <v>6.25E-2</v>
      </c>
      <c r="P11" s="18" t="s">
        <v>304</v>
      </c>
      <c r="Q11" s="18" t="s">
        <v>161</v>
      </c>
      <c r="R11" s="18" t="s">
        <v>129</v>
      </c>
      <c r="S11" s="18" t="s">
        <v>129</v>
      </c>
      <c r="T11" s="18" t="s">
        <v>128</v>
      </c>
      <c r="U11" s="18" t="s">
        <v>173</v>
      </c>
      <c r="V11" s="20" t="s">
        <v>307</v>
      </c>
      <c r="CA11" s="1" t="s">
        <v>71</v>
      </c>
      <c r="CB11" s="1" t="s">
        <v>18</v>
      </c>
      <c r="CC11" s="1" t="s">
        <v>308</v>
      </c>
      <c r="CE11" s="18" t="str">
        <f>CR[[#This Row],[Part Type]]</f>
        <v>Cross</v>
      </c>
      <c r="CF11" s="18" t="str">
        <f>CR[[#This Row],[Part Nr.]]</f>
        <v>60-24HF4</v>
      </c>
      <c r="CG11" s="18" t="str">
        <f>CR[[#This Row],[UID]]</f>
        <v>CR-10</v>
      </c>
      <c r="CK11" s="18" t="str">
        <f>IF(CR[[#This Row],[Status]]=0,"",CR[[#This Row],[Status]])</f>
        <v>Active</v>
      </c>
    </row>
    <row r="12" spans="1:89">
      <c r="A12" s="18" t="s">
        <v>120</v>
      </c>
      <c r="B12" s="18" t="s">
        <v>304</v>
      </c>
      <c r="C12" s="18" t="s">
        <v>318</v>
      </c>
      <c r="D12" s="28">
        <v>60000</v>
      </c>
      <c r="E12" s="18" t="s">
        <v>306</v>
      </c>
      <c r="F12" s="18">
        <v>221003</v>
      </c>
      <c r="G12" s="19">
        <v>335.577</v>
      </c>
      <c r="H12" s="18" t="s">
        <v>243</v>
      </c>
      <c r="I12" s="18" t="s">
        <v>243</v>
      </c>
      <c r="J12" s="18" t="s">
        <v>243</v>
      </c>
      <c r="K12" s="18" t="s">
        <v>243</v>
      </c>
      <c r="L12" s="53">
        <v>2</v>
      </c>
      <c r="M12" s="53">
        <v>1.5</v>
      </c>
      <c r="N12" s="53">
        <v>1</v>
      </c>
      <c r="O12" s="53">
        <v>6.25E-2</v>
      </c>
      <c r="P12" s="18" t="s">
        <v>304</v>
      </c>
      <c r="Q12" s="18" t="s">
        <v>161</v>
      </c>
      <c r="R12" s="18" t="s">
        <v>129</v>
      </c>
      <c r="S12" s="18" t="s">
        <v>129</v>
      </c>
      <c r="T12" s="18" t="s">
        <v>128</v>
      </c>
      <c r="U12" s="18" t="s">
        <v>173</v>
      </c>
      <c r="V12" s="20" t="s">
        <v>307</v>
      </c>
      <c r="CA12" s="1" t="s">
        <v>71</v>
      </c>
      <c r="CB12" s="1" t="s">
        <v>18</v>
      </c>
      <c r="CC12" s="1" t="s">
        <v>308</v>
      </c>
      <c r="CE12" s="18" t="str">
        <f>CR[[#This Row],[Part Type]]</f>
        <v>Cross</v>
      </c>
      <c r="CF12" s="18" t="str">
        <f>CR[[#This Row],[Part Nr.]]</f>
        <v>60-24HF4</v>
      </c>
      <c r="CG12" s="18" t="str">
        <f>CR[[#This Row],[UID]]</f>
        <v>CR-11</v>
      </c>
      <c r="CK12" s="18" t="str">
        <f>IF(CR[[#This Row],[Status]]=0,"",CR[[#This Row],[Status]])</f>
        <v>Active</v>
      </c>
    </row>
    <row r="13" spans="1:89">
      <c r="A13" s="18" t="s">
        <v>120</v>
      </c>
      <c r="B13" s="18" t="s">
        <v>304</v>
      </c>
      <c r="C13" s="18" t="s">
        <v>319</v>
      </c>
      <c r="D13" s="28">
        <v>60000</v>
      </c>
      <c r="E13" s="18" t="s">
        <v>306</v>
      </c>
      <c r="F13" s="18">
        <v>221003</v>
      </c>
      <c r="G13" s="19">
        <v>335.43099999999998</v>
      </c>
      <c r="H13" s="18" t="s">
        <v>243</v>
      </c>
      <c r="I13" s="18" t="s">
        <v>243</v>
      </c>
      <c r="J13" s="18" t="s">
        <v>243</v>
      </c>
      <c r="K13" s="18" t="s">
        <v>243</v>
      </c>
      <c r="L13" s="53">
        <v>2</v>
      </c>
      <c r="M13" s="53">
        <v>1.5</v>
      </c>
      <c r="N13" s="53">
        <v>1</v>
      </c>
      <c r="O13" s="53">
        <v>6.25E-2</v>
      </c>
      <c r="P13" s="18" t="s">
        <v>304</v>
      </c>
      <c r="Q13" s="18" t="s">
        <v>161</v>
      </c>
      <c r="R13" s="18" t="s">
        <v>129</v>
      </c>
      <c r="S13" s="18" t="s">
        <v>129</v>
      </c>
      <c r="T13" s="18" t="s">
        <v>128</v>
      </c>
      <c r="U13" s="18" t="s">
        <v>173</v>
      </c>
      <c r="V13" s="20" t="s">
        <v>307</v>
      </c>
      <c r="CA13" s="1" t="s">
        <v>71</v>
      </c>
      <c r="CB13" s="1" t="s">
        <v>18</v>
      </c>
      <c r="CC13" s="1" t="s">
        <v>308</v>
      </c>
      <c r="CE13" s="18" t="str">
        <f>CR[[#This Row],[Part Type]]</f>
        <v>Cross</v>
      </c>
      <c r="CF13" s="18" t="str">
        <f>CR[[#This Row],[Part Nr.]]</f>
        <v>60-24HF4</v>
      </c>
      <c r="CG13" s="18" t="str">
        <f>CR[[#This Row],[UID]]</f>
        <v>CR-12</v>
      </c>
      <c r="CK13" s="18" t="str">
        <f>IF(CR[[#This Row],[Status]]=0,"",CR[[#This Row],[Status]])</f>
        <v>Active</v>
      </c>
    </row>
    <row r="14" spans="1:89">
      <c r="A14" s="18" t="s">
        <v>120</v>
      </c>
      <c r="B14" s="18" t="s">
        <v>304</v>
      </c>
      <c r="C14" s="18" t="s">
        <v>320</v>
      </c>
      <c r="D14" s="28">
        <v>60000</v>
      </c>
      <c r="E14" s="18" t="s">
        <v>306</v>
      </c>
      <c r="F14" s="18">
        <v>221003</v>
      </c>
      <c r="G14" s="19">
        <v>336.45800000000003</v>
      </c>
      <c r="H14" s="18" t="s">
        <v>243</v>
      </c>
      <c r="I14" s="18" t="s">
        <v>243</v>
      </c>
      <c r="J14" s="18" t="s">
        <v>243</v>
      </c>
      <c r="K14" s="18" t="s">
        <v>243</v>
      </c>
      <c r="L14" s="53">
        <v>2</v>
      </c>
      <c r="M14" s="53">
        <v>1.5</v>
      </c>
      <c r="N14" s="53">
        <v>1</v>
      </c>
      <c r="O14" s="53">
        <v>6.25E-2</v>
      </c>
      <c r="P14" s="18" t="s">
        <v>304</v>
      </c>
      <c r="Q14" s="18" t="s">
        <v>161</v>
      </c>
      <c r="R14" s="18" t="s">
        <v>129</v>
      </c>
      <c r="S14" s="18" t="s">
        <v>129</v>
      </c>
      <c r="T14" s="18" t="s">
        <v>128</v>
      </c>
      <c r="U14" s="18" t="s">
        <v>173</v>
      </c>
      <c r="V14" s="20" t="s">
        <v>307</v>
      </c>
      <c r="CA14" s="1" t="s">
        <v>71</v>
      </c>
      <c r="CB14" s="1" t="s">
        <v>18</v>
      </c>
      <c r="CC14" s="1" t="s">
        <v>308</v>
      </c>
      <c r="CE14" s="18" t="str">
        <f>CR[[#This Row],[Part Type]]</f>
        <v>Cross</v>
      </c>
      <c r="CF14" s="18" t="str">
        <f>CR[[#This Row],[Part Nr.]]</f>
        <v>60-24HF4</v>
      </c>
      <c r="CG14" s="18" t="str">
        <f>CR[[#This Row],[UID]]</f>
        <v>CR-13</v>
      </c>
      <c r="CK14" s="18" t="str">
        <f>IF(CR[[#This Row],[Status]]=0,"",CR[[#This Row],[Status]])</f>
        <v>Active</v>
      </c>
    </row>
    <row r="15" spans="1:89">
      <c r="A15" s="18" t="s">
        <v>120</v>
      </c>
      <c r="B15" s="18" t="s">
        <v>304</v>
      </c>
      <c r="C15" s="18" t="s">
        <v>321</v>
      </c>
      <c r="D15" s="28">
        <v>60000</v>
      </c>
      <c r="E15" s="18" t="s">
        <v>306</v>
      </c>
      <c r="F15" s="18">
        <v>221003</v>
      </c>
      <c r="G15" s="19">
        <v>335.93200000000002</v>
      </c>
      <c r="H15" s="18" t="s">
        <v>243</v>
      </c>
      <c r="I15" s="18" t="s">
        <v>243</v>
      </c>
      <c r="J15" s="18" t="s">
        <v>243</v>
      </c>
      <c r="K15" s="18" t="s">
        <v>243</v>
      </c>
      <c r="L15" s="53">
        <v>2</v>
      </c>
      <c r="M15" s="53">
        <v>1.5</v>
      </c>
      <c r="N15" s="53">
        <v>1</v>
      </c>
      <c r="O15" s="53">
        <v>6.25E-2</v>
      </c>
      <c r="P15" s="18" t="s">
        <v>304</v>
      </c>
      <c r="Q15" s="18" t="s">
        <v>161</v>
      </c>
      <c r="R15" s="18" t="s">
        <v>129</v>
      </c>
      <c r="S15" s="18" t="s">
        <v>129</v>
      </c>
      <c r="T15" s="18" t="s">
        <v>128</v>
      </c>
      <c r="U15" s="18" t="s">
        <v>173</v>
      </c>
      <c r="V15" s="20" t="s">
        <v>307</v>
      </c>
      <c r="CA15" s="1" t="s">
        <v>71</v>
      </c>
      <c r="CB15" s="1" t="s">
        <v>18</v>
      </c>
      <c r="CC15" s="1" t="s">
        <v>308</v>
      </c>
      <c r="CE15" s="18" t="str">
        <f>CR[[#This Row],[Part Type]]</f>
        <v>Cross</v>
      </c>
      <c r="CF15" s="18" t="str">
        <f>CR[[#This Row],[Part Nr.]]</f>
        <v>60-24HF4</v>
      </c>
      <c r="CG15" s="18" t="str">
        <f>CR[[#This Row],[UID]]</f>
        <v>CR-14</v>
      </c>
      <c r="CK15" s="18" t="str">
        <f>IF(CR[[#This Row],[Status]]=0,"",CR[[#This Row],[Status]])</f>
        <v>Active</v>
      </c>
    </row>
    <row r="16" spans="1:89">
      <c r="A16" s="18" t="s">
        <v>120</v>
      </c>
      <c r="B16" s="18" t="s">
        <v>304</v>
      </c>
      <c r="C16" s="18" t="s">
        <v>322</v>
      </c>
      <c r="D16" s="28">
        <v>60000</v>
      </c>
      <c r="E16" s="18" t="s">
        <v>306</v>
      </c>
      <c r="F16" s="18">
        <v>221003</v>
      </c>
      <c r="G16" s="19">
        <v>334.875</v>
      </c>
      <c r="H16" s="18" t="s">
        <v>243</v>
      </c>
      <c r="I16" s="18" t="s">
        <v>243</v>
      </c>
      <c r="J16" s="18" t="s">
        <v>243</v>
      </c>
      <c r="K16" s="18" t="s">
        <v>243</v>
      </c>
      <c r="L16" s="53">
        <v>2</v>
      </c>
      <c r="M16" s="53">
        <v>1.5</v>
      </c>
      <c r="N16" s="53">
        <v>1</v>
      </c>
      <c r="O16" s="53">
        <v>6.25E-2</v>
      </c>
      <c r="P16" s="18" t="s">
        <v>304</v>
      </c>
      <c r="Q16" s="18" t="s">
        <v>161</v>
      </c>
      <c r="R16" s="18" t="s">
        <v>129</v>
      </c>
      <c r="S16" s="18" t="s">
        <v>129</v>
      </c>
      <c r="T16" s="18" t="s">
        <v>128</v>
      </c>
      <c r="U16" s="18" t="s">
        <v>173</v>
      </c>
      <c r="V16" s="20" t="s">
        <v>307</v>
      </c>
      <c r="CA16" s="1" t="s">
        <v>71</v>
      </c>
      <c r="CB16" s="1" t="s">
        <v>18</v>
      </c>
      <c r="CC16" s="1" t="s">
        <v>308</v>
      </c>
      <c r="CE16" s="18" t="str">
        <f>CR[[#This Row],[Part Type]]</f>
        <v>Cross</v>
      </c>
      <c r="CF16" s="18" t="str">
        <f>CR[[#This Row],[Part Nr.]]</f>
        <v>60-24HF4</v>
      </c>
      <c r="CG16" s="18" t="str">
        <f>CR[[#This Row],[UID]]</f>
        <v>CR-15</v>
      </c>
      <c r="CK16" s="18" t="str">
        <f>IF(CR[[#This Row],[Status]]=0,"",CR[[#This Row],[Status]])</f>
        <v>Active</v>
      </c>
    </row>
    <row r="17" spans="1:89">
      <c r="A17" s="18" t="s">
        <v>120</v>
      </c>
      <c r="B17" s="18" t="s">
        <v>304</v>
      </c>
      <c r="C17" s="18" t="s">
        <v>323</v>
      </c>
      <c r="D17" s="28">
        <v>60000</v>
      </c>
      <c r="E17" s="18" t="s">
        <v>306</v>
      </c>
      <c r="F17" s="18">
        <v>221003</v>
      </c>
      <c r="G17" s="19">
        <v>334.24200000000002</v>
      </c>
      <c r="H17" s="18" t="s">
        <v>243</v>
      </c>
      <c r="I17" s="18" t="s">
        <v>243</v>
      </c>
      <c r="J17" s="18" t="s">
        <v>243</v>
      </c>
      <c r="K17" s="18" t="s">
        <v>243</v>
      </c>
      <c r="L17" s="53">
        <v>2</v>
      </c>
      <c r="M17" s="53">
        <v>1.5</v>
      </c>
      <c r="N17" s="53">
        <v>1</v>
      </c>
      <c r="O17" s="53">
        <v>6.25E-2</v>
      </c>
      <c r="P17" s="18" t="s">
        <v>304</v>
      </c>
      <c r="Q17" s="18" t="s">
        <v>161</v>
      </c>
      <c r="R17" s="18" t="s">
        <v>129</v>
      </c>
      <c r="S17" s="18" t="s">
        <v>129</v>
      </c>
      <c r="T17" s="18" t="s">
        <v>128</v>
      </c>
      <c r="U17" s="18" t="s">
        <v>173</v>
      </c>
      <c r="V17" s="20" t="s">
        <v>307</v>
      </c>
      <c r="CA17" s="1" t="s">
        <v>71</v>
      </c>
      <c r="CB17" s="1" t="s">
        <v>18</v>
      </c>
      <c r="CC17" s="1" t="s">
        <v>308</v>
      </c>
      <c r="CE17" s="18" t="str">
        <f>CR[[#This Row],[Part Type]]</f>
        <v>Cross</v>
      </c>
      <c r="CF17" s="18" t="str">
        <f>CR[[#This Row],[Part Nr.]]</f>
        <v>60-24HF4</v>
      </c>
      <c r="CG17" s="18" t="str">
        <f>CR[[#This Row],[UID]]</f>
        <v>CR-16</v>
      </c>
      <c r="CK17" s="18" t="str">
        <f>IF(CR[[#This Row],[Status]]=0,"",CR[[#This Row],[Status]])</f>
        <v>Active</v>
      </c>
    </row>
    <row r="18" spans="1:89">
      <c r="A18" s="18" t="s">
        <v>120</v>
      </c>
      <c r="B18" s="18" t="s">
        <v>304</v>
      </c>
      <c r="C18" s="18" t="s">
        <v>324</v>
      </c>
      <c r="D18" s="28">
        <v>60000</v>
      </c>
      <c r="E18" s="18" t="s">
        <v>306</v>
      </c>
      <c r="F18" s="18">
        <v>221003</v>
      </c>
      <c r="G18" s="19">
        <v>334.90199999999999</v>
      </c>
      <c r="H18" s="18" t="s">
        <v>243</v>
      </c>
      <c r="I18" s="18" t="s">
        <v>243</v>
      </c>
      <c r="J18" s="18" t="s">
        <v>243</v>
      </c>
      <c r="K18" s="18" t="s">
        <v>243</v>
      </c>
      <c r="L18" s="53">
        <v>2</v>
      </c>
      <c r="M18" s="53">
        <v>1.5</v>
      </c>
      <c r="N18" s="53">
        <v>1</v>
      </c>
      <c r="O18" s="53">
        <v>6.25E-2</v>
      </c>
      <c r="P18" s="18" t="s">
        <v>304</v>
      </c>
      <c r="Q18" s="18" t="s">
        <v>161</v>
      </c>
      <c r="R18" s="18" t="s">
        <v>129</v>
      </c>
      <c r="S18" s="18" t="s">
        <v>129</v>
      </c>
      <c r="T18" s="18" t="s">
        <v>128</v>
      </c>
      <c r="U18" s="18" t="s">
        <v>173</v>
      </c>
      <c r="V18" s="20" t="s">
        <v>307</v>
      </c>
      <c r="CA18" s="1" t="s">
        <v>71</v>
      </c>
      <c r="CB18" s="1" t="s">
        <v>18</v>
      </c>
      <c r="CC18" s="1" t="s">
        <v>308</v>
      </c>
      <c r="CE18" s="18" t="str">
        <f>CR[[#This Row],[Part Type]]</f>
        <v>Cross</v>
      </c>
      <c r="CF18" s="18" t="str">
        <f>CR[[#This Row],[Part Nr.]]</f>
        <v>60-24HF4</v>
      </c>
      <c r="CG18" s="18" t="str">
        <f>CR[[#This Row],[UID]]</f>
        <v>CR-17</v>
      </c>
      <c r="CK18" s="18" t="str">
        <f>IF(CR[[#This Row],[Status]]=0,"",CR[[#This Row],[Status]])</f>
        <v>Active</v>
      </c>
    </row>
    <row r="19" spans="1:89">
      <c r="A19" s="18" t="s">
        <v>120</v>
      </c>
      <c r="B19" s="18" t="s">
        <v>304</v>
      </c>
      <c r="C19" s="18" t="s">
        <v>325</v>
      </c>
      <c r="D19" s="28">
        <v>60000</v>
      </c>
      <c r="E19" s="18" t="s">
        <v>306</v>
      </c>
      <c r="F19" s="18">
        <v>221003</v>
      </c>
      <c r="G19" s="19">
        <v>336.22399999999999</v>
      </c>
      <c r="H19" s="18" t="s">
        <v>243</v>
      </c>
      <c r="I19" s="18" t="s">
        <v>243</v>
      </c>
      <c r="J19" s="18" t="s">
        <v>243</v>
      </c>
      <c r="K19" s="18" t="s">
        <v>243</v>
      </c>
      <c r="L19" s="53">
        <v>2</v>
      </c>
      <c r="M19" s="53">
        <v>1.5</v>
      </c>
      <c r="N19" s="53">
        <v>1</v>
      </c>
      <c r="O19" s="53">
        <v>6.25E-2</v>
      </c>
      <c r="P19" s="18" t="s">
        <v>304</v>
      </c>
      <c r="Q19" s="18" t="s">
        <v>161</v>
      </c>
      <c r="R19" s="18" t="s">
        <v>129</v>
      </c>
      <c r="S19" s="18" t="s">
        <v>129</v>
      </c>
      <c r="T19" s="18" t="s">
        <v>128</v>
      </c>
      <c r="U19" s="18" t="s">
        <v>173</v>
      </c>
      <c r="V19" s="20" t="s">
        <v>307</v>
      </c>
      <c r="CA19" s="1" t="s">
        <v>71</v>
      </c>
      <c r="CB19" s="1" t="s">
        <v>18</v>
      </c>
      <c r="CC19" s="1" t="s">
        <v>308</v>
      </c>
      <c r="CE19" s="18" t="str">
        <f>CR[[#This Row],[Part Type]]</f>
        <v>Cross</v>
      </c>
      <c r="CF19" s="18" t="str">
        <f>CR[[#This Row],[Part Nr.]]</f>
        <v>60-24HF4</v>
      </c>
      <c r="CG19" s="18" t="str">
        <f>CR[[#This Row],[UID]]</f>
        <v>CR-18</v>
      </c>
      <c r="CK19" s="18" t="str">
        <f>IF(CR[[#This Row],[Status]]=0,"",CR[[#This Row],[Status]])</f>
        <v>Active</v>
      </c>
    </row>
    <row r="20" spans="1:89">
      <c r="A20" s="18" t="s">
        <v>120</v>
      </c>
      <c r="B20" s="18" t="s">
        <v>304</v>
      </c>
      <c r="C20" s="18" t="s">
        <v>326</v>
      </c>
      <c r="D20" s="28">
        <v>60000</v>
      </c>
      <c r="E20" s="18" t="s">
        <v>306</v>
      </c>
      <c r="F20" s="18">
        <v>221003</v>
      </c>
      <c r="G20" s="19">
        <v>333.73</v>
      </c>
      <c r="H20" s="18" t="s">
        <v>243</v>
      </c>
      <c r="I20" s="18" t="s">
        <v>243</v>
      </c>
      <c r="J20" s="18" t="s">
        <v>243</v>
      </c>
      <c r="K20" s="18" t="s">
        <v>243</v>
      </c>
      <c r="L20" s="53">
        <v>2</v>
      </c>
      <c r="M20" s="53">
        <v>1.5</v>
      </c>
      <c r="N20" s="53">
        <v>1</v>
      </c>
      <c r="O20" s="53">
        <v>6.25E-2</v>
      </c>
      <c r="P20" s="18" t="s">
        <v>304</v>
      </c>
      <c r="Q20" s="18" t="s">
        <v>161</v>
      </c>
      <c r="R20" s="18" t="s">
        <v>129</v>
      </c>
      <c r="S20" s="18" t="s">
        <v>129</v>
      </c>
      <c r="T20" s="18" t="s">
        <v>128</v>
      </c>
      <c r="U20" s="18" t="s">
        <v>173</v>
      </c>
      <c r="V20" s="20" t="s">
        <v>307</v>
      </c>
      <c r="CA20" s="1" t="s">
        <v>71</v>
      </c>
      <c r="CB20" s="1" t="s">
        <v>18</v>
      </c>
      <c r="CC20" s="1" t="s">
        <v>308</v>
      </c>
      <c r="CE20" s="18" t="str">
        <f>CR[[#This Row],[Part Type]]</f>
        <v>Cross</v>
      </c>
      <c r="CF20" s="18" t="str">
        <f>CR[[#This Row],[Part Nr.]]</f>
        <v>60-24HF4</v>
      </c>
      <c r="CG20" s="18" t="str">
        <f>CR[[#This Row],[UID]]</f>
        <v>CR-19</v>
      </c>
      <c r="CK20" s="18" t="str">
        <f>IF(CR[[#This Row],[Status]]=0,"",CR[[#This Row],[Status]])</f>
        <v>Active</v>
      </c>
    </row>
    <row r="21" spans="1:89">
      <c r="A21" s="18" t="s">
        <v>120</v>
      </c>
      <c r="B21" s="18" t="s">
        <v>304</v>
      </c>
      <c r="C21" s="18" t="s">
        <v>327</v>
      </c>
      <c r="D21" s="28">
        <v>60000</v>
      </c>
      <c r="E21" s="18" t="s">
        <v>306</v>
      </c>
      <c r="F21" s="18">
        <v>221003</v>
      </c>
      <c r="G21" s="19">
        <v>334.79399999999998</v>
      </c>
      <c r="H21" s="18" t="s">
        <v>243</v>
      </c>
      <c r="I21" s="18" t="s">
        <v>243</v>
      </c>
      <c r="J21" s="18" t="s">
        <v>243</v>
      </c>
      <c r="K21" s="18" t="s">
        <v>243</v>
      </c>
      <c r="L21" s="53">
        <v>2</v>
      </c>
      <c r="M21" s="53">
        <v>1.5</v>
      </c>
      <c r="N21" s="53">
        <v>1</v>
      </c>
      <c r="O21" s="53">
        <v>6.25E-2</v>
      </c>
      <c r="P21" s="18" t="s">
        <v>304</v>
      </c>
      <c r="Q21" s="18" t="s">
        <v>161</v>
      </c>
      <c r="R21" s="18" t="s">
        <v>129</v>
      </c>
      <c r="S21" s="18" t="s">
        <v>129</v>
      </c>
      <c r="T21" s="18" t="s">
        <v>128</v>
      </c>
      <c r="U21" s="18" t="s">
        <v>173</v>
      </c>
      <c r="V21" s="20" t="s">
        <v>307</v>
      </c>
      <c r="CA21" s="1" t="s">
        <v>71</v>
      </c>
      <c r="CB21" s="1" t="s">
        <v>18</v>
      </c>
      <c r="CC21" s="1" t="s">
        <v>308</v>
      </c>
      <c r="CE21" s="18" t="str">
        <f>CR[[#This Row],[Part Type]]</f>
        <v>Cross</v>
      </c>
      <c r="CF21" s="18" t="str">
        <f>CR[[#This Row],[Part Nr.]]</f>
        <v>60-24HF4</v>
      </c>
      <c r="CG21" s="18" t="str">
        <f>CR[[#This Row],[UID]]</f>
        <v>CR-20</v>
      </c>
      <c r="CK21" s="18" t="str">
        <f>IF(CR[[#This Row],[Status]]=0,"",CR[[#This Row],[Status]])</f>
        <v>Active</v>
      </c>
    </row>
    <row r="22" spans="1:89">
      <c r="A22" s="18" t="s">
        <v>120</v>
      </c>
      <c r="B22" s="18" t="s">
        <v>304</v>
      </c>
      <c r="C22" s="18" t="s">
        <v>328</v>
      </c>
      <c r="D22" s="28">
        <v>60000</v>
      </c>
      <c r="E22" s="18" t="s">
        <v>306</v>
      </c>
      <c r="F22" s="18">
        <v>221003</v>
      </c>
      <c r="G22" s="19">
        <v>334.59699999999998</v>
      </c>
      <c r="H22" s="18" t="s">
        <v>243</v>
      </c>
      <c r="I22" s="18" t="s">
        <v>243</v>
      </c>
      <c r="J22" s="18" t="s">
        <v>243</v>
      </c>
      <c r="K22" s="18" t="s">
        <v>243</v>
      </c>
      <c r="L22" s="53">
        <v>2</v>
      </c>
      <c r="M22" s="53">
        <v>1.5</v>
      </c>
      <c r="N22" s="53">
        <v>1</v>
      </c>
      <c r="O22" s="53">
        <v>6.25E-2</v>
      </c>
      <c r="P22" s="18" t="s">
        <v>304</v>
      </c>
      <c r="Q22" s="18" t="s">
        <v>161</v>
      </c>
      <c r="R22" s="18" t="s">
        <v>129</v>
      </c>
      <c r="S22" s="18" t="s">
        <v>129</v>
      </c>
      <c r="T22" s="18" t="s">
        <v>128</v>
      </c>
      <c r="U22" s="18" t="s">
        <v>173</v>
      </c>
      <c r="V22" s="20" t="s">
        <v>307</v>
      </c>
      <c r="CA22" s="1" t="s">
        <v>71</v>
      </c>
      <c r="CB22" s="1" t="s">
        <v>18</v>
      </c>
      <c r="CC22" s="1" t="s">
        <v>308</v>
      </c>
      <c r="CE22" s="18" t="str">
        <f>CR[[#This Row],[Part Type]]</f>
        <v>Cross</v>
      </c>
      <c r="CF22" s="18" t="str">
        <f>CR[[#This Row],[Part Nr.]]</f>
        <v>60-24HF4</v>
      </c>
      <c r="CG22" s="18" t="str">
        <f>CR[[#This Row],[UID]]</f>
        <v>CR-21</v>
      </c>
      <c r="CK22" s="18" t="str">
        <f>IF(CR[[#This Row],[Status]]=0,"",CR[[#This Row],[Status]])</f>
        <v>Active</v>
      </c>
    </row>
    <row r="23" spans="1:89">
      <c r="A23" s="18" t="s">
        <v>120</v>
      </c>
      <c r="B23" s="18" t="s">
        <v>304</v>
      </c>
      <c r="C23" s="18" t="s">
        <v>329</v>
      </c>
      <c r="D23" s="28">
        <v>60000</v>
      </c>
      <c r="E23" s="18" t="s">
        <v>306</v>
      </c>
      <c r="F23" s="18">
        <v>221003</v>
      </c>
      <c r="G23" s="19">
        <v>333.81400000000002</v>
      </c>
      <c r="H23" s="18" t="s">
        <v>243</v>
      </c>
      <c r="I23" s="18" t="s">
        <v>243</v>
      </c>
      <c r="J23" s="18" t="s">
        <v>243</v>
      </c>
      <c r="K23" s="18" t="s">
        <v>243</v>
      </c>
      <c r="L23" s="53">
        <v>2</v>
      </c>
      <c r="M23" s="53">
        <v>1.5</v>
      </c>
      <c r="N23" s="53">
        <v>1</v>
      </c>
      <c r="O23" s="53">
        <v>6.25E-2</v>
      </c>
      <c r="P23" s="18" t="s">
        <v>304</v>
      </c>
      <c r="Q23" s="18" t="s">
        <v>161</v>
      </c>
      <c r="R23" s="18" t="s">
        <v>129</v>
      </c>
      <c r="S23" s="18" t="s">
        <v>129</v>
      </c>
      <c r="T23" s="18" t="s">
        <v>128</v>
      </c>
      <c r="U23" s="18" t="s">
        <v>173</v>
      </c>
      <c r="V23" s="20" t="s">
        <v>307</v>
      </c>
      <c r="CA23" s="1" t="s">
        <v>71</v>
      </c>
      <c r="CB23" s="1" t="s">
        <v>18</v>
      </c>
      <c r="CC23" s="1" t="s">
        <v>308</v>
      </c>
      <c r="CE23" s="18" t="str">
        <f>CR[[#This Row],[Part Type]]</f>
        <v>Cross</v>
      </c>
      <c r="CF23" s="18" t="str">
        <f>CR[[#This Row],[Part Nr.]]</f>
        <v>60-24HF4</v>
      </c>
      <c r="CG23" s="18" t="str">
        <f>CR[[#This Row],[UID]]</f>
        <v>CR-22</v>
      </c>
      <c r="CK23" s="18" t="str">
        <f>IF(CR[[#This Row],[Status]]=0,"",CR[[#This Row],[Status]])</f>
        <v>Active</v>
      </c>
    </row>
    <row r="24" spans="1:89">
      <c r="A24" s="18" t="s">
        <v>120</v>
      </c>
      <c r="B24" s="18" t="s">
        <v>304</v>
      </c>
      <c r="C24" s="18" t="s">
        <v>330</v>
      </c>
      <c r="D24" s="28">
        <v>100000</v>
      </c>
      <c r="E24" s="18" t="s">
        <v>331</v>
      </c>
      <c r="F24" s="18">
        <v>221003</v>
      </c>
      <c r="G24" s="19">
        <v>749.39499999999998</v>
      </c>
      <c r="H24" s="18" t="s">
        <v>243</v>
      </c>
      <c r="I24" s="18" t="s">
        <v>243</v>
      </c>
      <c r="J24" s="18" t="s">
        <v>243</v>
      </c>
      <c r="K24" s="18" t="s">
        <v>243</v>
      </c>
      <c r="L24" s="53">
        <v>2.5</v>
      </c>
      <c r="M24" s="53">
        <v>2.5</v>
      </c>
      <c r="N24" s="53">
        <v>1</v>
      </c>
      <c r="O24" s="53">
        <v>6.25E-2</v>
      </c>
      <c r="P24" s="18" t="s">
        <v>304</v>
      </c>
      <c r="Q24" s="18" t="s">
        <v>161</v>
      </c>
      <c r="R24" s="18" t="s">
        <v>129</v>
      </c>
      <c r="S24" s="18" t="s">
        <v>129</v>
      </c>
      <c r="T24" s="18" t="s">
        <v>128</v>
      </c>
      <c r="U24" s="18" t="s">
        <v>173</v>
      </c>
      <c r="V24" s="20" t="s">
        <v>332</v>
      </c>
      <c r="CA24" s="1" t="s">
        <v>71</v>
      </c>
      <c r="CB24" s="1" t="s">
        <v>18</v>
      </c>
      <c r="CC24" s="1" t="s">
        <v>308</v>
      </c>
      <c r="CE24" s="18" t="str">
        <f>CR[[#This Row],[Part Type]]</f>
        <v>Cross</v>
      </c>
      <c r="CF24" s="18" t="str">
        <f>CR[[#This Row],[Part Nr.]]</f>
        <v>100-24XF4</v>
      </c>
      <c r="CG24" s="18" t="str">
        <f>CR[[#This Row],[UID]]</f>
        <v>CR-23</v>
      </c>
      <c r="CK24" s="18" t="str">
        <f>IF(CR[[#This Row],[Status]]=0,"",CR[[#This Row],[Status]])</f>
        <v>Active</v>
      </c>
    </row>
    <row r="25" spans="1:89">
      <c r="A25" s="18" t="s">
        <v>120</v>
      </c>
      <c r="B25" s="18" t="s">
        <v>304</v>
      </c>
      <c r="C25" s="18" t="s">
        <v>333</v>
      </c>
      <c r="D25" s="28">
        <v>100000</v>
      </c>
      <c r="E25" s="18" t="s">
        <v>331</v>
      </c>
      <c r="F25" s="18">
        <v>221003</v>
      </c>
      <c r="G25" s="19">
        <v>749.89300000000003</v>
      </c>
      <c r="H25" s="18" t="s">
        <v>243</v>
      </c>
      <c r="I25" s="18" t="s">
        <v>243</v>
      </c>
      <c r="J25" s="18" t="s">
        <v>243</v>
      </c>
      <c r="K25" s="18" t="s">
        <v>243</v>
      </c>
      <c r="L25" s="53">
        <v>2.5</v>
      </c>
      <c r="M25" s="53">
        <v>2.5</v>
      </c>
      <c r="N25" s="53">
        <v>1</v>
      </c>
      <c r="O25" s="53">
        <v>6.25E-2</v>
      </c>
      <c r="P25" s="18" t="s">
        <v>304</v>
      </c>
      <c r="Q25" s="18" t="s">
        <v>161</v>
      </c>
      <c r="R25" s="18" t="s">
        <v>129</v>
      </c>
      <c r="S25" s="18" t="s">
        <v>129</v>
      </c>
      <c r="T25" s="18" t="s">
        <v>128</v>
      </c>
      <c r="U25" s="18" t="s">
        <v>173</v>
      </c>
      <c r="V25" s="20" t="s">
        <v>332</v>
      </c>
      <c r="CA25" s="1" t="s">
        <v>71</v>
      </c>
      <c r="CB25" s="1" t="s">
        <v>18</v>
      </c>
      <c r="CC25" s="1" t="s">
        <v>308</v>
      </c>
      <c r="CE25" s="18" t="str">
        <f>CR[[#This Row],[Part Type]]</f>
        <v>Cross</v>
      </c>
      <c r="CF25" s="18" t="str">
        <f>CR[[#This Row],[Part Nr.]]</f>
        <v>100-24XF4</v>
      </c>
      <c r="CG25" s="18" t="str">
        <f>CR[[#This Row],[UID]]</f>
        <v>CR-24</v>
      </c>
      <c r="CK25" s="18" t="str">
        <f>IF(CR[[#This Row],[Status]]=0,"",CR[[#This Row],[Status]])</f>
        <v>Active</v>
      </c>
    </row>
    <row r="26" spans="1:89">
      <c r="A26" s="18" t="s">
        <v>120</v>
      </c>
      <c r="B26" s="18" t="s">
        <v>304</v>
      </c>
      <c r="C26" s="18" t="s">
        <v>334</v>
      </c>
      <c r="D26" s="28">
        <v>100000</v>
      </c>
      <c r="E26" s="18" t="s">
        <v>331</v>
      </c>
      <c r="F26" s="18">
        <v>221003</v>
      </c>
      <c r="G26" s="19">
        <v>749.80200000000002</v>
      </c>
      <c r="H26" s="18" t="s">
        <v>243</v>
      </c>
      <c r="I26" s="18" t="s">
        <v>243</v>
      </c>
      <c r="J26" s="18" t="s">
        <v>243</v>
      </c>
      <c r="K26" s="18" t="s">
        <v>243</v>
      </c>
      <c r="L26" s="53">
        <v>2.5</v>
      </c>
      <c r="M26" s="53">
        <v>2.5</v>
      </c>
      <c r="N26" s="53">
        <v>1</v>
      </c>
      <c r="O26" s="53">
        <v>6.25E-2</v>
      </c>
      <c r="P26" s="18" t="s">
        <v>304</v>
      </c>
      <c r="Q26" s="18" t="s">
        <v>161</v>
      </c>
      <c r="R26" s="18" t="s">
        <v>129</v>
      </c>
      <c r="S26" s="18" t="s">
        <v>129</v>
      </c>
      <c r="T26" s="18" t="s">
        <v>128</v>
      </c>
      <c r="U26" s="18" t="s">
        <v>173</v>
      </c>
      <c r="V26" s="20" t="s">
        <v>332</v>
      </c>
      <c r="CA26" s="1" t="s">
        <v>71</v>
      </c>
      <c r="CB26" s="1" t="s">
        <v>18</v>
      </c>
      <c r="CC26" s="1" t="s">
        <v>308</v>
      </c>
      <c r="CE26" s="18" t="str">
        <f>CR[[#This Row],[Part Type]]</f>
        <v>Cross</v>
      </c>
      <c r="CF26" s="18" t="str">
        <f>CR[[#This Row],[Part Nr.]]</f>
        <v>100-24XF4</v>
      </c>
      <c r="CG26" s="18" t="str">
        <f>CR[[#This Row],[UID]]</f>
        <v>CR-25</v>
      </c>
      <c r="CK26" s="18" t="str">
        <f>IF(CR[[#This Row],[Status]]=0,"",CR[[#This Row],[Status]])</f>
        <v>Active</v>
      </c>
    </row>
    <row r="27" spans="1:89">
      <c r="A27" s="18" t="s">
        <v>120</v>
      </c>
      <c r="B27" s="18" t="s">
        <v>304</v>
      </c>
      <c r="C27" s="18" t="s">
        <v>335</v>
      </c>
      <c r="D27" s="28">
        <v>100000</v>
      </c>
      <c r="E27" s="18" t="s">
        <v>331</v>
      </c>
      <c r="F27" s="18">
        <v>221003</v>
      </c>
      <c r="G27" s="19">
        <v>721.73500000000001</v>
      </c>
      <c r="H27" s="18" t="s">
        <v>243</v>
      </c>
      <c r="I27" s="18" t="s">
        <v>243</v>
      </c>
      <c r="J27" s="18" t="s">
        <v>243</v>
      </c>
      <c r="K27" s="18" t="s">
        <v>243</v>
      </c>
      <c r="L27" s="53">
        <v>2.5</v>
      </c>
      <c r="M27" s="53">
        <v>2.5</v>
      </c>
      <c r="N27" s="53">
        <v>1</v>
      </c>
      <c r="O27" s="53">
        <v>6.25E-2</v>
      </c>
      <c r="P27" s="18" t="s">
        <v>304</v>
      </c>
      <c r="Q27" s="18" t="s">
        <v>161</v>
      </c>
      <c r="R27" s="18" t="s">
        <v>129</v>
      </c>
      <c r="S27" s="18" t="s">
        <v>129</v>
      </c>
      <c r="T27" s="18" t="s">
        <v>128</v>
      </c>
      <c r="U27" s="18" t="s">
        <v>173</v>
      </c>
      <c r="V27" s="20" t="s">
        <v>332</v>
      </c>
      <c r="CA27" s="1" t="s">
        <v>71</v>
      </c>
      <c r="CB27" s="1" t="s">
        <v>18</v>
      </c>
      <c r="CC27" s="1" t="s">
        <v>308</v>
      </c>
      <c r="CE27" s="18" t="str">
        <f>CR[[#This Row],[Part Type]]</f>
        <v>Cross</v>
      </c>
      <c r="CF27" s="18" t="str">
        <f>CR[[#This Row],[Part Nr.]]</f>
        <v>100-24XF4</v>
      </c>
      <c r="CG27" s="18" t="str">
        <f>CR[[#This Row],[UID]]</f>
        <v>CR-26</v>
      </c>
      <c r="CK27" s="18" t="str">
        <f>IF(CR[[#This Row],[Status]]=0,"",CR[[#This Row],[Status]])</f>
        <v>Active</v>
      </c>
    </row>
    <row r="28" spans="1:89">
      <c r="A28" s="18" t="s">
        <v>120</v>
      </c>
      <c r="B28" s="18" t="s">
        <v>304</v>
      </c>
      <c r="C28" s="18" t="s">
        <v>336</v>
      </c>
      <c r="D28" s="28">
        <v>100000</v>
      </c>
      <c r="E28" s="18" t="s">
        <v>331</v>
      </c>
      <c r="F28" s="18">
        <v>221003</v>
      </c>
      <c r="G28" s="19">
        <v>726.70100000000002</v>
      </c>
      <c r="H28" s="18" t="s">
        <v>243</v>
      </c>
      <c r="I28" s="18" t="s">
        <v>243</v>
      </c>
      <c r="J28" s="18" t="s">
        <v>243</v>
      </c>
      <c r="K28" s="18" t="s">
        <v>243</v>
      </c>
      <c r="L28" s="53">
        <v>2.5</v>
      </c>
      <c r="M28" s="53">
        <v>2.5</v>
      </c>
      <c r="N28" s="53">
        <v>1</v>
      </c>
      <c r="O28" s="53">
        <v>6.25E-2</v>
      </c>
      <c r="P28" s="18" t="s">
        <v>304</v>
      </c>
      <c r="Q28" s="18" t="s">
        <v>161</v>
      </c>
      <c r="R28" s="18" t="s">
        <v>129</v>
      </c>
      <c r="S28" s="18" t="s">
        <v>129</v>
      </c>
      <c r="T28" s="18" t="s">
        <v>128</v>
      </c>
      <c r="U28" s="18" t="s">
        <v>173</v>
      </c>
      <c r="V28" s="20" t="s">
        <v>332</v>
      </c>
      <c r="CA28" s="1" t="s">
        <v>71</v>
      </c>
      <c r="CB28" s="1" t="s">
        <v>18</v>
      </c>
      <c r="CC28" s="1" t="s">
        <v>308</v>
      </c>
      <c r="CE28" s="18" t="str">
        <f>CR[[#This Row],[Part Type]]</f>
        <v>Cross</v>
      </c>
      <c r="CF28" s="18" t="str">
        <f>CR[[#This Row],[Part Nr.]]</f>
        <v>100-24XF4</v>
      </c>
      <c r="CG28" s="18" t="str">
        <f>CR[[#This Row],[UID]]</f>
        <v>CR-27</v>
      </c>
      <c r="CK28" s="18" t="str">
        <f>IF(CR[[#This Row],[Status]]=0,"",CR[[#This Row],[Status]])</f>
        <v>Active</v>
      </c>
    </row>
    <row r="29" spans="1:89">
      <c r="A29" s="18" t="s">
        <v>120</v>
      </c>
      <c r="B29" s="18" t="s">
        <v>304</v>
      </c>
      <c r="C29" s="18" t="s">
        <v>337</v>
      </c>
      <c r="D29" s="28">
        <v>60000</v>
      </c>
      <c r="E29" s="18" t="s">
        <v>293</v>
      </c>
      <c r="F29" s="18">
        <v>250131</v>
      </c>
      <c r="G29" s="19">
        <v>1238.847</v>
      </c>
      <c r="H29" s="18" t="s">
        <v>243</v>
      </c>
      <c r="I29" s="18" t="s">
        <v>243</v>
      </c>
      <c r="J29" s="18" t="s">
        <v>243</v>
      </c>
      <c r="L29" s="53"/>
      <c r="M29" s="53"/>
      <c r="N29" s="53"/>
      <c r="O29" s="53"/>
      <c r="P29" s="19"/>
      <c r="S29" s="18"/>
      <c r="CA29" s="1" t="s">
        <v>71</v>
      </c>
      <c r="CB29" s="1" t="s">
        <v>18</v>
      </c>
      <c r="CC29" s="1" t="s">
        <v>308</v>
      </c>
      <c r="CE29" s="18" t="str">
        <f>CR[[#This Row],[Part Type]]</f>
        <v>Cross</v>
      </c>
      <c r="CF29" s="18" t="str">
        <f>CR[[#This Row],[Part Nr.]]</f>
        <v>Custom</v>
      </c>
      <c r="CG29" s="18" t="str">
        <f>CR[[#This Row],[UID]]</f>
        <v>CR-28</v>
      </c>
      <c r="CK29" s="18" t="str">
        <f>IF(CR[[#This Row],[Status]]=0,"",CR[[#This Row],[Status]])</f>
        <v>Active</v>
      </c>
    </row>
    <row r="30" spans="1:89">
      <c r="A30" s="18" t="s">
        <v>120</v>
      </c>
      <c r="B30" s="18" t="s">
        <v>304</v>
      </c>
      <c r="C30" s="18" t="s">
        <v>338</v>
      </c>
      <c r="D30" s="28">
        <v>60000</v>
      </c>
      <c r="E30" s="18" t="s">
        <v>293</v>
      </c>
      <c r="F30" s="18">
        <v>250131</v>
      </c>
      <c r="G30" s="19">
        <v>1237.45</v>
      </c>
      <c r="H30" s="18" t="s">
        <v>243</v>
      </c>
      <c r="I30" s="18" t="s">
        <v>243</v>
      </c>
      <c r="J30" s="18" t="s">
        <v>243</v>
      </c>
      <c r="L30" s="53"/>
      <c r="M30" s="53"/>
      <c r="N30" s="53"/>
      <c r="O30" s="53"/>
      <c r="P30" s="19"/>
      <c r="S30" s="18"/>
      <c r="CA30" s="1" t="s">
        <v>71</v>
      </c>
      <c r="CB30" s="1" t="s">
        <v>18</v>
      </c>
      <c r="CC30" s="1" t="s">
        <v>308</v>
      </c>
      <c r="CE30" s="18" t="str">
        <f>CR[[#This Row],[Part Type]]</f>
        <v>Cross</v>
      </c>
      <c r="CF30" s="18" t="str">
        <f>CR[[#This Row],[Part Nr.]]</f>
        <v>Custom</v>
      </c>
      <c r="CG30" s="18" t="str">
        <f>CR[[#This Row],[UID]]</f>
        <v>CR-29</v>
      </c>
      <c r="CK30" s="18" t="str">
        <f>IF(CR[[#This Row],[Status]]=0,"",CR[[#This Row],[Status]])</f>
        <v>Active</v>
      </c>
    </row>
    <row r="31" spans="1:89">
      <c r="D31" s="28"/>
      <c r="G31" s="19"/>
      <c r="L31" s="53"/>
      <c r="M31" s="53"/>
      <c r="N31" s="53"/>
      <c r="O31" s="53"/>
      <c r="P31" s="19"/>
      <c r="S31" s="18"/>
      <c r="CA31" s="1" t="s">
        <v>71</v>
      </c>
      <c r="CB31" s="1" t="s">
        <v>18</v>
      </c>
      <c r="CC31" s="1" t="s">
        <v>308</v>
      </c>
      <c r="CE31" s="18">
        <f>CR[[#This Row],[Part Type]]</f>
        <v>0</v>
      </c>
      <c r="CF31" s="18">
        <f>CR[[#This Row],[Part Nr.]]</f>
        <v>0</v>
      </c>
      <c r="CG31" s="18">
        <f>CR[[#This Row],[UID]]</f>
        <v>0</v>
      </c>
      <c r="CK31" s="18" t="str">
        <f>IF(CR[[#This Row],[Status]]=0,"",CR[[#This Row],[Status]])</f>
        <v/>
      </c>
    </row>
    <row r="32" spans="1:89">
      <c r="D32" s="28"/>
      <c r="G32" s="19"/>
      <c r="L32" s="53"/>
      <c r="M32" s="53"/>
      <c r="N32" s="53"/>
      <c r="O32" s="53"/>
      <c r="P32" s="19"/>
      <c r="S32" s="18"/>
      <c r="CA32" s="1" t="s">
        <v>71</v>
      </c>
      <c r="CB32" s="1" t="s">
        <v>18</v>
      </c>
      <c r="CC32" s="1" t="s">
        <v>308</v>
      </c>
      <c r="CE32" s="18">
        <f>CR[[#This Row],[Part Type]]</f>
        <v>0</v>
      </c>
      <c r="CF32" s="18">
        <f>CR[[#This Row],[Part Nr.]]</f>
        <v>0</v>
      </c>
      <c r="CG32" s="18">
        <f>CR[[#This Row],[UID]]</f>
        <v>0</v>
      </c>
      <c r="CK32" s="18" t="str">
        <f>IF(CR[[#This Row],[Status]]=0,"",CR[[#This Row],[Status]])</f>
        <v/>
      </c>
    </row>
    <row r="33" spans="4:89">
      <c r="D33" s="28"/>
      <c r="G33" s="19"/>
      <c r="L33" s="53"/>
      <c r="M33" s="53"/>
      <c r="N33" s="53"/>
      <c r="O33" s="53"/>
      <c r="P33" s="19"/>
      <c r="S33" s="18"/>
      <c r="CA33" s="1" t="s">
        <v>71</v>
      </c>
      <c r="CB33" s="1" t="s">
        <v>18</v>
      </c>
      <c r="CC33" s="1" t="s">
        <v>308</v>
      </c>
      <c r="CE33" s="18">
        <f>CR[[#This Row],[Part Type]]</f>
        <v>0</v>
      </c>
      <c r="CF33" s="18">
        <f>CR[[#This Row],[Part Nr.]]</f>
        <v>0</v>
      </c>
      <c r="CG33" s="18">
        <f>CR[[#This Row],[UID]]</f>
        <v>0</v>
      </c>
      <c r="CK33" s="18" t="str">
        <f>IF(CR[[#This Row],[Status]]=0,"",CR[[#This Row],[Status]])</f>
        <v/>
      </c>
    </row>
    <row r="34" spans="4:89">
      <c r="D34" s="28"/>
      <c r="G34" s="19"/>
      <c r="L34" s="53"/>
      <c r="M34" s="53"/>
      <c r="N34" s="53"/>
      <c r="O34" s="53"/>
      <c r="P34" s="19"/>
      <c r="S34" s="18"/>
      <c r="CA34" s="1" t="s">
        <v>71</v>
      </c>
      <c r="CB34" s="1" t="s">
        <v>18</v>
      </c>
      <c r="CC34" s="1" t="s">
        <v>308</v>
      </c>
      <c r="CE34" s="18">
        <f>CR[[#This Row],[Part Type]]</f>
        <v>0</v>
      </c>
      <c r="CF34" s="18">
        <f>CR[[#This Row],[Part Nr.]]</f>
        <v>0</v>
      </c>
      <c r="CG34" s="18">
        <f>CR[[#This Row],[UID]]</f>
        <v>0</v>
      </c>
      <c r="CK34" s="18" t="str">
        <f>IF(CR[[#This Row],[Status]]=0,"",CR[[#This Row],[Status]])</f>
        <v/>
      </c>
    </row>
    <row r="35" spans="4:89">
      <c r="D35" s="28"/>
      <c r="G35" s="19"/>
      <c r="L35" s="53"/>
      <c r="M35" s="53"/>
      <c r="N35" s="53"/>
      <c r="O35" s="53"/>
      <c r="P35" s="19"/>
      <c r="S35" s="18"/>
      <c r="CA35" s="1" t="s">
        <v>71</v>
      </c>
      <c r="CB35" s="1" t="s">
        <v>18</v>
      </c>
      <c r="CC35" s="1" t="s">
        <v>308</v>
      </c>
      <c r="CE35" s="18">
        <f>CR[[#This Row],[Part Type]]</f>
        <v>0</v>
      </c>
      <c r="CF35" s="18">
        <f>CR[[#This Row],[Part Nr.]]</f>
        <v>0</v>
      </c>
      <c r="CG35" s="18">
        <f>CR[[#This Row],[UID]]</f>
        <v>0</v>
      </c>
      <c r="CK35" s="18" t="str">
        <f>IF(CR[[#This Row],[Status]]=0,"",CR[[#This Row],[Status]])</f>
        <v/>
      </c>
    </row>
    <row r="36" spans="4:89">
      <c r="D36" s="28"/>
      <c r="G36" s="19"/>
      <c r="L36" s="53"/>
      <c r="M36" s="53"/>
      <c r="N36" s="53"/>
      <c r="O36" s="53"/>
      <c r="P36" s="19"/>
      <c r="S36" s="18"/>
      <c r="CA36" s="1" t="s">
        <v>71</v>
      </c>
      <c r="CB36" s="1" t="s">
        <v>18</v>
      </c>
      <c r="CC36" s="1" t="s">
        <v>308</v>
      </c>
      <c r="CE36" s="18">
        <f>CR[[#This Row],[Part Type]]</f>
        <v>0</v>
      </c>
      <c r="CF36" s="18">
        <f>CR[[#This Row],[Part Nr.]]</f>
        <v>0</v>
      </c>
      <c r="CG36" s="18">
        <f>CR[[#This Row],[UID]]</f>
        <v>0</v>
      </c>
      <c r="CK36" s="18" t="str">
        <f>IF(CR[[#This Row],[Status]]=0,"",CR[[#This Row],[Status]])</f>
        <v/>
      </c>
    </row>
    <row r="37" spans="4:89">
      <c r="D37" s="28"/>
      <c r="G37" s="19"/>
      <c r="L37" s="53"/>
      <c r="M37" s="53"/>
      <c r="N37" s="53"/>
      <c r="O37" s="53"/>
      <c r="P37" s="19"/>
      <c r="S37" s="18"/>
      <c r="CA37" s="1" t="s">
        <v>71</v>
      </c>
      <c r="CB37" s="1" t="s">
        <v>18</v>
      </c>
      <c r="CC37" s="1" t="s">
        <v>308</v>
      </c>
      <c r="CE37" s="18">
        <f>CR[[#This Row],[Part Type]]</f>
        <v>0</v>
      </c>
      <c r="CF37" s="18">
        <f>CR[[#This Row],[Part Nr.]]</f>
        <v>0</v>
      </c>
      <c r="CG37" s="18">
        <f>CR[[#This Row],[UID]]</f>
        <v>0</v>
      </c>
      <c r="CK37" s="18" t="str">
        <f>IF(CR[[#This Row],[Status]]=0,"",CR[[#This Row],[Status]])</f>
        <v/>
      </c>
    </row>
    <row r="38" spans="4:89">
      <c r="D38" s="28"/>
      <c r="G38" s="19"/>
      <c r="L38" s="53"/>
      <c r="M38" s="53"/>
      <c r="N38" s="53"/>
      <c r="O38" s="53"/>
      <c r="P38" s="19"/>
      <c r="S38" s="18"/>
      <c r="CA38" s="1" t="s">
        <v>71</v>
      </c>
      <c r="CB38" s="1" t="s">
        <v>18</v>
      </c>
      <c r="CC38" s="1" t="s">
        <v>308</v>
      </c>
      <c r="CE38" s="18">
        <f>CR[[#This Row],[Part Type]]</f>
        <v>0</v>
      </c>
      <c r="CF38" s="18">
        <f>CR[[#This Row],[Part Nr.]]</f>
        <v>0</v>
      </c>
      <c r="CG38" s="18">
        <f>CR[[#This Row],[UID]]</f>
        <v>0</v>
      </c>
      <c r="CK38" s="18" t="str">
        <f>IF(CR[[#This Row],[Status]]=0,"",CR[[#This Row],[Status]])</f>
        <v/>
      </c>
    </row>
    <row r="39" spans="4:89">
      <c r="D39" s="28"/>
      <c r="G39" s="19"/>
      <c r="L39" s="53"/>
      <c r="M39" s="53"/>
      <c r="N39" s="53"/>
      <c r="O39" s="53"/>
      <c r="P39" s="19"/>
      <c r="S39" s="18"/>
      <c r="CA39" s="1" t="s">
        <v>71</v>
      </c>
      <c r="CB39" s="1" t="s">
        <v>18</v>
      </c>
      <c r="CC39" s="1" t="s">
        <v>308</v>
      </c>
      <c r="CE39" s="18">
        <f>CR[[#This Row],[Part Type]]</f>
        <v>0</v>
      </c>
      <c r="CF39" s="18">
        <f>CR[[#This Row],[Part Nr.]]</f>
        <v>0</v>
      </c>
      <c r="CG39" s="18">
        <f>CR[[#This Row],[UID]]</f>
        <v>0</v>
      </c>
      <c r="CK39" s="18" t="str">
        <f>IF(CR[[#This Row],[Status]]=0,"",CR[[#This Row],[Status]])</f>
        <v/>
      </c>
    </row>
    <row r="40" spans="4:89">
      <c r="D40" s="28"/>
      <c r="G40" s="19"/>
      <c r="L40" s="53"/>
      <c r="M40" s="53"/>
      <c r="N40" s="53"/>
      <c r="O40" s="53"/>
      <c r="P40" s="19"/>
      <c r="S40" s="18"/>
      <c r="CA40" s="1" t="s">
        <v>71</v>
      </c>
      <c r="CB40" s="1" t="s">
        <v>18</v>
      </c>
      <c r="CC40" s="1" t="s">
        <v>308</v>
      </c>
      <c r="CE40" s="18">
        <f>CR[[#This Row],[Part Type]]</f>
        <v>0</v>
      </c>
      <c r="CF40" s="18">
        <f>CR[[#This Row],[Part Nr.]]</f>
        <v>0</v>
      </c>
      <c r="CG40" s="18">
        <f>CR[[#This Row],[UID]]</f>
        <v>0</v>
      </c>
      <c r="CK40" s="18" t="str">
        <f>IF(CR[[#This Row],[Status]]=0,"",CR[[#This Row],[Status]])</f>
        <v/>
      </c>
    </row>
    <row r="41" spans="4:89">
      <c r="D41" s="28"/>
      <c r="G41" s="19"/>
      <c r="L41" s="53"/>
      <c r="M41" s="53"/>
      <c r="N41" s="53"/>
      <c r="O41" s="53"/>
      <c r="P41" s="19"/>
      <c r="S41" s="18"/>
      <c r="CA41" s="1" t="s">
        <v>71</v>
      </c>
      <c r="CB41" s="1" t="s">
        <v>18</v>
      </c>
      <c r="CC41" s="1" t="s">
        <v>308</v>
      </c>
      <c r="CE41" s="18">
        <f>CR[[#This Row],[Part Type]]</f>
        <v>0</v>
      </c>
      <c r="CF41" s="18">
        <f>CR[[#This Row],[Part Nr.]]</f>
        <v>0</v>
      </c>
      <c r="CG41" s="18">
        <f>CR[[#This Row],[UID]]</f>
        <v>0</v>
      </c>
      <c r="CK41" s="18" t="str">
        <f>IF(CR[[#This Row],[Status]]=0,"",CR[[#This Row],[Status]])</f>
        <v/>
      </c>
    </row>
    <row r="42" spans="4:89">
      <c r="D42" s="28"/>
      <c r="G42" s="19"/>
      <c r="L42" s="53"/>
      <c r="M42" s="53"/>
      <c r="N42" s="53"/>
      <c r="O42" s="53"/>
      <c r="P42" s="19"/>
      <c r="S42" s="18"/>
      <c r="CA42" s="1" t="s">
        <v>71</v>
      </c>
      <c r="CB42" s="1" t="s">
        <v>18</v>
      </c>
      <c r="CC42" s="1" t="s">
        <v>308</v>
      </c>
      <c r="CE42" s="18">
        <f>CR[[#This Row],[Part Type]]</f>
        <v>0</v>
      </c>
      <c r="CF42" s="18">
        <f>CR[[#This Row],[Part Nr.]]</f>
        <v>0</v>
      </c>
      <c r="CG42" s="18">
        <f>CR[[#This Row],[UID]]</f>
        <v>0</v>
      </c>
      <c r="CK42" s="18" t="str">
        <f>IF(CR[[#This Row],[Status]]=0,"",CR[[#This Row],[Status]])</f>
        <v/>
      </c>
    </row>
    <row r="43" spans="4:89">
      <c r="D43" s="28"/>
      <c r="G43" s="19"/>
      <c r="L43" s="53"/>
      <c r="M43" s="53"/>
      <c r="N43" s="53"/>
      <c r="O43" s="53"/>
      <c r="P43" s="19"/>
      <c r="S43" s="18"/>
      <c r="CA43" s="1" t="s">
        <v>71</v>
      </c>
      <c r="CB43" s="1" t="s">
        <v>18</v>
      </c>
      <c r="CC43" s="1" t="s">
        <v>308</v>
      </c>
      <c r="CE43" s="18">
        <f>CR[[#This Row],[Part Type]]</f>
        <v>0</v>
      </c>
      <c r="CF43" s="18">
        <f>CR[[#This Row],[Part Nr.]]</f>
        <v>0</v>
      </c>
      <c r="CG43" s="18">
        <f>CR[[#This Row],[UID]]</f>
        <v>0</v>
      </c>
      <c r="CK43" s="18" t="str">
        <f>IF(CR[[#This Row],[Status]]=0,"",CR[[#This Row],[Status]])</f>
        <v/>
      </c>
    </row>
    <row r="44" spans="4:89">
      <c r="D44" s="28"/>
      <c r="G44" s="19"/>
      <c r="L44" s="53"/>
      <c r="M44" s="53"/>
      <c r="N44" s="53"/>
      <c r="O44" s="53"/>
      <c r="P44" s="19"/>
      <c r="S44" s="18"/>
      <c r="CA44" s="1" t="s">
        <v>71</v>
      </c>
      <c r="CB44" s="1" t="s">
        <v>18</v>
      </c>
      <c r="CC44" s="1" t="s">
        <v>308</v>
      </c>
      <c r="CE44" s="18">
        <f>CR[[#This Row],[Part Type]]</f>
        <v>0</v>
      </c>
      <c r="CF44" s="18">
        <f>CR[[#This Row],[Part Nr.]]</f>
        <v>0</v>
      </c>
      <c r="CG44" s="18">
        <f>CR[[#This Row],[UID]]</f>
        <v>0</v>
      </c>
      <c r="CK44" s="18" t="str">
        <f>IF(CR[[#This Row],[Status]]=0,"",CR[[#This Row],[Status]])</f>
        <v/>
      </c>
    </row>
    <row r="45" spans="4:89">
      <c r="D45" s="28"/>
      <c r="G45" s="19"/>
      <c r="L45" s="53"/>
      <c r="M45" s="53"/>
      <c r="N45" s="53"/>
      <c r="O45" s="53"/>
      <c r="P45" s="19"/>
      <c r="S45" s="18"/>
      <c r="CA45" s="1" t="s">
        <v>71</v>
      </c>
      <c r="CB45" s="1" t="s">
        <v>18</v>
      </c>
      <c r="CC45" s="1" t="s">
        <v>308</v>
      </c>
      <c r="CE45" s="18">
        <f>CR[[#This Row],[Part Type]]</f>
        <v>0</v>
      </c>
      <c r="CF45" s="18">
        <f>CR[[#This Row],[Part Nr.]]</f>
        <v>0</v>
      </c>
      <c r="CG45" s="18">
        <f>CR[[#This Row],[UID]]</f>
        <v>0</v>
      </c>
      <c r="CK45" s="18" t="str">
        <f>IF(CR[[#This Row],[Status]]=0,"",CR[[#This Row],[Status]])</f>
        <v/>
      </c>
    </row>
    <row r="46" spans="4:89">
      <c r="D46" s="28"/>
      <c r="G46" s="19"/>
      <c r="L46" s="53"/>
      <c r="M46" s="53"/>
      <c r="N46" s="53"/>
      <c r="O46" s="53"/>
      <c r="P46" s="19"/>
      <c r="S46" s="18"/>
      <c r="CA46" s="1" t="s">
        <v>71</v>
      </c>
      <c r="CB46" s="1" t="s">
        <v>18</v>
      </c>
      <c r="CC46" s="1" t="s">
        <v>308</v>
      </c>
      <c r="CE46" s="18">
        <f>CR[[#This Row],[Part Type]]</f>
        <v>0</v>
      </c>
      <c r="CF46" s="18">
        <f>CR[[#This Row],[Part Nr.]]</f>
        <v>0</v>
      </c>
      <c r="CG46" s="18">
        <f>CR[[#This Row],[UID]]</f>
        <v>0</v>
      </c>
      <c r="CK46" s="18" t="str">
        <f>IF(CR[[#This Row],[Status]]=0,"",CR[[#This Row],[Status]])</f>
        <v/>
      </c>
    </row>
    <row r="47" spans="4:89">
      <c r="D47" s="28"/>
      <c r="G47" s="19"/>
      <c r="L47" s="53"/>
      <c r="M47" s="53"/>
      <c r="N47" s="53"/>
      <c r="O47" s="53"/>
      <c r="P47" s="19"/>
      <c r="S47" s="18"/>
      <c r="CA47" s="1" t="s">
        <v>71</v>
      </c>
      <c r="CB47" s="1" t="s">
        <v>18</v>
      </c>
      <c r="CC47" s="1" t="s">
        <v>308</v>
      </c>
      <c r="CE47" s="18">
        <f>CR[[#This Row],[Part Type]]</f>
        <v>0</v>
      </c>
      <c r="CF47" s="18">
        <f>CR[[#This Row],[Part Nr.]]</f>
        <v>0</v>
      </c>
      <c r="CG47" s="18">
        <f>CR[[#This Row],[UID]]</f>
        <v>0</v>
      </c>
      <c r="CK47" s="18" t="str">
        <f>IF(CR[[#This Row],[Status]]=0,"",CR[[#This Row],[Status]])</f>
        <v/>
      </c>
    </row>
    <row r="48" spans="4:89">
      <c r="D48" s="28"/>
      <c r="G48" s="19"/>
      <c r="L48" s="53"/>
      <c r="M48" s="53"/>
      <c r="N48" s="53"/>
      <c r="O48" s="53"/>
      <c r="P48" s="19"/>
      <c r="S48" s="18"/>
      <c r="CA48" s="1" t="s">
        <v>71</v>
      </c>
      <c r="CB48" s="1" t="s">
        <v>18</v>
      </c>
      <c r="CC48" s="1" t="s">
        <v>308</v>
      </c>
      <c r="CE48" s="18">
        <f>CR[[#This Row],[Part Type]]</f>
        <v>0</v>
      </c>
      <c r="CF48" s="18">
        <f>CR[[#This Row],[Part Nr.]]</f>
        <v>0</v>
      </c>
      <c r="CG48" s="18">
        <f>CR[[#This Row],[UID]]</f>
        <v>0</v>
      </c>
      <c r="CK48" s="18" t="str">
        <f>IF(CR[[#This Row],[Status]]=0,"",CR[[#This Row],[Status]])</f>
        <v/>
      </c>
    </row>
    <row r="49" spans="4:89">
      <c r="D49" s="28"/>
      <c r="G49" s="19"/>
      <c r="L49" s="53"/>
      <c r="M49" s="53"/>
      <c r="N49" s="53"/>
      <c r="O49" s="53"/>
      <c r="P49" s="19"/>
      <c r="S49" s="18"/>
      <c r="CA49" s="1" t="s">
        <v>71</v>
      </c>
      <c r="CB49" s="1" t="s">
        <v>18</v>
      </c>
      <c r="CC49" s="1" t="s">
        <v>308</v>
      </c>
      <c r="CE49" s="18">
        <f>CR[[#This Row],[Part Type]]</f>
        <v>0</v>
      </c>
      <c r="CF49" s="18">
        <f>CR[[#This Row],[Part Nr.]]</f>
        <v>0</v>
      </c>
      <c r="CG49" s="18">
        <f>CR[[#This Row],[UID]]</f>
        <v>0</v>
      </c>
      <c r="CK49" s="18" t="str">
        <f>IF(CR[[#This Row],[Status]]=0,"",CR[[#This Row],[Status]])</f>
        <v/>
      </c>
    </row>
    <row r="50" spans="4:89">
      <c r="D50" s="28"/>
      <c r="G50" s="19"/>
      <c r="L50" s="53"/>
      <c r="M50" s="53"/>
      <c r="N50" s="53"/>
      <c r="O50" s="53"/>
      <c r="P50" s="19"/>
      <c r="S50" s="18"/>
      <c r="CA50" s="1" t="s">
        <v>71</v>
      </c>
      <c r="CB50" s="1" t="s">
        <v>18</v>
      </c>
      <c r="CC50" s="1" t="s">
        <v>308</v>
      </c>
      <c r="CE50" s="18">
        <f>CR[[#This Row],[Part Type]]</f>
        <v>0</v>
      </c>
      <c r="CF50" s="18">
        <f>CR[[#This Row],[Part Nr.]]</f>
        <v>0</v>
      </c>
      <c r="CG50" s="18">
        <f>CR[[#This Row],[UID]]</f>
        <v>0</v>
      </c>
      <c r="CK50" s="18" t="str">
        <f>IF(CR[[#This Row],[Status]]=0,"",CR[[#This Row],[Status]])</f>
        <v/>
      </c>
    </row>
    <row r="51" spans="4:89">
      <c r="D51" s="28"/>
      <c r="G51" s="19"/>
      <c r="L51" s="53"/>
      <c r="M51" s="53"/>
      <c r="N51" s="53"/>
      <c r="O51" s="53"/>
      <c r="P51" s="19"/>
      <c r="S51" s="18"/>
      <c r="CA51" s="1" t="s">
        <v>71</v>
      </c>
      <c r="CB51" s="1" t="s">
        <v>18</v>
      </c>
      <c r="CC51" s="1" t="s">
        <v>308</v>
      </c>
      <c r="CE51" s="18">
        <f>CR[[#This Row],[Part Type]]</f>
        <v>0</v>
      </c>
      <c r="CF51" s="18">
        <f>CR[[#This Row],[Part Nr.]]</f>
        <v>0</v>
      </c>
      <c r="CG51" s="18">
        <f>CR[[#This Row],[UID]]</f>
        <v>0</v>
      </c>
      <c r="CK51" s="18" t="str">
        <f>IF(CR[[#This Row],[Status]]=0,"",CR[[#This Row],[Status]])</f>
        <v/>
      </c>
    </row>
    <row r="52" spans="4:89">
      <c r="D52" s="28"/>
      <c r="G52" s="19"/>
      <c r="L52" s="53"/>
      <c r="M52" s="53"/>
      <c r="N52" s="53"/>
      <c r="O52" s="53"/>
      <c r="P52" s="19"/>
      <c r="S52" s="18"/>
      <c r="CA52" s="1" t="s">
        <v>71</v>
      </c>
      <c r="CB52" s="1" t="s">
        <v>18</v>
      </c>
      <c r="CC52" s="1" t="s">
        <v>308</v>
      </c>
      <c r="CE52" s="18">
        <f>CR[[#This Row],[Part Type]]</f>
        <v>0</v>
      </c>
      <c r="CF52" s="18">
        <f>CR[[#This Row],[Part Nr.]]</f>
        <v>0</v>
      </c>
      <c r="CG52" s="18">
        <f>CR[[#This Row],[UID]]</f>
        <v>0</v>
      </c>
      <c r="CK52" s="18" t="str">
        <f>IF(CR[[#This Row],[Status]]=0,"",CR[[#This Row],[Status]])</f>
        <v/>
      </c>
    </row>
    <row r="53" spans="4:89">
      <c r="D53" s="28"/>
      <c r="G53" s="19"/>
      <c r="L53" s="53"/>
      <c r="M53" s="53"/>
      <c r="N53" s="53"/>
      <c r="O53" s="53"/>
      <c r="P53" s="19"/>
      <c r="S53" s="18"/>
      <c r="CA53" s="1" t="s">
        <v>71</v>
      </c>
      <c r="CB53" s="1" t="s">
        <v>18</v>
      </c>
      <c r="CC53" s="1" t="s">
        <v>308</v>
      </c>
      <c r="CE53" s="18">
        <f>CR[[#This Row],[Part Type]]</f>
        <v>0</v>
      </c>
      <c r="CF53" s="18">
        <f>CR[[#This Row],[Part Nr.]]</f>
        <v>0</v>
      </c>
      <c r="CG53" s="18">
        <f>CR[[#This Row],[UID]]</f>
        <v>0</v>
      </c>
      <c r="CK53" s="18" t="str">
        <f>IF(CR[[#This Row],[Status]]=0,"",CR[[#This Row],[Status]])</f>
        <v/>
      </c>
    </row>
    <row r="54" spans="4:89">
      <c r="D54" s="28"/>
      <c r="G54" s="19"/>
      <c r="L54" s="53"/>
      <c r="M54" s="53"/>
      <c r="N54" s="53"/>
      <c r="O54" s="53"/>
      <c r="P54" s="19"/>
      <c r="S54" s="18"/>
      <c r="CA54" s="1" t="s">
        <v>71</v>
      </c>
      <c r="CB54" s="1" t="s">
        <v>18</v>
      </c>
      <c r="CC54" s="1" t="s">
        <v>308</v>
      </c>
      <c r="CE54" s="18">
        <f>CR[[#This Row],[Part Type]]</f>
        <v>0</v>
      </c>
      <c r="CF54" s="18">
        <f>CR[[#This Row],[Part Nr.]]</f>
        <v>0</v>
      </c>
      <c r="CG54" s="18">
        <f>CR[[#This Row],[UID]]</f>
        <v>0</v>
      </c>
      <c r="CK54" s="18" t="str">
        <f>IF(CR[[#This Row],[Status]]=0,"",CR[[#This Row],[Status]])</f>
        <v/>
      </c>
    </row>
    <row r="55" spans="4:89">
      <c r="D55" s="28"/>
      <c r="G55" s="19"/>
      <c r="L55" s="53"/>
      <c r="M55" s="53"/>
      <c r="N55" s="53"/>
      <c r="O55" s="53"/>
      <c r="P55" s="19"/>
      <c r="S55" s="18"/>
      <c r="CA55" s="1" t="s">
        <v>71</v>
      </c>
      <c r="CB55" s="1" t="s">
        <v>18</v>
      </c>
      <c r="CC55" s="1" t="s">
        <v>308</v>
      </c>
      <c r="CE55" s="18">
        <f>CR[[#This Row],[Part Type]]</f>
        <v>0</v>
      </c>
      <c r="CF55" s="18">
        <f>CR[[#This Row],[Part Nr.]]</f>
        <v>0</v>
      </c>
      <c r="CG55" s="18">
        <f>CR[[#This Row],[UID]]</f>
        <v>0</v>
      </c>
      <c r="CK55" s="18" t="str">
        <f>IF(CR[[#This Row],[Status]]=0,"",CR[[#This Row],[Status]])</f>
        <v/>
      </c>
    </row>
    <row r="56" spans="4:89">
      <c r="D56" s="28"/>
      <c r="G56" s="19"/>
      <c r="L56" s="53"/>
      <c r="M56" s="53"/>
      <c r="N56" s="53"/>
      <c r="O56" s="53"/>
      <c r="P56" s="19"/>
      <c r="S56" s="18"/>
      <c r="CA56" s="1" t="s">
        <v>71</v>
      </c>
      <c r="CB56" s="1" t="s">
        <v>18</v>
      </c>
      <c r="CC56" s="1" t="s">
        <v>308</v>
      </c>
      <c r="CE56" s="18">
        <f>CR[[#This Row],[Part Type]]</f>
        <v>0</v>
      </c>
      <c r="CF56" s="18">
        <f>CR[[#This Row],[Part Nr.]]</f>
        <v>0</v>
      </c>
      <c r="CG56" s="18">
        <f>CR[[#This Row],[UID]]</f>
        <v>0</v>
      </c>
      <c r="CK56" s="18" t="str">
        <f>IF(CR[[#This Row],[Status]]=0,"",CR[[#This Row],[Status]])</f>
        <v/>
      </c>
    </row>
    <row r="57" spans="4:89">
      <c r="D57" s="28"/>
      <c r="G57" s="19"/>
      <c r="L57" s="53"/>
      <c r="M57" s="53"/>
      <c r="N57" s="53"/>
      <c r="O57" s="53"/>
      <c r="P57" s="19"/>
      <c r="S57" s="18"/>
      <c r="CA57" s="1" t="s">
        <v>71</v>
      </c>
      <c r="CB57" s="1" t="s">
        <v>18</v>
      </c>
      <c r="CC57" s="1" t="s">
        <v>308</v>
      </c>
      <c r="CE57" s="18">
        <f>CR[[#This Row],[Part Type]]</f>
        <v>0</v>
      </c>
      <c r="CF57" s="18">
        <f>CR[[#This Row],[Part Nr.]]</f>
        <v>0</v>
      </c>
      <c r="CG57" s="18">
        <f>CR[[#This Row],[UID]]</f>
        <v>0</v>
      </c>
      <c r="CK57" s="18" t="str">
        <f>IF(CR[[#This Row],[Status]]=0,"",CR[[#This Row],[Status]])</f>
        <v/>
      </c>
    </row>
    <row r="58" spans="4:89">
      <c r="D58" s="28"/>
      <c r="G58" s="19"/>
      <c r="L58" s="53"/>
      <c r="M58" s="53"/>
      <c r="N58" s="53"/>
      <c r="O58" s="53"/>
      <c r="P58" s="19"/>
      <c r="S58" s="18"/>
      <c r="CA58" s="1" t="s">
        <v>71</v>
      </c>
      <c r="CB58" s="1" t="s">
        <v>18</v>
      </c>
      <c r="CC58" s="1" t="s">
        <v>308</v>
      </c>
      <c r="CE58" s="18">
        <f>CR[[#This Row],[Part Type]]</f>
        <v>0</v>
      </c>
      <c r="CF58" s="18">
        <f>CR[[#This Row],[Part Nr.]]</f>
        <v>0</v>
      </c>
      <c r="CG58" s="18">
        <f>CR[[#This Row],[UID]]</f>
        <v>0</v>
      </c>
      <c r="CK58" s="18" t="str">
        <f>IF(CR[[#This Row],[Status]]=0,"",CR[[#This Row],[Status]])</f>
        <v/>
      </c>
    </row>
    <row r="59" spans="4:89">
      <c r="D59" s="28"/>
      <c r="G59" s="19"/>
      <c r="L59" s="53"/>
      <c r="M59" s="53"/>
      <c r="N59" s="53"/>
      <c r="O59" s="53"/>
      <c r="P59" s="19"/>
      <c r="S59" s="18"/>
      <c r="CA59" s="1" t="s">
        <v>71</v>
      </c>
      <c r="CB59" s="1" t="s">
        <v>18</v>
      </c>
      <c r="CC59" s="1" t="s">
        <v>308</v>
      </c>
      <c r="CE59" s="18">
        <f>CR[[#This Row],[Part Type]]</f>
        <v>0</v>
      </c>
      <c r="CF59" s="18">
        <f>CR[[#This Row],[Part Nr.]]</f>
        <v>0</v>
      </c>
      <c r="CG59" s="18">
        <f>CR[[#This Row],[UID]]</f>
        <v>0</v>
      </c>
      <c r="CK59" s="18" t="str">
        <f>IF(CR[[#This Row],[Status]]=0,"",CR[[#This Row],[Status]])</f>
        <v/>
      </c>
    </row>
    <row r="60" spans="4:89">
      <c r="D60" s="28"/>
      <c r="G60" s="19"/>
      <c r="L60" s="53"/>
      <c r="M60" s="53"/>
      <c r="N60" s="53"/>
      <c r="O60" s="53"/>
      <c r="P60" s="19"/>
      <c r="S60" s="18"/>
      <c r="CA60" s="1" t="s">
        <v>71</v>
      </c>
      <c r="CB60" s="1" t="s">
        <v>18</v>
      </c>
      <c r="CC60" s="1" t="s">
        <v>308</v>
      </c>
      <c r="CE60" s="18">
        <f>CR[[#This Row],[Part Type]]</f>
        <v>0</v>
      </c>
      <c r="CF60" s="18">
        <f>CR[[#This Row],[Part Nr.]]</f>
        <v>0</v>
      </c>
      <c r="CG60" s="18">
        <f>CR[[#This Row],[UID]]</f>
        <v>0</v>
      </c>
      <c r="CK60" s="18" t="str">
        <f>IF(CR[[#This Row],[Status]]=0,"",CR[[#This Row],[Status]])</f>
        <v/>
      </c>
    </row>
    <row r="61" spans="4:89">
      <c r="D61" s="28"/>
      <c r="G61" s="19"/>
      <c r="L61" s="53"/>
      <c r="M61" s="53"/>
      <c r="N61" s="53"/>
      <c r="O61" s="53"/>
      <c r="P61" s="19"/>
      <c r="S61" s="18"/>
      <c r="CA61" s="1" t="s">
        <v>71</v>
      </c>
      <c r="CB61" s="1" t="s">
        <v>18</v>
      </c>
      <c r="CC61" s="1" t="s">
        <v>308</v>
      </c>
      <c r="CE61" s="18">
        <f>CR[[#This Row],[Part Type]]</f>
        <v>0</v>
      </c>
      <c r="CF61" s="18">
        <f>CR[[#This Row],[Part Nr.]]</f>
        <v>0</v>
      </c>
      <c r="CG61" s="18">
        <f>CR[[#This Row],[UID]]</f>
        <v>0</v>
      </c>
      <c r="CK61" s="18" t="str">
        <f>IF(CR[[#This Row],[Status]]=0,"",CR[[#This Row],[Status]])</f>
        <v/>
      </c>
    </row>
  </sheetData>
  <phoneticPr fontId="5" type="noConversion"/>
  <hyperlinks>
    <hyperlink ref="V24" r:id="rId1" xr:uid="{757C1919-B099-1341-B27D-3CA705695EB5}"/>
    <hyperlink ref="V25" r:id="rId2" xr:uid="{CEA33A87-4A3D-F242-B403-D0AECEE4FB3D}"/>
    <hyperlink ref="V26" r:id="rId3" xr:uid="{1FDFAA11-3E37-B242-A643-20C3817A82AF}"/>
    <hyperlink ref="V27" r:id="rId4" xr:uid="{AB630D2F-84BB-7A40-AF47-B191393B3DE5}"/>
    <hyperlink ref="V28" r:id="rId5" xr:uid="{433F1639-C269-C047-B939-DD0EAFC2B380}"/>
  </hyperlinks>
  <pageMargins left="0.7" right="0.7" top="0.75" bottom="0.75" header="0.3" footer="0.3"/>
  <tableParts count="2">
    <tablePart r:id="rId6"/>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778D9-1999-9845-9DF2-3628FB3E630E}">
  <sheetPr codeName="Sheet3"/>
  <dimension ref="A1:CL51"/>
  <sheetViews>
    <sheetView topLeftCell="J1" zoomScale="110" zoomScaleNormal="110" workbookViewId="0">
      <selection activeCell="F17" sqref="F17"/>
    </sheetView>
  </sheetViews>
  <sheetFormatPr defaultColWidth="11" defaultRowHeight="15.95"/>
  <cols>
    <col min="1" max="1" width="10.375" style="11" bestFit="1" customWidth="1"/>
    <col min="2" max="2" width="10.5" style="11" bestFit="1" customWidth="1"/>
    <col min="3" max="3" width="10.5" style="11" customWidth="1"/>
    <col min="4" max="4" width="10.375" bestFit="1" customWidth="1"/>
    <col min="5" max="5" width="11.625" bestFit="1" customWidth="1"/>
    <col min="6" max="6" width="21.625" bestFit="1" customWidth="1"/>
    <col min="7" max="7" width="20.125" bestFit="1" customWidth="1"/>
    <col min="8" max="8" width="22.375" bestFit="1" customWidth="1"/>
    <col min="9" max="9" width="21.625" bestFit="1" customWidth="1"/>
    <col min="10" max="10" width="16.875" bestFit="1" customWidth="1"/>
    <col min="11" max="11" width="13.875" bestFit="1" customWidth="1"/>
    <col min="12" max="12" width="23.5" bestFit="1" customWidth="1"/>
    <col min="13" max="13" width="12" bestFit="1" customWidth="1"/>
    <col min="14" max="15" width="12.125" style="11" bestFit="1" customWidth="1"/>
    <col min="16" max="16" width="12.125" style="11" customWidth="1"/>
    <col min="17" max="17" width="15" bestFit="1" customWidth="1"/>
    <col min="18" max="18" width="19.375" bestFit="1" customWidth="1"/>
    <col min="19" max="19" width="52.5" bestFit="1" customWidth="1"/>
    <col min="20" max="20" width="10" bestFit="1" customWidth="1"/>
  </cols>
  <sheetData>
    <row r="1" spans="1:90">
      <c r="A1" s="40" t="s">
        <v>12</v>
      </c>
      <c r="B1" s="179" t="s">
        <v>94</v>
      </c>
      <c r="C1" s="25" t="s">
        <v>95</v>
      </c>
      <c r="D1" s="39" t="s">
        <v>15</v>
      </c>
      <c r="E1" s="39" t="s">
        <v>96</v>
      </c>
      <c r="F1" s="60" t="s">
        <v>97</v>
      </c>
      <c r="G1" s="60" t="s">
        <v>98</v>
      </c>
      <c r="H1" s="60" t="s">
        <v>99</v>
      </c>
      <c r="I1" s="40" t="s">
        <v>100</v>
      </c>
      <c r="J1" s="40" t="s">
        <v>101</v>
      </c>
      <c r="K1" s="40" t="s">
        <v>102</v>
      </c>
      <c r="L1" s="40" t="s">
        <v>339</v>
      </c>
      <c r="M1" s="60" t="s">
        <v>228</v>
      </c>
      <c r="N1" s="40" t="s">
        <v>340</v>
      </c>
      <c r="O1" s="40" t="s">
        <v>341</v>
      </c>
      <c r="P1" s="176" t="s">
        <v>113</v>
      </c>
      <c r="Q1" s="25" t="s">
        <v>114</v>
      </c>
      <c r="R1" s="25" t="s">
        <v>115</v>
      </c>
      <c r="S1" s="40" t="s">
        <v>116</v>
      </c>
      <c r="T1" s="40" t="s">
        <v>117</v>
      </c>
      <c r="U1" s="70" t="s">
        <v>342</v>
      </c>
      <c r="CA1" t="s">
        <v>119</v>
      </c>
      <c r="CB1" s="117" t="s">
        <v>2</v>
      </c>
      <c r="CC1" s="118" t="s">
        <v>3</v>
      </c>
      <c r="CD1" s="118" t="s">
        <v>4</v>
      </c>
      <c r="CE1" s="118" t="s">
        <v>5</v>
      </c>
      <c r="CF1" s="118" t="s">
        <v>6</v>
      </c>
      <c r="CG1" s="119" t="s">
        <v>7</v>
      </c>
      <c r="CH1" s="118" t="s">
        <v>8</v>
      </c>
      <c r="CI1" s="118" t="s">
        <v>9</v>
      </c>
      <c r="CJ1" s="118" t="s">
        <v>10</v>
      </c>
      <c r="CK1" s="118" t="s">
        <v>11</v>
      </c>
      <c r="CL1" s="120" t="s">
        <v>12</v>
      </c>
    </row>
    <row r="2" spans="1:90">
      <c r="A2" s="11" t="s">
        <v>120</v>
      </c>
      <c r="B2" s="11" t="s">
        <v>343</v>
      </c>
      <c r="C2" s="11" t="s">
        <v>58</v>
      </c>
      <c r="D2" s="37" t="s">
        <v>344</v>
      </c>
      <c r="E2" s="37" t="s">
        <v>123</v>
      </c>
      <c r="F2" s="38">
        <v>16</v>
      </c>
      <c r="G2" s="5">
        <v>2320</v>
      </c>
      <c r="H2" s="38">
        <v>1000</v>
      </c>
      <c r="I2" s="3" t="s">
        <v>148</v>
      </c>
      <c r="J2" s="37" t="s">
        <v>345</v>
      </c>
      <c r="K2" s="37" t="s">
        <v>126</v>
      </c>
      <c r="L2" s="11">
        <v>220914</v>
      </c>
      <c r="M2" s="45">
        <v>203.04499999999999</v>
      </c>
      <c r="N2" s="11" t="s">
        <v>346</v>
      </c>
      <c r="O2" s="11" t="s">
        <v>346</v>
      </c>
      <c r="P2" s="11" t="s">
        <v>347</v>
      </c>
      <c r="Q2" s="44" t="s">
        <v>194</v>
      </c>
      <c r="R2" s="11">
        <v>220914</v>
      </c>
      <c r="S2" s="11" t="s">
        <v>348</v>
      </c>
      <c r="T2" s="44" t="s">
        <v>197</v>
      </c>
      <c r="U2" s="97" t="s">
        <v>349</v>
      </c>
      <c r="CA2" t="s">
        <v>131</v>
      </c>
      <c r="CB2" s="1" t="s">
        <v>71</v>
      </c>
      <c r="CC2" s="1" t="s">
        <v>18</v>
      </c>
      <c r="CD2" s="1" t="s">
        <v>132</v>
      </c>
      <c r="CE2" s="1"/>
      <c r="CF2" s="1" t="str">
        <f>CUP[[#This Row],[Part Type]]</f>
        <v>Coupling</v>
      </c>
      <c r="CG2" s="112" t="str">
        <f>CUP[[#This Row],[Name]]</f>
        <v>TZM-1/2"</v>
      </c>
      <c r="CH2" s="1" t="str">
        <f>CUP[[#This Row],[UID]]</f>
        <v>CUP-TA</v>
      </c>
      <c r="CI2" s="1"/>
      <c r="CJ2" s="1"/>
      <c r="CK2" s="1"/>
      <c r="CL2" s="1" t="str">
        <f>IF(CUP[[#This Row],[Status]]=0,"",CUP[[#This Row],[Status]])</f>
        <v>Active</v>
      </c>
    </row>
    <row r="3" spans="1:90">
      <c r="A3" s="11" t="s">
        <v>120</v>
      </c>
      <c r="B3" s="11" t="s">
        <v>350</v>
      </c>
      <c r="C3" s="11" t="s">
        <v>58</v>
      </c>
      <c r="D3" s="37" t="s">
        <v>344</v>
      </c>
      <c r="E3" s="41" t="s">
        <v>123</v>
      </c>
      <c r="F3" s="38">
        <v>16</v>
      </c>
      <c r="G3" s="5">
        <v>2320</v>
      </c>
      <c r="H3" s="42">
        <v>1000</v>
      </c>
      <c r="I3" s="3" t="s">
        <v>148</v>
      </c>
      <c r="J3" s="37" t="s">
        <v>345</v>
      </c>
      <c r="K3" s="41" t="s">
        <v>126</v>
      </c>
      <c r="L3" s="11">
        <v>220914</v>
      </c>
      <c r="M3" s="46">
        <v>202.45500000000001</v>
      </c>
      <c r="N3" s="11" t="s">
        <v>346</v>
      </c>
      <c r="O3" s="11" t="s">
        <v>346</v>
      </c>
      <c r="P3" s="11" t="s">
        <v>347</v>
      </c>
      <c r="Q3" s="44" t="s">
        <v>194</v>
      </c>
      <c r="R3" s="11">
        <v>220914</v>
      </c>
      <c r="S3" s="11" t="s">
        <v>351</v>
      </c>
      <c r="T3" s="44" t="s">
        <v>197</v>
      </c>
      <c r="U3" s="97" t="s">
        <v>349</v>
      </c>
      <c r="CB3" s="1" t="s">
        <v>71</v>
      </c>
      <c r="CC3" s="1" t="s">
        <v>18</v>
      </c>
      <c r="CD3" s="1" t="s">
        <v>132</v>
      </c>
      <c r="CF3" t="str">
        <f>CUP[[#This Row],[Part Type]]</f>
        <v>Coupling</v>
      </c>
      <c r="CG3" s="52" t="str">
        <f>CUP[[#This Row],[Name]]</f>
        <v>TZM-1/2"</v>
      </c>
      <c r="CH3" t="str">
        <f>CUP[[#This Row],[UID]]</f>
        <v>CUP-TB</v>
      </c>
      <c r="CL3" t="str">
        <f>IF(CUP[[#This Row],[Status]]=0,"",CUP[[#This Row],[Status]])</f>
        <v>Active</v>
      </c>
    </row>
    <row r="4" spans="1:90">
      <c r="A4" s="11" t="s">
        <v>120</v>
      </c>
      <c r="B4" s="11" t="s">
        <v>352</v>
      </c>
      <c r="C4" s="11" t="s">
        <v>58</v>
      </c>
      <c r="D4" s="37" t="s">
        <v>344</v>
      </c>
      <c r="E4" s="41" t="s">
        <v>123</v>
      </c>
      <c r="F4" s="38">
        <v>16</v>
      </c>
      <c r="G4" s="5">
        <v>2320</v>
      </c>
      <c r="H4" s="38">
        <v>1000</v>
      </c>
      <c r="I4" s="3" t="s">
        <v>148</v>
      </c>
      <c r="J4" s="37" t="s">
        <v>345</v>
      </c>
      <c r="K4" s="41" t="s">
        <v>126</v>
      </c>
      <c r="L4" s="11">
        <v>220914</v>
      </c>
      <c r="M4" s="46">
        <v>202.18600000000001</v>
      </c>
      <c r="N4" s="11" t="s">
        <v>346</v>
      </c>
      <c r="O4" s="11" t="s">
        <v>346</v>
      </c>
      <c r="P4" s="11" t="s">
        <v>347</v>
      </c>
      <c r="Q4" s="44" t="s">
        <v>194</v>
      </c>
      <c r="R4" s="11">
        <v>220914</v>
      </c>
      <c r="S4" s="11" t="s">
        <v>353</v>
      </c>
      <c r="T4" s="44" t="s">
        <v>197</v>
      </c>
      <c r="U4" s="97" t="s">
        <v>349</v>
      </c>
      <c r="CB4" s="1" t="s">
        <v>71</v>
      </c>
      <c r="CC4" s="1" t="s">
        <v>18</v>
      </c>
      <c r="CD4" s="1" t="s">
        <v>132</v>
      </c>
      <c r="CF4" t="str">
        <f>CUP[[#This Row],[Part Type]]</f>
        <v>Coupling</v>
      </c>
      <c r="CG4" s="52" t="str">
        <f>CUP[[#This Row],[Name]]</f>
        <v>TZM-1/2"</v>
      </c>
      <c r="CH4" t="str">
        <f>CUP[[#This Row],[UID]]</f>
        <v>CUP-TC</v>
      </c>
      <c r="CL4" t="str">
        <f>IF(CUP[[#This Row],[Status]]=0,"",CUP[[#This Row],[Status]])</f>
        <v>Active</v>
      </c>
    </row>
    <row r="5" spans="1:90">
      <c r="A5" s="11" t="s">
        <v>120</v>
      </c>
      <c r="B5" s="11" t="s">
        <v>354</v>
      </c>
      <c r="C5" s="11" t="s">
        <v>58</v>
      </c>
      <c r="D5" s="37" t="s">
        <v>344</v>
      </c>
      <c r="E5" s="41" t="s">
        <v>123</v>
      </c>
      <c r="F5" s="38">
        <v>16</v>
      </c>
      <c r="G5" s="5">
        <v>2320</v>
      </c>
      <c r="H5" s="38">
        <v>1000</v>
      </c>
      <c r="I5" s="3" t="s">
        <v>148</v>
      </c>
      <c r="J5" s="37" t="s">
        <v>345</v>
      </c>
      <c r="K5" s="41" t="s">
        <v>126</v>
      </c>
      <c r="L5" s="11">
        <v>220914</v>
      </c>
      <c r="M5" s="46">
        <v>203.00200000000001</v>
      </c>
      <c r="N5" s="11" t="s">
        <v>346</v>
      </c>
      <c r="O5" s="11" t="s">
        <v>346</v>
      </c>
      <c r="P5" s="11" t="s">
        <v>347</v>
      </c>
      <c r="Q5" s="44" t="s">
        <v>194</v>
      </c>
      <c r="R5" s="11">
        <v>220914</v>
      </c>
      <c r="S5" s="11" t="s">
        <v>355</v>
      </c>
      <c r="T5" s="44" t="s">
        <v>197</v>
      </c>
      <c r="U5" s="97" t="s">
        <v>349</v>
      </c>
      <c r="CB5" s="1" t="s">
        <v>71</v>
      </c>
      <c r="CC5" s="1" t="s">
        <v>18</v>
      </c>
      <c r="CD5" s="1" t="s">
        <v>132</v>
      </c>
      <c r="CF5" t="str">
        <f>CUP[[#This Row],[Part Type]]</f>
        <v>Coupling</v>
      </c>
      <c r="CG5" s="52" t="str">
        <f>CUP[[#This Row],[Name]]</f>
        <v>TZM-1/2"</v>
      </c>
      <c r="CH5" t="str">
        <f>CUP[[#This Row],[UID]]</f>
        <v>CUP-TD</v>
      </c>
      <c r="CL5" t="str">
        <f>IF(CUP[[#This Row],[Status]]=0,"",CUP[[#This Row],[Status]])</f>
        <v>Active</v>
      </c>
    </row>
    <row r="6" spans="1:90">
      <c r="A6" s="11" t="s">
        <v>120</v>
      </c>
      <c r="B6" s="11" t="s">
        <v>356</v>
      </c>
      <c r="C6" s="11" t="s">
        <v>58</v>
      </c>
      <c r="D6" s="37" t="s">
        <v>344</v>
      </c>
      <c r="E6" s="41" t="s">
        <v>123</v>
      </c>
      <c r="F6" s="38">
        <v>16</v>
      </c>
      <c r="G6" s="5">
        <v>2320</v>
      </c>
      <c r="H6" s="38">
        <v>1000</v>
      </c>
      <c r="I6" s="3" t="s">
        <v>148</v>
      </c>
      <c r="J6" s="37" t="s">
        <v>345</v>
      </c>
      <c r="K6" s="41" t="s">
        <v>126</v>
      </c>
      <c r="L6" s="11">
        <v>220914</v>
      </c>
      <c r="M6" s="46">
        <v>202.17500000000001</v>
      </c>
      <c r="N6" s="11" t="s">
        <v>346</v>
      </c>
      <c r="O6" s="11" t="s">
        <v>346</v>
      </c>
      <c r="P6" s="11" t="s">
        <v>347</v>
      </c>
      <c r="Q6" s="44" t="s">
        <v>194</v>
      </c>
      <c r="R6" s="11">
        <v>220914</v>
      </c>
      <c r="S6" s="11" t="s">
        <v>357</v>
      </c>
      <c r="T6" s="44" t="s">
        <v>197</v>
      </c>
      <c r="U6" s="97" t="s">
        <v>349</v>
      </c>
      <c r="CB6" s="1" t="s">
        <v>71</v>
      </c>
      <c r="CC6" s="1" t="s">
        <v>18</v>
      </c>
      <c r="CD6" s="1" t="s">
        <v>132</v>
      </c>
      <c r="CF6" t="str">
        <f>CUP[[#This Row],[Part Type]]</f>
        <v>Coupling</v>
      </c>
      <c r="CG6" s="52" t="str">
        <f>CUP[[#This Row],[Name]]</f>
        <v>TZM-1/2"</v>
      </c>
      <c r="CH6" t="str">
        <f>CUP[[#This Row],[UID]]</f>
        <v>CUP-TE</v>
      </c>
      <c r="CL6" t="str">
        <f>IF(CUP[[#This Row],[Status]]=0,"",CUP[[#This Row],[Status]])</f>
        <v>Active</v>
      </c>
    </row>
    <row r="7" spans="1:90">
      <c r="A7" s="11" t="s">
        <v>120</v>
      </c>
      <c r="B7" s="11" t="s">
        <v>358</v>
      </c>
      <c r="C7" s="11" t="s">
        <v>58</v>
      </c>
      <c r="D7" s="37" t="s">
        <v>344</v>
      </c>
      <c r="E7" s="41" t="s">
        <v>123</v>
      </c>
      <c r="F7" s="38">
        <v>16</v>
      </c>
      <c r="G7" s="5">
        <v>2320</v>
      </c>
      <c r="H7" s="38">
        <v>1000</v>
      </c>
      <c r="I7" s="3" t="s">
        <v>148</v>
      </c>
      <c r="J7" s="37" t="s">
        <v>345</v>
      </c>
      <c r="K7" s="41" t="s">
        <v>126</v>
      </c>
      <c r="L7" s="11">
        <v>220922</v>
      </c>
      <c r="M7" s="46">
        <v>199.375</v>
      </c>
      <c r="N7" s="11" t="s">
        <v>346</v>
      </c>
      <c r="O7" s="11" t="s">
        <v>359</v>
      </c>
      <c r="P7" s="11" t="s">
        <v>347</v>
      </c>
      <c r="Q7" s="44" t="s">
        <v>194</v>
      </c>
      <c r="R7" s="11">
        <v>220922</v>
      </c>
      <c r="S7" s="11" t="s">
        <v>360</v>
      </c>
      <c r="T7" s="44" t="s">
        <v>361</v>
      </c>
      <c r="U7" s="97" t="s">
        <v>362</v>
      </c>
      <c r="CB7" s="1" t="s">
        <v>71</v>
      </c>
      <c r="CC7" s="1" t="s">
        <v>18</v>
      </c>
      <c r="CD7" s="1" t="s">
        <v>132</v>
      </c>
      <c r="CF7" t="str">
        <f>CUP[[#This Row],[Part Type]]</f>
        <v>Coupling</v>
      </c>
      <c r="CG7" s="52" t="str">
        <f>CUP[[#This Row],[Name]]</f>
        <v>TZM-1/2"</v>
      </c>
      <c r="CH7" t="str">
        <f>CUP[[#This Row],[UID]]</f>
        <v>CUP-TF</v>
      </c>
      <c r="CL7" t="str">
        <f>IF(CUP[[#This Row],[Status]]=0,"",CUP[[#This Row],[Status]])</f>
        <v>Active</v>
      </c>
    </row>
    <row r="8" spans="1:90">
      <c r="A8" s="11" t="s">
        <v>120</v>
      </c>
      <c r="B8" s="11" t="s">
        <v>363</v>
      </c>
      <c r="C8" s="11" t="s">
        <v>58</v>
      </c>
      <c r="D8" s="37" t="s">
        <v>344</v>
      </c>
      <c r="E8" s="41" t="s">
        <v>123</v>
      </c>
      <c r="F8" s="38">
        <v>16</v>
      </c>
      <c r="G8" s="5">
        <v>2320</v>
      </c>
      <c r="H8" s="38">
        <v>1000</v>
      </c>
      <c r="I8" s="3" t="s">
        <v>148</v>
      </c>
      <c r="J8" s="37" t="s">
        <v>345</v>
      </c>
      <c r="K8" s="41" t="s">
        <v>126</v>
      </c>
      <c r="L8" s="11">
        <v>220922</v>
      </c>
      <c r="M8" s="46">
        <v>199.31800000000001</v>
      </c>
      <c r="N8" s="11" t="s">
        <v>346</v>
      </c>
      <c r="O8" s="11" t="s">
        <v>359</v>
      </c>
      <c r="P8" s="11" t="s">
        <v>347</v>
      </c>
      <c r="Q8" s="44" t="s">
        <v>194</v>
      </c>
      <c r="R8" s="11">
        <v>220922</v>
      </c>
      <c r="S8" s="11" t="s">
        <v>360</v>
      </c>
      <c r="T8" s="44" t="s">
        <v>361</v>
      </c>
      <c r="U8" s="97" t="s">
        <v>362</v>
      </c>
      <c r="CB8" s="1" t="s">
        <v>71</v>
      </c>
      <c r="CC8" s="1" t="s">
        <v>18</v>
      </c>
      <c r="CD8" s="1" t="s">
        <v>132</v>
      </c>
      <c r="CF8" t="str">
        <f>CUP[[#This Row],[Part Type]]</f>
        <v>Coupling</v>
      </c>
      <c r="CG8" s="52" t="str">
        <f>CUP[[#This Row],[Name]]</f>
        <v>TZM-1/2"</v>
      </c>
      <c r="CH8" t="str">
        <f>CUP[[#This Row],[UID]]</f>
        <v>CUP-TG</v>
      </c>
      <c r="CL8" t="str">
        <f>IF(CUP[[#This Row],[Status]]=0,"",CUP[[#This Row],[Status]])</f>
        <v>Active</v>
      </c>
    </row>
    <row r="9" spans="1:90">
      <c r="A9" s="11" t="s">
        <v>120</v>
      </c>
      <c r="B9" s="11" t="s">
        <v>364</v>
      </c>
      <c r="C9" s="11" t="s">
        <v>58</v>
      </c>
      <c r="D9" s="37" t="s">
        <v>344</v>
      </c>
      <c r="E9" s="41" t="s">
        <v>123</v>
      </c>
      <c r="F9" s="38">
        <v>16</v>
      </c>
      <c r="G9" s="5">
        <v>2320</v>
      </c>
      <c r="H9" s="38">
        <v>1000</v>
      </c>
      <c r="I9" s="3" t="s">
        <v>148</v>
      </c>
      <c r="J9" s="37" t="s">
        <v>345</v>
      </c>
      <c r="K9" s="41" t="s">
        <v>126</v>
      </c>
      <c r="L9" s="11">
        <v>220922</v>
      </c>
      <c r="M9" s="46">
        <v>199.251</v>
      </c>
      <c r="N9" s="11" t="s">
        <v>346</v>
      </c>
      <c r="O9" s="11" t="s">
        <v>359</v>
      </c>
      <c r="P9" s="11" t="s">
        <v>347</v>
      </c>
      <c r="Q9" s="44" t="s">
        <v>194</v>
      </c>
      <c r="R9" s="11">
        <v>220922</v>
      </c>
      <c r="S9" s="11" t="s">
        <v>360</v>
      </c>
      <c r="T9" s="44" t="s">
        <v>361</v>
      </c>
      <c r="U9" s="97" t="s">
        <v>362</v>
      </c>
      <c r="CB9" s="1" t="s">
        <v>71</v>
      </c>
      <c r="CC9" s="1" t="s">
        <v>18</v>
      </c>
      <c r="CD9" s="1" t="s">
        <v>132</v>
      </c>
      <c r="CF9" t="str">
        <f>CUP[[#This Row],[Part Type]]</f>
        <v>Coupling</v>
      </c>
      <c r="CG9" s="52" t="str">
        <f>CUP[[#This Row],[Name]]</f>
        <v>TZM-1/2"</v>
      </c>
      <c r="CH9" t="str">
        <f>CUP[[#This Row],[UID]]</f>
        <v>CUP-TH</v>
      </c>
      <c r="CL9" t="str">
        <f>IF(CUP[[#This Row],[Status]]=0,"",CUP[[#This Row],[Status]])</f>
        <v>Active</v>
      </c>
    </row>
    <row r="10" spans="1:90">
      <c r="A10" s="11" t="s">
        <v>120</v>
      </c>
      <c r="B10" s="11" t="s">
        <v>365</v>
      </c>
      <c r="C10" s="11" t="s">
        <v>58</v>
      </c>
      <c r="D10" s="37" t="s">
        <v>344</v>
      </c>
      <c r="E10" s="41" t="s">
        <v>123</v>
      </c>
      <c r="F10" s="38">
        <v>16</v>
      </c>
      <c r="G10" s="5">
        <v>2320</v>
      </c>
      <c r="H10" s="38">
        <v>1000</v>
      </c>
      <c r="I10" s="3" t="s">
        <v>148</v>
      </c>
      <c r="J10" s="37" t="s">
        <v>345</v>
      </c>
      <c r="K10" s="41" t="s">
        <v>126</v>
      </c>
      <c r="L10" s="11">
        <v>230502</v>
      </c>
      <c r="M10" s="46">
        <v>202.84200000000001</v>
      </c>
      <c r="N10" s="11" t="s">
        <v>346</v>
      </c>
      <c r="O10" s="11" t="s">
        <v>346</v>
      </c>
      <c r="P10" s="11" t="s">
        <v>347</v>
      </c>
      <c r="Q10" s="44" t="s">
        <v>194</v>
      </c>
      <c r="R10" s="44" t="s">
        <v>202</v>
      </c>
      <c r="S10" s="44" t="s">
        <v>203</v>
      </c>
      <c r="T10" s="12" t="s">
        <v>204</v>
      </c>
      <c r="U10" s="156" t="s">
        <v>205</v>
      </c>
      <c r="CB10" s="1" t="s">
        <v>71</v>
      </c>
      <c r="CC10" s="1" t="s">
        <v>18</v>
      </c>
      <c r="CD10" s="1" t="s">
        <v>132</v>
      </c>
      <c r="CF10" t="str">
        <f>CUP[[#This Row],[Part Type]]</f>
        <v>Coupling</v>
      </c>
      <c r="CG10" s="52" t="str">
        <f>CUP[[#This Row],[Name]]</f>
        <v>TZM-1/2"</v>
      </c>
      <c r="CH10" t="str">
        <f>CUP[[#This Row],[UID]]</f>
        <v>CUP-TI</v>
      </c>
      <c r="CL10" t="str">
        <f>IF(CUP[[#This Row],[Status]]=0,"",CUP[[#This Row],[Status]])</f>
        <v>Active</v>
      </c>
    </row>
    <row r="11" spans="1:90">
      <c r="A11" s="11" t="s">
        <v>120</v>
      </c>
      <c r="B11" s="11" t="s">
        <v>366</v>
      </c>
      <c r="C11" s="11" t="s">
        <v>58</v>
      </c>
      <c r="D11" s="37" t="s">
        <v>344</v>
      </c>
      <c r="E11" s="41" t="s">
        <v>123</v>
      </c>
      <c r="F11" s="38">
        <v>16</v>
      </c>
      <c r="G11" s="5">
        <v>2320</v>
      </c>
      <c r="H11" s="38">
        <v>1000</v>
      </c>
      <c r="I11" s="3" t="s">
        <v>148</v>
      </c>
      <c r="J11" s="37" t="s">
        <v>345</v>
      </c>
      <c r="K11" s="41" t="s">
        <v>126</v>
      </c>
      <c r="L11" s="11">
        <v>230502</v>
      </c>
      <c r="M11" s="46">
        <v>202.352</v>
      </c>
      <c r="N11" s="11" t="s">
        <v>346</v>
      </c>
      <c r="O11" s="11" t="s">
        <v>346</v>
      </c>
      <c r="P11" s="11" t="s">
        <v>347</v>
      </c>
      <c r="Q11" s="44" t="s">
        <v>194</v>
      </c>
      <c r="R11" s="44" t="s">
        <v>202</v>
      </c>
      <c r="S11" s="44" t="s">
        <v>203</v>
      </c>
      <c r="T11" s="12" t="s">
        <v>204</v>
      </c>
      <c r="U11" s="156" t="s">
        <v>205</v>
      </c>
      <c r="CB11" s="1" t="s">
        <v>71</v>
      </c>
      <c r="CC11" s="1" t="s">
        <v>18</v>
      </c>
      <c r="CD11" s="1" t="s">
        <v>132</v>
      </c>
      <c r="CF11" t="str">
        <f>CUP[[#This Row],[Part Type]]</f>
        <v>Coupling</v>
      </c>
      <c r="CG11" s="52" t="str">
        <f>CUP[[#This Row],[Name]]</f>
        <v>TZM-1/2"</v>
      </c>
      <c r="CH11" t="str">
        <f>CUP[[#This Row],[UID]]</f>
        <v>CUP-TJ</v>
      </c>
      <c r="CL11" t="str">
        <f>IF(CUP[[#This Row],[Status]]=0,"",CUP[[#This Row],[Status]])</f>
        <v>Active</v>
      </c>
    </row>
    <row r="12" spans="1:90">
      <c r="A12" s="11" t="s">
        <v>120</v>
      </c>
      <c r="B12" s="11" t="s">
        <v>367</v>
      </c>
      <c r="C12" s="11" t="s">
        <v>58</v>
      </c>
      <c r="D12" s="37" t="s">
        <v>344</v>
      </c>
      <c r="E12" s="41" t="s">
        <v>123</v>
      </c>
      <c r="F12" s="38">
        <v>16</v>
      </c>
      <c r="G12" s="5">
        <v>2320</v>
      </c>
      <c r="H12" s="38">
        <v>1000</v>
      </c>
      <c r="I12" s="3" t="s">
        <v>148</v>
      </c>
      <c r="J12" s="37" t="s">
        <v>345</v>
      </c>
      <c r="K12" s="41" t="s">
        <v>126</v>
      </c>
      <c r="L12" s="11">
        <v>230502</v>
      </c>
      <c r="M12" s="46">
        <v>201.95</v>
      </c>
      <c r="N12" s="11" t="s">
        <v>346</v>
      </c>
      <c r="O12" s="11" t="s">
        <v>346</v>
      </c>
      <c r="P12" s="11" t="s">
        <v>347</v>
      </c>
      <c r="Q12" s="44" t="s">
        <v>194</v>
      </c>
      <c r="R12" s="44" t="s">
        <v>202</v>
      </c>
      <c r="S12" s="44" t="s">
        <v>203</v>
      </c>
      <c r="T12" s="12" t="s">
        <v>204</v>
      </c>
      <c r="U12" s="156" t="s">
        <v>205</v>
      </c>
      <c r="CB12" s="1" t="s">
        <v>71</v>
      </c>
      <c r="CC12" s="1" t="s">
        <v>18</v>
      </c>
      <c r="CD12" s="1" t="s">
        <v>132</v>
      </c>
      <c r="CF12" t="str">
        <f>CUP[[#This Row],[Part Type]]</f>
        <v>Coupling</v>
      </c>
      <c r="CG12" s="52" t="str">
        <f>CUP[[#This Row],[Name]]</f>
        <v>TZM-1/2"</v>
      </c>
      <c r="CH12" t="str">
        <f>CUP[[#This Row],[UID]]</f>
        <v>CUP-TK</v>
      </c>
      <c r="CL12" t="str">
        <f>IF(CUP[[#This Row],[Status]]=0,"",CUP[[#This Row],[Status]])</f>
        <v>Active</v>
      </c>
    </row>
    <row r="13" spans="1:90" s="161" customFormat="1">
      <c r="A13" s="150" t="s">
        <v>140</v>
      </c>
      <c r="B13" s="150" t="s">
        <v>368</v>
      </c>
      <c r="C13" s="150" t="s">
        <v>58</v>
      </c>
      <c r="E13" s="150" t="s">
        <v>123</v>
      </c>
      <c r="I13" s="31" t="s">
        <v>210</v>
      </c>
      <c r="K13" s="161" t="s">
        <v>126</v>
      </c>
      <c r="L13" s="150">
        <v>240730</v>
      </c>
      <c r="M13" s="162">
        <v>202.702</v>
      </c>
      <c r="N13" s="11" t="s">
        <v>346</v>
      </c>
      <c r="O13" s="11" t="s">
        <v>346</v>
      </c>
      <c r="P13" s="11" t="s">
        <v>347</v>
      </c>
      <c r="Q13" s="150" t="s">
        <v>215</v>
      </c>
      <c r="R13" s="150">
        <v>240709</v>
      </c>
      <c r="S13" s="106" t="s">
        <v>216</v>
      </c>
      <c r="T13" s="161" t="s">
        <v>217</v>
      </c>
      <c r="CB13" s="159" t="s">
        <v>71</v>
      </c>
      <c r="CC13" s="159" t="s">
        <v>18</v>
      </c>
      <c r="CD13" s="159" t="s">
        <v>132</v>
      </c>
      <c r="CF13" s="161" t="str">
        <f>CUP[[#This Row],[Part Type]]</f>
        <v>Coupling</v>
      </c>
      <c r="CG13" s="163">
        <f>CUP[[#This Row],[Name]]</f>
        <v>0</v>
      </c>
      <c r="CH13" s="161" t="str">
        <f>CUP[[#This Row],[UID]]</f>
        <v>CUP-TL</v>
      </c>
      <c r="CL13" s="161" t="str">
        <f>IF(CUP[[#This Row],[Status]]=0,"",CUP[[#This Row],[Status]])</f>
        <v>New</v>
      </c>
    </row>
    <row r="14" spans="1:90" s="161" customFormat="1">
      <c r="A14" s="150" t="s">
        <v>140</v>
      </c>
      <c r="B14" s="150" t="s">
        <v>369</v>
      </c>
      <c r="C14" s="150" t="s">
        <v>58</v>
      </c>
      <c r="E14" s="150" t="s">
        <v>123</v>
      </c>
      <c r="I14" s="31" t="s">
        <v>210</v>
      </c>
      <c r="K14" s="161" t="s">
        <v>126</v>
      </c>
      <c r="L14" s="150">
        <v>240730</v>
      </c>
      <c r="M14" s="150">
        <v>202.10900000000001</v>
      </c>
      <c r="N14" s="11" t="s">
        <v>346</v>
      </c>
      <c r="O14" s="11" t="s">
        <v>346</v>
      </c>
      <c r="P14" s="11" t="s">
        <v>347</v>
      </c>
      <c r="Q14" s="150" t="s">
        <v>215</v>
      </c>
      <c r="R14" s="150">
        <v>240709</v>
      </c>
      <c r="S14" s="106" t="s">
        <v>216</v>
      </c>
      <c r="T14" s="161" t="s">
        <v>217</v>
      </c>
      <c r="CB14" s="159" t="s">
        <v>71</v>
      </c>
      <c r="CC14" s="159" t="s">
        <v>18</v>
      </c>
      <c r="CD14" s="159" t="s">
        <v>132</v>
      </c>
      <c r="CF14" s="161" t="str">
        <f>CUP[[#This Row],[Part Type]]</f>
        <v>Coupling</v>
      </c>
      <c r="CG14" s="163">
        <f>CUP[[#This Row],[Name]]</f>
        <v>0</v>
      </c>
      <c r="CH14" s="161" t="str">
        <f>CUP[[#This Row],[UID]]</f>
        <v>CUP-TM</v>
      </c>
      <c r="CL14" s="161" t="str">
        <f>IF(CUP[[#This Row],[Status]]=0,"",CUP[[#This Row],[Status]])</f>
        <v>New</v>
      </c>
    </row>
    <row r="15" spans="1:90" s="161" customFormat="1">
      <c r="A15" s="150" t="s">
        <v>140</v>
      </c>
      <c r="B15" s="150" t="s">
        <v>370</v>
      </c>
      <c r="C15" s="150" t="s">
        <v>58</v>
      </c>
      <c r="E15" s="150" t="s">
        <v>123</v>
      </c>
      <c r="I15" s="31" t="s">
        <v>210</v>
      </c>
      <c r="K15" s="161" t="s">
        <v>126</v>
      </c>
      <c r="L15" s="150">
        <v>240730</v>
      </c>
      <c r="M15" s="150">
        <v>202.452</v>
      </c>
      <c r="N15" s="11" t="s">
        <v>346</v>
      </c>
      <c r="O15" s="11" t="s">
        <v>346</v>
      </c>
      <c r="P15" s="11" t="s">
        <v>347</v>
      </c>
      <c r="Q15" s="150" t="s">
        <v>215</v>
      </c>
      <c r="R15" s="150">
        <v>240709</v>
      </c>
      <c r="S15" s="106" t="s">
        <v>216</v>
      </c>
      <c r="T15" s="161" t="s">
        <v>217</v>
      </c>
      <c r="CB15" s="159" t="s">
        <v>71</v>
      </c>
      <c r="CC15" s="159" t="s">
        <v>18</v>
      </c>
      <c r="CD15" s="159" t="s">
        <v>132</v>
      </c>
      <c r="CF15" s="161" t="str">
        <f>CUP[[#This Row],[Part Type]]</f>
        <v>Coupling</v>
      </c>
      <c r="CG15" s="163">
        <f>CUP[[#This Row],[Name]]</f>
        <v>0</v>
      </c>
      <c r="CH15" s="161" t="str">
        <f>CUP[[#This Row],[UID]]</f>
        <v>CUP-TN</v>
      </c>
      <c r="CL15" s="161" t="str">
        <f>IF(CUP[[#This Row],[Status]]=0,"",CUP[[#This Row],[Status]])</f>
        <v>New</v>
      </c>
    </row>
    <row r="16" spans="1:90" s="161" customFormat="1">
      <c r="A16" s="150" t="s">
        <v>140</v>
      </c>
      <c r="B16" s="150" t="s">
        <v>371</v>
      </c>
      <c r="C16" s="150" t="s">
        <v>58</v>
      </c>
      <c r="E16" s="150" t="s">
        <v>123</v>
      </c>
      <c r="I16" s="31" t="s">
        <v>210</v>
      </c>
      <c r="K16" s="161" t="s">
        <v>126</v>
      </c>
      <c r="L16" s="150">
        <v>240730</v>
      </c>
      <c r="M16" s="150">
        <v>202.334</v>
      </c>
      <c r="N16" s="11" t="s">
        <v>346</v>
      </c>
      <c r="O16" s="11" t="s">
        <v>346</v>
      </c>
      <c r="P16" s="11" t="s">
        <v>347</v>
      </c>
      <c r="Q16" s="150" t="s">
        <v>215</v>
      </c>
      <c r="R16" s="150">
        <v>240709</v>
      </c>
      <c r="S16" s="106" t="s">
        <v>216</v>
      </c>
      <c r="T16" s="161" t="s">
        <v>217</v>
      </c>
      <c r="CB16" s="159" t="s">
        <v>71</v>
      </c>
      <c r="CC16" s="159" t="s">
        <v>18</v>
      </c>
      <c r="CD16" s="159" t="s">
        <v>132</v>
      </c>
      <c r="CF16" s="161" t="str">
        <f>CUP[[#This Row],[Part Type]]</f>
        <v>Coupling</v>
      </c>
      <c r="CG16" s="163">
        <f>CUP[[#This Row],[Name]]</f>
        <v>0</v>
      </c>
      <c r="CH16" s="161" t="str">
        <f>CUP[[#This Row],[UID]]</f>
        <v>CUP-TO</v>
      </c>
      <c r="CL16" s="161" t="str">
        <f>IF(CUP[[#This Row],[Status]]=0,"",CUP[[#This Row],[Status]])</f>
        <v>New</v>
      </c>
    </row>
    <row r="17" spans="1:90" s="161" customFormat="1">
      <c r="A17" s="150" t="s">
        <v>140</v>
      </c>
      <c r="B17" s="150" t="s">
        <v>372</v>
      </c>
      <c r="C17" s="150" t="s">
        <v>58</v>
      </c>
      <c r="E17" s="150" t="s">
        <v>123</v>
      </c>
      <c r="I17" s="31" t="s">
        <v>210</v>
      </c>
      <c r="K17" s="161" t="s">
        <v>126</v>
      </c>
      <c r="L17" s="150">
        <v>240730</v>
      </c>
      <c r="M17" s="150">
        <v>202.24199999999999</v>
      </c>
      <c r="N17" s="11" t="s">
        <v>346</v>
      </c>
      <c r="O17" s="11" t="s">
        <v>346</v>
      </c>
      <c r="P17" s="11" t="s">
        <v>347</v>
      </c>
      <c r="Q17" s="150" t="s">
        <v>215</v>
      </c>
      <c r="R17" s="150">
        <v>240709</v>
      </c>
      <c r="S17" s="106" t="s">
        <v>216</v>
      </c>
      <c r="T17" s="161" t="s">
        <v>217</v>
      </c>
      <c r="CB17" s="159" t="s">
        <v>71</v>
      </c>
      <c r="CC17" s="159" t="s">
        <v>18</v>
      </c>
      <c r="CD17" s="159" t="s">
        <v>132</v>
      </c>
      <c r="CF17" s="161" t="str">
        <f>CUP[[#This Row],[Part Type]]</f>
        <v>Coupling</v>
      </c>
      <c r="CG17" s="163">
        <f>CUP[[#This Row],[Name]]</f>
        <v>0</v>
      </c>
      <c r="CH17" s="161" t="str">
        <f>CUP[[#This Row],[UID]]</f>
        <v>CUP-TP</v>
      </c>
      <c r="CL17" s="161" t="str">
        <f>IF(CUP[[#This Row],[Status]]=0,"",CUP[[#This Row],[Status]])</f>
        <v>New</v>
      </c>
    </row>
    <row r="18" spans="1:90">
      <c r="M18" s="11"/>
      <c r="CB18" s="1" t="s">
        <v>71</v>
      </c>
      <c r="CC18" s="1" t="s">
        <v>18</v>
      </c>
      <c r="CD18" s="1" t="s">
        <v>132</v>
      </c>
      <c r="CF18">
        <f>CUP[[#This Row],[Part Type]]</f>
        <v>0</v>
      </c>
      <c r="CG18" s="52">
        <f>CUP[[#This Row],[Name]]</f>
        <v>0</v>
      </c>
      <c r="CH18">
        <f>CUP[[#This Row],[UID]]</f>
        <v>0</v>
      </c>
      <c r="CL18" t="str">
        <f>IF(CUP[[#This Row],[Status]]=0,"",CUP[[#This Row],[Status]])</f>
        <v/>
      </c>
    </row>
    <row r="19" spans="1:90">
      <c r="CB19" s="1" t="s">
        <v>71</v>
      </c>
      <c r="CC19" s="1" t="s">
        <v>18</v>
      </c>
      <c r="CD19" s="1" t="s">
        <v>132</v>
      </c>
      <c r="CF19">
        <f>CUP[[#This Row],[Part Type]]</f>
        <v>0</v>
      </c>
      <c r="CG19" s="52">
        <f>CUP[[#This Row],[Name]]</f>
        <v>0</v>
      </c>
      <c r="CH19">
        <f>CUP[[#This Row],[UID]]</f>
        <v>0</v>
      </c>
      <c r="CL19" t="str">
        <f>IF(CUP[[#This Row],[Status]]=0,"",CUP[[#This Row],[Status]])</f>
        <v/>
      </c>
    </row>
    <row r="20" spans="1:90">
      <c r="CB20" s="1" t="s">
        <v>71</v>
      </c>
      <c r="CC20" s="1" t="s">
        <v>18</v>
      </c>
      <c r="CD20" s="1" t="s">
        <v>132</v>
      </c>
      <c r="CF20">
        <f>CUP[[#This Row],[Part Type]]</f>
        <v>0</v>
      </c>
      <c r="CG20" s="52">
        <f>CUP[[#This Row],[Name]]</f>
        <v>0</v>
      </c>
      <c r="CH20">
        <f>CUP[[#This Row],[UID]]</f>
        <v>0</v>
      </c>
      <c r="CL20" t="str">
        <f>IF(CUP[[#This Row],[Status]]=0,"",CUP[[#This Row],[Status]])</f>
        <v/>
      </c>
    </row>
    <row r="21" spans="1:90">
      <c r="CB21" s="1" t="s">
        <v>71</v>
      </c>
      <c r="CC21" s="1" t="s">
        <v>18</v>
      </c>
      <c r="CD21" s="1" t="s">
        <v>132</v>
      </c>
      <c r="CF21">
        <f>CUP[[#This Row],[Part Type]]</f>
        <v>0</v>
      </c>
      <c r="CG21" s="52">
        <f>CUP[[#This Row],[Name]]</f>
        <v>0</v>
      </c>
      <c r="CH21">
        <f>CUP[[#This Row],[UID]]</f>
        <v>0</v>
      </c>
      <c r="CL21" t="str">
        <f>IF(CUP[[#This Row],[Status]]=0,"",CUP[[#This Row],[Status]])</f>
        <v/>
      </c>
    </row>
    <row r="22" spans="1:90">
      <c r="CB22" s="1" t="s">
        <v>71</v>
      </c>
      <c r="CC22" s="1" t="s">
        <v>18</v>
      </c>
      <c r="CD22" s="1" t="s">
        <v>132</v>
      </c>
      <c r="CF22">
        <f>CUP[[#This Row],[Part Type]]</f>
        <v>0</v>
      </c>
      <c r="CG22" s="52">
        <f>CUP[[#This Row],[Name]]</f>
        <v>0</v>
      </c>
      <c r="CH22">
        <f>CUP[[#This Row],[UID]]</f>
        <v>0</v>
      </c>
      <c r="CL22" t="str">
        <f>IF(CUP[[#This Row],[Status]]=0,"",CUP[[#This Row],[Status]])</f>
        <v/>
      </c>
    </row>
    <row r="23" spans="1:90">
      <c r="CB23" s="1" t="s">
        <v>71</v>
      </c>
      <c r="CC23" s="1" t="s">
        <v>18</v>
      </c>
      <c r="CD23" s="1" t="s">
        <v>132</v>
      </c>
      <c r="CF23">
        <f>CUP[[#This Row],[Part Type]]</f>
        <v>0</v>
      </c>
      <c r="CG23" s="52">
        <f>CUP[[#This Row],[Name]]</f>
        <v>0</v>
      </c>
      <c r="CH23">
        <f>CUP[[#This Row],[UID]]</f>
        <v>0</v>
      </c>
      <c r="CL23" t="str">
        <f>IF(CUP[[#This Row],[Status]]=0,"",CUP[[#This Row],[Status]])</f>
        <v/>
      </c>
    </row>
    <row r="24" spans="1:90">
      <c r="CB24" s="1" t="s">
        <v>71</v>
      </c>
      <c r="CC24" s="1" t="s">
        <v>18</v>
      </c>
      <c r="CD24" s="1" t="s">
        <v>132</v>
      </c>
      <c r="CF24">
        <f>CUP[[#This Row],[Part Type]]</f>
        <v>0</v>
      </c>
      <c r="CG24" s="52">
        <f>CUP[[#This Row],[Name]]</f>
        <v>0</v>
      </c>
      <c r="CH24">
        <f>CUP[[#This Row],[UID]]</f>
        <v>0</v>
      </c>
      <c r="CL24" t="str">
        <f>IF(CUP[[#This Row],[Status]]=0,"",CUP[[#This Row],[Status]])</f>
        <v/>
      </c>
    </row>
    <row r="25" spans="1:90">
      <c r="CB25" s="1" t="s">
        <v>71</v>
      </c>
      <c r="CC25" s="1" t="s">
        <v>18</v>
      </c>
      <c r="CD25" s="1" t="s">
        <v>132</v>
      </c>
      <c r="CF25">
        <f>CUP[[#This Row],[Part Type]]</f>
        <v>0</v>
      </c>
      <c r="CG25" s="52">
        <f>CUP[[#This Row],[Name]]</f>
        <v>0</v>
      </c>
      <c r="CH25">
        <f>CUP[[#This Row],[UID]]</f>
        <v>0</v>
      </c>
      <c r="CL25" t="str">
        <f>IF(CUP[[#This Row],[Status]]=0,"",CUP[[#This Row],[Status]])</f>
        <v/>
      </c>
    </row>
    <row r="26" spans="1:90">
      <c r="CB26" s="1" t="s">
        <v>71</v>
      </c>
      <c r="CC26" s="1" t="s">
        <v>18</v>
      </c>
      <c r="CD26" s="1" t="s">
        <v>132</v>
      </c>
      <c r="CF26">
        <f>CUP[[#This Row],[Part Type]]</f>
        <v>0</v>
      </c>
      <c r="CG26" s="52">
        <f>CUP[[#This Row],[Name]]</f>
        <v>0</v>
      </c>
      <c r="CH26">
        <f>CUP[[#This Row],[UID]]</f>
        <v>0</v>
      </c>
      <c r="CL26" t="str">
        <f>IF(CUP[[#This Row],[Status]]=0,"",CUP[[#This Row],[Status]])</f>
        <v/>
      </c>
    </row>
    <row r="27" spans="1:90">
      <c r="CB27" s="1" t="s">
        <v>71</v>
      </c>
      <c r="CC27" s="1" t="s">
        <v>18</v>
      </c>
      <c r="CD27" s="1" t="s">
        <v>132</v>
      </c>
      <c r="CF27">
        <f>CUP[[#This Row],[Part Type]]</f>
        <v>0</v>
      </c>
      <c r="CG27" s="52">
        <f>CUP[[#This Row],[Name]]</f>
        <v>0</v>
      </c>
      <c r="CH27">
        <f>CUP[[#This Row],[UID]]</f>
        <v>0</v>
      </c>
      <c r="CL27" t="str">
        <f>IF(CUP[[#This Row],[Status]]=0,"",CUP[[#This Row],[Status]])</f>
        <v/>
      </c>
    </row>
    <row r="28" spans="1:90">
      <c r="CB28" s="1" t="s">
        <v>71</v>
      </c>
      <c r="CC28" s="1" t="s">
        <v>18</v>
      </c>
      <c r="CD28" s="1" t="s">
        <v>132</v>
      </c>
      <c r="CF28">
        <f>CUP[[#This Row],[Part Type]]</f>
        <v>0</v>
      </c>
      <c r="CG28" s="52">
        <f>CUP[[#This Row],[Name]]</f>
        <v>0</v>
      </c>
      <c r="CH28">
        <f>CUP[[#This Row],[UID]]</f>
        <v>0</v>
      </c>
      <c r="CL28" t="str">
        <f>IF(CUP[[#This Row],[Status]]=0,"",CUP[[#This Row],[Status]])</f>
        <v/>
      </c>
    </row>
    <row r="29" spans="1:90">
      <c r="CB29" s="1" t="s">
        <v>71</v>
      </c>
      <c r="CC29" s="1" t="s">
        <v>18</v>
      </c>
      <c r="CD29" s="1" t="s">
        <v>132</v>
      </c>
      <c r="CF29">
        <f>CUP[[#This Row],[Part Type]]</f>
        <v>0</v>
      </c>
      <c r="CG29" s="52">
        <f>CUP[[#This Row],[Name]]</f>
        <v>0</v>
      </c>
      <c r="CH29">
        <f>CUP[[#This Row],[UID]]</f>
        <v>0</v>
      </c>
      <c r="CL29" t="str">
        <f>IF(CUP[[#This Row],[Status]]=0,"",CUP[[#This Row],[Status]])</f>
        <v/>
      </c>
    </row>
    <row r="30" spans="1:90">
      <c r="CB30" s="1" t="s">
        <v>71</v>
      </c>
      <c r="CC30" s="1" t="s">
        <v>18</v>
      </c>
      <c r="CD30" s="1" t="s">
        <v>132</v>
      </c>
      <c r="CF30">
        <f>CUP[[#This Row],[Part Type]]</f>
        <v>0</v>
      </c>
      <c r="CG30" s="52">
        <f>CUP[[#This Row],[Name]]</f>
        <v>0</v>
      </c>
      <c r="CH30">
        <f>CUP[[#This Row],[UID]]</f>
        <v>0</v>
      </c>
      <c r="CL30" t="str">
        <f>IF(CUP[[#This Row],[Status]]=0,"",CUP[[#This Row],[Status]])</f>
        <v/>
      </c>
    </row>
    <row r="31" spans="1:90">
      <c r="CB31" s="1" t="s">
        <v>71</v>
      </c>
      <c r="CC31" s="1" t="s">
        <v>18</v>
      </c>
      <c r="CD31" s="1" t="s">
        <v>132</v>
      </c>
      <c r="CF31">
        <f>CUP[[#This Row],[Part Type]]</f>
        <v>0</v>
      </c>
      <c r="CG31" s="52">
        <f>CUP[[#This Row],[Name]]</f>
        <v>0</v>
      </c>
      <c r="CH31">
        <f>CUP[[#This Row],[UID]]</f>
        <v>0</v>
      </c>
      <c r="CL31" t="str">
        <f>IF(CUP[[#This Row],[Status]]=0,"",CUP[[#This Row],[Status]])</f>
        <v/>
      </c>
    </row>
    <row r="32" spans="1:90">
      <c r="CB32" s="1" t="s">
        <v>71</v>
      </c>
      <c r="CC32" s="1" t="s">
        <v>18</v>
      </c>
      <c r="CD32" s="1" t="s">
        <v>132</v>
      </c>
      <c r="CF32">
        <f>CUP[[#This Row],[Part Type]]</f>
        <v>0</v>
      </c>
      <c r="CG32" s="52">
        <f>CUP[[#This Row],[Name]]</f>
        <v>0</v>
      </c>
      <c r="CH32">
        <f>CUP[[#This Row],[UID]]</f>
        <v>0</v>
      </c>
      <c r="CL32" t="str">
        <f>IF(CUP[[#This Row],[Status]]=0,"",CUP[[#This Row],[Status]])</f>
        <v/>
      </c>
    </row>
    <row r="33" spans="80:90">
      <c r="CB33" s="1" t="s">
        <v>71</v>
      </c>
      <c r="CC33" s="1" t="s">
        <v>18</v>
      </c>
      <c r="CD33" s="1" t="s">
        <v>132</v>
      </c>
      <c r="CF33">
        <f>CUP[[#This Row],[Part Type]]</f>
        <v>0</v>
      </c>
      <c r="CG33" s="52">
        <f>CUP[[#This Row],[Name]]</f>
        <v>0</v>
      </c>
      <c r="CH33">
        <f>CUP[[#This Row],[UID]]</f>
        <v>0</v>
      </c>
      <c r="CL33" t="str">
        <f>IF(CUP[[#This Row],[Status]]=0,"",CUP[[#This Row],[Status]])</f>
        <v/>
      </c>
    </row>
    <row r="34" spans="80:90">
      <c r="CB34" s="1" t="s">
        <v>71</v>
      </c>
      <c r="CC34" s="1" t="s">
        <v>18</v>
      </c>
      <c r="CD34" s="1" t="s">
        <v>132</v>
      </c>
      <c r="CF34">
        <f>CUP[[#This Row],[Part Type]]</f>
        <v>0</v>
      </c>
      <c r="CG34" s="52">
        <f>CUP[[#This Row],[Name]]</f>
        <v>0</v>
      </c>
      <c r="CH34">
        <f>CUP[[#This Row],[UID]]</f>
        <v>0</v>
      </c>
      <c r="CL34" t="str">
        <f>IF(CUP[[#This Row],[Status]]=0,"",CUP[[#This Row],[Status]])</f>
        <v/>
      </c>
    </row>
    <row r="35" spans="80:90">
      <c r="CB35" s="1" t="s">
        <v>71</v>
      </c>
      <c r="CC35" s="1" t="s">
        <v>18</v>
      </c>
      <c r="CD35" s="1" t="s">
        <v>132</v>
      </c>
      <c r="CF35">
        <f>CUP[[#This Row],[Part Type]]</f>
        <v>0</v>
      </c>
      <c r="CG35" s="52">
        <f>CUP[[#This Row],[Name]]</f>
        <v>0</v>
      </c>
      <c r="CH35">
        <f>CUP[[#This Row],[UID]]</f>
        <v>0</v>
      </c>
      <c r="CL35" t="str">
        <f>IF(CUP[[#This Row],[Status]]=0,"",CUP[[#This Row],[Status]])</f>
        <v/>
      </c>
    </row>
    <row r="36" spans="80:90">
      <c r="CB36" s="1" t="s">
        <v>71</v>
      </c>
      <c r="CC36" s="1" t="s">
        <v>18</v>
      </c>
      <c r="CD36" s="1" t="s">
        <v>132</v>
      </c>
      <c r="CF36">
        <f>CUP[[#This Row],[Part Type]]</f>
        <v>0</v>
      </c>
      <c r="CG36" s="52">
        <f>CUP[[#This Row],[Name]]</f>
        <v>0</v>
      </c>
      <c r="CH36">
        <f>CUP[[#This Row],[UID]]</f>
        <v>0</v>
      </c>
      <c r="CL36" t="str">
        <f>IF(CUP[[#This Row],[Status]]=0,"",CUP[[#This Row],[Status]])</f>
        <v/>
      </c>
    </row>
    <row r="37" spans="80:90">
      <c r="CB37" s="1" t="s">
        <v>71</v>
      </c>
      <c r="CC37" s="1" t="s">
        <v>18</v>
      </c>
      <c r="CD37" s="1" t="s">
        <v>132</v>
      </c>
      <c r="CF37">
        <f>CUP[[#This Row],[Part Type]]</f>
        <v>0</v>
      </c>
      <c r="CG37" s="52">
        <f>CUP[[#This Row],[Name]]</f>
        <v>0</v>
      </c>
      <c r="CH37">
        <f>CUP[[#This Row],[UID]]</f>
        <v>0</v>
      </c>
      <c r="CL37" t="str">
        <f>IF(CUP[[#This Row],[Status]]=0,"",CUP[[#This Row],[Status]])</f>
        <v/>
      </c>
    </row>
    <row r="38" spans="80:90">
      <c r="CB38" s="1" t="s">
        <v>71</v>
      </c>
      <c r="CC38" s="1" t="s">
        <v>18</v>
      </c>
      <c r="CD38" s="1" t="s">
        <v>132</v>
      </c>
      <c r="CF38">
        <f>CUP[[#This Row],[Part Type]]</f>
        <v>0</v>
      </c>
      <c r="CG38" s="52">
        <f>CUP[[#This Row],[Name]]</f>
        <v>0</v>
      </c>
      <c r="CH38">
        <f>CUP[[#This Row],[UID]]</f>
        <v>0</v>
      </c>
      <c r="CL38" t="str">
        <f>IF(CUP[[#This Row],[Status]]=0,"",CUP[[#This Row],[Status]])</f>
        <v/>
      </c>
    </row>
    <row r="39" spans="80:90">
      <c r="CB39" s="1" t="s">
        <v>71</v>
      </c>
      <c r="CC39" s="1" t="s">
        <v>18</v>
      </c>
      <c r="CD39" s="1" t="s">
        <v>132</v>
      </c>
      <c r="CF39">
        <f>CUP[[#This Row],[Part Type]]</f>
        <v>0</v>
      </c>
      <c r="CG39" s="52">
        <f>CUP[[#This Row],[Name]]</f>
        <v>0</v>
      </c>
      <c r="CH39">
        <f>CUP[[#This Row],[UID]]</f>
        <v>0</v>
      </c>
      <c r="CL39" t="str">
        <f>IF(CUP[[#This Row],[Status]]=0,"",CUP[[#This Row],[Status]])</f>
        <v/>
      </c>
    </row>
    <row r="40" spans="80:90">
      <c r="CB40" s="1" t="s">
        <v>71</v>
      </c>
      <c r="CC40" s="1" t="s">
        <v>18</v>
      </c>
      <c r="CD40" s="1" t="s">
        <v>132</v>
      </c>
      <c r="CF40">
        <f>CUP[[#This Row],[Part Type]]</f>
        <v>0</v>
      </c>
      <c r="CG40" s="52">
        <f>CUP[[#This Row],[Name]]</f>
        <v>0</v>
      </c>
      <c r="CH40">
        <f>CUP[[#This Row],[UID]]</f>
        <v>0</v>
      </c>
      <c r="CL40" t="str">
        <f>IF(CUP[[#This Row],[Status]]=0,"",CUP[[#This Row],[Status]])</f>
        <v/>
      </c>
    </row>
    <row r="41" spans="80:90">
      <c r="CB41" s="1" t="s">
        <v>71</v>
      </c>
      <c r="CC41" s="1" t="s">
        <v>18</v>
      </c>
      <c r="CD41" s="1" t="s">
        <v>132</v>
      </c>
      <c r="CF41">
        <f>CUP[[#This Row],[Part Type]]</f>
        <v>0</v>
      </c>
      <c r="CG41" s="52">
        <f>CUP[[#This Row],[Name]]</f>
        <v>0</v>
      </c>
      <c r="CH41">
        <f>CUP[[#This Row],[UID]]</f>
        <v>0</v>
      </c>
      <c r="CL41" t="str">
        <f>IF(CUP[[#This Row],[Status]]=0,"",CUP[[#This Row],[Status]])</f>
        <v/>
      </c>
    </row>
    <row r="42" spans="80:90">
      <c r="CB42" s="1" t="s">
        <v>71</v>
      </c>
      <c r="CC42" s="1" t="s">
        <v>18</v>
      </c>
      <c r="CD42" s="1" t="s">
        <v>132</v>
      </c>
      <c r="CF42">
        <f>CUP[[#This Row],[Part Type]]</f>
        <v>0</v>
      </c>
      <c r="CG42" s="52">
        <f>CUP[[#This Row],[Name]]</f>
        <v>0</v>
      </c>
      <c r="CH42">
        <f>CUP[[#This Row],[UID]]</f>
        <v>0</v>
      </c>
      <c r="CL42" t="str">
        <f>IF(CUP[[#This Row],[Status]]=0,"",CUP[[#This Row],[Status]])</f>
        <v/>
      </c>
    </row>
    <row r="43" spans="80:90">
      <c r="CB43" s="1" t="s">
        <v>71</v>
      </c>
      <c r="CC43" s="1" t="s">
        <v>18</v>
      </c>
      <c r="CD43" s="1" t="s">
        <v>132</v>
      </c>
      <c r="CF43">
        <f>CUP[[#This Row],[Part Type]]</f>
        <v>0</v>
      </c>
      <c r="CG43" s="52">
        <f>CUP[[#This Row],[Name]]</f>
        <v>0</v>
      </c>
      <c r="CH43">
        <f>CUP[[#This Row],[UID]]</f>
        <v>0</v>
      </c>
      <c r="CL43" t="str">
        <f>IF(CUP[[#This Row],[Status]]=0,"",CUP[[#This Row],[Status]])</f>
        <v/>
      </c>
    </row>
    <row r="44" spans="80:90">
      <c r="CB44" s="1" t="s">
        <v>71</v>
      </c>
      <c r="CC44" s="1" t="s">
        <v>18</v>
      </c>
      <c r="CD44" s="1" t="s">
        <v>132</v>
      </c>
      <c r="CF44">
        <f>CUP[[#This Row],[Part Type]]</f>
        <v>0</v>
      </c>
      <c r="CG44" s="52">
        <f>CUP[[#This Row],[Name]]</f>
        <v>0</v>
      </c>
      <c r="CH44">
        <f>CUP[[#This Row],[UID]]</f>
        <v>0</v>
      </c>
      <c r="CL44" t="str">
        <f>IF(CUP[[#This Row],[Status]]=0,"",CUP[[#This Row],[Status]])</f>
        <v/>
      </c>
    </row>
    <row r="45" spans="80:90">
      <c r="CB45" s="1" t="s">
        <v>71</v>
      </c>
      <c r="CC45" s="1" t="s">
        <v>18</v>
      </c>
      <c r="CD45" s="1" t="s">
        <v>132</v>
      </c>
      <c r="CF45">
        <f>CUP[[#This Row],[Part Type]]</f>
        <v>0</v>
      </c>
      <c r="CG45" s="52">
        <f>CUP[[#This Row],[Name]]</f>
        <v>0</v>
      </c>
      <c r="CH45">
        <f>CUP[[#This Row],[UID]]</f>
        <v>0</v>
      </c>
      <c r="CL45" t="str">
        <f>IF(CUP[[#This Row],[Status]]=0,"",CUP[[#This Row],[Status]])</f>
        <v/>
      </c>
    </row>
    <row r="46" spans="80:90">
      <c r="CB46" s="1" t="s">
        <v>71</v>
      </c>
      <c r="CC46" s="1" t="s">
        <v>18</v>
      </c>
      <c r="CD46" s="1" t="s">
        <v>132</v>
      </c>
      <c r="CF46">
        <f>CUP[[#This Row],[Part Type]]</f>
        <v>0</v>
      </c>
      <c r="CG46" s="52">
        <f>CUP[[#This Row],[Name]]</f>
        <v>0</v>
      </c>
      <c r="CH46">
        <f>CUP[[#This Row],[UID]]</f>
        <v>0</v>
      </c>
      <c r="CL46" t="str">
        <f>IF(CUP[[#This Row],[Status]]=0,"",CUP[[#This Row],[Status]])</f>
        <v/>
      </c>
    </row>
    <row r="47" spans="80:90">
      <c r="CB47" s="1" t="s">
        <v>71</v>
      </c>
      <c r="CC47" s="1" t="s">
        <v>18</v>
      </c>
      <c r="CD47" s="1" t="s">
        <v>132</v>
      </c>
      <c r="CF47">
        <f>CUP[[#This Row],[Part Type]]</f>
        <v>0</v>
      </c>
      <c r="CG47" s="52">
        <f>CUP[[#This Row],[Name]]</f>
        <v>0</v>
      </c>
      <c r="CH47">
        <f>CUP[[#This Row],[UID]]</f>
        <v>0</v>
      </c>
      <c r="CL47" t="str">
        <f>IF(CUP[[#This Row],[Status]]=0,"",CUP[[#This Row],[Status]])</f>
        <v/>
      </c>
    </row>
    <row r="48" spans="80:90">
      <c r="CB48" s="1" t="s">
        <v>71</v>
      </c>
      <c r="CC48" s="1" t="s">
        <v>18</v>
      </c>
      <c r="CD48" s="1" t="s">
        <v>132</v>
      </c>
      <c r="CF48">
        <f>CUP[[#This Row],[Part Type]]</f>
        <v>0</v>
      </c>
      <c r="CG48" s="52">
        <f>CUP[[#This Row],[Name]]</f>
        <v>0</v>
      </c>
      <c r="CH48">
        <f>CUP[[#This Row],[UID]]</f>
        <v>0</v>
      </c>
      <c r="CL48" t="str">
        <f>IF(CUP[[#This Row],[Status]]=0,"",CUP[[#This Row],[Status]])</f>
        <v/>
      </c>
    </row>
    <row r="49" spans="80:90">
      <c r="CB49" s="1" t="s">
        <v>71</v>
      </c>
      <c r="CC49" s="1" t="s">
        <v>18</v>
      </c>
      <c r="CD49" s="1" t="s">
        <v>132</v>
      </c>
      <c r="CF49">
        <f>CUP[[#This Row],[Part Type]]</f>
        <v>0</v>
      </c>
      <c r="CG49" s="52">
        <f>CUP[[#This Row],[Name]]</f>
        <v>0</v>
      </c>
      <c r="CH49">
        <f>CUP[[#This Row],[UID]]</f>
        <v>0</v>
      </c>
      <c r="CL49" t="str">
        <f>IF(CUP[[#This Row],[Status]]=0,"",CUP[[#This Row],[Status]])</f>
        <v/>
      </c>
    </row>
    <row r="50" spans="80:90">
      <c r="CB50" s="1" t="s">
        <v>71</v>
      </c>
      <c r="CC50" s="1" t="s">
        <v>18</v>
      </c>
      <c r="CD50" s="1" t="s">
        <v>132</v>
      </c>
      <c r="CF50">
        <f>CUP[[#This Row],[Part Type]]</f>
        <v>0</v>
      </c>
      <c r="CG50" s="52">
        <f>CUP[[#This Row],[Name]]</f>
        <v>0</v>
      </c>
      <c r="CH50">
        <f>CUP[[#This Row],[UID]]</f>
        <v>0</v>
      </c>
      <c r="CL50" t="str">
        <f>IF(CUP[[#This Row],[Status]]=0,"",CUP[[#This Row],[Status]])</f>
        <v/>
      </c>
    </row>
    <row r="51" spans="80:90">
      <c r="CB51" s="1" t="s">
        <v>71</v>
      </c>
      <c r="CC51" s="1" t="s">
        <v>18</v>
      </c>
      <c r="CD51" s="1" t="s">
        <v>132</v>
      </c>
      <c r="CF51">
        <f>CUP[[#This Row],[Part Type]]</f>
        <v>0</v>
      </c>
      <c r="CG51" s="52">
        <f>CUP[[#This Row],[Name]]</f>
        <v>0</v>
      </c>
      <c r="CH51">
        <f>CUP[[#This Row],[UID]]</f>
        <v>0</v>
      </c>
      <c r="CL51" t="str">
        <f>IF(CUP[[#This Row],[Status]]=0,"",CUP[[#This Row],[Status]])</f>
        <v/>
      </c>
    </row>
  </sheetData>
  <phoneticPr fontId="5" type="noConversion"/>
  <hyperlinks>
    <hyperlink ref="U9" r:id="rId1" xr:uid="{EC049C7D-F5C0-469E-96DB-365913DDE683}"/>
    <hyperlink ref="U8" r:id="rId2" xr:uid="{250E407F-B12B-4B08-B12C-84674EC90C81}"/>
    <hyperlink ref="U7" r:id="rId3" xr:uid="{9045BE20-7D67-4387-B5A2-8CB7138449B4}"/>
    <hyperlink ref="U2" r:id="rId4" xr:uid="{93D541EA-9DDC-4E1D-AEC2-6D0001ADE871}"/>
    <hyperlink ref="U3" r:id="rId5" xr:uid="{40A3AC94-5156-4F28-BEDA-8181DC0C7551}"/>
    <hyperlink ref="U4" r:id="rId6" xr:uid="{6F89C02A-2E89-486A-9335-A0281524E22E}"/>
    <hyperlink ref="U5" r:id="rId7" xr:uid="{D0C7ADB1-1EBF-4953-8644-41EA36C565EF}"/>
    <hyperlink ref="U6" r:id="rId8" xr:uid="{4766847D-E38E-467B-9B6C-03C6B9A5CA34}"/>
    <hyperlink ref="U10" r:id="rId9" xr:uid="{FCFFC36E-CD06-4A35-AA5B-243D671D73D4}"/>
    <hyperlink ref="U11" r:id="rId10" xr:uid="{B281B07E-0D6B-417B-A6A9-B41D727569D5}"/>
    <hyperlink ref="U12" r:id="rId11" xr:uid="{E3ECE62B-8DCB-49E7-BAAE-961AFCEDD47E}"/>
  </hyperlinks>
  <pageMargins left="0.7" right="0.7" top="0.75" bottom="0.75" header="0.3" footer="0.3"/>
  <pageSetup orientation="portrait" horizontalDpi="4294967295" verticalDpi="4294967295" r:id="rId12"/>
  <tableParts count="2">
    <tablePart r:id="rId13"/>
    <tablePart r:id="rId1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FC292-DDF8-F544-8A72-A84135795637}">
  <sheetPr codeName="Sheet11"/>
  <dimension ref="A1:CK51"/>
  <sheetViews>
    <sheetView zoomScale="91" zoomScaleNormal="91" workbookViewId="0">
      <selection activeCell="C1" sqref="C1"/>
    </sheetView>
  </sheetViews>
  <sheetFormatPr defaultColWidth="10.875" defaultRowHeight="15.95"/>
  <cols>
    <col min="1" max="1" width="11.875" style="18" bestFit="1" customWidth="1"/>
    <col min="2" max="2" width="20.625" style="18" bestFit="1" customWidth="1"/>
    <col min="3" max="3" width="12.625" style="18" bestFit="1" customWidth="1"/>
    <col min="4" max="4" width="24.625" style="18" bestFit="1" customWidth="1"/>
    <col min="5" max="5" width="11.5" style="18" bestFit="1" customWidth="1"/>
    <col min="6" max="6" width="26.875" style="18" bestFit="1" customWidth="1"/>
    <col min="7" max="7" width="26" style="18" bestFit="1" customWidth="1"/>
    <col min="8" max="9" width="12.375" style="18" bestFit="1" customWidth="1"/>
    <col min="10" max="10" width="17.625" style="18" bestFit="1" customWidth="1"/>
    <col min="11" max="12" width="17.125" style="18" bestFit="1" customWidth="1"/>
    <col min="13" max="13" width="13.625" style="18" bestFit="1" customWidth="1"/>
    <col min="14" max="14" width="10.875" style="18" bestFit="1" customWidth="1"/>
    <col min="15" max="15" width="14.125" style="18" bestFit="1" customWidth="1"/>
    <col min="16" max="16" width="16.875" style="18" bestFit="1" customWidth="1"/>
    <col min="18" max="18" width="26.625" style="18" bestFit="1" customWidth="1"/>
    <col min="19" max="19" width="9.125" style="18" bestFit="1" customWidth="1"/>
    <col min="20" max="20" width="13.125" style="18" bestFit="1" customWidth="1"/>
    <col min="21" max="21" width="59.375" style="18" bestFit="1" customWidth="1"/>
    <col min="22" max="78" width="10.875" style="18"/>
    <col min="79" max="79" width="16.125" style="18" customWidth="1"/>
    <col min="80" max="80" width="19.875" style="18" customWidth="1"/>
    <col min="81" max="81" width="20.5" style="18" customWidth="1"/>
    <col min="82" max="83" width="10.875" style="18"/>
    <col min="84" max="84" width="13.625" style="18" customWidth="1"/>
    <col min="85" max="85" width="12.5" style="18" customWidth="1"/>
    <col min="86" max="86" width="17" style="18" customWidth="1"/>
    <col min="87" max="87" width="10.875" style="18"/>
    <col min="88" max="88" width="15.125" style="18" customWidth="1"/>
    <col min="89" max="16384" width="10.875" style="18"/>
  </cols>
  <sheetData>
    <row r="1" spans="1:89">
      <c r="A1" s="18" t="s">
        <v>12</v>
      </c>
      <c r="B1" s="25" t="s">
        <v>95</v>
      </c>
      <c r="C1" s="178" t="s">
        <v>94</v>
      </c>
      <c r="D1" s="18" t="s">
        <v>225</v>
      </c>
      <c r="E1" s="18" t="s">
        <v>226</v>
      </c>
      <c r="F1" s="18" t="s">
        <v>227</v>
      </c>
      <c r="G1" s="18" t="s">
        <v>228</v>
      </c>
      <c r="H1" s="18" t="s">
        <v>229</v>
      </c>
      <c r="I1" s="18" t="s">
        <v>230</v>
      </c>
      <c r="J1" s="19" t="s">
        <v>231</v>
      </c>
      <c r="K1" s="19" t="s">
        <v>302</v>
      </c>
      <c r="L1" s="19" t="s">
        <v>303</v>
      </c>
      <c r="M1" s="53" t="s">
        <v>232</v>
      </c>
      <c r="N1" s="19" t="s">
        <v>233</v>
      </c>
      <c r="O1" s="18" t="s">
        <v>234</v>
      </c>
      <c r="P1" s="18" t="s">
        <v>235</v>
      </c>
      <c r="Q1" s="18" t="s">
        <v>236</v>
      </c>
      <c r="R1" s="18" t="s">
        <v>117</v>
      </c>
      <c r="S1" s="18" t="s">
        <v>237</v>
      </c>
      <c r="T1" s="18" t="s">
        <v>238</v>
      </c>
      <c r="BZ1" t="s">
        <v>119</v>
      </c>
      <c r="CA1" s="117" t="s">
        <v>2</v>
      </c>
      <c r="CB1" s="118" t="s">
        <v>3</v>
      </c>
      <c r="CC1" s="118" t="s">
        <v>4</v>
      </c>
      <c r="CD1" s="118" t="s">
        <v>5</v>
      </c>
      <c r="CE1" s="118" t="s">
        <v>6</v>
      </c>
      <c r="CF1" s="119" t="s">
        <v>7</v>
      </c>
      <c r="CG1" s="118" t="s">
        <v>8</v>
      </c>
      <c r="CH1" s="118" t="s">
        <v>9</v>
      </c>
      <c r="CI1" s="118" t="s">
        <v>10</v>
      </c>
      <c r="CJ1" s="118" t="s">
        <v>11</v>
      </c>
      <c r="CK1" s="120" t="s">
        <v>12</v>
      </c>
    </row>
    <row r="2" spans="1:89">
      <c r="A2" s="18" t="s">
        <v>120</v>
      </c>
      <c r="B2" s="18" t="s">
        <v>59</v>
      </c>
      <c r="C2" s="18" t="s">
        <v>373</v>
      </c>
      <c r="D2" s="28">
        <v>60000</v>
      </c>
      <c r="E2" s="18" t="s">
        <v>374</v>
      </c>
      <c r="F2" s="18">
        <v>221003</v>
      </c>
      <c r="G2" s="19">
        <v>250.875</v>
      </c>
      <c r="H2" s="18" t="s">
        <v>243</v>
      </c>
      <c r="I2" s="18" t="s">
        <v>243</v>
      </c>
      <c r="J2" s="53">
        <v>1.375</v>
      </c>
      <c r="K2" s="53">
        <v>1.5</v>
      </c>
      <c r="L2" s="53">
        <v>1</v>
      </c>
      <c r="M2" s="53">
        <v>6.25E-2</v>
      </c>
      <c r="N2" s="18" t="s">
        <v>59</v>
      </c>
      <c r="O2" s="18" t="s">
        <v>161</v>
      </c>
      <c r="P2" s="18" t="s">
        <v>129</v>
      </c>
      <c r="Q2" s="18" t="s">
        <v>129</v>
      </c>
      <c r="R2" s="18" t="s">
        <v>128</v>
      </c>
      <c r="S2" s="18" t="s">
        <v>173</v>
      </c>
      <c r="T2" s="20" t="s">
        <v>307</v>
      </c>
      <c r="BZ2" t="s">
        <v>131</v>
      </c>
      <c r="CA2" s="1" t="s">
        <v>71</v>
      </c>
      <c r="CB2" s="1" t="s">
        <v>18</v>
      </c>
      <c r="CC2" s="1" t="s">
        <v>132</v>
      </c>
      <c r="CD2" s="1"/>
      <c r="CE2" s="1" t="str">
        <f>EL[[#This Row],[Part Type]]</f>
        <v>Elbow</v>
      </c>
      <c r="CF2" s="1" t="str">
        <f>EL[[#This Row],[Part Nr.]]</f>
        <v>60-22HF4</v>
      </c>
      <c r="CG2" s="1" t="str">
        <f>EL[[#This Row],[UID]]</f>
        <v>EL-1</v>
      </c>
      <c r="CH2" s="1"/>
      <c r="CI2" s="1"/>
      <c r="CJ2" s="1"/>
      <c r="CK2" s="1" t="str">
        <f>IF(EL[[#This Row],[Status]]=0,"",EL[[#This Row],[Status]])</f>
        <v>Active</v>
      </c>
    </row>
    <row r="3" spans="1:89">
      <c r="A3" s="18" t="s">
        <v>120</v>
      </c>
      <c r="B3" s="18" t="s">
        <v>59</v>
      </c>
      <c r="C3" s="18" t="s">
        <v>375</v>
      </c>
      <c r="D3" s="28">
        <v>60000</v>
      </c>
      <c r="E3" s="18" t="s">
        <v>374</v>
      </c>
      <c r="F3" s="18">
        <v>221003</v>
      </c>
      <c r="G3" s="19">
        <v>250.55500000000001</v>
      </c>
      <c r="H3" s="18" t="s">
        <v>243</v>
      </c>
      <c r="I3" s="18" t="s">
        <v>243</v>
      </c>
      <c r="J3" s="53">
        <v>1.375</v>
      </c>
      <c r="K3" s="53">
        <v>1.5</v>
      </c>
      <c r="L3" s="53">
        <v>1</v>
      </c>
      <c r="M3" s="53">
        <v>6.25E-2</v>
      </c>
      <c r="N3" s="18" t="s">
        <v>59</v>
      </c>
      <c r="O3" s="18" t="s">
        <v>161</v>
      </c>
      <c r="P3" s="18" t="s">
        <v>129</v>
      </c>
      <c r="Q3" s="18" t="s">
        <v>129</v>
      </c>
      <c r="R3" s="18" t="s">
        <v>128</v>
      </c>
      <c r="S3" s="18" t="s">
        <v>173</v>
      </c>
      <c r="T3" s="20" t="s">
        <v>307</v>
      </c>
      <c r="BZ3"/>
      <c r="CA3" s="1" t="s">
        <v>71</v>
      </c>
      <c r="CB3" s="1" t="s">
        <v>18</v>
      </c>
      <c r="CC3" s="1" t="s">
        <v>132</v>
      </c>
      <c r="CD3"/>
      <c r="CE3" t="str">
        <f>EL[[#This Row],[Part Type]]</f>
        <v>Elbow</v>
      </c>
      <c r="CF3" t="str">
        <f>EL[[#This Row],[Part Nr.]]</f>
        <v>60-22HF4</v>
      </c>
      <c r="CG3" t="str">
        <f>EL[[#This Row],[UID]]</f>
        <v>EL-2</v>
      </c>
      <c r="CH3"/>
      <c r="CI3"/>
      <c r="CJ3"/>
      <c r="CK3" t="str">
        <f>IF(EL[[#This Row],[Status]]=0,"",EL[[#This Row],[Status]])</f>
        <v>Active</v>
      </c>
    </row>
    <row r="4" spans="1:89">
      <c r="A4" s="18" t="s">
        <v>120</v>
      </c>
      <c r="B4" s="18" t="s">
        <v>59</v>
      </c>
      <c r="C4" s="18" t="s">
        <v>376</v>
      </c>
      <c r="D4" s="28">
        <v>60000</v>
      </c>
      <c r="E4" s="18" t="s">
        <v>374</v>
      </c>
      <c r="F4" s="18">
        <v>221003</v>
      </c>
      <c r="G4" s="19">
        <v>252.41800000000001</v>
      </c>
      <c r="H4" s="18" t="s">
        <v>243</v>
      </c>
      <c r="I4" s="18" t="s">
        <v>243</v>
      </c>
      <c r="J4" s="53">
        <v>1.375</v>
      </c>
      <c r="K4" s="53">
        <v>1.5</v>
      </c>
      <c r="L4" s="53">
        <v>1</v>
      </c>
      <c r="M4" s="53">
        <v>6.25E-2</v>
      </c>
      <c r="N4" s="18" t="s">
        <v>59</v>
      </c>
      <c r="O4" s="18" t="s">
        <v>161</v>
      </c>
      <c r="P4" s="18" t="s">
        <v>129</v>
      </c>
      <c r="Q4" s="18" t="s">
        <v>129</v>
      </c>
      <c r="R4" s="18" t="s">
        <v>128</v>
      </c>
      <c r="S4" s="18" t="s">
        <v>173</v>
      </c>
      <c r="T4" s="20" t="s">
        <v>307</v>
      </c>
      <c r="BZ4"/>
      <c r="CA4" s="1" t="s">
        <v>71</v>
      </c>
      <c r="CB4" s="1" t="s">
        <v>18</v>
      </c>
      <c r="CC4" s="1" t="s">
        <v>132</v>
      </c>
      <c r="CD4"/>
      <c r="CE4" t="str">
        <f>EL[[#This Row],[Part Type]]</f>
        <v>Elbow</v>
      </c>
      <c r="CF4" t="str">
        <f>EL[[#This Row],[Part Nr.]]</f>
        <v>60-22HF4</v>
      </c>
      <c r="CG4" t="str">
        <f>EL[[#This Row],[UID]]</f>
        <v>EL-3</v>
      </c>
      <c r="CH4"/>
      <c r="CI4"/>
      <c r="CJ4"/>
      <c r="CK4" t="str">
        <f>IF(EL[[#This Row],[Status]]=0,"",EL[[#This Row],[Status]])</f>
        <v>Active</v>
      </c>
    </row>
    <row r="5" spans="1:89">
      <c r="A5" s="18" t="s">
        <v>120</v>
      </c>
      <c r="B5" s="18" t="s">
        <v>59</v>
      </c>
      <c r="C5" s="18" t="s">
        <v>377</v>
      </c>
      <c r="D5" s="28">
        <v>60000</v>
      </c>
      <c r="E5" s="18" t="s">
        <v>374</v>
      </c>
      <c r="F5" s="18">
        <v>221003</v>
      </c>
      <c r="G5" s="19">
        <v>261.16300000000001</v>
      </c>
      <c r="H5" s="18" t="s">
        <v>243</v>
      </c>
      <c r="I5" s="18" t="s">
        <v>243</v>
      </c>
      <c r="J5" s="53">
        <v>1.375</v>
      </c>
      <c r="K5" s="53">
        <v>1.5</v>
      </c>
      <c r="L5" s="53">
        <v>1</v>
      </c>
      <c r="M5" s="53">
        <v>6.25E-2</v>
      </c>
      <c r="N5" s="18" t="s">
        <v>59</v>
      </c>
      <c r="O5" s="18" t="s">
        <v>161</v>
      </c>
      <c r="P5" s="18" t="s">
        <v>129</v>
      </c>
      <c r="Q5" s="18" t="s">
        <v>129</v>
      </c>
      <c r="R5" s="18" t="s">
        <v>128</v>
      </c>
      <c r="S5" s="18" t="s">
        <v>173</v>
      </c>
      <c r="T5" s="20" t="s">
        <v>307</v>
      </c>
      <c r="BZ5"/>
      <c r="CA5" s="1" t="s">
        <v>71</v>
      </c>
      <c r="CB5" s="1" t="s">
        <v>18</v>
      </c>
      <c r="CC5" s="1" t="s">
        <v>132</v>
      </c>
      <c r="CD5"/>
      <c r="CE5" t="str">
        <f>EL[[#This Row],[Part Type]]</f>
        <v>Elbow</v>
      </c>
      <c r="CF5" t="str">
        <f>EL[[#This Row],[Part Nr.]]</f>
        <v>60-22HF4</v>
      </c>
      <c r="CG5" t="str">
        <f>EL[[#This Row],[UID]]</f>
        <v>EL-4</v>
      </c>
      <c r="CH5"/>
      <c r="CI5"/>
      <c r="CJ5"/>
      <c r="CK5" t="str">
        <f>IF(EL[[#This Row],[Status]]=0,"",EL[[#This Row],[Status]])</f>
        <v>Active</v>
      </c>
    </row>
    <row r="6" spans="1:89">
      <c r="A6" s="18" t="s">
        <v>120</v>
      </c>
      <c r="B6" s="18" t="s">
        <v>59</v>
      </c>
      <c r="C6" s="18" t="s">
        <v>378</v>
      </c>
      <c r="D6" s="28">
        <v>60000</v>
      </c>
      <c r="E6" s="18" t="s">
        <v>374</v>
      </c>
      <c r="F6" s="18">
        <v>221003</v>
      </c>
      <c r="G6" s="19">
        <v>251.047</v>
      </c>
      <c r="H6" s="18" t="s">
        <v>243</v>
      </c>
      <c r="I6" s="18" t="s">
        <v>243</v>
      </c>
      <c r="J6" s="53">
        <v>1.375</v>
      </c>
      <c r="K6" s="53">
        <v>1.5</v>
      </c>
      <c r="L6" s="53">
        <v>1</v>
      </c>
      <c r="M6" s="53">
        <v>6.25E-2</v>
      </c>
      <c r="N6" s="18" t="s">
        <v>59</v>
      </c>
      <c r="O6" s="18" t="s">
        <v>161</v>
      </c>
      <c r="P6" s="18" t="s">
        <v>129</v>
      </c>
      <c r="Q6" s="18" t="s">
        <v>129</v>
      </c>
      <c r="R6" s="18" t="s">
        <v>128</v>
      </c>
      <c r="S6" s="18" t="s">
        <v>173</v>
      </c>
      <c r="T6" s="20" t="s">
        <v>307</v>
      </c>
      <c r="BZ6"/>
      <c r="CA6" s="1" t="s">
        <v>71</v>
      </c>
      <c r="CB6" s="1" t="s">
        <v>18</v>
      </c>
      <c r="CC6" s="1" t="s">
        <v>132</v>
      </c>
      <c r="CD6"/>
      <c r="CE6" t="str">
        <f>EL[[#This Row],[Part Type]]</f>
        <v>Elbow</v>
      </c>
      <c r="CF6" t="str">
        <f>EL[[#This Row],[Part Nr.]]</f>
        <v>60-22HF4</v>
      </c>
      <c r="CG6" t="str">
        <f>EL[[#This Row],[UID]]</f>
        <v>EL-5</v>
      </c>
      <c r="CH6"/>
      <c r="CI6"/>
      <c r="CJ6"/>
      <c r="CK6" t="str">
        <f>IF(EL[[#This Row],[Status]]=0,"",EL[[#This Row],[Status]])</f>
        <v>Active</v>
      </c>
    </row>
    <row r="7" spans="1:89">
      <c r="A7" s="18" t="s">
        <v>120</v>
      </c>
      <c r="B7" s="18" t="s">
        <v>59</v>
      </c>
      <c r="C7" s="18" t="s">
        <v>379</v>
      </c>
      <c r="D7" s="28">
        <v>60000</v>
      </c>
      <c r="E7" s="18" t="s">
        <v>374</v>
      </c>
      <c r="F7" s="18">
        <v>221003</v>
      </c>
      <c r="G7" s="19">
        <v>239.83699999999999</v>
      </c>
      <c r="H7" s="18" t="s">
        <v>243</v>
      </c>
      <c r="I7" s="18" t="s">
        <v>243</v>
      </c>
      <c r="J7" s="53">
        <v>1.375</v>
      </c>
      <c r="K7" s="53">
        <v>1.5</v>
      </c>
      <c r="L7" s="53">
        <v>1</v>
      </c>
      <c r="M7" s="53">
        <v>6.25E-2</v>
      </c>
      <c r="N7" s="18" t="s">
        <v>59</v>
      </c>
      <c r="O7" s="18" t="s">
        <v>161</v>
      </c>
      <c r="P7" s="18" t="s">
        <v>129</v>
      </c>
      <c r="Q7" s="18" t="s">
        <v>129</v>
      </c>
      <c r="R7" s="18" t="s">
        <v>128</v>
      </c>
      <c r="S7" s="18" t="s">
        <v>173</v>
      </c>
      <c r="T7" s="20" t="s">
        <v>307</v>
      </c>
      <c r="BZ7"/>
      <c r="CA7" s="1" t="s">
        <v>71</v>
      </c>
      <c r="CB7" s="1" t="s">
        <v>18</v>
      </c>
      <c r="CC7" s="1" t="s">
        <v>132</v>
      </c>
      <c r="CD7"/>
      <c r="CE7" t="str">
        <f>EL[[#This Row],[Part Type]]</f>
        <v>Elbow</v>
      </c>
      <c r="CF7" t="str">
        <f>EL[[#This Row],[Part Nr.]]</f>
        <v>60-22HF4</v>
      </c>
      <c r="CG7" t="str">
        <f>EL[[#This Row],[UID]]</f>
        <v>EL-6</v>
      </c>
      <c r="CH7"/>
      <c r="CI7"/>
      <c r="CJ7"/>
      <c r="CK7" t="str">
        <f>IF(EL[[#This Row],[Status]]=0,"",EL[[#This Row],[Status]])</f>
        <v>Active</v>
      </c>
    </row>
    <row r="8" spans="1:89">
      <c r="A8" s="18" t="s">
        <v>120</v>
      </c>
      <c r="B8" s="18" t="s">
        <v>59</v>
      </c>
      <c r="C8" s="18" t="s">
        <v>380</v>
      </c>
      <c r="D8" s="28">
        <v>60000</v>
      </c>
      <c r="E8" s="18" t="s">
        <v>374</v>
      </c>
      <c r="F8" s="18">
        <v>221003</v>
      </c>
      <c r="G8" s="19">
        <v>240.95599999999999</v>
      </c>
      <c r="H8" s="18" t="s">
        <v>243</v>
      </c>
      <c r="I8" s="18" t="s">
        <v>243</v>
      </c>
      <c r="J8" s="53">
        <v>1.375</v>
      </c>
      <c r="K8" s="53">
        <v>1.5</v>
      </c>
      <c r="L8" s="53">
        <v>1</v>
      </c>
      <c r="M8" s="53">
        <v>6.25E-2</v>
      </c>
      <c r="N8" s="18" t="s">
        <v>59</v>
      </c>
      <c r="O8" s="18" t="s">
        <v>161</v>
      </c>
      <c r="P8" s="18" t="s">
        <v>129</v>
      </c>
      <c r="Q8" s="18" t="s">
        <v>129</v>
      </c>
      <c r="R8" s="18" t="s">
        <v>128</v>
      </c>
      <c r="S8" s="18" t="s">
        <v>173</v>
      </c>
      <c r="T8" s="20" t="s">
        <v>307</v>
      </c>
      <c r="BZ8"/>
      <c r="CA8" s="1" t="s">
        <v>71</v>
      </c>
      <c r="CB8" s="1" t="s">
        <v>18</v>
      </c>
      <c r="CC8" s="1" t="s">
        <v>132</v>
      </c>
      <c r="CD8"/>
      <c r="CE8" t="str">
        <f>EL[[#This Row],[Part Type]]</f>
        <v>Elbow</v>
      </c>
      <c r="CF8" t="str">
        <f>EL[[#This Row],[Part Nr.]]</f>
        <v>60-22HF4</v>
      </c>
      <c r="CG8" t="str">
        <f>EL[[#This Row],[UID]]</f>
        <v>EL-7</v>
      </c>
      <c r="CH8"/>
      <c r="CI8"/>
      <c r="CJ8"/>
      <c r="CK8" t="str">
        <f>IF(EL[[#This Row],[Status]]=0,"",EL[[#This Row],[Status]])</f>
        <v>Active</v>
      </c>
    </row>
    <row r="9" spans="1:89">
      <c r="A9" s="18" t="s">
        <v>120</v>
      </c>
      <c r="B9" s="18" t="s">
        <v>59</v>
      </c>
      <c r="C9" s="18" t="s">
        <v>381</v>
      </c>
      <c r="D9" s="28">
        <v>60000</v>
      </c>
      <c r="E9" s="18" t="s">
        <v>374</v>
      </c>
      <c r="F9" s="18">
        <v>221003</v>
      </c>
      <c r="G9" s="19">
        <v>239.79400000000001</v>
      </c>
      <c r="H9" s="18" t="s">
        <v>243</v>
      </c>
      <c r="I9" s="18" t="s">
        <v>243</v>
      </c>
      <c r="J9" s="53">
        <v>1.375</v>
      </c>
      <c r="K9" s="53">
        <v>1.5</v>
      </c>
      <c r="L9" s="53">
        <v>1</v>
      </c>
      <c r="M9" s="53">
        <v>6.25E-2</v>
      </c>
      <c r="N9" s="18" t="s">
        <v>59</v>
      </c>
      <c r="O9" s="18" t="s">
        <v>161</v>
      </c>
      <c r="P9" s="18" t="s">
        <v>129</v>
      </c>
      <c r="Q9" s="18" t="s">
        <v>129</v>
      </c>
      <c r="R9" s="18" t="s">
        <v>128</v>
      </c>
      <c r="S9" s="18" t="s">
        <v>173</v>
      </c>
      <c r="T9" s="20" t="s">
        <v>307</v>
      </c>
      <c r="CA9" s="1" t="s">
        <v>71</v>
      </c>
      <c r="CB9" s="1" t="s">
        <v>18</v>
      </c>
      <c r="CC9" s="1" t="s">
        <v>132</v>
      </c>
      <c r="CE9" s="18" t="str">
        <f>EL[[#This Row],[Part Type]]</f>
        <v>Elbow</v>
      </c>
      <c r="CF9" s="18" t="str">
        <f>EL[[#This Row],[Part Nr.]]</f>
        <v>60-22HF4</v>
      </c>
      <c r="CG9" s="18" t="str">
        <f>EL[[#This Row],[UID]]</f>
        <v>EL-8</v>
      </c>
      <c r="CK9" s="18" t="str">
        <f>IF(EL[[#This Row],[Status]]=0,"",EL[[#This Row],[Status]])</f>
        <v>Active</v>
      </c>
    </row>
    <row r="10" spans="1:89">
      <c r="A10" s="18" t="s">
        <v>120</v>
      </c>
      <c r="B10" s="18" t="s">
        <v>59</v>
      </c>
      <c r="C10" s="18" t="s">
        <v>382</v>
      </c>
      <c r="D10" s="28">
        <v>60000</v>
      </c>
      <c r="E10" s="18" t="s">
        <v>374</v>
      </c>
      <c r="F10" s="18">
        <v>221003</v>
      </c>
      <c r="G10" s="19">
        <v>240.61600000000001</v>
      </c>
      <c r="H10" s="18" t="s">
        <v>243</v>
      </c>
      <c r="I10" s="18" t="s">
        <v>243</v>
      </c>
      <c r="J10" s="53">
        <v>1.375</v>
      </c>
      <c r="K10" s="53">
        <v>1.5</v>
      </c>
      <c r="L10" s="53">
        <v>1</v>
      </c>
      <c r="M10" s="53">
        <v>6.25E-2</v>
      </c>
      <c r="N10" s="18" t="s">
        <v>59</v>
      </c>
      <c r="O10" s="18" t="s">
        <v>161</v>
      </c>
      <c r="P10" s="18" t="s">
        <v>129</v>
      </c>
      <c r="Q10" s="18" t="s">
        <v>129</v>
      </c>
      <c r="R10" s="18" t="s">
        <v>128</v>
      </c>
      <c r="S10" s="18" t="s">
        <v>173</v>
      </c>
      <c r="T10" s="20" t="s">
        <v>307</v>
      </c>
      <c r="CA10" s="1" t="s">
        <v>71</v>
      </c>
      <c r="CB10" s="1" t="s">
        <v>18</v>
      </c>
      <c r="CC10" s="1" t="s">
        <v>132</v>
      </c>
      <c r="CE10" s="18" t="str">
        <f>EL[[#This Row],[Part Type]]</f>
        <v>Elbow</v>
      </c>
      <c r="CF10" s="18" t="str">
        <f>EL[[#This Row],[Part Nr.]]</f>
        <v>60-22HF4</v>
      </c>
      <c r="CG10" s="18" t="str">
        <f>EL[[#This Row],[UID]]</f>
        <v>EL-9</v>
      </c>
      <c r="CK10" s="18" t="str">
        <f>IF(EL[[#This Row],[Status]]=0,"",EL[[#This Row],[Status]])</f>
        <v>Active</v>
      </c>
    </row>
    <row r="11" spans="1:89">
      <c r="A11" s="18" t="s">
        <v>120</v>
      </c>
      <c r="B11" s="18" t="s">
        <v>59</v>
      </c>
      <c r="C11" s="18" t="s">
        <v>383</v>
      </c>
      <c r="D11" s="28">
        <v>60000</v>
      </c>
      <c r="E11" s="18" t="s">
        <v>374</v>
      </c>
      <c r="F11" s="18">
        <v>221003</v>
      </c>
      <c r="G11" s="19">
        <v>236.65899999999999</v>
      </c>
      <c r="H11" s="18" t="s">
        <v>243</v>
      </c>
      <c r="I11" s="18" t="s">
        <v>243</v>
      </c>
      <c r="J11" s="53">
        <v>1.375</v>
      </c>
      <c r="K11" s="53">
        <v>1.5</v>
      </c>
      <c r="L11" s="53">
        <v>1</v>
      </c>
      <c r="M11" s="53">
        <v>6.25E-2</v>
      </c>
      <c r="N11" s="18" t="s">
        <v>59</v>
      </c>
      <c r="O11" s="18" t="s">
        <v>161</v>
      </c>
      <c r="P11" s="18" t="s">
        <v>129</v>
      </c>
      <c r="Q11" s="18" t="s">
        <v>129</v>
      </c>
      <c r="R11" s="18" t="s">
        <v>128</v>
      </c>
      <c r="S11" s="18" t="s">
        <v>173</v>
      </c>
      <c r="T11" s="20" t="s">
        <v>307</v>
      </c>
      <c r="CA11" s="1" t="s">
        <v>71</v>
      </c>
      <c r="CB11" s="1" t="s">
        <v>18</v>
      </c>
      <c r="CC11" s="1" t="s">
        <v>132</v>
      </c>
      <c r="CE11" s="18" t="str">
        <f>EL[[#This Row],[Part Type]]</f>
        <v>Elbow</v>
      </c>
      <c r="CF11" s="18" t="str">
        <f>EL[[#This Row],[Part Nr.]]</f>
        <v>60-22HF4</v>
      </c>
      <c r="CG11" s="18" t="str">
        <f>EL[[#This Row],[UID]]</f>
        <v>EL-10</v>
      </c>
      <c r="CK11" s="18" t="str">
        <f>IF(EL[[#This Row],[Status]]=0,"",EL[[#This Row],[Status]])</f>
        <v>Active</v>
      </c>
    </row>
    <row r="12" spans="1:89">
      <c r="A12" s="18" t="s">
        <v>120</v>
      </c>
      <c r="B12" s="18" t="s">
        <v>59</v>
      </c>
      <c r="C12" s="18" t="s">
        <v>384</v>
      </c>
      <c r="D12" s="28">
        <v>60000</v>
      </c>
      <c r="E12" s="18" t="s">
        <v>374</v>
      </c>
      <c r="F12" s="18">
        <v>221003</v>
      </c>
      <c r="G12" s="19">
        <v>239.37700000000001</v>
      </c>
      <c r="H12" s="18" t="s">
        <v>243</v>
      </c>
      <c r="I12" s="18" t="s">
        <v>243</v>
      </c>
      <c r="J12" s="53">
        <v>1.375</v>
      </c>
      <c r="K12" s="53">
        <v>1.5</v>
      </c>
      <c r="L12" s="53">
        <v>1</v>
      </c>
      <c r="M12" s="53">
        <v>6.25E-2</v>
      </c>
      <c r="N12" s="18" t="s">
        <v>59</v>
      </c>
      <c r="O12" s="18" t="s">
        <v>161</v>
      </c>
      <c r="P12" s="18" t="s">
        <v>129</v>
      </c>
      <c r="Q12" s="18" t="s">
        <v>129</v>
      </c>
      <c r="R12" s="18" t="s">
        <v>128</v>
      </c>
      <c r="S12" s="18" t="s">
        <v>173</v>
      </c>
      <c r="T12" s="20" t="s">
        <v>307</v>
      </c>
      <c r="CA12" s="1" t="s">
        <v>71</v>
      </c>
      <c r="CB12" s="1" t="s">
        <v>18</v>
      </c>
      <c r="CC12" s="1" t="s">
        <v>132</v>
      </c>
      <c r="CE12" s="18" t="str">
        <f>EL[[#This Row],[Part Type]]</f>
        <v>Elbow</v>
      </c>
      <c r="CF12" s="18" t="str">
        <f>EL[[#This Row],[Part Nr.]]</f>
        <v>60-22HF4</v>
      </c>
      <c r="CG12" s="18" t="str">
        <f>EL[[#This Row],[UID]]</f>
        <v>EL-11</v>
      </c>
      <c r="CK12" s="18" t="str">
        <f>IF(EL[[#This Row],[Status]]=0,"",EL[[#This Row],[Status]])</f>
        <v>Active</v>
      </c>
    </row>
    <row r="13" spans="1:89">
      <c r="A13" s="18" t="s">
        <v>120</v>
      </c>
      <c r="B13" s="18" t="s">
        <v>59</v>
      </c>
      <c r="C13" s="18" t="s">
        <v>385</v>
      </c>
      <c r="D13" s="28">
        <v>60000</v>
      </c>
      <c r="E13" s="18" t="s">
        <v>374</v>
      </c>
      <c r="F13" s="18">
        <v>221003</v>
      </c>
      <c r="G13" s="19">
        <v>240.959</v>
      </c>
      <c r="H13" s="18" t="s">
        <v>243</v>
      </c>
      <c r="I13" s="18" t="s">
        <v>243</v>
      </c>
      <c r="J13" s="53">
        <v>1.375</v>
      </c>
      <c r="K13" s="53">
        <v>1.5</v>
      </c>
      <c r="L13" s="53">
        <v>1</v>
      </c>
      <c r="M13" s="53">
        <v>6.25E-2</v>
      </c>
      <c r="N13" s="18" t="s">
        <v>59</v>
      </c>
      <c r="O13" s="18" t="s">
        <v>161</v>
      </c>
      <c r="P13" s="18" t="s">
        <v>129</v>
      </c>
      <c r="Q13" s="18" t="s">
        <v>129</v>
      </c>
      <c r="R13" s="18" t="s">
        <v>128</v>
      </c>
      <c r="S13" s="18" t="s">
        <v>173</v>
      </c>
      <c r="T13" s="20" t="s">
        <v>307</v>
      </c>
      <c r="CA13" s="1" t="s">
        <v>71</v>
      </c>
      <c r="CB13" s="1" t="s">
        <v>18</v>
      </c>
      <c r="CC13" s="1" t="s">
        <v>132</v>
      </c>
      <c r="CE13" s="18" t="str">
        <f>EL[[#This Row],[Part Type]]</f>
        <v>Elbow</v>
      </c>
      <c r="CF13" s="18" t="str">
        <f>EL[[#This Row],[Part Nr.]]</f>
        <v>60-22HF4</v>
      </c>
      <c r="CG13" s="18" t="str">
        <f>EL[[#This Row],[UID]]</f>
        <v>EL-12</v>
      </c>
      <c r="CK13" s="18" t="str">
        <f>IF(EL[[#This Row],[Status]]=0,"",EL[[#This Row],[Status]])</f>
        <v>Active</v>
      </c>
    </row>
    <row r="14" spans="1:89">
      <c r="A14" s="18" t="s">
        <v>120</v>
      </c>
      <c r="B14" s="18" t="s">
        <v>59</v>
      </c>
      <c r="C14" s="18" t="s">
        <v>386</v>
      </c>
      <c r="D14" s="28">
        <v>100000</v>
      </c>
      <c r="E14" s="18" t="s">
        <v>387</v>
      </c>
      <c r="F14" s="18">
        <v>221003</v>
      </c>
      <c r="G14" s="19">
        <v>353.83800000000002</v>
      </c>
      <c r="H14" s="18" t="s">
        <v>243</v>
      </c>
      <c r="I14" s="18" t="s">
        <v>243</v>
      </c>
      <c r="J14" s="53">
        <v>1.75</v>
      </c>
      <c r="K14" s="53">
        <v>1.75</v>
      </c>
      <c r="L14" s="53">
        <v>1</v>
      </c>
      <c r="M14" s="53">
        <v>6.25E-2</v>
      </c>
      <c r="N14" s="18" t="s">
        <v>59</v>
      </c>
      <c r="O14" s="18" t="s">
        <v>161</v>
      </c>
      <c r="P14" s="18" t="s">
        <v>129</v>
      </c>
      <c r="Q14" s="18" t="s">
        <v>129</v>
      </c>
      <c r="R14" s="18" t="s">
        <v>128</v>
      </c>
      <c r="S14" s="18" t="s">
        <v>173</v>
      </c>
      <c r="T14" s="20" t="s">
        <v>332</v>
      </c>
      <c r="CA14" s="1" t="s">
        <v>71</v>
      </c>
      <c r="CB14" s="1" t="s">
        <v>18</v>
      </c>
      <c r="CC14" s="1" t="s">
        <v>132</v>
      </c>
      <c r="CE14" s="18" t="str">
        <f>EL[[#This Row],[Part Type]]</f>
        <v>Elbow</v>
      </c>
      <c r="CF14" s="18" t="str">
        <f>EL[[#This Row],[Part Nr.]]</f>
        <v>100-22XF4</v>
      </c>
      <c r="CG14" s="18" t="str">
        <f>EL[[#This Row],[UID]]</f>
        <v>EL-13</v>
      </c>
      <c r="CK14" s="18" t="str">
        <f>IF(EL[[#This Row],[Status]]=0,"",EL[[#This Row],[Status]])</f>
        <v>Active</v>
      </c>
    </row>
    <row r="15" spans="1:89">
      <c r="A15" s="18" t="s">
        <v>120</v>
      </c>
      <c r="B15" s="18" t="s">
        <v>59</v>
      </c>
      <c r="C15" s="18" t="s">
        <v>388</v>
      </c>
      <c r="D15" s="28">
        <v>100000</v>
      </c>
      <c r="E15" s="18" t="s">
        <v>387</v>
      </c>
      <c r="F15" s="18">
        <v>221003</v>
      </c>
      <c r="G15" s="19">
        <v>350.51600000000002</v>
      </c>
      <c r="H15" s="18" t="s">
        <v>243</v>
      </c>
      <c r="I15" s="18" t="s">
        <v>243</v>
      </c>
      <c r="J15" s="53">
        <v>1.75</v>
      </c>
      <c r="K15" s="53">
        <v>1.75</v>
      </c>
      <c r="L15" s="53">
        <v>1</v>
      </c>
      <c r="M15" s="53">
        <v>6.25E-2</v>
      </c>
      <c r="N15" s="18" t="s">
        <v>59</v>
      </c>
      <c r="O15" s="18" t="s">
        <v>161</v>
      </c>
      <c r="P15" s="18" t="s">
        <v>129</v>
      </c>
      <c r="Q15" s="18" t="s">
        <v>129</v>
      </c>
      <c r="R15" s="18" t="s">
        <v>128</v>
      </c>
      <c r="S15" s="18" t="s">
        <v>173</v>
      </c>
      <c r="T15" s="20" t="s">
        <v>332</v>
      </c>
      <c r="CA15" s="1" t="s">
        <v>71</v>
      </c>
      <c r="CB15" s="1" t="s">
        <v>18</v>
      </c>
      <c r="CC15" s="1" t="s">
        <v>132</v>
      </c>
      <c r="CE15" s="18" t="str">
        <f>EL[[#This Row],[Part Type]]</f>
        <v>Elbow</v>
      </c>
      <c r="CF15" s="18" t="str">
        <f>EL[[#This Row],[Part Nr.]]</f>
        <v>100-22XF4</v>
      </c>
      <c r="CG15" s="18" t="str">
        <f>EL[[#This Row],[UID]]</f>
        <v>EL-14</v>
      </c>
      <c r="CK15" s="18" t="str">
        <f>IF(EL[[#This Row],[Status]]=0,"",EL[[#This Row],[Status]])</f>
        <v>Active</v>
      </c>
    </row>
    <row r="16" spans="1:89">
      <c r="A16" s="18" t="s">
        <v>120</v>
      </c>
      <c r="B16" s="18" t="s">
        <v>59</v>
      </c>
      <c r="C16" s="18" t="s">
        <v>389</v>
      </c>
      <c r="D16" s="28">
        <v>60000</v>
      </c>
      <c r="E16" s="18" t="s">
        <v>390</v>
      </c>
      <c r="F16" s="11">
        <v>230215</v>
      </c>
      <c r="G16" s="19">
        <v>245.12799999999999</v>
      </c>
      <c r="H16" s="18" t="s">
        <v>243</v>
      </c>
      <c r="I16" s="18" t="s">
        <v>243</v>
      </c>
      <c r="J16" s="53">
        <v>1.625</v>
      </c>
      <c r="K16" s="53">
        <v>1.5</v>
      </c>
      <c r="L16" s="53">
        <v>2.625</v>
      </c>
      <c r="M16" s="53">
        <v>6.25E-2</v>
      </c>
      <c r="N16" s="18" t="s">
        <v>59</v>
      </c>
      <c r="O16" s="18" t="s">
        <v>161</v>
      </c>
      <c r="P16" s="18" t="s">
        <v>129</v>
      </c>
      <c r="Q16" s="18" t="s">
        <v>129</v>
      </c>
      <c r="R16" s="18" t="s">
        <v>128</v>
      </c>
      <c r="S16" s="18" t="s">
        <v>173</v>
      </c>
      <c r="T16" s="20" t="s">
        <v>245</v>
      </c>
      <c r="CA16" s="1" t="s">
        <v>71</v>
      </c>
      <c r="CB16" s="1" t="s">
        <v>18</v>
      </c>
      <c r="CC16" s="1" t="s">
        <v>132</v>
      </c>
      <c r="CE16" s="18" t="str">
        <f>EL[[#This Row],[Part Type]]</f>
        <v>Elbow</v>
      </c>
      <c r="CF16" s="18" t="str">
        <f>EL[[#This Row],[Part Nr.]]</f>
        <v>60-63HF4</v>
      </c>
      <c r="CG16" s="18" t="str">
        <f>EL[[#This Row],[UID]]</f>
        <v>EL-15</v>
      </c>
      <c r="CK16" s="18" t="str">
        <f>IF(EL[[#This Row],[Status]]=0,"",EL[[#This Row],[Status]])</f>
        <v>Active</v>
      </c>
    </row>
    <row r="17" spans="4:89">
      <c r="D17" s="28"/>
      <c r="G17" s="19"/>
      <c r="J17" s="53"/>
      <c r="K17" s="53"/>
      <c r="L17" s="53"/>
      <c r="M17" s="53"/>
      <c r="N17" s="19"/>
      <c r="Q17" s="18"/>
      <c r="CA17" s="1" t="s">
        <v>71</v>
      </c>
      <c r="CB17" s="1" t="s">
        <v>18</v>
      </c>
      <c r="CC17" s="1" t="s">
        <v>132</v>
      </c>
      <c r="CE17" s="18">
        <f>EL[[#This Row],[Part Type]]</f>
        <v>0</v>
      </c>
      <c r="CF17" s="18">
        <f>EL[[#This Row],[Part Nr.]]</f>
        <v>0</v>
      </c>
      <c r="CG17" s="18">
        <f>EL[[#This Row],[UID]]</f>
        <v>0</v>
      </c>
      <c r="CK17" s="18" t="str">
        <f>IF(EL[[#This Row],[Status]]=0,"",EL[[#This Row],[Status]])</f>
        <v/>
      </c>
    </row>
    <row r="18" spans="4:89">
      <c r="D18" s="28"/>
      <c r="G18" s="19"/>
      <c r="J18" s="53"/>
      <c r="K18" s="53"/>
      <c r="L18" s="53"/>
      <c r="M18" s="53"/>
      <c r="N18" s="19"/>
      <c r="Q18" s="18"/>
      <c r="CA18" s="1" t="s">
        <v>71</v>
      </c>
      <c r="CB18" s="1" t="s">
        <v>18</v>
      </c>
      <c r="CC18" s="1" t="s">
        <v>132</v>
      </c>
      <c r="CE18" s="18">
        <f>EL[[#This Row],[Part Type]]</f>
        <v>0</v>
      </c>
      <c r="CF18" s="18">
        <f>EL[[#This Row],[Part Nr.]]</f>
        <v>0</v>
      </c>
      <c r="CG18" s="18">
        <f>EL[[#This Row],[UID]]</f>
        <v>0</v>
      </c>
      <c r="CK18" s="18" t="str">
        <f>IF(EL[[#This Row],[Status]]=0,"",EL[[#This Row],[Status]])</f>
        <v/>
      </c>
    </row>
    <row r="19" spans="4:89">
      <c r="D19" s="28"/>
      <c r="G19" s="19"/>
      <c r="J19" s="53"/>
      <c r="K19" s="53"/>
      <c r="L19" s="53"/>
      <c r="M19" s="53"/>
      <c r="N19" s="19"/>
      <c r="Q19" s="18"/>
      <c r="CA19" s="1" t="s">
        <v>71</v>
      </c>
      <c r="CB19" s="1" t="s">
        <v>18</v>
      </c>
      <c r="CC19" s="1" t="s">
        <v>132</v>
      </c>
      <c r="CE19" s="18">
        <f>EL[[#This Row],[Part Type]]</f>
        <v>0</v>
      </c>
      <c r="CF19" s="18">
        <f>EL[[#This Row],[Part Nr.]]</f>
        <v>0</v>
      </c>
      <c r="CG19" s="18">
        <f>EL[[#This Row],[UID]]</f>
        <v>0</v>
      </c>
      <c r="CK19" s="18" t="str">
        <f>IF(EL[[#This Row],[Status]]=0,"",EL[[#This Row],[Status]])</f>
        <v/>
      </c>
    </row>
    <row r="20" spans="4:89">
      <c r="D20" s="28"/>
      <c r="G20" s="19"/>
      <c r="J20" s="53"/>
      <c r="K20" s="53"/>
      <c r="L20" s="53"/>
      <c r="M20" s="53"/>
      <c r="N20" s="19"/>
      <c r="Q20" s="18"/>
      <c r="CA20" s="1" t="s">
        <v>71</v>
      </c>
      <c r="CB20" s="1" t="s">
        <v>18</v>
      </c>
      <c r="CC20" s="1" t="s">
        <v>132</v>
      </c>
      <c r="CE20" s="18">
        <f>EL[[#This Row],[Part Type]]</f>
        <v>0</v>
      </c>
      <c r="CF20" s="18">
        <f>EL[[#This Row],[Part Nr.]]</f>
        <v>0</v>
      </c>
      <c r="CG20" s="18">
        <f>EL[[#This Row],[UID]]</f>
        <v>0</v>
      </c>
      <c r="CK20" s="18" t="str">
        <f>IF(EL[[#This Row],[Status]]=0,"",EL[[#This Row],[Status]])</f>
        <v/>
      </c>
    </row>
    <row r="21" spans="4:89">
      <c r="D21" s="28"/>
      <c r="G21" s="19"/>
      <c r="J21" s="53"/>
      <c r="K21" s="53"/>
      <c r="L21" s="53"/>
      <c r="M21" s="53"/>
      <c r="N21" s="19"/>
      <c r="Q21" s="18"/>
      <c r="CA21" s="1" t="s">
        <v>71</v>
      </c>
      <c r="CB21" s="1" t="s">
        <v>18</v>
      </c>
      <c r="CC21" s="1" t="s">
        <v>132</v>
      </c>
      <c r="CE21" s="18">
        <f>EL[[#This Row],[Part Type]]</f>
        <v>0</v>
      </c>
      <c r="CF21" s="18">
        <f>EL[[#This Row],[Part Nr.]]</f>
        <v>0</v>
      </c>
      <c r="CG21" s="18">
        <f>EL[[#This Row],[UID]]</f>
        <v>0</v>
      </c>
      <c r="CK21" s="18" t="str">
        <f>IF(EL[[#This Row],[Status]]=0,"",EL[[#This Row],[Status]])</f>
        <v/>
      </c>
    </row>
    <row r="22" spans="4:89">
      <c r="D22" s="28"/>
      <c r="G22" s="19"/>
      <c r="J22" s="53"/>
      <c r="K22" s="53"/>
      <c r="L22" s="53"/>
      <c r="M22" s="53"/>
      <c r="N22" s="19"/>
      <c r="Q22" s="18"/>
      <c r="CA22" s="1" t="s">
        <v>71</v>
      </c>
      <c r="CB22" s="1" t="s">
        <v>18</v>
      </c>
      <c r="CC22" s="1" t="s">
        <v>132</v>
      </c>
      <c r="CE22" s="18">
        <f>EL[[#This Row],[Part Type]]</f>
        <v>0</v>
      </c>
      <c r="CF22" s="18">
        <f>EL[[#This Row],[Part Nr.]]</f>
        <v>0</v>
      </c>
      <c r="CG22" s="18">
        <f>EL[[#This Row],[UID]]</f>
        <v>0</v>
      </c>
      <c r="CK22" s="18" t="str">
        <f>IF(EL[[#This Row],[Status]]=0,"",EL[[#This Row],[Status]])</f>
        <v/>
      </c>
    </row>
    <row r="23" spans="4:89">
      <c r="D23" s="28"/>
      <c r="G23" s="19"/>
      <c r="J23" s="53"/>
      <c r="K23" s="53"/>
      <c r="L23" s="53"/>
      <c r="M23" s="53"/>
      <c r="N23" s="19"/>
      <c r="Q23" s="18"/>
      <c r="CA23" s="1" t="s">
        <v>71</v>
      </c>
      <c r="CB23" s="1" t="s">
        <v>18</v>
      </c>
      <c r="CC23" s="1" t="s">
        <v>132</v>
      </c>
      <c r="CE23" s="18">
        <f>EL[[#This Row],[Part Type]]</f>
        <v>0</v>
      </c>
      <c r="CF23" s="18">
        <f>EL[[#This Row],[Part Nr.]]</f>
        <v>0</v>
      </c>
      <c r="CG23" s="18">
        <f>EL[[#This Row],[UID]]</f>
        <v>0</v>
      </c>
      <c r="CK23" s="18" t="str">
        <f>IF(EL[[#This Row],[Status]]=0,"",EL[[#This Row],[Status]])</f>
        <v/>
      </c>
    </row>
    <row r="24" spans="4:89">
      <c r="D24" s="28"/>
      <c r="G24" s="19"/>
      <c r="J24" s="53"/>
      <c r="K24" s="53"/>
      <c r="L24" s="53"/>
      <c r="M24" s="53"/>
      <c r="N24" s="19"/>
      <c r="Q24" s="18"/>
      <c r="CA24" s="1" t="s">
        <v>71</v>
      </c>
      <c r="CB24" s="1" t="s">
        <v>18</v>
      </c>
      <c r="CC24" s="1" t="s">
        <v>132</v>
      </c>
      <c r="CE24" s="18">
        <f>EL[[#This Row],[Part Type]]</f>
        <v>0</v>
      </c>
      <c r="CF24" s="18">
        <f>EL[[#This Row],[Part Nr.]]</f>
        <v>0</v>
      </c>
      <c r="CG24" s="18">
        <f>EL[[#This Row],[UID]]</f>
        <v>0</v>
      </c>
      <c r="CK24" s="18" t="str">
        <f>IF(EL[[#This Row],[Status]]=0,"",EL[[#This Row],[Status]])</f>
        <v/>
      </c>
    </row>
    <row r="25" spans="4:89">
      <c r="D25" s="28"/>
      <c r="G25" s="19"/>
      <c r="J25" s="53"/>
      <c r="K25" s="53"/>
      <c r="L25" s="53"/>
      <c r="M25" s="53"/>
      <c r="N25" s="19"/>
      <c r="Q25" s="18"/>
      <c r="CA25" s="1" t="s">
        <v>71</v>
      </c>
      <c r="CB25" s="1" t="s">
        <v>18</v>
      </c>
      <c r="CC25" s="1" t="s">
        <v>132</v>
      </c>
      <c r="CE25" s="18">
        <f>EL[[#This Row],[Part Type]]</f>
        <v>0</v>
      </c>
      <c r="CF25" s="18">
        <f>EL[[#This Row],[Part Nr.]]</f>
        <v>0</v>
      </c>
      <c r="CG25" s="18">
        <f>EL[[#This Row],[UID]]</f>
        <v>0</v>
      </c>
      <c r="CK25" s="18" t="str">
        <f>IF(EL[[#This Row],[Status]]=0,"",EL[[#This Row],[Status]])</f>
        <v/>
      </c>
    </row>
    <row r="26" spans="4:89">
      <c r="D26" s="28"/>
      <c r="G26" s="19"/>
      <c r="J26" s="53"/>
      <c r="K26" s="53"/>
      <c r="L26" s="53"/>
      <c r="M26" s="53"/>
      <c r="N26" s="19"/>
      <c r="Q26" s="18"/>
      <c r="CA26" s="1" t="s">
        <v>71</v>
      </c>
      <c r="CB26" s="1" t="s">
        <v>18</v>
      </c>
      <c r="CC26" s="1" t="s">
        <v>132</v>
      </c>
      <c r="CE26" s="18">
        <f>EL[[#This Row],[Part Type]]</f>
        <v>0</v>
      </c>
      <c r="CF26" s="18">
        <f>EL[[#This Row],[Part Nr.]]</f>
        <v>0</v>
      </c>
      <c r="CG26" s="18">
        <f>EL[[#This Row],[UID]]</f>
        <v>0</v>
      </c>
      <c r="CK26" s="18" t="str">
        <f>IF(EL[[#This Row],[Status]]=0,"",EL[[#This Row],[Status]])</f>
        <v/>
      </c>
    </row>
    <row r="27" spans="4:89">
      <c r="D27" s="28"/>
      <c r="G27" s="19"/>
      <c r="J27" s="53"/>
      <c r="K27" s="53"/>
      <c r="L27" s="53"/>
      <c r="M27" s="53"/>
      <c r="N27" s="19"/>
      <c r="Q27" s="18"/>
      <c r="CA27" s="1" t="s">
        <v>71</v>
      </c>
      <c r="CB27" s="1" t="s">
        <v>18</v>
      </c>
      <c r="CC27" s="1" t="s">
        <v>132</v>
      </c>
      <c r="CE27" s="18">
        <f>EL[[#This Row],[Part Type]]</f>
        <v>0</v>
      </c>
      <c r="CF27" s="18">
        <f>EL[[#This Row],[Part Nr.]]</f>
        <v>0</v>
      </c>
      <c r="CG27" s="18">
        <f>EL[[#This Row],[UID]]</f>
        <v>0</v>
      </c>
      <c r="CK27" s="18" t="str">
        <f>IF(EL[[#This Row],[Status]]=0,"",EL[[#This Row],[Status]])</f>
        <v/>
      </c>
    </row>
    <row r="28" spans="4:89">
      <c r="D28" s="28"/>
      <c r="G28" s="19"/>
      <c r="J28" s="53"/>
      <c r="K28" s="53"/>
      <c r="L28" s="53"/>
      <c r="M28" s="53"/>
      <c r="N28" s="19"/>
      <c r="Q28" s="18"/>
      <c r="CA28" s="1" t="s">
        <v>71</v>
      </c>
      <c r="CB28" s="1" t="s">
        <v>18</v>
      </c>
      <c r="CC28" s="1" t="s">
        <v>132</v>
      </c>
      <c r="CE28" s="18">
        <f>EL[[#This Row],[Part Type]]</f>
        <v>0</v>
      </c>
      <c r="CF28" s="18">
        <f>EL[[#This Row],[Part Nr.]]</f>
        <v>0</v>
      </c>
      <c r="CG28" s="18">
        <f>EL[[#This Row],[UID]]</f>
        <v>0</v>
      </c>
      <c r="CK28" s="18" t="str">
        <f>IF(EL[[#This Row],[Status]]=0,"",EL[[#This Row],[Status]])</f>
        <v/>
      </c>
    </row>
    <row r="29" spans="4:89">
      <c r="D29" s="28"/>
      <c r="G29" s="19"/>
      <c r="J29" s="53"/>
      <c r="K29" s="53"/>
      <c r="L29" s="53"/>
      <c r="M29" s="53"/>
      <c r="N29" s="19"/>
      <c r="Q29" s="18"/>
      <c r="CA29" s="1" t="s">
        <v>71</v>
      </c>
      <c r="CB29" s="1" t="s">
        <v>18</v>
      </c>
      <c r="CC29" s="1" t="s">
        <v>132</v>
      </c>
      <c r="CE29" s="18">
        <f>EL[[#This Row],[Part Type]]</f>
        <v>0</v>
      </c>
      <c r="CF29" s="18">
        <f>EL[[#This Row],[Part Nr.]]</f>
        <v>0</v>
      </c>
      <c r="CG29" s="18">
        <f>EL[[#This Row],[UID]]</f>
        <v>0</v>
      </c>
      <c r="CK29" s="18" t="str">
        <f>IF(EL[[#This Row],[Status]]=0,"",EL[[#This Row],[Status]])</f>
        <v/>
      </c>
    </row>
    <row r="30" spans="4:89">
      <c r="D30" s="28"/>
      <c r="G30" s="19"/>
      <c r="J30" s="53"/>
      <c r="K30" s="53"/>
      <c r="L30" s="53"/>
      <c r="M30" s="53"/>
      <c r="N30" s="19"/>
      <c r="Q30" s="18"/>
      <c r="CA30" s="1" t="s">
        <v>71</v>
      </c>
      <c r="CB30" s="1" t="s">
        <v>18</v>
      </c>
      <c r="CC30" s="1" t="s">
        <v>132</v>
      </c>
      <c r="CE30" s="18">
        <f>EL[[#This Row],[Part Type]]</f>
        <v>0</v>
      </c>
      <c r="CF30" s="18">
        <f>EL[[#This Row],[Part Nr.]]</f>
        <v>0</v>
      </c>
      <c r="CG30" s="18">
        <f>EL[[#This Row],[UID]]</f>
        <v>0</v>
      </c>
      <c r="CK30" s="18" t="str">
        <f>IF(EL[[#This Row],[Status]]=0,"",EL[[#This Row],[Status]])</f>
        <v/>
      </c>
    </row>
    <row r="31" spans="4:89">
      <c r="D31" s="28"/>
      <c r="G31" s="19"/>
      <c r="J31" s="53"/>
      <c r="K31" s="53"/>
      <c r="L31" s="53"/>
      <c r="M31" s="53"/>
      <c r="N31" s="19"/>
      <c r="Q31" s="18"/>
      <c r="CA31" s="1" t="s">
        <v>71</v>
      </c>
      <c r="CB31" s="1" t="s">
        <v>18</v>
      </c>
      <c r="CC31" s="1" t="s">
        <v>132</v>
      </c>
      <c r="CE31" s="18">
        <f>EL[[#This Row],[Part Type]]</f>
        <v>0</v>
      </c>
      <c r="CF31" s="18">
        <f>EL[[#This Row],[Part Nr.]]</f>
        <v>0</v>
      </c>
      <c r="CG31" s="18">
        <f>EL[[#This Row],[UID]]</f>
        <v>0</v>
      </c>
      <c r="CK31" s="18" t="str">
        <f>IF(EL[[#This Row],[Status]]=0,"",EL[[#This Row],[Status]])</f>
        <v/>
      </c>
    </row>
    <row r="32" spans="4:89">
      <c r="D32" s="28"/>
      <c r="G32" s="19"/>
      <c r="J32" s="53"/>
      <c r="K32" s="53"/>
      <c r="L32" s="53"/>
      <c r="M32" s="53"/>
      <c r="N32" s="19"/>
      <c r="Q32" s="18"/>
      <c r="CA32" s="1" t="s">
        <v>71</v>
      </c>
      <c r="CB32" s="1" t="s">
        <v>18</v>
      </c>
      <c r="CC32" s="1" t="s">
        <v>132</v>
      </c>
      <c r="CE32" s="18">
        <f>EL[[#This Row],[Part Type]]</f>
        <v>0</v>
      </c>
      <c r="CF32" s="18">
        <f>EL[[#This Row],[Part Nr.]]</f>
        <v>0</v>
      </c>
      <c r="CG32" s="18">
        <f>EL[[#This Row],[UID]]</f>
        <v>0</v>
      </c>
      <c r="CK32" s="18" t="str">
        <f>IF(EL[[#This Row],[Status]]=0,"",EL[[#This Row],[Status]])</f>
        <v/>
      </c>
    </row>
    <row r="33" spans="4:89">
      <c r="D33" s="28"/>
      <c r="G33" s="19"/>
      <c r="J33" s="53"/>
      <c r="K33" s="53"/>
      <c r="L33" s="53"/>
      <c r="M33" s="53"/>
      <c r="N33" s="19"/>
      <c r="Q33" s="18"/>
      <c r="CA33" s="1" t="s">
        <v>71</v>
      </c>
      <c r="CB33" s="1" t="s">
        <v>18</v>
      </c>
      <c r="CC33" s="1" t="s">
        <v>132</v>
      </c>
      <c r="CE33" s="18">
        <f>EL[[#This Row],[Part Type]]</f>
        <v>0</v>
      </c>
      <c r="CF33" s="18">
        <f>EL[[#This Row],[Part Nr.]]</f>
        <v>0</v>
      </c>
      <c r="CG33" s="18">
        <f>EL[[#This Row],[UID]]</f>
        <v>0</v>
      </c>
      <c r="CK33" s="18" t="str">
        <f>IF(EL[[#This Row],[Status]]=0,"",EL[[#This Row],[Status]])</f>
        <v/>
      </c>
    </row>
    <row r="34" spans="4:89">
      <c r="D34" s="28"/>
      <c r="G34" s="19"/>
      <c r="J34" s="53"/>
      <c r="K34" s="53"/>
      <c r="L34" s="53"/>
      <c r="M34" s="53"/>
      <c r="N34" s="19"/>
      <c r="Q34" s="18"/>
      <c r="CA34" s="1" t="s">
        <v>71</v>
      </c>
      <c r="CB34" s="1" t="s">
        <v>18</v>
      </c>
      <c r="CC34" s="1" t="s">
        <v>132</v>
      </c>
      <c r="CE34" s="18">
        <f>EL[[#This Row],[Part Type]]</f>
        <v>0</v>
      </c>
      <c r="CF34" s="18">
        <f>EL[[#This Row],[Part Nr.]]</f>
        <v>0</v>
      </c>
      <c r="CG34" s="18">
        <f>EL[[#This Row],[UID]]</f>
        <v>0</v>
      </c>
      <c r="CK34" s="18" t="str">
        <f>IF(EL[[#This Row],[Status]]=0,"",EL[[#This Row],[Status]])</f>
        <v/>
      </c>
    </row>
    <row r="35" spans="4:89">
      <c r="D35" s="28"/>
      <c r="G35" s="19"/>
      <c r="J35" s="53"/>
      <c r="K35" s="53"/>
      <c r="L35" s="53"/>
      <c r="M35" s="53"/>
      <c r="N35" s="19"/>
      <c r="Q35" s="18"/>
      <c r="CA35" s="1" t="s">
        <v>71</v>
      </c>
      <c r="CB35" s="1" t="s">
        <v>18</v>
      </c>
      <c r="CC35" s="1" t="s">
        <v>132</v>
      </c>
      <c r="CE35" s="18">
        <f>EL[[#This Row],[Part Type]]</f>
        <v>0</v>
      </c>
      <c r="CF35" s="18">
        <f>EL[[#This Row],[Part Nr.]]</f>
        <v>0</v>
      </c>
      <c r="CG35" s="18">
        <f>EL[[#This Row],[UID]]</f>
        <v>0</v>
      </c>
      <c r="CK35" s="18" t="str">
        <f>IF(EL[[#This Row],[Status]]=0,"",EL[[#This Row],[Status]])</f>
        <v/>
      </c>
    </row>
    <row r="36" spans="4:89">
      <c r="D36" s="28"/>
      <c r="G36" s="19"/>
      <c r="J36" s="53"/>
      <c r="K36" s="53"/>
      <c r="L36" s="53"/>
      <c r="M36" s="53"/>
      <c r="N36" s="19"/>
      <c r="Q36" s="18"/>
      <c r="CA36" s="1" t="s">
        <v>71</v>
      </c>
      <c r="CB36" s="1" t="s">
        <v>18</v>
      </c>
      <c r="CC36" s="1" t="s">
        <v>132</v>
      </c>
      <c r="CE36" s="18">
        <f>EL[[#This Row],[Part Type]]</f>
        <v>0</v>
      </c>
      <c r="CF36" s="18">
        <f>EL[[#This Row],[Part Nr.]]</f>
        <v>0</v>
      </c>
      <c r="CG36" s="18">
        <f>EL[[#This Row],[UID]]</f>
        <v>0</v>
      </c>
      <c r="CK36" s="18" t="str">
        <f>IF(EL[[#This Row],[Status]]=0,"",EL[[#This Row],[Status]])</f>
        <v/>
      </c>
    </row>
    <row r="37" spans="4:89">
      <c r="D37" s="28"/>
      <c r="G37" s="19"/>
      <c r="J37" s="53"/>
      <c r="K37" s="53"/>
      <c r="L37" s="53"/>
      <c r="M37" s="53"/>
      <c r="N37" s="19"/>
      <c r="Q37" s="18"/>
      <c r="CA37" s="1" t="s">
        <v>71</v>
      </c>
      <c r="CB37" s="1" t="s">
        <v>18</v>
      </c>
      <c r="CC37" s="1" t="s">
        <v>132</v>
      </c>
      <c r="CE37" s="18">
        <f>EL[[#This Row],[Part Type]]</f>
        <v>0</v>
      </c>
      <c r="CF37" s="18">
        <f>EL[[#This Row],[Part Nr.]]</f>
        <v>0</v>
      </c>
      <c r="CG37" s="18">
        <f>EL[[#This Row],[UID]]</f>
        <v>0</v>
      </c>
      <c r="CK37" s="18" t="str">
        <f>IF(EL[[#This Row],[Status]]=0,"",EL[[#This Row],[Status]])</f>
        <v/>
      </c>
    </row>
    <row r="38" spans="4:89">
      <c r="D38" s="28"/>
      <c r="G38" s="19"/>
      <c r="J38" s="53"/>
      <c r="K38" s="53"/>
      <c r="L38" s="53"/>
      <c r="M38" s="53"/>
      <c r="N38" s="19"/>
      <c r="Q38" s="18"/>
      <c r="CA38" s="1" t="s">
        <v>71</v>
      </c>
      <c r="CB38" s="1" t="s">
        <v>18</v>
      </c>
      <c r="CC38" s="1" t="s">
        <v>132</v>
      </c>
      <c r="CE38" s="18">
        <f>EL[[#This Row],[Part Type]]</f>
        <v>0</v>
      </c>
      <c r="CF38" s="18">
        <f>EL[[#This Row],[Part Nr.]]</f>
        <v>0</v>
      </c>
      <c r="CG38" s="18">
        <f>EL[[#This Row],[UID]]</f>
        <v>0</v>
      </c>
      <c r="CK38" s="18" t="str">
        <f>IF(EL[[#This Row],[Status]]=0,"",EL[[#This Row],[Status]])</f>
        <v/>
      </c>
    </row>
    <row r="39" spans="4:89">
      <c r="D39" s="28"/>
      <c r="G39" s="19"/>
      <c r="J39" s="53"/>
      <c r="K39" s="53"/>
      <c r="L39" s="53"/>
      <c r="M39" s="53"/>
      <c r="N39" s="19"/>
      <c r="Q39" s="18"/>
      <c r="CA39" s="1" t="s">
        <v>71</v>
      </c>
      <c r="CB39" s="1" t="s">
        <v>18</v>
      </c>
      <c r="CC39" s="1" t="s">
        <v>132</v>
      </c>
      <c r="CE39" s="18">
        <f>EL[[#This Row],[Part Type]]</f>
        <v>0</v>
      </c>
      <c r="CF39" s="18">
        <f>EL[[#This Row],[Part Nr.]]</f>
        <v>0</v>
      </c>
      <c r="CG39" s="18">
        <f>EL[[#This Row],[UID]]</f>
        <v>0</v>
      </c>
      <c r="CK39" s="18" t="str">
        <f>IF(EL[[#This Row],[Status]]=0,"",EL[[#This Row],[Status]])</f>
        <v/>
      </c>
    </row>
    <row r="40" spans="4:89">
      <c r="D40" s="28"/>
      <c r="G40" s="19"/>
      <c r="J40" s="53"/>
      <c r="K40" s="53"/>
      <c r="L40" s="53"/>
      <c r="M40" s="53"/>
      <c r="N40" s="19"/>
      <c r="Q40" s="18"/>
      <c r="CA40" s="1" t="s">
        <v>71</v>
      </c>
      <c r="CB40" s="1" t="s">
        <v>18</v>
      </c>
      <c r="CC40" s="1" t="s">
        <v>132</v>
      </c>
      <c r="CE40" s="18">
        <f>EL[[#This Row],[Part Type]]</f>
        <v>0</v>
      </c>
      <c r="CF40" s="18">
        <f>EL[[#This Row],[Part Nr.]]</f>
        <v>0</v>
      </c>
      <c r="CG40" s="18">
        <f>EL[[#This Row],[UID]]</f>
        <v>0</v>
      </c>
      <c r="CK40" s="18" t="str">
        <f>IF(EL[[#This Row],[Status]]=0,"",EL[[#This Row],[Status]])</f>
        <v/>
      </c>
    </row>
    <row r="41" spans="4:89">
      <c r="D41" s="28"/>
      <c r="G41" s="19"/>
      <c r="J41" s="53"/>
      <c r="K41" s="53"/>
      <c r="L41" s="53"/>
      <c r="M41" s="53"/>
      <c r="N41" s="19"/>
      <c r="Q41" s="18"/>
      <c r="CA41" s="1" t="s">
        <v>71</v>
      </c>
      <c r="CB41" s="1" t="s">
        <v>18</v>
      </c>
      <c r="CC41" s="1" t="s">
        <v>132</v>
      </c>
      <c r="CE41" s="18">
        <f>EL[[#This Row],[Part Type]]</f>
        <v>0</v>
      </c>
      <c r="CF41" s="18">
        <f>EL[[#This Row],[Part Nr.]]</f>
        <v>0</v>
      </c>
      <c r="CG41" s="18">
        <f>EL[[#This Row],[UID]]</f>
        <v>0</v>
      </c>
      <c r="CK41" s="18" t="str">
        <f>IF(EL[[#This Row],[Status]]=0,"",EL[[#This Row],[Status]])</f>
        <v/>
      </c>
    </row>
    <row r="42" spans="4:89">
      <c r="D42" s="28"/>
      <c r="G42" s="19"/>
      <c r="J42" s="53"/>
      <c r="K42" s="53"/>
      <c r="L42" s="53"/>
      <c r="M42" s="53"/>
      <c r="N42" s="19"/>
      <c r="Q42" s="18"/>
      <c r="CA42" s="1" t="s">
        <v>71</v>
      </c>
      <c r="CB42" s="1" t="s">
        <v>18</v>
      </c>
      <c r="CC42" s="1" t="s">
        <v>132</v>
      </c>
      <c r="CE42" s="18">
        <f>EL[[#This Row],[Part Type]]</f>
        <v>0</v>
      </c>
      <c r="CF42" s="18">
        <f>EL[[#This Row],[Part Nr.]]</f>
        <v>0</v>
      </c>
      <c r="CG42" s="18">
        <f>EL[[#This Row],[UID]]</f>
        <v>0</v>
      </c>
      <c r="CK42" s="18" t="str">
        <f>IF(EL[[#This Row],[Status]]=0,"",EL[[#This Row],[Status]])</f>
        <v/>
      </c>
    </row>
    <row r="43" spans="4:89">
      <c r="D43" s="28"/>
      <c r="G43" s="19"/>
      <c r="J43" s="53"/>
      <c r="K43" s="53"/>
      <c r="L43" s="53"/>
      <c r="M43" s="53"/>
      <c r="N43" s="19"/>
      <c r="Q43" s="18"/>
      <c r="CA43" s="1" t="s">
        <v>71</v>
      </c>
      <c r="CB43" s="1" t="s">
        <v>18</v>
      </c>
      <c r="CC43" s="1" t="s">
        <v>132</v>
      </c>
      <c r="CE43" s="18">
        <f>EL[[#This Row],[Part Type]]</f>
        <v>0</v>
      </c>
      <c r="CF43" s="18">
        <f>EL[[#This Row],[Part Nr.]]</f>
        <v>0</v>
      </c>
      <c r="CG43" s="18">
        <f>EL[[#This Row],[UID]]</f>
        <v>0</v>
      </c>
      <c r="CK43" s="18" t="str">
        <f>IF(EL[[#This Row],[Status]]=0,"",EL[[#This Row],[Status]])</f>
        <v/>
      </c>
    </row>
    <row r="44" spans="4:89">
      <c r="D44" s="28"/>
      <c r="G44" s="19"/>
      <c r="J44" s="53"/>
      <c r="K44" s="53"/>
      <c r="L44" s="53"/>
      <c r="M44" s="53"/>
      <c r="N44" s="19"/>
      <c r="Q44" s="18"/>
      <c r="CA44" s="1" t="s">
        <v>71</v>
      </c>
      <c r="CB44" s="1" t="s">
        <v>18</v>
      </c>
      <c r="CC44" s="1" t="s">
        <v>132</v>
      </c>
      <c r="CE44" s="18">
        <f>EL[[#This Row],[Part Type]]</f>
        <v>0</v>
      </c>
      <c r="CF44" s="18">
        <f>EL[[#This Row],[Part Nr.]]</f>
        <v>0</v>
      </c>
      <c r="CG44" s="18">
        <f>EL[[#This Row],[UID]]</f>
        <v>0</v>
      </c>
      <c r="CK44" s="18" t="str">
        <f>IF(EL[[#This Row],[Status]]=0,"",EL[[#This Row],[Status]])</f>
        <v/>
      </c>
    </row>
    <row r="45" spans="4:89">
      <c r="D45" s="28"/>
      <c r="G45" s="19"/>
      <c r="J45" s="53"/>
      <c r="K45" s="53"/>
      <c r="L45" s="53"/>
      <c r="M45" s="53"/>
      <c r="N45" s="19"/>
      <c r="Q45" s="18"/>
      <c r="CA45" s="1" t="s">
        <v>71</v>
      </c>
      <c r="CB45" s="1" t="s">
        <v>18</v>
      </c>
      <c r="CC45" s="1" t="s">
        <v>132</v>
      </c>
      <c r="CE45" s="18">
        <f>EL[[#This Row],[Part Type]]</f>
        <v>0</v>
      </c>
      <c r="CF45" s="18">
        <f>EL[[#This Row],[Part Nr.]]</f>
        <v>0</v>
      </c>
      <c r="CG45" s="18">
        <f>EL[[#This Row],[UID]]</f>
        <v>0</v>
      </c>
      <c r="CK45" s="18" t="str">
        <f>IF(EL[[#This Row],[Status]]=0,"",EL[[#This Row],[Status]])</f>
        <v/>
      </c>
    </row>
    <row r="46" spans="4:89">
      <c r="D46" s="28"/>
      <c r="G46" s="19"/>
      <c r="J46" s="53"/>
      <c r="K46" s="53"/>
      <c r="L46" s="53"/>
      <c r="M46" s="53"/>
      <c r="N46" s="19"/>
      <c r="Q46" s="18"/>
      <c r="CA46" s="1" t="s">
        <v>71</v>
      </c>
      <c r="CB46" s="1" t="s">
        <v>18</v>
      </c>
      <c r="CC46" s="1" t="s">
        <v>132</v>
      </c>
      <c r="CE46" s="18">
        <f>EL[[#This Row],[Part Type]]</f>
        <v>0</v>
      </c>
      <c r="CF46" s="18">
        <f>EL[[#This Row],[Part Nr.]]</f>
        <v>0</v>
      </c>
      <c r="CG46" s="18">
        <f>EL[[#This Row],[UID]]</f>
        <v>0</v>
      </c>
      <c r="CK46" s="18" t="str">
        <f>IF(EL[[#This Row],[Status]]=0,"",EL[[#This Row],[Status]])</f>
        <v/>
      </c>
    </row>
    <row r="47" spans="4:89">
      <c r="D47" s="28"/>
      <c r="G47" s="19"/>
      <c r="J47" s="53"/>
      <c r="K47" s="53"/>
      <c r="L47" s="53"/>
      <c r="M47" s="53"/>
      <c r="N47" s="19"/>
      <c r="Q47" s="18"/>
      <c r="CA47" s="1" t="s">
        <v>71</v>
      </c>
      <c r="CB47" s="1" t="s">
        <v>18</v>
      </c>
      <c r="CC47" s="1" t="s">
        <v>132</v>
      </c>
      <c r="CE47" s="18">
        <f>EL[[#This Row],[Part Type]]</f>
        <v>0</v>
      </c>
      <c r="CF47" s="18">
        <f>EL[[#This Row],[Part Nr.]]</f>
        <v>0</v>
      </c>
      <c r="CG47" s="18">
        <f>EL[[#This Row],[UID]]</f>
        <v>0</v>
      </c>
      <c r="CK47" s="18" t="str">
        <f>IF(EL[[#This Row],[Status]]=0,"",EL[[#This Row],[Status]])</f>
        <v/>
      </c>
    </row>
    <row r="48" spans="4:89">
      <c r="D48" s="28"/>
      <c r="G48" s="19"/>
      <c r="J48" s="53"/>
      <c r="K48" s="53"/>
      <c r="L48" s="53"/>
      <c r="M48" s="53"/>
      <c r="N48" s="19"/>
      <c r="Q48" s="18"/>
      <c r="CA48" s="1" t="s">
        <v>71</v>
      </c>
      <c r="CB48" s="1" t="s">
        <v>18</v>
      </c>
      <c r="CC48" s="1" t="s">
        <v>132</v>
      </c>
      <c r="CE48" s="18">
        <f>EL[[#This Row],[Part Type]]</f>
        <v>0</v>
      </c>
      <c r="CF48" s="18">
        <f>EL[[#This Row],[Part Nr.]]</f>
        <v>0</v>
      </c>
      <c r="CG48" s="18">
        <f>EL[[#This Row],[UID]]</f>
        <v>0</v>
      </c>
      <c r="CK48" s="18" t="str">
        <f>IF(EL[[#This Row],[Status]]=0,"",EL[[#This Row],[Status]])</f>
        <v/>
      </c>
    </row>
    <row r="49" spans="4:89">
      <c r="D49" s="28"/>
      <c r="G49" s="19"/>
      <c r="J49" s="53"/>
      <c r="K49" s="53"/>
      <c r="L49" s="53"/>
      <c r="M49" s="53"/>
      <c r="N49" s="19"/>
      <c r="Q49" s="18"/>
      <c r="CA49" s="1" t="s">
        <v>71</v>
      </c>
      <c r="CB49" s="1" t="s">
        <v>18</v>
      </c>
      <c r="CC49" s="1" t="s">
        <v>132</v>
      </c>
      <c r="CE49" s="18">
        <f>EL[[#This Row],[Part Type]]</f>
        <v>0</v>
      </c>
      <c r="CF49" s="18">
        <f>EL[[#This Row],[Part Nr.]]</f>
        <v>0</v>
      </c>
      <c r="CG49" s="18">
        <f>EL[[#This Row],[UID]]</f>
        <v>0</v>
      </c>
      <c r="CK49" s="18" t="str">
        <f>IF(EL[[#This Row],[Status]]=0,"",EL[[#This Row],[Status]])</f>
        <v/>
      </c>
    </row>
    <row r="50" spans="4:89">
      <c r="D50" s="28"/>
      <c r="G50" s="19"/>
      <c r="J50" s="53"/>
      <c r="K50" s="53"/>
      <c r="L50" s="53"/>
      <c r="M50" s="53"/>
      <c r="N50" s="19"/>
      <c r="Q50" s="18"/>
      <c r="CA50" s="1" t="s">
        <v>71</v>
      </c>
      <c r="CB50" s="1" t="s">
        <v>18</v>
      </c>
      <c r="CC50" s="1" t="s">
        <v>132</v>
      </c>
      <c r="CE50" s="18">
        <f>EL[[#This Row],[Part Type]]</f>
        <v>0</v>
      </c>
      <c r="CF50" s="18">
        <f>EL[[#This Row],[Part Nr.]]</f>
        <v>0</v>
      </c>
      <c r="CG50" s="18">
        <f>EL[[#This Row],[UID]]</f>
        <v>0</v>
      </c>
      <c r="CK50" s="18" t="str">
        <f>IF(EL[[#This Row],[Status]]=0,"",EL[[#This Row],[Status]])</f>
        <v/>
      </c>
    </row>
    <row r="51" spans="4:89">
      <c r="D51" s="28"/>
      <c r="G51" s="19"/>
      <c r="J51" s="53"/>
      <c r="K51" s="53"/>
      <c r="L51" s="53"/>
      <c r="M51" s="53"/>
      <c r="N51" s="19"/>
      <c r="Q51" s="18"/>
      <c r="CA51" s="1" t="s">
        <v>71</v>
      </c>
      <c r="CB51" s="1" t="s">
        <v>18</v>
      </c>
      <c r="CC51" s="1" t="s">
        <v>132</v>
      </c>
      <c r="CE51" s="18">
        <f>EL[[#This Row],[Part Type]]</f>
        <v>0</v>
      </c>
      <c r="CF51" s="18">
        <f>EL[[#This Row],[Part Nr.]]</f>
        <v>0</v>
      </c>
      <c r="CG51" s="18">
        <f>EL[[#This Row],[UID]]</f>
        <v>0</v>
      </c>
      <c r="CK51" s="18" t="str">
        <f>IF(EL[[#This Row],[Status]]=0,"",EL[[#This Row],[Status]])</f>
        <v/>
      </c>
    </row>
  </sheetData>
  <hyperlinks>
    <hyperlink ref="T14" r:id="rId1" xr:uid="{2C406F00-26D1-9540-9329-E2DB75FE59A6}"/>
    <hyperlink ref="T15" r:id="rId2" xr:uid="{F1C6F25E-EA94-D446-BE6F-59B6BA196D2B}"/>
  </hyperlinks>
  <pageMargins left="0.7" right="0.7" top="0.75" bottom="0.75" header="0.3" footer="0.3"/>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90663-DA93-1547-968B-55733228DA83}">
  <sheetPr codeName="Sheet13"/>
  <dimension ref="A1:CK51"/>
  <sheetViews>
    <sheetView topLeftCell="C1" zoomScaleNormal="100" workbookViewId="0">
      <selection activeCell="C1" sqref="C1"/>
    </sheetView>
  </sheetViews>
  <sheetFormatPr defaultColWidth="11" defaultRowHeight="15.95"/>
  <cols>
    <col min="1" max="1" width="11.375" style="11" bestFit="1" customWidth="1"/>
    <col min="2" max="2" width="21.625" style="11" bestFit="1" customWidth="1"/>
    <col min="3" max="3" width="11.5" style="11" bestFit="1" customWidth="1"/>
    <col min="5" max="5" width="26.125" style="11" bestFit="1" customWidth="1"/>
    <col min="6" max="6" width="25.625" style="11" bestFit="1" customWidth="1"/>
    <col min="7" max="7" width="17.375" style="11" bestFit="1" customWidth="1"/>
    <col min="8" max="8" width="16.625" style="11" bestFit="1" customWidth="1"/>
    <col min="9" max="9" width="23.125" style="11" bestFit="1" customWidth="1"/>
    <col min="10" max="10" width="20.375" style="11" bestFit="1" customWidth="1"/>
    <col min="11" max="11" width="23.375" style="11" bestFit="1" customWidth="1"/>
    <col min="12" max="13" width="13" style="11" bestFit="1" customWidth="1"/>
    <col min="14" max="14" width="15" style="11" bestFit="1" customWidth="1"/>
    <col min="15" max="15" width="14.5" style="11" bestFit="1" customWidth="1"/>
    <col min="16" max="16" width="19.875" style="11" bestFit="1" customWidth="1"/>
    <col min="17" max="17" width="18.625" style="11" bestFit="1" customWidth="1"/>
    <col min="18" max="18" width="13.375" style="11" bestFit="1" customWidth="1"/>
    <col min="19" max="19" width="8.5" style="11" bestFit="1" customWidth="1"/>
    <col min="20" max="20" width="12" style="11" bestFit="1" customWidth="1"/>
    <col min="21" max="21" width="111.375" style="11" bestFit="1" customWidth="1"/>
    <col min="22" max="78" width="11" style="11"/>
    <col min="79" max="79" width="15.5" style="11" customWidth="1"/>
    <col min="80" max="80" width="19.125" style="11" customWidth="1"/>
    <col min="81" max="81" width="20.375" style="11" customWidth="1"/>
    <col min="82" max="83" width="11" style="11"/>
    <col min="84" max="84" width="13.625" style="11" customWidth="1"/>
    <col min="85" max="85" width="12.625" style="11" customWidth="1"/>
    <col min="86" max="86" width="16.5" style="11" customWidth="1"/>
    <col min="87" max="87" width="11" style="11"/>
    <col min="88" max="88" width="14.625" style="11" customWidth="1"/>
    <col min="89" max="16384" width="11" style="11"/>
  </cols>
  <sheetData>
    <row r="1" spans="1:89">
      <c r="A1" s="11" t="s">
        <v>12</v>
      </c>
      <c r="B1" s="25" t="s">
        <v>95</v>
      </c>
      <c r="C1" s="109" t="s">
        <v>94</v>
      </c>
      <c r="D1" s="11" t="s">
        <v>227</v>
      </c>
      <c r="E1" s="11" t="s">
        <v>228</v>
      </c>
      <c r="F1" s="11" t="s">
        <v>391</v>
      </c>
      <c r="G1" s="11" t="s">
        <v>392</v>
      </c>
      <c r="H1" s="11" t="s">
        <v>393</v>
      </c>
      <c r="I1" s="11" t="s">
        <v>394</v>
      </c>
      <c r="J1" s="11" t="s">
        <v>225</v>
      </c>
      <c r="K1" s="11" t="s">
        <v>395</v>
      </c>
      <c r="L1" s="11" t="s">
        <v>396</v>
      </c>
      <c r="M1" s="11" t="s">
        <v>397</v>
      </c>
      <c r="N1" s="11" t="s">
        <v>398</v>
      </c>
      <c r="O1" s="11" t="s">
        <v>399</v>
      </c>
      <c r="P1" s="18" t="s">
        <v>400</v>
      </c>
      <c r="Q1" s="18" t="s">
        <v>401</v>
      </c>
      <c r="R1" s="18" t="s">
        <v>117</v>
      </c>
      <c r="S1" s="11" t="s">
        <v>237</v>
      </c>
      <c r="T1" s="11" t="s">
        <v>238</v>
      </c>
      <c r="BZ1" t="s">
        <v>119</v>
      </c>
      <c r="CA1" s="117" t="s">
        <v>2</v>
      </c>
      <c r="CB1" s="118" t="s">
        <v>3</v>
      </c>
      <c r="CC1" s="118" t="s">
        <v>4</v>
      </c>
      <c r="CD1" s="118" t="s">
        <v>5</v>
      </c>
      <c r="CE1" s="118" t="s">
        <v>6</v>
      </c>
      <c r="CF1" s="119" t="s">
        <v>7</v>
      </c>
      <c r="CG1" s="118" t="s">
        <v>8</v>
      </c>
      <c r="CH1" s="118" t="s">
        <v>9</v>
      </c>
      <c r="CI1" s="118" t="s">
        <v>10</v>
      </c>
      <c r="CJ1" s="118" t="s">
        <v>11</v>
      </c>
      <c r="CK1" s="120" t="s">
        <v>12</v>
      </c>
    </row>
    <row r="2" spans="1:89">
      <c r="A2" s="11" t="s">
        <v>120</v>
      </c>
      <c r="B2" s="11" t="s">
        <v>402</v>
      </c>
      <c r="C2" s="11" t="s">
        <v>403</v>
      </c>
      <c r="D2" s="17">
        <v>220930</v>
      </c>
      <c r="E2" s="56">
        <v>947.76900000000001</v>
      </c>
      <c r="F2" s="11" t="s">
        <v>173</v>
      </c>
      <c r="G2" s="11" t="s">
        <v>404</v>
      </c>
      <c r="H2" s="11">
        <v>2</v>
      </c>
      <c r="I2" s="11" t="s">
        <v>405</v>
      </c>
      <c r="J2" s="11">
        <v>60000</v>
      </c>
      <c r="K2" s="11" t="s">
        <v>243</v>
      </c>
      <c r="L2" s="11" t="s">
        <v>243</v>
      </c>
      <c r="M2" s="11">
        <v>4.875</v>
      </c>
      <c r="N2" s="11">
        <v>1.5</v>
      </c>
      <c r="O2" s="11" t="s">
        <v>161</v>
      </c>
      <c r="P2" s="19" t="s">
        <v>129</v>
      </c>
      <c r="Q2" s="19" t="s">
        <v>129</v>
      </c>
      <c r="R2" s="11" t="s">
        <v>128</v>
      </c>
      <c r="S2" s="11" t="s">
        <v>173</v>
      </c>
      <c r="T2" s="20" t="s">
        <v>406</v>
      </c>
      <c r="BZ2" t="s">
        <v>131</v>
      </c>
      <c r="CA2" s="1" t="s">
        <v>71</v>
      </c>
      <c r="CB2" s="1" t="s">
        <v>18</v>
      </c>
      <c r="CC2" s="1" t="s">
        <v>308</v>
      </c>
      <c r="CD2" s="1"/>
      <c r="CE2" s="1" t="str">
        <f>FI[[#This Row],[Part Type]]</f>
        <v>Filter</v>
      </c>
      <c r="CF2" s="1" t="str">
        <f>FI[[#This Row],[Part Number]]</f>
        <v>60F-51HF4-2</v>
      </c>
      <c r="CG2" s="1" t="str">
        <f>FI[[#This Row],[Filter Disc UnitID]]</f>
        <v>FID-2</v>
      </c>
      <c r="CH2" s="1"/>
      <c r="CI2" s="1"/>
      <c r="CJ2" s="1"/>
      <c r="CK2" s="1" t="str">
        <f>IF(FI[[#This Row],[Status]]=0,"",FI[[#This Row],[Status]])</f>
        <v>Active</v>
      </c>
    </row>
    <row r="3" spans="1:89">
      <c r="A3" s="11" t="s">
        <v>120</v>
      </c>
      <c r="B3" s="11" t="s">
        <v>402</v>
      </c>
      <c r="C3" s="11" t="s">
        <v>407</v>
      </c>
      <c r="D3" s="17">
        <v>220930</v>
      </c>
      <c r="E3" s="56">
        <v>944.25400000000002</v>
      </c>
      <c r="F3" s="11" t="s">
        <v>173</v>
      </c>
      <c r="G3" s="11" t="s">
        <v>404</v>
      </c>
      <c r="H3" s="11">
        <v>2</v>
      </c>
      <c r="I3" s="11" t="s">
        <v>405</v>
      </c>
      <c r="J3" s="11">
        <v>60000</v>
      </c>
      <c r="K3" s="11" t="s">
        <v>243</v>
      </c>
      <c r="L3" s="11" t="s">
        <v>243</v>
      </c>
      <c r="M3" s="11">
        <v>4.875</v>
      </c>
      <c r="N3" s="11">
        <v>1.5</v>
      </c>
      <c r="O3" s="11" t="s">
        <v>161</v>
      </c>
      <c r="P3" s="19" t="s">
        <v>129</v>
      </c>
      <c r="Q3" s="19" t="s">
        <v>129</v>
      </c>
      <c r="R3" s="11" t="s">
        <v>128</v>
      </c>
      <c r="S3" s="11" t="s">
        <v>173</v>
      </c>
      <c r="T3" s="20" t="s">
        <v>406</v>
      </c>
      <c r="BZ3"/>
      <c r="CA3" s="1" t="s">
        <v>71</v>
      </c>
      <c r="CB3" s="1" t="s">
        <v>18</v>
      </c>
      <c r="CC3" s="1" t="s">
        <v>308</v>
      </c>
      <c r="CD3"/>
      <c r="CE3" t="str">
        <f>FI[[#This Row],[Part Type]]</f>
        <v>Filter</v>
      </c>
      <c r="CF3" t="str">
        <f>FI[[#This Row],[Part Number]]</f>
        <v>60F-51HF4-2</v>
      </c>
      <c r="CG3" t="str">
        <f>FI[[#This Row],[Filter Disc UnitID]]</f>
        <v>FID-2</v>
      </c>
      <c r="CH3"/>
      <c r="CI3"/>
      <c r="CJ3"/>
      <c r="CK3" t="str">
        <f>IF(FI[[#This Row],[Status]]=0,"",FI[[#This Row],[Status]])</f>
        <v>Active</v>
      </c>
    </row>
    <row r="4" spans="1:89">
      <c r="A4" s="11" t="s">
        <v>120</v>
      </c>
      <c r="B4" s="11" t="s">
        <v>402</v>
      </c>
      <c r="C4" s="11" t="s">
        <v>408</v>
      </c>
      <c r="D4" s="17">
        <v>220930</v>
      </c>
      <c r="E4" s="56">
        <v>947.76900000000001</v>
      </c>
      <c r="F4" s="11" t="s">
        <v>173</v>
      </c>
      <c r="G4" s="11" t="s">
        <v>404</v>
      </c>
      <c r="H4" s="11">
        <v>2</v>
      </c>
      <c r="I4" s="11" t="s">
        <v>405</v>
      </c>
      <c r="J4" s="11">
        <v>60000</v>
      </c>
      <c r="K4" s="11" t="s">
        <v>243</v>
      </c>
      <c r="L4" s="11" t="s">
        <v>243</v>
      </c>
      <c r="M4" s="11">
        <v>4.875</v>
      </c>
      <c r="N4" s="11">
        <v>1.5</v>
      </c>
      <c r="O4" s="11" t="s">
        <v>161</v>
      </c>
      <c r="P4" s="11" t="s">
        <v>403</v>
      </c>
      <c r="Q4" s="19" t="s">
        <v>129</v>
      </c>
      <c r="R4" s="11" t="s">
        <v>128</v>
      </c>
      <c r="S4" s="11" t="s">
        <v>173</v>
      </c>
      <c r="T4" s="20" t="s">
        <v>406</v>
      </c>
      <c r="BZ4"/>
      <c r="CA4" s="1" t="s">
        <v>71</v>
      </c>
      <c r="CB4" s="1" t="s">
        <v>18</v>
      </c>
      <c r="CC4" s="1" t="s">
        <v>308</v>
      </c>
      <c r="CD4"/>
      <c r="CE4" t="str">
        <f>FI[[#This Row],[Part Type]]</f>
        <v>Filter</v>
      </c>
      <c r="CF4" t="str">
        <f>FI[[#This Row],[Part Number]]</f>
        <v>60F-51HF4-2</v>
      </c>
      <c r="CG4" t="str">
        <f>FI[[#This Row],[Filter Disc UnitID]]</f>
        <v>FID-2</v>
      </c>
      <c r="CH4"/>
      <c r="CI4"/>
      <c r="CJ4"/>
      <c r="CK4" t="str">
        <f>IF(FI[[#This Row],[Status]]=0,"",FI[[#This Row],[Status]])</f>
        <v>Active</v>
      </c>
    </row>
    <row r="5" spans="1:89">
      <c r="A5" s="11" t="s">
        <v>120</v>
      </c>
      <c r="B5" s="11" t="s">
        <v>402</v>
      </c>
      <c r="C5" s="11" t="s">
        <v>409</v>
      </c>
      <c r="D5" s="17">
        <v>220930</v>
      </c>
      <c r="E5" s="56">
        <v>944.25400000000002</v>
      </c>
      <c r="F5" s="11" t="s">
        <v>173</v>
      </c>
      <c r="G5" s="11" t="s">
        <v>404</v>
      </c>
      <c r="H5" s="11">
        <v>2</v>
      </c>
      <c r="I5" s="11" t="s">
        <v>405</v>
      </c>
      <c r="J5" s="11">
        <v>60000</v>
      </c>
      <c r="K5" s="11" t="s">
        <v>243</v>
      </c>
      <c r="L5" s="11" t="s">
        <v>243</v>
      </c>
      <c r="M5" s="11">
        <v>4.875</v>
      </c>
      <c r="N5" s="11">
        <v>1.5</v>
      </c>
      <c r="O5" s="11" t="s">
        <v>161</v>
      </c>
      <c r="P5" s="11" t="s">
        <v>407</v>
      </c>
      <c r="Q5" s="19" t="s">
        <v>129</v>
      </c>
      <c r="R5" s="11" t="s">
        <v>128</v>
      </c>
      <c r="S5" s="11" t="s">
        <v>173</v>
      </c>
      <c r="T5" s="20" t="s">
        <v>406</v>
      </c>
      <c r="BZ5"/>
      <c r="CA5" s="1" t="s">
        <v>71</v>
      </c>
      <c r="CB5" s="1" t="s">
        <v>18</v>
      </c>
      <c r="CC5" s="1" t="s">
        <v>308</v>
      </c>
      <c r="CD5"/>
      <c r="CE5" t="str">
        <f>FI[[#This Row],[Part Type]]</f>
        <v>Filter</v>
      </c>
      <c r="CF5" t="str">
        <f>FI[[#This Row],[Part Number]]</f>
        <v>60F-51HF4-2</v>
      </c>
      <c r="CG5" t="str">
        <f>FI[[#This Row],[Filter Disc UnitID]]</f>
        <v>FID-2</v>
      </c>
      <c r="CH5"/>
      <c r="CI5"/>
      <c r="CJ5"/>
      <c r="CK5" t="str">
        <f>IF(FI[[#This Row],[Status]]=0,"",FI[[#This Row],[Status]])</f>
        <v>Active</v>
      </c>
    </row>
    <row r="6" spans="1:89">
      <c r="A6" s="11" t="s">
        <v>120</v>
      </c>
      <c r="B6" s="11" t="s">
        <v>402</v>
      </c>
      <c r="C6" s="11" t="s">
        <v>410</v>
      </c>
      <c r="D6" s="17">
        <v>220930</v>
      </c>
      <c r="E6" s="56">
        <v>949.92600000000004</v>
      </c>
      <c r="F6" s="11" t="s">
        <v>173</v>
      </c>
      <c r="G6" s="11" t="s">
        <v>411</v>
      </c>
      <c r="H6" s="11">
        <v>5</v>
      </c>
      <c r="I6" s="11" t="s">
        <v>412</v>
      </c>
      <c r="J6" s="11">
        <v>60000</v>
      </c>
      <c r="K6" s="11" t="s">
        <v>243</v>
      </c>
      <c r="L6" s="11" t="s">
        <v>243</v>
      </c>
      <c r="M6" s="11">
        <v>4.875</v>
      </c>
      <c r="N6" s="11">
        <v>1.5</v>
      </c>
      <c r="O6" s="11" t="s">
        <v>161</v>
      </c>
      <c r="P6" s="19" t="s">
        <v>129</v>
      </c>
      <c r="Q6" s="19" t="s">
        <v>129</v>
      </c>
      <c r="R6" s="11" t="s">
        <v>128</v>
      </c>
      <c r="S6" s="11" t="s">
        <v>173</v>
      </c>
      <c r="T6" s="20" t="s">
        <v>406</v>
      </c>
      <c r="BZ6"/>
      <c r="CA6" s="1" t="s">
        <v>71</v>
      </c>
      <c r="CB6" s="1" t="s">
        <v>18</v>
      </c>
      <c r="CC6" s="1" t="s">
        <v>308</v>
      </c>
      <c r="CD6"/>
      <c r="CE6" t="str">
        <f>FI[[#This Row],[Part Type]]</f>
        <v>Filter</v>
      </c>
      <c r="CF6" t="str">
        <f>FI[[#This Row],[Part Number]]</f>
        <v>60F-51HF4-5</v>
      </c>
      <c r="CG6" t="str">
        <f>FI[[#This Row],[Filter Disc UnitID]]</f>
        <v>FID-3</v>
      </c>
      <c r="CH6"/>
      <c r="CI6"/>
      <c r="CJ6"/>
      <c r="CK6" t="str">
        <f>IF(FI[[#This Row],[Status]]=0,"",FI[[#This Row],[Status]])</f>
        <v>Active</v>
      </c>
    </row>
    <row r="7" spans="1:89">
      <c r="A7" s="11" t="s">
        <v>120</v>
      </c>
      <c r="B7" s="11" t="s">
        <v>402</v>
      </c>
      <c r="C7" s="11" t="s">
        <v>413</v>
      </c>
      <c r="D7" s="17">
        <v>220930</v>
      </c>
      <c r="E7" s="56">
        <v>802.62199999999996</v>
      </c>
      <c r="F7" s="11" t="s">
        <v>173</v>
      </c>
      <c r="G7" s="11" t="s">
        <v>414</v>
      </c>
      <c r="H7" s="11">
        <v>0.5</v>
      </c>
      <c r="I7" s="11" t="s">
        <v>415</v>
      </c>
      <c r="J7" s="11">
        <v>60000</v>
      </c>
      <c r="K7" s="11" t="s">
        <v>243</v>
      </c>
      <c r="L7" s="11" t="s">
        <v>243</v>
      </c>
      <c r="M7" s="11">
        <v>4.875</v>
      </c>
      <c r="N7" s="11">
        <v>1.5</v>
      </c>
      <c r="O7" s="11" t="s">
        <v>161</v>
      </c>
      <c r="P7" s="11" t="s">
        <v>416</v>
      </c>
      <c r="Q7" s="19" t="s">
        <v>129</v>
      </c>
      <c r="R7" s="11" t="s">
        <v>128</v>
      </c>
      <c r="S7" s="11" t="s">
        <v>173</v>
      </c>
      <c r="T7" s="20" t="s">
        <v>406</v>
      </c>
      <c r="BZ7"/>
      <c r="CA7" s="1" t="s">
        <v>71</v>
      </c>
      <c r="CB7" s="1" t="s">
        <v>18</v>
      </c>
      <c r="CC7" s="1" t="s">
        <v>308</v>
      </c>
      <c r="CD7"/>
      <c r="CE7" t="str">
        <f>FI[[#This Row],[Part Type]]</f>
        <v>Filter</v>
      </c>
      <c r="CF7" t="str">
        <f>FI[[#This Row],[Part Number]]</f>
        <v>60F-51HF4-0.5</v>
      </c>
      <c r="CG7" t="str">
        <f>FI[[#This Row],[Filter Disc UnitID]]</f>
        <v>FID-1</v>
      </c>
      <c r="CH7"/>
      <c r="CI7"/>
      <c r="CJ7"/>
      <c r="CK7" t="str">
        <f>IF(FI[[#This Row],[Status]]=0,"",FI[[#This Row],[Status]])</f>
        <v>Active</v>
      </c>
    </row>
    <row r="8" spans="1:89">
      <c r="A8" s="11" t="s">
        <v>140</v>
      </c>
      <c r="B8" s="11" t="s">
        <v>417</v>
      </c>
      <c r="C8" s="11" t="s">
        <v>415</v>
      </c>
      <c r="D8" s="11" t="s">
        <v>129</v>
      </c>
      <c r="E8" s="11" t="s">
        <v>129</v>
      </c>
      <c r="F8" s="11" t="s">
        <v>173</v>
      </c>
      <c r="G8" s="18" t="s">
        <v>418</v>
      </c>
      <c r="H8" s="18">
        <v>0.5</v>
      </c>
      <c r="I8" s="19" t="s">
        <v>129</v>
      </c>
      <c r="J8" s="11">
        <v>60000</v>
      </c>
      <c r="K8" s="11" t="s">
        <v>129</v>
      </c>
      <c r="L8" s="11" t="s">
        <v>129</v>
      </c>
      <c r="M8" s="11">
        <v>0.5</v>
      </c>
      <c r="N8" s="11">
        <v>0.125</v>
      </c>
      <c r="O8" s="11" t="s">
        <v>419</v>
      </c>
      <c r="P8" s="19" t="s">
        <v>129</v>
      </c>
      <c r="Q8" s="18">
        <v>12</v>
      </c>
      <c r="R8" s="11" t="s">
        <v>128</v>
      </c>
      <c r="S8" s="11" t="s">
        <v>173</v>
      </c>
      <c r="T8" s="81" t="s">
        <v>406</v>
      </c>
      <c r="BZ8"/>
      <c r="CA8" s="1" t="s">
        <v>71</v>
      </c>
      <c r="CB8" s="1" t="s">
        <v>18</v>
      </c>
      <c r="CC8" s="1" t="s">
        <v>308</v>
      </c>
      <c r="CD8"/>
      <c r="CE8" t="str">
        <f>FI[[#This Row],[Part Type]]</f>
        <v>Filter Disc</v>
      </c>
      <c r="CF8" t="str">
        <f>FI[[#This Row],[Part Number]]</f>
        <v>B01446</v>
      </c>
      <c r="CG8" t="str">
        <f>FI[[#This Row],[Filter Disc UnitID]]</f>
        <v>-</v>
      </c>
      <c r="CH8"/>
      <c r="CI8"/>
      <c r="CJ8"/>
      <c r="CK8" t="str">
        <f>IF(FI[[#This Row],[Status]]=0,"",FI[[#This Row],[Status]])</f>
        <v>New</v>
      </c>
    </row>
    <row r="9" spans="1:89">
      <c r="A9" s="11" t="s">
        <v>140</v>
      </c>
      <c r="B9" s="11" t="s">
        <v>417</v>
      </c>
      <c r="C9" s="11" t="s">
        <v>405</v>
      </c>
      <c r="D9" s="11" t="s">
        <v>129</v>
      </c>
      <c r="E9" s="11" t="s">
        <v>129</v>
      </c>
      <c r="F9" s="11" t="s">
        <v>173</v>
      </c>
      <c r="G9" s="18" t="s">
        <v>420</v>
      </c>
      <c r="H9" s="18">
        <v>2</v>
      </c>
      <c r="I9" s="19" t="s">
        <v>129</v>
      </c>
      <c r="J9" s="11">
        <v>60000</v>
      </c>
      <c r="K9" s="11" t="s">
        <v>129</v>
      </c>
      <c r="L9" s="11" t="s">
        <v>129</v>
      </c>
      <c r="M9" s="11">
        <v>0.5</v>
      </c>
      <c r="N9" s="11">
        <v>0.125</v>
      </c>
      <c r="O9" s="11" t="s">
        <v>421</v>
      </c>
      <c r="P9" s="19" t="s">
        <v>129</v>
      </c>
      <c r="Q9" s="18">
        <v>12</v>
      </c>
      <c r="R9" s="11" t="s">
        <v>128</v>
      </c>
      <c r="S9" s="11" t="s">
        <v>173</v>
      </c>
      <c r="T9" s="81" t="s">
        <v>406</v>
      </c>
      <c r="BZ9" s="18"/>
      <c r="CA9" s="1" t="s">
        <v>71</v>
      </c>
      <c r="CB9" s="1" t="s">
        <v>18</v>
      </c>
      <c r="CC9" s="1" t="s">
        <v>308</v>
      </c>
      <c r="CD9" s="18"/>
      <c r="CE9" s="18" t="str">
        <f>FI[[#This Row],[Part Type]]</f>
        <v>Filter Disc</v>
      </c>
      <c r="CF9" s="18" t="str">
        <f>FI[[#This Row],[Part Number]]</f>
        <v>B01447</v>
      </c>
      <c r="CG9" s="18" t="str">
        <f>FI[[#This Row],[Filter Disc UnitID]]</f>
        <v>-</v>
      </c>
      <c r="CH9" s="18"/>
      <c r="CI9" s="18"/>
      <c r="CJ9" s="18"/>
      <c r="CK9" s="18" t="str">
        <f>IF(FI[[#This Row],[Status]]=0,"",FI[[#This Row],[Status]])</f>
        <v>New</v>
      </c>
    </row>
    <row r="10" spans="1:89">
      <c r="A10" s="11" t="s">
        <v>140</v>
      </c>
      <c r="B10" s="11" t="s">
        <v>417</v>
      </c>
      <c r="C10" s="11" t="s">
        <v>412</v>
      </c>
      <c r="D10" s="11" t="s">
        <v>129</v>
      </c>
      <c r="E10" s="11" t="s">
        <v>129</v>
      </c>
      <c r="F10" s="11" t="s">
        <v>173</v>
      </c>
      <c r="G10" s="18" t="s">
        <v>422</v>
      </c>
      <c r="H10" s="18">
        <v>5</v>
      </c>
      <c r="I10" s="19" t="s">
        <v>129</v>
      </c>
      <c r="J10" s="11">
        <v>60000</v>
      </c>
      <c r="K10" s="11" t="s">
        <v>129</v>
      </c>
      <c r="L10" s="11" t="s">
        <v>129</v>
      </c>
      <c r="M10" s="11">
        <v>0.5</v>
      </c>
      <c r="N10" s="11">
        <v>0.125</v>
      </c>
      <c r="O10" s="11" t="s">
        <v>423</v>
      </c>
      <c r="P10" s="19" t="s">
        <v>129</v>
      </c>
      <c r="Q10" s="18">
        <v>9</v>
      </c>
      <c r="R10" s="11" t="s">
        <v>128</v>
      </c>
      <c r="S10" s="11" t="s">
        <v>173</v>
      </c>
      <c r="T10" s="81" t="s">
        <v>406</v>
      </c>
      <c r="BZ10" s="18"/>
      <c r="CA10" s="1" t="s">
        <v>71</v>
      </c>
      <c r="CB10" s="1" t="s">
        <v>18</v>
      </c>
      <c r="CC10" s="1" t="s">
        <v>308</v>
      </c>
      <c r="CD10" s="18"/>
      <c r="CE10" s="18" t="str">
        <f>FI[[#This Row],[Part Type]]</f>
        <v>Filter Disc</v>
      </c>
      <c r="CF10" s="18" t="str">
        <f>FI[[#This Row],[Part Number]]</f>
        <v>B01448</v>
      </c>
      <c r="CG10" s="18" t="str">
        <f>FI[[#This Row],[Filter Disc UnitID]]</f>
        <v>-</v>
      </c>
      <c r="CH10" s="18"/>
      <c r="CI10" s="18"/>
      <c r="CJ10" s="18"/>
      <c r="CK10" s="18" t="str">
        <f>IF(FI[[#This Row],[Status]]=0,"",FI[[#This Row],[Status]])</f>
        <v>New</v>
      </c>
    </row>
    <row r="11" spans="1:89">
      <c r="A11" s="11" t="s">
        <v>140</v>
      </c>
      <c r="B11" s="11" t="s">
        <v>417</v>
      </c>
      <c r="C11" s="11" t="s">
        <v>424</v>
      </c>
      <c r="D11" s="11" t="s">
        <v>129</v>
      </c>
      <c r="E11" s="11" t="s">
        <v>129</v>
      </c>
      <c r="F11" s="11" t="s">
        <v>173</v>
      </c>
      <c r="G11" s="18" t="s">
        <v>425</v>
      </c>
      <c r="H11" s="18">
        <v>10</v>
      </c>
      <c r="I11" s="19" t="s">
        <v>129</v>
      </c>
      <c r="J11" s="11">
        <v>60000</v>
      </c>
      <c r="K11" s="11" t="s">
        <v>129</v>
      </c>
      <c r="L11" s="11" t="s">
        <v>129</v>
      </c>
      <c r="M11" s="11">
        <v>0.5</v>
      </c>
      <c r="N11" s="11">
        <v>0.125</v>
      </c>
      <c r="O11" s="11" t="s">
        <v>426</v>
      </c>
      <c r="P11" s="19" t="s">
        <v>129</v>
      </c>
      <c r="Q11" s="18">
        <v>9</v>
      </c>
      <c r="R11" s="11" t="s">
        <v>128</v>
      </c>
      <c r="S11" s="11" t="s">
        <v>173</v>
      </c>
      <c r="T11" s="81" t="s">
        <v>406</v>
      </c>
      <c r="BZ11" s="18"/>
      <c r="CA11" s="1" t="s">
        <v>71</v>
      </c>
      <c r="CB11" s="1" t="s">
        <v>18</v>
      </c>
      <c r="CC11" s="1" t="s">
        <v>308</v>
      </c>
      <c r="CD11" s="18"/>
      <c r="CE11" s="18" t="str">
        <f>FI[[#This Row],[Part Type]]</f>
        <v>Filter Disc</v>
      </c>
      <c r="CF11" s="18" t="str">
        <f>FI[[#This Row],[Part Number]]</f>
        <v>B01407</v>
      </c>
      <c r="CG11" s="18" t="str">
        <f>FI[[#This Row],[Filter Disc UnitID]]</f>
        <v>-</v>
      </c>
      <c r="CH11" s="18"/>
      <c r="CI11" s="18"/>
      <c r="CJ11" s="18"/>
      <c r="CK11" s="18" t="str">
        <f>IF(FI[[#This Row],[Status]]=0,"",FI[[#This Row],[Status]])</f>
        <v>New</v>
      </c>
    </row>
    <row r="12" spans="1:89">
      <c r="A12" s="11" t="s">
        <v>140</v>
      </c>
      <c r="B12" s="11" t="s">
        <v>417</v>
      </c>
      <c r="C12" s="11" t="s">
        <v>427</v>
      </c>
      <c r="D12" s="11" t="s">
        <v>129</v>
      </c>
      <c r="E12" s="11" t="s">
        <v>129</v>
      </c>
      <c r="F12" s="11" t="s">
        <v>173</v>
      </c>
      <c r="G12" s="18" t="s">
        <v>428</v>
      </c>
      <c r="H12" s="18">
        <v>20</v>
      </c>
      <c r="I12" s="19" t="s">
        <v>129</v>
      </c>
      <c r="J12" s="11">
        <v>60000</v>
      </c>
      <c r="K12" s="11" t="s">
        <v>129</v>
      </c>
      <c r="L12" s="11" t="s">
        <v>129</v>
      </c>
      <c r="M12" s="11">
        <v>0.5</v>
      </c>
      <c r="N12" s="11">
        <v>0.125</v>
      </c>
      <c r="O12" s="11" t="s">
        <v>429</v>
      </c>
      <c r="P12" s="19" t="s">
        <v>129</v>
      </c>
      <c r="Q12" s="18">
        <v>9</v>
      </c>
      <c r="R12" s="11" t="s">
        <v>128</v>
      </c>
      <c r="S12" s="11" t="s">
        <v>173</v>
      </c>
      <c r="T12" s="81" t="s">
        <v>406</v>
      </c>
      <c r="CA12" s="1" t="s">
        <v>71</v>
      </c>
      <c r="CB12" s="1" t="s">
        <v>18</v>
      </c>
      <c r="CC12" s="1" t="s">
        <v>308</v>
      </c>
      <c r="CE12" s="11" t="str">
        <f>FI[[#This Row],[Part Type]]</f>
        <v>Filter Disc</v>
      </c>
      <c r="CF12" s="11" t="str">
        <f>FI[[#This Row],[Part Number]]</f>
        <v>B01449</v>
      </c>
      <c r="CG12" s="11" t="str">
        <f>FI[[#This Row],[Filter Disc UnitID]]</f>
        <v>-</v>
      </c>
      <c r="CK12" s="11" t="str">
        <f>IF(FI[[#This Row],[Status]]=0,"",FI[[#This Row],[Status]])</f>
        <v>New</v>
      </c>
    </row>
    <row r="13" spans="1:89">
      <c r="A13" s="11" t="s">
        <v>140</v>
      </c>
      <c r="B13" s="11" t="s">
        <v>417</v>
      </c>
      <c r="C13" s="11" t="s">
        <v>430</v>
      </c>
      <c r="D13" s="11" t="s">
        <v>129</v>
      </c>
      <c r="E13" s="11" t="s">
        <v>129</v>
      </c>
      <c r="F13" s="11" t="s">
        <v>173</v>
      </c>
      <c r="G13" s="18" t="s">
        <v>431</v>
      </c>
      <c r="H13" s="18">
        <v>40</v>
      </c>
      <c r="I13" s="19" t="s">
        <v>129</v>
      </c>
      <c r="J13" s="11">
        <v>60000</v>
      </c>
      <c r="K13" s="11" t="s">
        <v>129</v>
      </c>
      <c r="L13" s="11" t="s">
        <v>129</v>
      </c>
      <c r="M13" s="11">
        <v>0.5</v>
      </c>
      <c r="N13" s="11">
        <v>0.125</v>
      </c>
      <c r="O13" s="11" t="s">
        <v>432</v>
      </c>
      <c r="P13" s="19" t="s">
        <v>129</v>
      </c>
      <c r="Q13" s="18">
        <v>6</v>
      </c>
      <c r="R13" s="11" t="s">
        <v>128</v>
      </c>
      <c r="S13" s="11" t="s">
        <v>173</v>
      </c>
      <c r="T13" s="81" t="s">
        <v>406</v>
      </c>
      <c r="CA13" s="1" t="s">
        <v>71</v>
      </c>
      <c r="CB13" s="1" t="s">
        <v>18</v>
      </c>
      <c r="CC13" s="1" t="s">
        <v>308</v>
      </c>
      <c r="CE13" s="11" t="str">
        <f>FI[[#This Row],[Part Type]]</f>
        <v>Filter Disc</v>
      </c>
      <c r="CF13" s="11" t="str">
        <f>FI[[#This Row],[Part Number]]</f>
        <v>B01408</v>
      </c>
      <c r="CG13" s="11" t="str">
        <f>FI[[#This Row],[Filter Disc UnitID]]</f>
        <v>-</v>
      </c>
      <c r="CK13" s="11" t="str">
        <f>IF(FI[[#This Row],[Status]]=0,"",FI[[#This Row],[Status]])</f>
        <v>New</v>
      </c>
    </row>
    <row r="14" spans="1:89">
      <c r="A14" s="11" t="s">
        <v>140</v>
      </c>
      <c r="B14" s="11" t="s">
        <v>417</v>
      </c>
      <c r="C14" s="11" t="s">
        <v>433</v>
      </c>
      <c r="D14" s="11" t="s">
        <v>129</v>
      </c>
      <c r="E14" s="11" t="s">
        <v>129</v>
      </c>
      <c r="F14" s="11" t="s">
        <v>173</v>
      </c>
      <c r="G14" s="18" t="s">
        <v>434</v>
      </c>
      <c r="H14" s="18">
        <v>100</v>
      </c>
      <c r="I14" s="19" t="s">
        <v>129</v>
      </c>
      <c r="J14" s="11">
        <v>60000</v>
      </c>
      <c r="K14" s="11" t="s">
        <v>129</v>
      </c>
      <c r="L14" s="11" t="s">
        <v>129</v>
      </c>
      <c r="M14" s="11">
        <v>0.5</v>
      </c>
      <c r="N14" s="11">
        <v>0.125</v>
      </c>
      <c r="O14" s="11" t="s">
        <v>435</v>
      </c>
      <c r="P14" s="19" t="s">
        <v>129</v>
      </c>
      <c r="Q14" s="18">
        <v>9</v>
      </c>
      <c r="R14" s="11" t="s">
        <v>128</v>
      </c>
      <c r="S14" s="11" t="s">
        <v>173</v>
      </c>
      <c r="T14" s="81" t="s">
        <v>406</v>
      </c>
      <c r="CA14" s="1" t="s">
        <v>71</v>
      </c>
      <c r="CB14" s="1" t="s">
        <v>18</v>
      </c>
      <c r="CC14" s="1" t="s">
        <v>308</v>
      </c>
      <c r="CE14" s="11" t="str">
        <f>FI[[#This Row],[Part Type]]</f>
        <v>Filter Disc</v>
      </c>
      <c r="CF14" s="11" t="str">
        <f>FI[[#This Row],[Part Number]]</f>
        <v>B01409</v>
      </c>
      <c r="CG14" s="11" t="str">
        <f>FI[[#This Row],[Filter Disc UnitID]]</f>
        <v>-</v>
      </c>
      <c r="CK14" s="11" t="str">
        <f>IF(FI[[#This Row],[Status]]=0,"",FI[[#This Row],[Status]])</f>
        <v>New</v>
      </c>
    </row>
    <row r="15" spans="1:89">
      <c r="D15" s="11"/>
      <c r="E15" s="56" t="e">
        <f>#REF!-(#REF!-AVERAGEIF(E:E,FI[[#This Row],[Mass Measurment Date]],#REF!))</f>
        <v>#REF!</v>
      </c>
      <c r="I15" s="18"/>
      <c r="Q15" s="18"/>
      <c r="R15" s="18"/>
      <c r="CA15" s="1" t="s">
        <v>71</v>
      </c>
      <c r="CB15" s="1" t="s">
        <v>18</v>
      </c>
      <c r="CC15" s="1" t="s">
        <v>308</v>
      </c>
      <c r="CE15" s="11">
        <f>FI[[#This Row],[Part Type]]</f>
        <v>0</v>
      </c>
      <c r="CF15" s="11">
        <f>FI[[#This Row],[Part Number]]</f>
        <v>0</v>
      </c>
      <c r="CG15" s="11">
        <f>FI[[#This Row],[Filter Disc UnitID]]</f>
        <v>0</v>
      </c>
      <c r="CK15" s="11" t="str">
        <f>IF(FI[[#This Row],[Status]]=0,"",FI[[#This Row],[Status]])</f>
        <v/>
      </c>
    </row>
    <row r="16" spans="1:89">
      <c r="D16" s="11"/>
      <c r="E16" s="56" t="e">
        <f>#REF!-(#REF!-AVERAGEIF(E:E,FI[[#This Row],[Mass Measurment Date]],#REF!))</f>
        <v>#REF!</v>
      </c>
      <c r="I16" s="18"/>
      <c r="Q16" s="18"/>
      <c r="R16" s="18"/>
      <c r="CA16" s="1" t="s">
        <v>71</v>
      </c>
      <c r="CB16" s="1" t="s">
        <v>18</v>
      </c>
      <c r="CC16" s="1" t="s">
        <v>308</v>
      </c>
      <c r="CE16" s="11">
        <f>FI[[#This Row],[Part Type]]</f>
        <v>0</v>
      </c>
      <c r="CF16" s="11">
        <f>FI[[#This Row],[Part Number]]</f>
        <v>0</v>
      </c>
      <c r="CG16" s="11">
        <f>FI[[#This Row],[Filter Disc UnitID]]</f>
        <v>0</v>
      </c>
      <c r="CK16" s="11" t="str">
        <f>IF(FI[[#This Row],[Status]]=0,"",FI[[#This Row],[Status]])</f>
        <v/>
      </c>
    </row>
    <row r="17" spans="4:89">
      <c r="D17" s="11"/>
      <c r="E17" s="56" t="e">
        <f>#REF!-(#REF!-AVERAGEIF(E:E,FI[[#This Row],[Mass Measurment Date]],#REF!))</f>
        <v>#REF!</v>
      </c>
      <c r="I17" s="18"/>
      <c r="Q17" s="18"/>
      <c r="R17" s="18"/>
      <c r="CA17" s="1" t="s">
        <v>71</v>
      </c>
      <c r="CB17" s="1" t="s">
        <v>18</v>
      </c>
      <c r="CC17" s="1" t="s">
        <v>308</v>
      </c>
      <c r="CE17" s="11">
        <f>FI[[#This Row],[Part Type]]</f>
        <v>0</v>
      </c>
      <c r="CF17" s="11">
        <f>FI[[#This Row],[Part Number]]</f>
        <v>0</v>
      </c>
      <c r="CG17" s="11">
        <f>FI[[#This Row],[Filter Disc UnitID]]</f>
        <v>0</v>
      </c>
      <c r="CK17" s="11" t="str">
        <f>IF(FI[[#This Row],[Status]]=0,"",FI[[#This Row],[Status]])</f>
        <v/>
      </c>
    </row>
    <row r="18" spans="4:89">
      <c r="D18" s="11"/>
      <c r="E18" s="56" t="e">
        <f>#REF!-(#REF!-AVERAGEIF(E:E,FI[[#This Row],[Mass Measurment Date]],#REF!))</f>
        <v>#REF!</v>
      </c>
      <c r="I18" s="18"/>
      <c r="Q18" s="18"/>
      <c r="R18" s="18"/>
      <c r="CA18" s="1" t="s">
        <v>71</v>
      </c>
      <c r="CB18" s="1" t="s">
        <v>18</v>
      </c>
      <c r="CC18" s="1" t="s">
        <v>308</v>
      </c>
      <c r="CE18" s="11">
        <f>FI[[#This Row],[Part Type]]</f>
        <v>0</v>
      </c>
      <c r="CF18" s="11">
        <f>FI[[#This Row],[Part Number]]</f>
        <v>0</v>
      </c>
      <c r="CG18" s="11">
        <f>FI[[#This Row],[Filter Disc UnitID]]</f>
        <v>0</v>
      </c>
      <c r="CK18" s="11" t="str">
        <f>IF(FI[[#This Row],[Status]]=0,"",FI[[#This Row],[Status]])</f>
        <v/>
      </c>
    </row>
    <row r="19" spans="4:89">
      <c r="D19" s="11"/>
      <c r="E19" s="56" t="e">
        <f>#REF!-(#REF!-AVERAGEIF(E:E,FI[[#This Row],[Mass Measurment Date]],#REF!))</f>
        <v>#REF!</v>
      </c>
      <c r="I19" s="18"/>
      <c r="Q19" s="18"/>
      <c r="R19" s="18"/>
      <c r="CA19" s="1" t="s">
        <v>71</v>
      </c>
      <c r="CB19" s="1" t="s">
        <v>18</v>
      </c>
      <c r="CC19" s="1" t="s">
        <v>308</v>
      </c>
      <c r="CE19" s="11">
        <f>FI[[#This Row],[Part Type]]</f>
        <v>0</v>
      </c>
      <c r="CF19" s="11">
        <f>FI[[#This Row],[Part Number]]</f>
        <v>0</v>
      </c>
      <c r="CG19" s="11">
        <f>FI[[#This Row],[Filter Disc UnitID]]</f>
        <v>0</v>
      </c>
      <c r="CK19" s="11" t="str">
        <f>IF(FI[[#This Row],[Status]]=0,"",FI[[#This Row],[Status]])</f>
        <v/>
      </c>
    </row>
    <row r="20" spans="4:89">
      <c r="D20" s="11"/>
      <c r="E20" s="56" t="e">
        <f>#REF!-(#REF!-AVERAGEIF(E:E,FI[[#This Row],[Mass Measurment Date]],#REF!))</f>
        <v>#REF!</v>
      </c>
      <c r="I20" s="18"/>
      <c r="Q20" s="18"/>
      <c r="R20" s="18"/>
      <c r="CA20" s="1" t="s">
        <v>71</v>
      </c>
      <c r="CB20" s="1" t="s">
        <v>18</v>
      </c>
      <c r="CC20" s="1" t="s">
        <v>308</v>
      </c>
      <c r="CE20" s="11">
        <f>FI[[#This Row],[Part Type]]</f>
        <v>0</v>
      </c>
      <c r="CF20" s="11">
        <f>FI[[#This Row],[Part Number]]</f>
        <v>0</v>
      </c>
      <c r="CG20" s="11">
        <f>FI[[#This Row],[Filter Disc UnitID]]</f>
        <v>0</v>
      </c>
      <c r="CK20" s="11" t="str">
        <f>IF(FI[[#This Row],[Status]]=0,"",FI[[#This Row],[Status]])</f>
        <v/>
      </c>
    </row>
    <row r="21" spans="4:89">
      <c r="D21" s="11"/>
      <c r="E21" s="56" t="e">
        <f>#REF!-(#REF!-AVERAGEIF(E:E,FI[[#This Row],[Mass Measurment Date]],#REF!))</f>
        <v>#REF!</v>
      </c>
      <c r="I21" s="18"/>
      <c r="Q21" s="18"/>
      <c r="R21" s="18"/>
      <c r="CA21" s="1" t="s">
        <v>71</v>
      </c>
      <c r="CB21" s="1" t="s">
        <v>18</v>
      </c>
      <c r="CC21" s="1" t="s">
        <v>308</v>
      </c>
      <c r="CE21" s="11">
        <f>FI[[#This Row],[Part Type]]</f>
        <v>0</v>
      </c>
      <c r="CF21" s="11">
        <f>FI[[#This Row],[Part Number]]</f>
        <v>0</v>
      </c>
      <c r="CG21" s="11">
        <f>FI[[#This Row],[Filter Disc UnitID]]</f>
        <v>0</v>
      </c>
      <c r="CK21" s="11" t="str">
        <f>IF(FI[[#This Row],[Status]]=0,"",FI[[#This Row],[Status]])</f>
        <v/>
      </c>
    </row>
    <row r="22" spans="4:89">
      <c r="D22" s="11"/>
      <c r="E22" s="56" t="e">
        <f>#REF!-(#REF!-AVERAGEIF(E:E,FI[[#This Row],[Mass Measurment Date]],#REF!))</f>
        <v>#REF!</v>
      </c>
      <c r="I22" s="18"/>
      <c r="Q22" s="18"/>
      <c r="R22" s="18"/>
      <c r="CA22" s="1" t="s">
        <v>71</v>
      </c>
      <c r="CB22" s="1" t="s">
        <v>18</v>
      </c>
      <c r="CC22" s="1" t="s">
        <v>308</v>
      </c>
      <c r="CE22" s="11">
        <f>FI[[#This Row],[Part Type]]</f>
        <v>0</v>
      </c>
      <c r="CF22" s="11">
        <f>FI[[#This Row],[Part Number]]</f>
        <v>0</v>
      </c>
      <c r="CG22" s="11">
        <f>FI[[#This Row],[Filter Disc UnitID]]</f>
        <v>0</v>
      </c>
      <c r="CK22" s="11" t="str">
        <f>IF(FI[[#This Row],[Status]]=0,"",FI[[#This Row],[Status]])</f>
        <v/>
      </c>
    </row>
    <row r="23" spans="4:89">
      <c r="D23" s="11"/>
      <c r="E23" s="56" t="e">
        <f>#REF!-(#REF!-AVERAGEIF(E:E,FI[[#This Row],[Mass Measurment Date]],#REF!))</f>
        <v>#REF!</v>
      </c>
      <c r="I23" s="18"/>
      <c r="Q23" s="18"/>
      <c r="R23" s="18"/>
      <c r="CA23" s="1" t="s">
        <v>71</v>
      </c>
      <c r="CB23" s="1" t="s">
        <v>18</v>
      </c>
      <c r="CC23" s="1" t="s">
        <v>308</v>
      </c>
      <c r="CE23" s="11">
        <f>FI[[#This Row],[Part Type]]</f>
        <v>0</v>
      </c>
      <c r="CF23" s="11">
        <f>FI[[#This Row],[Part Number]]</f>
        <v>0</v>
      </c>
      <c r="CG23" s="11">
        <f>FI[[#This Row],[Filter Disc UnitID]]</f>
        <v>0</v>
      </c>
      <c r="CK23" s="11" t="str">
        <f>IF(FI[[#This Row],[Status]]=0,"",FI[[#This Row],[Status]])</f>
        <v/>
      </c>
    </row>
    <row r="24" spans="4:89">
      <c r="D24" s="11"/>
      <c r="E24" s="56" t="e">
        <f>#REF!-(#REF!-AVERAGEIF(E:E,FI[[#This Row],[Mass Measurment Date]],#REF!))</f>
        <v>#REF!</v>
      </c>
      <c r="I24" s="18"/>
      <c r="Q24" s="18"/>
      <c r="R24" s="18"/>
      <c r="CA24" s="1" t="s">
        <v>71</v>
      </c>
      <c r="CB24" s="1" t="s">
        <v>18</v>
      </c>
      <c r="CC24" s="1" t="s">
        <v>308</v>
      </c>
      <c r="CE24" s="11">
        <f>FI[[#This Row],[Part Type]]</f>
        <v>0</v>
      </c>
      <c r="CF24" s="11">
        <f>FI[[#This Row],[Part Number]]</f>
        <v>0</v>
      </c>
      <c r="CG24" s="11">
        <f>FI[[#This Row],[Filter Disc UnitID]]</f>
        <v>0</v>
      </c>
      <c r="CK24" s="11" t="str">
        <f>IF(FI[[#This Row],[Status]]=0,"",FI[[#This Row],[Status]])</f>
        <v/>
      </c>
    </row>
    <row r="25" spans="4:89">
      <c r="D25" s="11"/>
      <c r="E25" s="56" t="e">
        <f>#REF!-(#REF!-AVERAGEIF(E:E,FI[[#This Row],[Mass Measurment Date]],#REF!))</f>
        <v>#REF!</v>
      </c>
      <c r="I25" s="18"/>
      <c r="Q25" s="18"/>
      <c r="R25" s="18"/>
      <c r="CA25" s="1" t="s">
        <v>71</v>
      </c>
      <c r="CB25" s="1" t="s">
        <v>18</v>
      </c>
      <c r="CC25" s="1" t="s">
        <v>308</v>
      </c>
      <c r="CE25" s="11">
        <f>FI[[#This Row],[Part Type]]</f>
        <v>0</v>
      </c>
      <c r="CF25" s="11">
        <f>FI[[#This Row],[Part Number]]</f>
        <v>0</v>
      </c>
      <c r="CG25" s="11">
        <f>FI[[#This Row],[Filter Disc UnitID]]</f>
        <v>0</v>
      </c>
      <c r="CK25" s="11" t="str">
        <f>IF(FI[[#This Row],[Status]]=0,"",FI[[#This Row],[Status]])</f>
        <v/>
      </c>
    </row>
    <row r="26" spans="4:89">
      <c r="D26" s="11"/>
      <c r="E26" s="56" t="e">
        <f>#REF!-(#REF!-AVERAGEIF(E:E,FI[[#This Row],[Mass Measurment Date]],#REF!))</f>
        <v>#REF!</v>
      </c>
      <c r="I26" s="18"/>
      <c r="Q26" s="18"/>
      <c r="R26" s="18"/>
      <c r="CA26" s="1" t="s">
        <v>71</v>
      </c>
      <c r="CB26" s="1" t="s">
        <v>18</v>
      </c>
      <c r="CC26" s="1" t="s">
        <v>308</v>
      </c>
      <c r="CE26" s="11">
        <f>FI[[#This Row],[Part Type]]</f>
        <v>0</v>
      </c>
      <c r="CF26" s="11">
        <f>FI[[#This Row],[Part Number]]</f>
        <v>0</v>
      </c>
      <c r="CG26" s="11">
        <f>FI[[#This Row],[Filter Disc UnitID]]</f>
        <v>0</v>
      </c>
      <c r="CK26" s="11" t="str">
        <f>IF(FI[[#This Row],[Status]]=0,"",FI[[#This Row],[Status]])</f>
        <v/>
      </c>
    </row>
    <row r="27" spans="4:89">
      <c r="D27" s="11"/>
      <c r="E27" s="56" t="e">
        <f>#REF!-(#REF!-AVERAGEIF(E:E,FI[[#This Row],[Mass Measurment Date]],#REF!))</f>
        <v>#REF!</v>
      </c>
      <c r="I27" s="18"/>
      <c r="Q27" s="18"/>
      <c r="R27" s="18"/>
      <c r="CA27" s="1" t="s">
        <v>71</v>
      </c>
      <c r="CB27" s="1" t="s">
        <v>18</v>
      </c>
      <c r="CC27" s="1" t="s">
        <v>308</v>
      </c>
      <c r="CE27" s="11">
        <f>FI[[#This Row],[Part Type]]</f>
        <v>0</v>
      </c>
      <c r="CF27" s="11">
        <f>FI[[#This Row],[Part Number]]</f>
        <v>0</v>
      </c>
      <c r="CG27" s="11">
        <f>FI[[#This Row],[Filter Disc UnitID]]</f>
        <v>0</v>
      </c>
      <c r="CK27" s="11" t="str">
        <f>IF(FI[[#This Row],[Status]]=0,"",FI[[#This Row],[Status]])</f>
        <v/>
      </c>
    </row>
    <row r="28" spans="4:89">
      <c r="D28" s="11"/>
      <c r="E28" s="56" t="e">
        <f>#REF!-(#REF!-AVERAGEIF(E:E,FI[[#This Row],[Mass Measurment Date]],#REF!))</f>
        <v>#REF!</v>
      </c>
      <c r="I28" s="18"/>
      <c r="Q28" s="18"/>
      <c r="R28" s="18"/>
      <c r="CA28" s="1" t="s">
        <v>71</v>
      </c>
      <c r="CB28" s="1" t="s">
        <v>18</v>
      </c>
      <c r="CC28" s="1" t="s">
        <v>308</v>
      </c>
      <c r="CE28" s="11">
        <f>FI[[#This Row],[Part Type]]</f>
        <v>0</v>
      </c>
      <c r="CF28" s="11">
        <f>FI[[#This Row],[Part Number]]</f>
        <v>0</v>
      </c>
      <c r="CG28" s="11">
        <f>FI[[#This Row],[Filter Disc UnitID]]</f>
        <v>0</v>
      </c>
      <c r="CK28" s="11" t="str">
        <f>IF(FI[[#This Row],[Status]]=0,"",FI[[#This Row],[Status]])</f>
        <v/>
      </c>
    </row>
    <row r="29" spans="4:89">
      <c r="D29" s="11"/>
      <c r="E29" s="56" t="e">
        <f>#REF!-(#REF!-AVERAGEIF(E:E,FI[[#This Row],[Mass Measurment Date]],#REF!))</f>
        <v>#REF!</v>
      </c>
      <c r="I29" s="18"/>
      <c r="Q29" s="18"/>
      <c r="R29" s="18"/>
      <c r="CA29" s="1" t="s">
        <v>71</v>
      </c>
      <c r="CB29" s="1" t="s">
        <v>18</v>
      </c>
      <c r="CC29" s="1" t="s">
        <v>308</v>
      </c>
      <c r="CE29" s="11">
        <f>FI[[#This Row],[Part Type]]</f>
        <v>0</v>
      </c>
      <c r="CF29" s="11">
        <f>FI[[#This Row],[Part Number]]</f>
        <v>0</v>
      </c>
      <c r="CG29" s="11">
        <f>FI[[#This Row],[Filter Disc UnitID]]</f>
        <v>0</v>
      </c>
      <c r="CK29" s="11" t="str">
        <f>IF(FI[[#This Row],[Status]]=0,"",FI[[#This Row],[Status]])</f>
        <v/>
      </c>
    </row>
    <row r="30" spans="4:89">
      <c r="D30" s="11"/>
      <c r="E30" s="56" t="e">
        <f>#REF!-(#REF!-AVERAGEIF(E:E,FI[[#This Row],[Mass Measurment Date]],#REF!))</f>
        <v>#REF!</v>
      </c>
      <c r="I30" s="18"/>
      <c r="Q30" s="18"/>
      <c r="R30" s="18"/>
      <c r="CA30" s="1" t="s">
        <v>71</v>
      </c>
      <c r="CB30" s="1" t="s">
        <v>18</v>
      </c>
      <c r="CC30" s="1" t="s">
        <v>308</v>
      </c>
      <c r="CE30" s="11">
        <f>FI[[#This Row],[Part Type]]</f>
        <v>0</v>
      </c>
      <c r="CF30" s="11">
        <f>FI[[#This Row],[Part Number]]</f>
        <v>0</v>
      </c>
      <c r="CG30" s="11">
        <f>FI[[#This Row],[Filter Disc UnitID]]</f>
        <v>0</v>
      </c>
      <c r="CK30" s="11" t="str">
        <f>IF(FI[[#This Row],[Status]]=0,"",FI[[#This Row],[Status]])</f>
        <v/>
      </c>
    </row>
    <row r="31" spans="4:89">
      <c r="D31" s="11"/>
      <c r="E31" s="56" t="e">
        <f>#REF!-(#REF!-AVERAGEIF(E:E,FI[[#This Row],[Mass Measurment Date]],#REF!))</f>
        <v>#REF!</v>
      </c>
      <c r="I31" s="18"/>
      <c r="Q31" s="18"/>
      <c r="R31" s="18"/>
      <c r="CA31" s="1" t="s">
        <v>71</v>
      </c>
      <c r="CB31" s="1" t="s">
        <v>18</v>
      </c>
      <c r="CC31" s="1" t="s">
        <v>308</v>
      </c>
      <c r="CE31" s="11">
        <f>FI[[#This Row],[Part Type]]</f>
        <v>0</v>
      </c>
      <c r="CF31" s="11">
        <f>FI[[#This Row],[Part Number]]</f>
        <v>0</v>
      </c>
      <c r="CG31" s="11">
        <f>FI[[#This Row],[Filter Disc UnitID]]</f>
        <v>0</v>
      </c>
      <c r="CK31" s="11" t="str">
        <f>IF(FI[[#This Row],[Status]]=0,"",FI[[#This Row],[Status]])</f>
        <v/>
      </c>
    </row>
    <row r="32" spans="4:89">
      <c r="D32" s="11"/>
      <c r="E32" s="56" t="e">
        <f>#REF!-(#REF!-AVERAGEIF(E:E,FI[[#This Row],[Mass Measurment Date]],#REF!))</f>
        <v>#REF!</v>
      </c>
      <c r="I32" s="18"/>
      <c r="Q32" s="18"/>
      <c r="R32" s="18"/>
      <c r="CA32" s="1" t="s">
        <v>71</v>
      </c>
      <c r="CB32" s="1" t="s">
        <v>18</v>
      </c>
      <c r="CC32" s="1" t="s">
        <v>308</v>
      </c>
      <c r="CE32" s="11">
        <f>FI[[#This Row],[Part Type]]</f>
        <v>0</v>
      </c>
      <c r="CF32" s="11">
        <f>FI[[#This Row],[Part Number]]</f>
        <v>0</v>
      </c>
      <c r="CG32" s="11">
        <f>FI[[#This Row],[Filter Disc UnitID]]</f>
        <v>0</v>
      </c>
      <c r="CK32" s="11" t="str">
        <f>IF(FI[[#This Row],[Status]]=0,"",FI[[#This Row],[Status]])</f>
        <v/>
      </c>
    </row>
    <row r="33" spans="4:89">
      <c r="D33" s="11"/>
      <c r="E33" s="56" t="e">
        <f>#REF!-(#REF!-AVERAGEIF(E:E,FI[[#This Row],[Mass Measurment Date]],#REF!))</f>
        <v>#REF!</v>
      </c>
      <c r="I33" s="18"/>
      <c r="Q33" s="18"/>
      <c r="R33" s="18"/>
      <c r="CA33" s="1" t="s">
        <v>71</v>
      </c>
      <c r="CB33" s="1" t="s">
        <v>18</v>
      </c>
      <c r="CC33" s="1" t="s">
        <v>308</v>
      </c>
      <c r="CE33" s="11">
        <f>FI[[#This Row],[Part Type]]</f>
        <v>0</v>
      </c>
      <c r="CF33" s="11">
        <f>FI[[#This Row],[Part Number]]</f>
        <v>0</v>
      </c>
      <c r="CG33" s="11">
        <f>FI[[#This Row],[Filter Disc UnitID]]</f>
        <v>0</v>
      </c>
      <c r="CK33" s="11" t="str">
        <f>IF(FI[[#This Row],[Status]]=0,"",FI[[#This Row],[Status]])</f>
        <v/>
      </c>
    </row>
    <row r="34" spans="4:89">
      <c r="D34" s="11"/>
      <c r="E34" s="56" t="e">
        <f>#REF!-(#REF!-AVERAGEIF(E:E,FI[[#This Row],[Mass Measurment Date]],#REF!))</f>
        <v>#REF!</v>
      </c>
      <c r="I34" s="18"/>
      <c r="Q34" s="18"/>
      <c r="R34" s="18"/>
      <c r="CA34" s="1" t="s">
        <v>71</v>
      </c>
      <c r="CB34" s="1" t="s">
        <v>18</v>
      </c>
      <c r="CC34" s="1" t="s">
        <v>308</v>
      </c>
      <c r="CE34" s="11">
        <f>FI[[#This Row],[Part Type]]</f>
        <v>0</v>
      </c>
      <c r="CF34" s="11">
        <f>FI[[#This Row],[Part Number]]</f>
        <v>0</v>
      </c>
      <c r="CG34" s="11">
        <f>FI[[#This Row],[Filter Disc UnitID]]</f>
        <v>0</v>
      </c>
      <c r="CK34" s="11" t="str">
        <f>IF(FI[[#This Row],[Status]]=0,"",FI[[#This Row],[Status]])</f>
        <v/>
      </c>
    </row>
    <row r="35" spans="4:89">
      <c r="D35" s="11"/>
      <c r="E35" s="56" t="e">
        <f>#REF!-(#REF!-AVERAGEIF(E:E,FI[[#This Row],[Mass Measurment Date]],#REF!))</f>
        <v>#REF!</v>
      </c>
      <c r="I35" s="18"/>
      <c r="Q35" s="18"/>
      <c r="R35" s="18"/>
      <c r="CA35" s="1" t="s">
        <v>71</v>
      </c>
      <c r="CB35" s="1" t="s">
        <v>18</v>
      </c>
      <c r="CC35" s="1" t="s">
        <v>308</v>
      </c>
      <c r="CE35" s="11">
        <f>FI[[#This Row],[Part Type]]</f>
        <v>0</v>
      </c>
      <c r="CF35" s="11">
        <f>FI[[#This Row],[Part Number]]</f>
        <v>0</v>
      </c>
      <c r="CG35" s="11">
        <f>FI[[#This Row],[Filter Disc UnitID]]</f>
        <v>0</v>
      </c>
      <c r="CK35" s="11" t="str">
        <f>IF(FI[[#This Row],[Status]]=0,"",FI[[#This Row],[Status]])</f>
        <v/>
      </c>
    </row>
    <row r="36" spans="4:89">
      <c r="D36" s="11"/>
      <c r="E36" s="56" t="e">
        <f>#REF!-(#REF!-AVERAGEIF(E:E,FI[[#This Row],[Mass Measurment Date]],#REF!))</f>
        <v>#REF!</v>
      </c>
      <c r="I36" s="18"/>
      <c r="Q36" s="18"/>
      <c r="R36" s="18"/>
      <c r="CA36" s="1" t="s">
        <v>71</v>
      </c>
      <c r="CB36" s="1" t="s">
        <v>18</v>
      </c>
      <c r="CC36" s="1" t="s">
        <v>308</v>
      </c>
      <c r="CE36" s="11">
        <f>FI[[#This Row],[Part Type]]</f>
        <v>0</v>
      </c>
      <c r="CF36" s="11">
        <f>FI[[#This Row],[Part Number]]</f>
        <v>0</v>
      </c>
      <c r="CG36" s="11">
        <f>FI[[#This Row],[Filter Disc UnitID]]</f>
        <v>0</v>
      </c>
      <c r="CK36" s="11" t="str">
        <f>IF(FI[[#This Row],[Status]]=0,"",FI[[#This Row],[Status]])</f>
        <v/>
      </c>
    </row>
    <row r="37" spans="4:89">
      <c r="D37" s="11"/>
      <c r="E37" s="56" t="e">
        <f>#REF!-(#REF!-AVERAGEIF(E:E,FI[[#This Row],[Mass Measurment Date]],#REF!))</f>
        <v>#REF!</v>
      </c>
      <c r="I37" s="18"/>
      <c r="Q37" s="18"/>
      <c r="R37" s="18"/>
      <c r="CA37" s="1" t="s">
        <v>71</v>
      </c>
      <c r="CB37" s="1" t="s">
        <v>18</v>
      </c>
      <c r="CC37" s="1" t="s">
        <v>308</v>
      </c>
      <c r="CE37" s="11">
        <f>FI[[#This Row],[Part Type]]</f>
        <v>0</v>
      </c>
      <c r="CF37" s="11">
        <f>FI[[#This Row],[Part Number]]</f>
        <v>0</v>
      </c>
      <c r="CG37" s="11">
        <f>FI[[#This Row],[Filter Disc UnitID]]</f>
        <v>0</v>
      </c>
      <c r="CK37" s="11" t="str">
        <f>IF(FI[[#This Row],[Status]]=0,"",FI[[#This Row],[Status]])</f>
        <v/>
      </c>
    </row>
    <row r="38" spans="4:89">
      <c r="D38" s="11"/>
      <c r="E38" s="56" t="e">
        <f>#REF!-(#REF!-AVERAGEIF(E:E,FI[[#This Row],[Mass Measurment Date]],#REF!))</f>
        <v>#REF!</v>
      </c>
      <c r="I38" s="18"/>
      <c r="Q38" s="18"/>
      <c r="R38" s="18"/>
      <c r="CA38" s="1" t="s">
        <v>71</v>
      </c>
      <c r="CB38" s="1" t="s">
        <v>18</v>
      </c>
      <c r="CC38" s="1" t="s">
        <v>308</v>
      </c>
      <c r="CE38" s="11">
        <f>FI[[#This Row],[Part Type]]</f>
        <v>0</v>
      </c>
      <c r="CF38" s="11">
        <f>FI[[#This Row],[Part Number]]</f>
        <v>0</v>
      </c>
      <c r="CG38" s="11">
        <f>FI[[#This Row],[Filter Disc UnitID]]</f>
        <v>0</v>
      </c>
      <c r="CK38" s="11" t="str">
        <f>IF(FI[[#This Row],[Status]]=0,"",FI[[#This Row],[Status]])</f>
        <v/>
      </c>
    </row>
    <row r="39" spans="4:89">
      <c r="D39" s="11"/>
      <c r="E39" s="56" t="e">
        <f>#REF!-(#REF!-AVERAGEIF(E:E,FI[[#This Row],[Mass Measurment Date]],#REF!))</f>
        <v>#REF!</v>
      </c>
      <c r="I39" s="18"/>
      <c r="Q39" s="18"/>
      <c r="R39" s="18"/>
      <c r="CA39" s="1" t="s">
        <v>71</v>
      </c>
      <c r="CB39" s="1" t="s">
        <v>18</v>
      </c>
      <c r="CC39" s="1" t="s">
        <v>308</v>
      </c>
      <c r="CE39" s="11">
        <f>FI[[#This Row],[Part Type]]</f>
        <v>0</v>
      </c>
      <c r="CF39" s="11">
        <f>FI[[#This Row],[Part Number]]</f>
        <v>0</v>
      </c>
      <c r="CG39" s="11">
        <f>FI[[#This Row],[Filter Disc UnitID]]</f>
        <v>0</v>
      </c>
      <c r="CK39" s="11" t="str">
        <f>IF(FI[[#This Row],[Status]]=0,"",FI[[#This Row],[Status]])</f>
        <v/>
      </c>
    </row>
    <row r="40" spans="4:89">
      <c r="D40" s="11"/>
      <c r="E40" s="56" t="e">
        <f>#REF!-(#REF!-AVERAGEIF(E:E,FI[[#This Row],[Mass Measurment Date]],#REF!))</f>
        <v>#REF!</v>
      </c>
      <c r="I40" s="18"/>
      <c r="Q40" s="18"/>
      <c r="R40" s="18"/>
      <c r="CA40" s="1" t="s">
        <v>71</v>
      </c>
      <c r="CB40" s="1" t="s">
        <v>18</v>
      </c>
      <c r="CC40" s="1" t="s">
        <v>308</v>
      </c>
      <c r="CE40" s="11">
        <f>FI[[#This Row],[Part Type]]</f>
        <v>0</v>
      </c>
      <c r="CF40" s="11">
        <f>FI[[#This Row],[Part Number]]</f>
        <v>0</v>
      </c>
      <c r="CG40" s="11">
        <f>FI[[#This Row],[Filter Disc UnitID]]</f>
        <v>0</v>
      </c>
      <c r="CK40" s="11" t="str">
        <f>IF(FI[[#This Row],[Status]]=0,"",FI[[#This Row],[Status]])</f>
        <v/>
      </c>
    </row>
    <row r="41" spans="4:89">
      <c r="D41" s="11"/>
      <c r="E41" s="56" t="e">
        <f>#REF!-(#REF!-AVERAGEIF(E:E,FI[[#This Row],[Mass Measurment Date]],#REF!))</f>
        <v>#REF!</v>
      </c>
      <c r="I41" s="18"/>
      <c r="Q41" s="18"/>
      <c r="R41" s="18"/>
      <c r="CA41" s="1" t="s">
        <v>71</v>
      </c>
      <c r="CB41" s="1" t="s">
        <v>18</v>
      </c>
      <c r="CC41" s="1" t="s">
        <v>308</v>
      </c>
      <c r="CE41" s="11">
        <f>FI[[#This Row],[Part Type]]</f>
        <v>0</v>
      </c>
      <c r="CF41" s="11">
        <f>FI[[#This Row],[Part Number]]</f>
        <v>0</v>
      </c>
      <c r="CG41" s="11">
        <f>FI[[#This Row],[Filter Disc UnitID]]</f>
        <v>0</v>
      </c>
      <c r="CK41" s="11" t="str">
        <f>IF(FI[[#This Row],[Status]]=0,"",FI[[#This Row],[Status]])</f>
        <v/>
      </c>
    </row>
    <row r="42" spans="4:89">
      <c r="D42" s="11"/>
      <c r="E42" s="56" t="e">
        <f>#REF!-(#REF!-AVERAGEIF(E:E,FI[[#This Row],[Mass Measurment Date]],#REF!))</f>
        <v>#REF!</v>
      </c>
      <c r="I42" s="18"/>
      <c r="Q42" s="18"/>
      <c r="R42" s="18"/>
      <c r="CA42" s="1" t="s">
        <v>71</v>
      </c>
      <c r="CB42" s="1" t="s">
        <v>18</v>
      </c>
      <c r="CC42" s="1" t="s">
        <v>308</v>
      </c>
      <c r="CE42" s="11">
        <f>FI[[#This Row],[Part Type]]</f>
        <v>0</v>
      </c>
      <c r="CF42" s="11">
        <f>FI[[#This Row],[Part Number]]</f>
        <v>0</v>
      </c>
      <c r="CG42" s="11">
        <f>FI[[#This Row],[Filter Disc UnitID]]</f>
        <v>0</v>
      </c>
      <c r="CK42" s="11" t="str">
        <f>IF(FI[[#This Row],[Status]]=0,"",FI[[#This Row],[Status]])</f>
        <v/>
      </c>
    </row>
    <row r="43" spans="4:89">
      <c r="D43" s="11"/>
      <c r="E43" s="56" t="e">
        <f>#REF!-(#REF!-AVERAGEIF(E:E,FI[[#This Row],[Mass Measurment Date]],#REF!))</f>
        <v>#REF!</v>
      </c>
      <c r="I43" s="18"/>
      <c r="Q43" s="18"/>
      <c r="R43" s="18"/>
      <c r="CA43" s="1" t="s">
        <v>71</v>
      </c>
      <c r="CB43" s="1" t="s">
        <v>18</v>
      </c>
      <c r="CC43" s="1" t="s">
        <v>308</v>
      </c>
      <c r="CE43" s="11">
        <f>FI[[#This Row],[Part Type]]</f>
        <v>0</v>
      </c>
      <c r="CF43" s="11">
        <f>FI[[#This Row],[Part Number]]</f>
        <v>0</v>
      </c>
      <c r="CG43" s="11">
        <f>FI[[#This Row],[Filter Disc UnitID]]</f>
        <v>0</v>
      </c>
      <c r="CK43" s="11" t="str">
        <f>IF(FI[[#This Row],[Status]]=0,"",FI[[#This Row],[Status]])</f>
        <v/>
      </c>
    </row>
    <row r="44" spans="4:89">
      <c r="D44" s="11"/>
      <c r="E44" s="56" t="e">
        <f>#REF!-(#REF!-AVERAGEIF(E:E,FI[[#This Row],[Mass Measurment Date]],#REF!))</f>
        <v>#REF!</v>
      </c>
      <c r="I44" s="18"/>
      <c r="Q44" s="18"/>
      <c r="R44" s="18"/>
      <c r="CA44" s="1" t="s">
        <v>71</v>
      </c>
      <c r="CB44" s="1" t="s">
        <v>18</v>
      </c>
      <c r="CC44" s="1" t="s">
        <v>308</v>
      </c>
      <c r="CE44" s="11">
        <f>FI[[#This Row],[Part Type]]</f>
        <v>0</v>
      </c>
      <c r="CF44" s="11">
        <f>FI[[#This Row],[Part Number]]</f>
        <v>0</v>
      </c>
      <c r="CG44" s="11">
        <f>FI[[#This Row],[Filter Disc UnitID]]</f>
        <v>0</v>
      </c>
      <c r="CK44" s="11" t="str">
        <f>IF(FI[[#This Row],[Status]]=0,"",FI[[#This Row],[Status]])</f>
        <v/>
      </c>
    </row>
    <row r="45" spans="4:89">
      <c r="D45" s="11"/>
      <c r="E45" s="56" t="e">
        <f>#REF!-(#REF!-AVERAGEIF(E:E,FI[[#This Row],[Mass Measurment Date]],#REF!))</f>
        <v>#REF!</v>
      </c>
      <c r="I45" s="18"/>
      <c r="Q45" s="18"/>
      <c r="R45" s="18"/>
      <c r="CA45" s="1" t="s">
        <v>71</v>
      </c>
      <c r="CB45" s="1" t="s">
        <v>18</v>
      </c>
      <c r="CC45" s="1" t="s">
        <v>308</v>
      </c>
      <c r="CE45" s="11">
        <f>FI[[#This Row],[Part Type]]</f>
        <v>0</v>
      </c>
      <c r="CF45" s="11">
        <f>FI[[#This Row],[Part Number]]</f>
        <v>0</v>
      </c>
      <c r="CG45" s="11">
        <f>FI[[#This Row],[Filter Disc UnitID]]</f>
        <v>0</v>
      </c>
      <c r="CK45" s="11" t="str">
        <f>IF(FI[[#This Row],[Status]]=0,"",FI[[#This Row],[Status]])</f>
        <v/>
      </c>
    </row>
    <row r="46" spans="4:89">
      <c r="D46" s="11"/>
      <c r="E46" s="56" t="e">
        <f>#REF!-(#REF!-AVERAGEIF(E:E,FI[[#This Row],[Mass Measurment Date]],#REF!))</f>
        <v>#REF!</v>
      </c>
      <c r="I46" s="18"/>
      <c r="Q46" s="18"/>
      <c r="R46" s="18"/>
      <c r="CA46" s="1" t="s">
        <v>71</v>
      </c>
      <c r="CB46" s="1" t="s">
        <v>18</v>
      </c>
      <c r="CC46" s="1" t="s">
        <v>308</v>
      </c>
      <c r="CE46" s="11">
        <f>FI[[#This Row],[Part Type]]</f>
        <v>0</v>
      </c>
      <c r="CF46" s="11">
        <f>FI[[#This Row],[Part Number]]</f>
        <v>0</v>
      </c>
      <c r="CG46" s="11">
        <f>FI[[#This Row],[Filter Disc UnitID]]</f>
        <v>0</v>
      </c>
      <c r="CK46" s="11" t="str">
        <f>IF(FI[[#This Row],[Status]]=0,"",FI[[#This Row],[Status]])</f>
        <v/>
      </c>
    </row>
    <row r="47" spans="4:89">
      <c r="D47" s="11"/>
      <c r="E47" s="56" t="e">
        <f>#REF!-(#REF!-AVERAGEIF(E:E,FI[[#This Row],[Mass Measurment Date]],#REF!))</f>
        <v>#REF!</v>
      </c>
      <c r="I47" s="18"/>
      <c r="Q47" s="18"/>
      <c r="R47" s="18"/>
      <c r="CA47" s="1" t="s">
        <v>71</v>
      </c>
      <c r="CB47" s="1" t="s">
        <v>18</v>
      </c>
      <c r="CC47" s="1" t="s">
        <v>308</v>
      </c>
      <c r="CE47" s="11">
        <f>FI[[#This Row],[Part Type]]</f>
        <v>0</v>
      </c>
      <c r="CF47" s="11">
        <f>FI[[#This Row],[Part Number]]</f>
        <v>0</v>
      </c>
      <c r="CG47" s="11">
        <f>FI[[#This Row],[Filter Disc UnitID]]</f>
        <v>0</v>
      </c>
      <c r="CK47" s="11" t="str">
        <f>IF(FI[[#This Row],[Status]]=0,"",FI[[#This Row],[Status]])</f>
        <v/>
      </c>
    </row>
    <row r="48" spans="4:89">
      <c r="D48" s="11"/>
      <c r="E48" s="56" t="e">
        <f>#REF!-(#REF!-AVERAGEIF(E:E,FI[[#This Row],[Mass Measurment Date]],#REF!))</f>
        <v>#REF!</v>
      </c>
      <c r="I48" s="18"/>
      <c r="Q48" s="18"/>
      <c r="R48" s="18"/>
      <c r="CA48" s="1" t="s">
        <v>71</v>
      </c>
      <c r="CB48" s="1" t="s">
        <v>18</v>
      </c>
      <c r="CC48" s="1" t="s">
        <v>308</v>
      </c>
      <c r="CE48" s="11">
        <f>FI[[#This Row],[Part Type]]</f>
        <v>0</v>
      </c>
      <c r="CF48" s="11">
        <f>FI[[#This Row],[Part Number]]</f>
        <v>0</v>
      </c>
      <c r="CG48" s="11">
        <f>FI[[#This Row],[Filter Disc UnitID]]</f>
        <v>0</v>
      </c>
      <c r="CK48" s="11" t="str">
        <f>IF(FI[[#This Row],[Status]]=0,"",FI[[#This Row],[Status]])</f>
        <v/>
      </c>
    </row>
    <row r="49" spans="4:89">
      <c r="D49" s="11"/>
      <c r="E49" s="56" t="e">
        <f>#REF!-(#REF!-AVERAGEIF(E:E,FI[[#This Row],[Mass Measurment Date]],#REF!))</f>
        <v>#REF!</v>
      </c>
      <c r="I49" s="18"/>
      <c r="Q49" s="18"/>
      <c r="R49" s="18"/>
      <c r="CA49" s="1" t="s">
        <v>71</v>
      </c>
      <c r="CB49" s="1" t="s">
        <v>18</v>
      </c>
      <c r="CC49" s="1" t="s">
        <v>308</v>
      </c>
      <c r="CE49" s="11">
        <f>FI[[#This Row],[Part Type]]</f>
        <v>0</v>
      </c>
      <c r="CF49" s="11">
        <f>FI[[#This Row],[Part Number]]</f>
        <v>0</v>
      </c>
      <c r="CG49" s="11">
        <f>FI[[#This Row],[Filter Disc UnitID]]</f>
        <v>0</v>
      </c>
      <c r="CK49" s="11" t="str">
        <f>IF(FI[[#This Row],[Status]]=0,"",FI[[#This Row],[Status]])</f>
        <v/>
      </c>
    </row>
    <row r="50" spans="4:89">
      <c r="D50" s="11"/>
      <c r="E50" s="56" t="e">
        <f>#REF!-(#REF!-AVERAGEIF(E:E,FI[[#This Row],[Mass Measurment Date]],#REF!))</f>
        <v>#REF!</v>
      </c>
      <c r="I50" s="18"/>
      <c r="Q50" s="18"/>
      <c r="R50" s="18"/>
      <c r="CA50" s="1" t="s">
        <v>71</v>
      </c>
      <c r="CB50" s="1" t="s">
        <v>18</v>
      </c>
      <c r="CC50" s="1" t="s">
        <v>308</v>
      </c>
      <c r="CE50" s="11">
        <f>FI[[#This Row],[Part Type]]</f>
        <v>0</v>
      </c>
      <c r="CF50" s="11">
        <f>FI[[#This Row],[Part Number]]</f>
        <v>0</v>
      </c>
      <c r="CG50" s="11">
        <f>FI[[#This Row],[Filter Disc UnitID]]</f>
        <v>0</v>
      </c>
      <c r="CK50" s="11" t="str">
        <f>IF(FI[[#This Row],[Status]]=0,"",FI[[#This Row],[Status]])</f>
        <v/>
      </c>
    </row>
    <row r="51" spans="4:89">
      <c r="D51" s="11"/>
      <c r="E51" s="56" t="e">
        <f>#REF!-(#REF!-AVERAGEIF(E:E,FI[[#This Row],[Mass Measurment Date]],#REF!))</f>
        <v>#REF!</v>
      </c>
      <c r="I51" s="18"/>
      <c r="Q51" s="18"/>
      <c r="R51" s="18"/>
      <c r="CA51" s="1" t="s">
        <v>71</v>
      </c>
      <c r="CB51" s="1" t="s">
        <v>18</v>
      </c>
      <c r="CC51" s="1" t="s">
        <v>308</v>
      </c>
      <c r="CE51" s="11">
        <f>FI[[#This Row],[Part Type]]</f>
        <v>0</v>
      </c>
      <c r="CF51" s="11">
        <f>FI[[#This Row],[Part Number]]</f>
        <v>0</v>
      </c>
      <c r="CG51" s="11">
        <f>FI[[#This Row],[Filter Disc UnitID]]</f>
        <v>0</v>
      </c>
      <c r="CK51" s="11" t="str">
        <f>IF(FI[[#This Row],[Status]]=0,"",FI[[#This Row],[Status]])</f>
        <v/>
      </c>
    </row>
  </sheetData>
  <phoneticPr fontId="5" type="noConversion"/>
  <hyperlinks>
    <hyperlink ref="T4" r:id="rId1" xr:uid="{E022045B-10DC-6B4D-9369-7D9235125787}"/>
    <hyperlink ref="T5" r:id="rId2" xr:uid="{D818CA40-B183-5645-BEA4-153EEC716D88}"/>
    <hyperlink ref="T6" r:id="rId3" xr:uid="{B6D430F6-6E7F-0B45-9847-FF31154E768A}"/>
    <hyperlink ref="T7" r:id="rId4" xr:uid="{953C7460-7991-0B47-B8B9-FDF70B4834BB}"/>
    <hyperlink ref="T2" r:id="rId5" xr:uid="{0B1894DB-4A43-AB4C-8BBA-7467A1F6F228}"/>
    <hyperlink ref="T3" r:id="rId6" xr:uid="{DBFB4A1A-E9C1-9F4B-AE10-1626C433F9CD}"/>
    <hyperlink ref="T8" r:id="rId7" xr:uid="{EAA24368-B4B3-F944-9540-F8AD4806A042}"/>
    <hyperlink ref="T9:T14" r:id="rId8" display="https://www.highpressure.com/products/valves-fittings-tubing/high-pressure-valves-fittings-and-tubing/line-filters-check-valves/ " xr:uid="{3146456F-1CFE-F24D-A106-104D4017D0C7}"/>
  </hyperlinks>
  <pageMargins left="0.7" right="0.7" top="0.75" bottom="0.75" header="0.3" footer="0.3"/>
  <tableParts count="2">
    <tablePart r:id="rId9"/>
    <tablePart r:id="rId10"/>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54D80-4AA6-B444-8961-C9A23A834E61}">
  <sheetPr codeName="Sheet18"/>
  <dimension ref="A1:CK1056"/>
  <sheetViews>
    <sheetView workbookViewId="0">
      <selection activeCell="C1" sqref="C1"/>
    </sheetView>
  </sheetViews>
  <sheetFormatPr defaultColWidth="11" defaultRowHeight="15.95"/>
  <cols>
    <col min="1" max="1" width="8.875" style="82" bestFit="1" customWidth="1"/>
    <col min="2" max="2" width="10.5" style="89" customWidth="1"/>
    <col min="3" max="3" width="10.5" style="89" bestFit="1" customWidth="1"/>
    <col min="4" max="4" width="27.625" style="89" bestFit="1" customWidth="1"/>
    <col min="5" max="5" width="16.125" style="89" bestFit="1" customWidth="1"/>
    <col min="6" max="6" width="22.375" style="89" bestFit="1" customWidth="1"/>
    <col min="7" max="7" width="13.375" style="89" bestFit="1" customWidth="1"/>
    <col min="8" max="8" width="19.375" style="90" bestFit="1" customWidth="1"/>
    <col min="9" max="9" width="86.5" style="82" customWidth="1"/>
    <col min="10" max="78" width="11" style="82"/>
    <col min="79" max="79" width="15.5" style="82" customWidth="1"/>
    <col min="80" max="80" width="19.125" style="82" customWidth="1"/>
    <col min="81" max="81" width="20.375" style="82" customWidth="1"/>
    <col min="82" max="83" width="11" style="82"/>
    <col min="84" max="84" width="13.625" style="82" customWidth="1"/>
    <col min="85" max="85" width="12.625" style="82" customWidth="1"/>
    <col min="86" max="86" width="16.5" style="82" customWidth="1"/>
    <col min="87" max="87" width="11" style="82"/>
    <col min="88" max="88" width="14.625" style="82" customWidth="1"/>
    <col min="89" max="16384" width="11" style="82"/>
  </cols>
  <sheetData>
    <row r="1" spans="1:89">
      <c r="A1" s="121" t="s">
        <v>12</v>
      </c>
      <c r="B1" s="25" t="s">
        <v>95</v>
      </c>
      <c r="C1" s="180" t="s">
        <v>94</v>
      </c>
      <c r="D1" s="91" t="s">
        <v>436</v>
      </c>
      <c r="E1" s="91" t="s">
        <v>437</v>
      </c>
      <c r="F1" s="91" t="s">
        <v>438</v>
      </c>
      <c r="G1" s="91" t="s">
        <v>439</v>
      </c>
      <c r="H1" s="92" t="s">
        <v>115</v>
      </c>
      <c r="I1" s="91" t="s">
        <v>236</v>
      </c>
      <c r="BZ1" t="s">
        <v>119</v>
      </c>
      <c r="CA1" s="117" t="s">
        <v>2</v>
      </c>
      <c r="CB1" s="118" t="s">
        <v>3</v>
      </c>
      <c r="CC1" s="118" t="s">
        <v>4</v>
      </c>
      <c r="CD1" s="118" t="s">
        <v>5</v>
      </c>
      <c r="CE1" s="118" t="s">
        <v>6</v>
      </c>
      <c r="CF1" s="119" t="s">
        <v>7</v>
      </c>
      <c r="CG1" s="118" t="s">
        <v>8</v>
      </c>
      <c r="CH1" s="118" t="s">
        <v>9</v>
      </c>
      <c r="CI1" s="118" t="s">
        <v>10</v>
      </c>
      <c r="CJ1" s="118" t="s">
        <v>11</v>
      </c>
      <c r="CK1" s="120" t="s">
        <v>12</v>
      </c>
    </row>
    <row r="2" spans="1:89">
      <c r="A2" s="82" t="s">
        <v>120</v>
      </c>
      <c r="B2" s="83" t="s">
        <v>31</v>
      </c>
      <c r="C2" s="83" t="s">
        <v>440</v>
      </c>
      <c r="D2" s="83" t="s">
        <v>441</v>
      </c>
      <c r="E2" s="84">
        <v>1.79037</v>
      </c>
      <c r="F2" s="85">
        <v>8.3000000000000007</v>
      </c>
      <c r="G2" s="86">
        <f t="shared" ref="G2:G10" si="0">E2/F2</f>
        <v>0.21570722891566263</v>
      </c>
      <c r="H2" s="87">
        <v>39965</v>
      </c>
      <c r="I2" s="88" t="s">
        <v>442</v>
      </c>
      <c r="BZ2" t="s">
        <v>131</v>
      </c>
      <c r="CA2" s="1" t="s">
        <v>71</v>
      </c>
      <c r="CB2" s="1" t="s">
        <v>18</v>
      </c>
      <c r="CC2" s="1" t="s">
        <v>132</v>
      </c>
      <c r="CD2" s="1"/>
      <c r="CE2" s="112" t="str">
        <f>FUR[[#This Row],[Part Type]]</f>
        <v>Furniture</v>
      </c>
      <c r="CF2" s="112" t="str">
        <f>FUR[[#This Row],[Chemicals]]</f>
        <v>Rene41-0, NiCr8020-4</v>
      </c>
      <c r="CG2" s="112" t="str">
        <f>FUR[[#This Row],[UID]]</f>
        <v>0.4B-1</v>
      </c>
      <c r="CH2" s="1"/>
      <c r="CI2" s="1"/>
      <c r="CJ2" s="1"/>
      <c r="CK2" s="1" t="str">
        <f>IF(FUR[[#This Row],[Status]]=0,"",FUR[[#This Row],[Status]])</f>
        <v>Active</v>
      </c>
    </row>
    <row r="3" spans="1:89">
      <c r="A3" s="82" t="s">
        <v>120</v>
      </c>
      <c r="B3" s="83" t="s">
        <v>31</v>
      </c>
      <c r="C3" s="83" t="s">
        <v>443</v>
      </c>
      <c r="D3" s="83" t="s">
        <v>441</v>
      </c>
      <c r="E3" s="84">
        <v>1.4703999999999999</v>
      </c>
      <c r="F3" s="85">
        <v>8.3000000000000007</v>
      </c>
      <c r="G3" s="86">
        <f t="shared" si="0"/>
        <v>0.17715662650602407</v>
      </c>
      <c r="H3" s="87">
        <v>39965</v>
      </c>
      <c r="I3" s="88" t="s">
        <v>442</v>
      </c>
      <c r="BZ3"/>
      <c r="CA3" s="1" t="s">
        <v>71</v>
      </c>
      <c r="CB3" s="1" t="s">
        <v>18</v>
      </c>
      <c r="CC3" s="1" t="s">
        <v>132</v>
      </c>
      <c r="CD3"/>
      <c r="CE3" s="52" t="str">
        <f>FUR[[#This Row],[Part Type]]</f>
        <v>Furniture</v>
      </c>
      <c r="CF3" s="52" t="str">
        <f>FUR[[#This Row],[Chemicals]]</f>
        <v>Rene41-0, NiCr8020-4</v>
      </c>
      <c r="CG3" s="52" t="str">
        <f>FUR[[#This Row],[UID]]</f>
        <v>0.4B-2</v>
      </c>
      <c r="CH3"/>
      <c r="CI3"/>
      <c r="CJ3"/>
      <c r="CK3" t="str">
        <f>IF(FUR[[#This Row],[Status]]=0,"",FUR[[#This Row],[Status]])</f>
        <v>Active</v>
      </c>
    </row>
    <row r="4" spans="1:89">
      <c r="A4" s="82" t="s">
        <v>120</v>
      </c>
      <c r="B4" s="83" t="s">
        <v>31</v>
      </c>
      <c r="C4" s="83" t="s">
        <v>444</v>
      </c>
      <c r="D4" s="83" t="s">
        <v>441</v>
      </c>
      <c r="E4" s="84">
        <v>1.73603</v>
      </c>
      <c r="F4" s="85">
        <v>8.3000000000000007</v>
      </c>
      <c r="G4" s="86">
        <f t="shared" si="0"/>
        <v>0.20916024096385541</v>
      </c>
      <c r="H4" s="87">
        <v>40148</v>
      </c>
      <c r="BZ4"/>
      <c r="CA4" s="1" t="s">
        <v>71</v>
      </c>
      <c r="CB4" s="1" t="s">
        <v>18</v>
      </c>
      <c r="CC4" s="1" t="s">
        <v>132</v>
      </c>
      <c r="CD4"/>
      <c r="CE4" s="52" t="str">
        <f>FUR[[#This Row],[Part Type]]</f>
        <v>Furniture</v>
      </c>
      <c r="CF4" s="52" t="str">
        <f>FUR[[#This Row],[Chemicals]]</f>
        <v>Rene41-0, NiCr8020-4</v>
      </c>
      <c r="CG4" s="52" t="str">
        <f>FUR[[#This Row],[UID]]</f>
        <v>0.4B-3</v>
      </c>
      <c r="CH4"/>
      <c r="CI4"/>
      <c r="CJ4"/>
      <c r="CK4" t="str">
        <f>IF(FUR[[#This Row],[Status]]=0,"",FUR[[#This Row],[Status]])</f>
        <v>Active</v>
      </c>
    </row>
    <row r="5" spans="1:89">
      <c r="A5" s="82" t="s">
        <v>120</v>
      </c>
      <c r="B5" s="83" t="s">
        <v>31</v>
      </c>
      <c r="C5" s="83" t="s">
        <v>445</v>
      </c>
      <c r="D5" s="83" t="s">
        <v>446</v>
      </c>
      <c r="E5" s="84">
        <v>4.8788099999999996</v>
      </c>
      <c r="F5" s="85">
        <v>8.9079999999999995</v>
      </c>
      <c r="G5" s="86">
        <f t="shared" si="0"/>
        <v>0.5476885945217782</v>
      </c>
      <c r="H5" s="87">
        <v>39965</v>
      </c>
      <c r="I5" s="88" t="s">
        <v>442</v>
      </c>
      <c r="BZ5"/>
      <c r="CA5" s="1" t="s">
        <v>71</v>
      </c>
      <c r="CB5" s="1" t="s">
        <v>18</v>
      </c>
      <c r="CC5" s="1" t="s">
        <v>132</v>
      </c>
      <c r="CD5"/>
      <c r="CE5" s="52" t="str">
        <f>FUR[[#This Row],[Part Type]]</f>
        <v>Furniture</v>
      </c>
      <c r="CF5" s="52" t="str">
        <f>FUR[[#This Row],[Chemicals]]</f>
        <v>Ni-20, Ni-19</v>
      </c>
      <c r="CG5" s="52" t="str">
        <f>FUR[[#This Row],[UID]]</f>
        <v>0.4C-0</v>
      </c>
      <c r="CH5"/>
      <c r="CI5"/>
      <c r="CJ5"/>
      <c r="CK5" t="str">
        <f>IF(FUR[[#This Row],[Status]]=0,"",FUR[[#This Row],[Status]])</f>
        <v>Active</v>
      </c>
    </row>
    <row r="6" spans="1:89">
      <c r="A6" s="82" t="s">
        <v>120</v>
      </c>
      <c r="B6" s="83" t="s">
        <v>31</v>
      </c>
      <c r="C6" s="83" t="s">
        <v>447</v>
      </c>
      <c r="D6" s="83" t="s">
        <v>446</v>
      </c>
      <c r="E6" s="84">
        <v>3.8951699999999998</v>
      </c>
      <c r="F6" s="85">
        <v>8.9079999999999995</v>
      </c>
      <c r="G6" s="86">
        <f t="shared" si="0"/>
        <v>0.43726650202065559</v>
      </c>
      <c r="H6" s="87">
        <v>39965</v>
      </c>
      <c r="I6" s="88" t="s">
        <v>442</v>
      </c>
      <c r="BZ6"/>
      <c r="CA6" s="1" t="s">
        <v>71</v>
      </c>
      <c r="CB6" s="1" t="s">
        <v>18</v>
      </c>
      <c r="CC6" s="1" t="s">
        <v>132</v>
      </c>
      <c r="CD6"/>
      <c r="CE6" s="52" t="str">
        <f>FUR[[#This Row],[Part Type]]</f>
        <v>Furniture</v>
      </c>
      <c r="CF6" s="52" t="str">
        <f>FUR[[#This Row],[Chemicals]]</f>
        <v>Ni-20, Ni-19</v>
      </c>
      <c r="CG6" s="52" t="str">
        <f>FUR[[#This Row],[UID]]</f>
        <v>0.4C-1</v>
      </c>
      <c r="CH6"/>
      <c r="CI6"/>
      <c r="CJ6"/>
      <c r="CK6" t="str">
        <f>IF(FUR[[#This Row],[Status]]=0,"",FUR[[#This Row],[Status]])</f>
        <v>Active</v>
      </c>
    </row>
    <row r="7" spans="1:89">
      <c r="A7" s="82" t="s">
        <v>120</v>
      </c>
      <c r="B7" s="83" t="s">
        <v>31</v>
      </c>
      <c r="C7" s="83" t="s">
        <v>448</v>
      </c>
      <c r="D7" s="83" t="s">
        <v>446</v>
      </c>
      <c r="E7" s="84">
        <v>4.2902899999999997</v>
      </c>
      <c r="F7" s="85">
        <v>8.9079999999999995</v>
      </c>
      <c r="G7" s="86">
        <f t="shared" si="0"/>
        <v>0.48162213740458015</v>
      </c>
      <c r="H7" s="87">
        <v>40148</v>
      </c>
      <c r="BZ7"/>
      <c r="CA7" s="1" t="s">
        <v>71</v>
      </c>
      <c r="CB7" s="1" t="s">
        <v>18</v>
      </c>
      <c r="CC7" s="1" t="s">
        <v>132</v>
      </c>
      <c r="CD7"/>
      <c r="CE7" s="52" t="str">
        <f>FUR[[#This Row],[Part Type]]</f>
        <v>Furniture</v>
      </c>
      <c r="CF7" s="52" t="str">
        <f>FUR[[#This Row],[Chemicals]]</f>
        <v>Ni-20, Ni-19</v>
      </c>
      <c r="CG7" s="52" t="str">
        <f>FUR[[#This Row],[UID]]</f>
        <v>0.4C-2</v>
      </c>
      <c r="CH7"/>
      <c r="CI7"/>
      <c r="CJ7"/>
      <c r="CK7" t="str">
        <f>IF(FUR[[#This Row],[Status]]=0,"",FUR[[#This Row],[Status]])</f>
        <v>Active</v>
      </c>
    </row>
    <row r="8" spans="1:89">
      <c r="A8" s="82" t="s">
        <v>120</v>
      </c>
      <c r="B8" s="83" t="s">
        <v>31</v>
      </c>
      <c r="C8" s="83" t="s">
        <v>449</v>
      </c>
      <c r="D8" s="83" t="s">
        <v>450</v>
      </c>
      <c r="E8" s="84">
        <v>4.7088299999999998</v>
      </c>
      <c r="F8" s="85">
        <v>8.5</v>
      </c>
      <c r="G8" s="86">
        <f t="shared" si="0"/>
        <v>0.55398000000000003</v>
      </c>
      <c r="H8" s="87">
        <v>39965</v>
      </c>
      <c r="I8" s="88" t="s">
        <v>442</v>
      </c>
      <c r="BZ8"/>
      <c r="CA8" s="1" t="s">
        <v>71</v>
      </c>
      <c r="CB8" s="1" t="s">
        <v>18</v>
      </c>
      <c r="CC8" s="1" t="s">
        <v>132</v>
      </c>
      <c r="CD8"/>
      <c r="CE8" s="52" t="str">
        <f>FUR[[#This Row],[Part Type]]</f>
        <v>Furniture</v>
      </c>
      <c r="CF8" s="52" t="str">
        <f>FUR[[#This Row],[Chemicals]]</f>
        <v>Rene41-0, NiCr8020-4, Ni-19</v>
      </c>
      <c r="CG8" s="52" t="str">
        <f>FUR[[#This Row],[UID]]</f>
        <v>0.4S-1</v>
      </c>
      <c r="CH8"/>
      <c r="CI8"/>
      <c r="CJ8"/>
      <c r="CK8" t="str">
        <f>IF(FUR[[#This Row],[Status]]=0,"",FUR[[#This Row],[Status]])</f>
        <v>Active</v>
      </c>
    </row>
    <row r="9" spans="1:89">
      <c r="A9" s="82" t="s">
        <v>120</v>
      </c>
      <c r="B9" s="83" t="s">
        <v>31</v>
      </c>
      <c r="C9" s="83" t="s">
        <v>451</v>
      </c>
      <c r="D9" s="83" t="s">
        <v>452</v>
      </c>
      <c r="E9" s="84">
        <v>4.4707800000000004</v>
      </c>
      <c r="F9" s="85">
        <v>8.5</v>
      </c>
      <c r="G9" s="86">
        <f t="shared" si="0"/>
        <v>0.52597411764705893</v>
      </c>
      <c r="H9" s="87">
        <v>40148</v>
      </c>
      <c r="BZ9" s="18"/>
      <c r="CA9" s="1" t="s">
        <v>71</v>
      </c>
      <c r="CB9" s="1" t="s">
        <v>18</v>
      </c>
      <c r="CC9" s="1" t="s">
        <v>132</v>
      </c>
      <c r="CD9" s="18"/>
      <c r="CE9" s="36" t="str">
        <f>FUR[[#This Row],[Part Type]]</f>
        <v>Furniture</v>
      </c>
      <c r="CF9" s="36" t="str">
        <f>FUR[[#This Row],[Chemicals]]</f>
        <v>Rene41-0, Ni200201-1, Ni-19</v>
      </c>
      <c r="CG9" s="36" t="str">
        <f>FUR[[#This Row],[UID]]</f>
        <v>0.4S-2</v>
      </c>
      <c r="CH9" s="18"/>
      <c r="CI9" s="18"/>
      <c r="CJ9" s="18"/>
      <c r="CK9" s="18" t="str">
        <f>IF(FUR[[#This Row],[Status]]=0,"",FUR[[#This Row],[Status]])</f>
        <v>Active</v>
      </c>
    </row>
    <row r="10" spans="1:89">
      <c r="A10" s="82" t="s">
        <v>120</v>
      </c>
      <c r="B10" s="83" t="s">
        <v>31</v>
      </c>
      <c r="C10" s="83" t="s">
        <v>453</v>
      </c>
      <c r="D10" s="83" t="s">
        <v>450</v>
      </c>
      <c r="E10" s="84">
        <v>3.9815999999999998</v>
      </c>
      <c r="F10" s="85">
        <v>8.5</v>
      </c>
      <c r="G10" s="86">
        <f t="shared" si="0"/>
        <v>0.46842352941176468</v>
      </c>
      <c r="H10" s="87">
        <v>40148</v>
      </c>
      <c r="BZ10" s="18"/>
      <c r="CA10" s="1" t="s">
        <v>71</v>
      </c>
      <c r="CB10" s="1" t="s">
        <v>18</v>
      </c>
      <c r="CC10" s="1" t="s">
        <v>132</v>
      </c>
      <c r="CD10" s="18"/>
      <c r="CE10" s="36" t="str">
        <f>FUR[[#This Row],[Part Type]]</f>
        <v>Furniture</v>
      </c>
      <c r="CF10" s="36" t="str">
        <f>FUR[[#This Row],[Chemicals]]</f>
        <v>Rene41-0, NiCr8020-4, Ni-19</v>
      </c>
      <c r="CG10" s="36" t="str">
        <f>FUR[[#This Row],[UID]]</f>
        <v>0.4S-5</v>
      </c>
      <c r="CH10" s="18"/>
      <c r="CI10" s="18"/>
      <c r="CJ10" s="18"/>
      <c r="CK10" s="18" t="str">
        <f>IF(FUR[[#This Row],[Status]]=0,"",FUR[[#This Row],[Status]])</f>
        <v>Active</v>
      </c>
    </row>
    <row r="11" spans="1:89">
      <c r="A11" s="82" t="s">
        <v>120</v>
      </c>
      <c r="B11" s="83" t="s">
        <v>31</v>
      </c>
      <c r="C11" s="89" t="s">
        <v>454</v>
      </c>
      <c r="D11" s="89" t="s">
        <v>455</v>
      </c>
      <c r="E11" s="89">
        <v>91.265666999999993</v>
      </c>
      <c r="CA11" s="1" t="s">
        <v>71</v>
      </c>
      <c r="CB11" s="1" t="s">
        <v>18</v>
      </c>
      <c r="CC11" s="1" t="s">
        <v>132</v>
      </c>
      <c r="CE11" s="122" t="str">
        <f>FUR[[#This Row],[Part Type]]</f>
        <v>Furniture</v>
      </c>
      <c r="CF11" s="122" t="str">
        <f>FUR[[#This Row],[Chemicals]]</f>
        <v>Mo 99.95</v>
      </c>
      <c r="CG11" s="122" t="str">
        <f>FUR[[#This Row],[UID]]</f>
        <v>13M-1</v>
      </c>
      <c r="CK11" s="82" t="str">
        <f>IF(FUR[[#This Row],[Status]]=0,"",FUR[[#This Row],[Status]])</f>
        <v>Active</v>
      </c>
    </row>
    <row r="12" spans="1:89">
      <c r="A12" s="82" t="s">
        <v>120</v>
      </c>
      <c r="B12" s="83" t="s">
        <v>31</v>
      </c>
      <c r="C12" s="89" t="s">
        <v>456</v>
      </c>
      <c r="D12" s="89" t="s">
        <v>455</v>
      </c>
      <c r="E12" s="89">
        <v>92.064999999999998</v>
      </c>
      <c r="CA12" s="1" t="s">
        <v>71</v>
      </c>
      <c r="CB12" s="1" t="s">
        <v>18</v>
      </c>
      <c r="CC12" s="1" t="s">
        <v>132</v>
      </c>
      <c r="CE12" s="122" t="str">
        <f>FUR[[#This Row],[Part Type]]</f>
        <v>Furniture</v>
      </c>
      <c r="CF12" s="122" t="str">
        <f>FUR[[#This Row],[Chemicals]]</f>
        <v>Mo 99.95</v>
      </c>
      <c r="CG12" s="122" t="str">
        <f>FUR[[#This Row],[UID]]</f>
        <v>13M-2</v>
      </c>
      <c r="CK12" s="82" t="str">
        <f>IF(FUR[[#This Row],[Status]]=0,"",FUR[[#This Row],[Status]])</f>
        <v>Active</v>
      </c>
    </row>
    <row r="13" spans="1:89">
      <c r="A13" s="82" t="s">
        <v>120</v>
      </c>
      <c r="B13" s="83" t="s">
        <v>31</v>
      </c>
      <c r="C13" s="89" t="s">
        <v>457</v>
      </c>
      <c r="D13" s="89" t="s">
        <v>458</v>
      </c>
      <c r="E13" s="89">
        <v>87.834000000000003</v>
      </c>
      <c r="F13" s="89">
        <v>8.5</v>
      </c>
      <c r="G13" s="86">
        <f t="shared" ref="G13:G44" si="1">E13/F13</f>
        <v>10.333411764705883</v>
      </c>
      <c r="H13" s="90">
        <v>42464</v>
      </c>
      <c r="I13" s="88" t="s">
        <v>459</v>
      </c>
      <c r="CA13" s="1" t="s">
        <v>71</v>
      </c>
      <c r="CB13" s="1" t="s">
        <v>18</v>
      </c>
      <c r="CC13" s="1" t="s">
        <v>132</v>
      </c>
      <c r="CE13" s="122" t="str">
        <f>FUR[[#This Row],[Part Type]]</f>
        <v>Furniture</v>
      </c>
      <c r="CF13" s="122" t="str">
        <f>FUR[[#This Row],[Chemicals]]</f>
        <v>Inc625, Ni</v>
      </c>
      <c r="CG13" s="122" t="str">
        <f>FUR[[#This Row],[UID]]</f>
        <v>1Aa-1</v>
      </c>
      <c r="CK13" s="82" t="str">
        <f>IF(FUR[[#This Row],[Status]]=0,"",FUR[[#This Row],[Status]])</f>
        <v>Active</v>
      </c>
    </row>
    <row r="14" spans="1:89">
      <c r="A14" s="82" t="s">
        <v>120</v>
      </c>
      <c r="B14" s="83" t="s">
        <v>31</v>
      </c>
      <c r="C14" s="89" t="s">
        <v>460</v>
      </c>
      <c r="D14" s="89" t="s">
        <v>458</v>
      </c>
      <c r="E14" s="89">
        <v>87.834000000000003</v>
      </c>
      <c r="F14" s="89">
        <v>8.5</v>
      </c>
      <c r="G14" s="86">
        <f t="shared" si="1"/>
        <v>10.333411764705883</v>
      </c>
      <c r="H14" s="90">
        <v>42528</v>
      </c>
      <c r="I14" s="88" t="s">
        <v>461</v>
      </c>
      <c r="CA14" s="1" t="s">
        <v>71</v>
      </c>
      <c r="CB14" s="1" t="s">
        <v>18</v>
      </c>
      <c r="CC14" s="1" t="s">
        <v>132</v>
      </c>
      <c r="CE14" s="122" t="str">
        <f>FUR[[#This Row],[Part Type]]</f>
        <v>Furniture</v>
      </c>
      <c r="CF14" s="122" t="str">
        <f>FUR[[#This Row],[Chemicals]]</f>
        <v>Inc625, Ni</v>
      </c>
      <c r="CG14" s="122" t="str">
        <f>FUR[[#This Row],[UID]]</f>
        <v>1Aa-2</v>
      </c>
      <c r="CK14" s="82" t="str">
        <f>IF(FUR[[#This Row],[Status]]=0,"",FUR[[#This Row],[Status]])</f>
        <v>Active</v>
      </c>
    </row>
    <row r="15" spans="1:89">
      <c r="A15" s="82" t="s">
        <v>120</v>
      </c>
      <c r="B15" s="83" t="s">
        <v>31</v>
      </c>
      <c r="C15" s="83" t="s">
        <v>462</v>
      </c>
      <c r="D15" s="83" t="s">
        <v>463</v>
      </c>
      <c r="E15" s="84">
        <v>8.5541800000000006</v>
      </c>
      <c r="F15" s="85">
        <v>8.75</v>
      </c>
      <c r="G15" s="86">
        <f t="shared" si="1"/>
        <v>0.97762057142857151</v>
      </c>
      <c r="H15" s="87">
        <v>39814</v>
      </c>
      <c r="I15" s="88" t="s">
        <v>464</v>
      </c>
      <c r="CA15" s="1" t="s">
        <v>71</v>
      </c>
      <c r="CB15" s="1" t="s">
        <v>18</v>
      </c>
      <c r="CC15" s="1" t="s">
        <v>132</v>
      </c>
      <c r="CE15" s="122" t="str">
        <f>FUR[[#This Row],[Part Type]]</f>
        <v>Furniture</v>
      </c>
      <c r="CF15" s="122" t="str">
        <f>FUR[[#This Row],[Chemicals]]</f>
        <v>Ni200201-1, NiCr8020-4</v>
      </c>
      <c r="CG15" s="122" t="str">
        <f>FUR[[#This Row],[UID]]</f>
        <v>1B-1</v>
      </c>
      <c r="CK15" s="82" t="str">
        <f>IF(FUR[[#This Row],[Status]]=0,"",FUR[[#This Row],[Status]])</f>
        <v>Active</v>
      </c>
    </row>
    <row r="16" spans="1:89">
      <c r="A16" s="82" t="s">
        <v>120</v>
      </c>
      <c r="B16" s="83" t="s">
        <v>31</v>
      </c>
      <c r="C16" s="83" t="s">
        <v>465</v>
      </c>
      <c r="D16" s="83" t="s">
        <v>463</v>
      </c>
      <c r="E16" s="84">
        <v>8.9901300000000006</v>
      </c>
      <c r="F16" s="85">
        <v>8.74</v>
      </c>
      <c r="G16" s="86">
        <f t="shared" si="1"/>
        <v>1.0286189931350116</v>
      </c>
      <c r="H16" s="87">
        <v>40610</v>
      </c>
      <c r="CA16" s="1" t="s">
        <v>71</v>
      </c>
      <c r="CB16" s="1" t="s">
        <v>18</v>
      </c>
      <c r="CC16" s="1" t="s">
        <v>132</v>
      </c>
      <c r="CE16" s="122" t="str">
        <f>FUR[[#This Row],[Part Type]]</f>
        <v>Furniture</v>
      </c>
      <c r="CF16" s="122" t="str">
        <f>FUR[[#This Row],[Chemicals]]</f>
        <v>Ni200201-1, NiCr8020-4</v>
      </c>
      <c r="CG16" s="122" t="str">
        <f>FUR[[#This Row],[UID]]</f>
        <v>1B-10</v>
      </c>
      <c r="CK16" s="82" t="str">
        <f>IF(FUR[[#This Row],[Status]]=0,"",FUR[[#This Row],[Status]])</f>
        <v>Active</v>
      </c>
    </row>
    <row r="17" spans="1:89">
      <c r="A17" s="82" t="s">
        <v>120</v>
      </c>
      <c r="B17" s="83" t="s">
        <v>31</v>
      </c>
      <c r="C17" s="83" t="s">
        <v>466</v>
      </c>
      <c r="D17" s="83" t="s">
        <v>463</v>
      </c>
      <c r="E17" s="84">
        <v>9.0340199999999999</v>
      </c>
      <c r="F17" s="85">
        <v>8.74</v>
      </c>
      <c r="G17" s="86">
        <f t="shared" si="1"/>
        <v>1.0336407322654462</v>
      </c>
      <c r="H17" s="87">
        <v>40610</v>
      </c>
      <c r="CA17" s="1" t="s">
        <v>71</v>
      </c>
      <c r="CB17" s="1" t="s">
        <v>18</v>
      </c>
      <c r="CC17" s="1" t="s">
        <v>132</v>
      </c>
      <c r="CE17" s="122" t="str">
        <f>FUR[[#This Row],[Part Type]]</f>
        <v>Furniture</v>
      </c>
      <c r="CF17" s="122" t="str">
        <f>FUR[[#This Row],[Chemicals]]</f>
        <v>Ni200201-1, NiCr8020-4</v>
      </c>
      <c r="CG17" s="122" t="str">
        <f>FUR[[#This Row],[UID]]</f>
        <v>1B-11</v>
      </c>
      <c r="CK17" s="82" t="str">
        <f>IF(FUR[[#This Row],[Status]]=0,"",FUR[[#This Row],[Status]])</f>
        <v>Active</v>
      </c>
    </row>
    <row r="18" spans="1:89">
      <c r="A18" s="82" t="s">
        <v>120</v>
      </c>
      <c r="B18" s="83" t="s">
        <v>31</v>
      </c>
      <c r="C18" s="83" t="s">
        <v>467</v>
      </c>
      <c r="D18" s="83" t="s">
        <v>463</v>
      </c>
      <c r="E18" s="84">
        <v>8.6478800000000007</v>
      </c>
      <c r="F18" s="85">
        <v>8.75</v>
      </c>
      <c r="G18" s="86">
        <f t="shared" si="1"/>
        <v>0.98832914285714291</v>
      </c>
      <c r="H18" s="87">
        <v>40610</v>
      </c>
      <c r="CA18" s="1" t="s">
        <v>71</v>
      </c>
      <c r="CB18" s="1" t="s">
        <v>18</v>
      </c>
      <c r="CC18" s="1" t="s">
        <v>132</v>
      </c>
      <c r="CE18" s="122" t="str">
        <f>FUR[[#This Row],[Part Type]]</f>
        <v>Furniture</v>
      </c>
      <c r="CF18" s="122" t="str">
        <f>FUR[[#This Row],[Chemicals]]</f>
        <v>Ni200201-1, NiCr8020-4</v>
      </c>
      <c r="CG18" s="122" t="str">
        <f>FUR[[#This Row],[UID]]</f>
        <v>1B-12</v>
      </c>
      <c r="CK18" s="82" t="str">
        <f>IF(FUR[[#This Row],[Status]]=0,"",FUR[[#This Row],[Status]])</f>
        <v>Active</v>
      </c>
    </row>
    <row r="19" spans="1:89">
      <c r="A19" s="82" t="s">
        <v>120</v>
      </c>
      <c r="B19" s="83" t="s">
        <v>31</v>
      </c>
      <c r="C19" s="83" t="s">
        <v>468</v>
      </c>
      <c r="D19" s="83" t="s">
        <v>463</v>
      </c>
      <c r="E19" s="84">
        <v>8.9009999999999998</v>
      </c>
      <c r="F19" s="85">
        <v>8.75</v>
      </c>
      <c r="G19" s="86">
        <f t="shared" si="1"/>
        <v>1.0172571428571429</v>
      </c>
      <c r="H19" s="87">
        <v>40610</v>
      </c>
      <c r="CA19" s="1" t="s">
        <v>71</v>
      </c>
      <c r="CB19" s="1" t="s">
        <v>18</v>
      </c>
      <c r="CC19" s="1" t="s">
        <v>132</v>
      </c>
      <c r="CE19" s="122" t="str">
        <f>FUR[[#This Row],[Part Type]]</f>
        <v>Furniture</v>
      </c>
      <c r="CF19" s="122" t="str">
        <f>FUR[[#This Row],[Chemicals]]</f>
        <v>Ni200201-1, NiCr8020-4</v>
      </c>
      <c r="CG19" s="122" t="str">
        <f>FUR[[#This Row],[UID]]</f>
        <v>1B-13</v>
      </c>
      <c r="CK19" s="82" t="str">
        <f>IF(FUR[[#This Row],[Status]]=0,"",FUR[[#This Row],[Status]])</f>
        <v>Active</v>
      </c>
    </row>
    <row r="20" spans="1:89">
      <c r="A20" s="82" t="s">
        <v>120</v>
      </c>
      <c r="B20" s="83" t="s">
        <v>31</v>
      </c>
      <c r="C20" s="83" t="s">
        <v>469</v>
      </c>
      <c r="D20" s="83" t="s">
        <v>463</v>
      </c>
      <c r="E20" s="84">
        <v>8.8235100000000006</v>
      </c>
      <c r="F20" s="85">
        <v>8.75</v>
      </c>
      <c r="G20" s="86">
        <f t="shared" si="1"/>
        <v>1.0084011428571429</v>
      </c>
      <c r="H20" s="87">
        <v>40610</v>
      </c>
      <c r="CA20" s="1" t="s">
        <v>71</v>
      </c>
      <c r="CB20" s="1" t="s">
        <v>18</v>
      </c>
      <c r="CC20" s="1" t="s">
        <v>132</v>
      </c>
      <c r="CE20" s="122" t="str">
        <f>FUR[[#This Row],[Part Type]]</f>
        <v>Furniture</v>
      </c>
      <c r="CF20" s="122" t="str">
        <f>FUR[[#This Row],[Chemicals]]</f>
        <v>Ni200201-1, NiCr8020-4</v>
      </c>
      <c r="CG20" s="122" t="str">
        <f>FUR[[#This Row],[UID]]</f>
        <v>1B-14</v>
      </c>
      <c r="CK20" s="82" t="str">
        <f>IF(FUR[[#This Row],[Status]]=0,"",FUR[[#This Row],[Status]])</f>
        <v>Active</v>
      </c>
    </row>
    <row r="21" spans="1:89">
      <c r="A21" s="82" t="s">
        <v>260</v>
      </c>
      <c r="B21" s="83" t="s">
        <v>31</v>
      </c>
      <c r="C21" s="83" t="s">
        <v>470</v>
      </c>
      <c r="D21" s="83" t="s">
        <v>471</v>
      </c>
      <c r="E21" s="84">
        <v>12.51304</v>
      </c>
      <c r="F21" s="85">
        <v>10.49</v>
      </c>
      <c r="G21" s="86">
        <f t="shared" si="1"/>
        <v>1.1928541468064824</v>
      </c>
      <c r="H21" s="87">
        <v>40679</v>
      </c>
      <c r="I21" s="88" t="s">
        <v>472</v>
      </c>
      <c r="CA21" s="1" t="s">
        <v>71</v>
      </c>
      <c r="CB21" s="1" t="s">
        <v>18</v>
      </c>
      <c r="CC21" s="1" t="s">
        <v>132</v>
      </c>
      <c r="CE21" s="122" t="str">
        <f>FUR[[#This Row],[Part Type]]</f>
        <v>Furniture</v>
      </c>
      <c r="CF21" s="122" t="str">
        <f>FUR[[#This Row],[Chemicals]]</f>
        <v>Ag-5, Ag-6</v>
      </c>
      <c r="CG21" s="122" t="str">
        <f>FUR[[#This Row],[UID]]</f>
        <v>1B-15</v>
      </c>
      <c r="CK21" s="82" t="str">
        <f>IF(FUR[[#This Row],[Status]]=0,"",FUR[[#This Row],[Status]])</f>
        <v>Retired</v>
      </c>
    </row>
    <row r="22" spans="1:89">
      <c r="A22" s="82" t="s">
        <v>260</v>
      </c>
      <c r="B22" s="83" t="s">
        <v>31</v>
      </c>
      <c r="C22" s="83" t="s">
        <v>473</v>
      </c>
      <c r="D22" s="83" t="s">
        <v>471</v>
      </c>
      <c r="E22" s="84">
        <v>12.37881</v>
      </c>
      <c r="F22" s="85">
        <v>10.49</v>
      </c>
      <c r="G22" s="86">
        <f t="shared" si="1"/>
        <v>1.1800581506196377</v>
      </c>
      <c r="H22" s="87">
        <v>40679</v>
      </c>
      <c r="I22" s="88" t="s">
        <v>474</v>
      </c>
      <c r="CA22" s="1" t="s">
        <v>71</v>
      </c>
      <c r="CB22" s="1" t="s">
        <v>18</v>
      </c>
      <c r="CC22" s="1" t="s">
        <v>132</v>
      </c>
      <c r="CE22" s="122" t="str">
        <f>FUR[[#This Row],[Part Type]]</f>
        <v>Furniture</v>
      </c>
      <c r="CF22" s="122" t="str">
        <f>FUR[[#This Row],[Chemicals]]</f>
        <v>Ag-5, Ag-6</v>
      </c>
      <c r="CG22" s="122" t="str">
        <f>FUR[[#This Row],[UID]]</f>
        <v>1B-16</v>
      </c>
      <c r="CK22" s="82" t="str">
        <f>IF(FUR[[#This Row],[Status]]=0,"",FUR[[#This Row],[Status]])</f>
        <v>Retired</v>
      </c>
    </row>
    <row r="23" spans="1:89">
      <c r="A23" s="82" t="s">
        <v>260</v>
      </c>
      <c r="B23" s="83" t="s">
        <v>31</v>
      </c>
      <c r="C23" s="83" t="s">
        <v>475</v>
      </c>
      <c r="D23" s="83" t="s">
        <v>471</v>
      </c>
      <c r="E23" s="84">
        <v>12.511850000000001</v>
      </c>
      <c r="F23" s="85">
        <v>10.49</v>
      </c>
      <c r="G23" s="86">
        <f t="shared" si="1"/>
        <v>1.1927407054337464</v>
      </c>
      <c r="H23" s="87">
        <v>40694</v>
      </c>
      <c r="I23" s="88" t="s">
        <v>476</v>
      </c>
      <c r="CA23" s="1" t="s">
        <v>71</v>
      </c>
      <c r="CB23" s="1" t="s">
        <v>18</v>
      </c>
      <c r="CC23" s="1" t="s">
        <v>132</v>
      </c>
      <c r="CE23" s="122" t="str">
        <f>FUR[[#This Row],[Part Type]]</f>
        <v>Furniture</v>
      </c>
      <c r="CF23" s="122" t="str">
        <f>FUR[[#This Row],[Chemicals]]</f>
        <v>Ag-5, Ag-6</v>
      </c>
      <c r="CG23" s="122" t="str">
        <f>FUR[[#This Row],[UID]]</f>
        <v>1B-17</v>
      </c>
      <c r="CK23" s="82" t="str">
        <f>IF(FUR[[#This Row],[Status]]=0,"",FUR[[#This Row],[Status]])</f>
        <v>Retired</v>
      </c>
    </row>
    <row r="24" spans="1:89">
      <c r="A24" s="82" t="s">
        <v>260</v>
      </c>
      <c r="B24" s="83" t="s">
        <v>31</v>
      </c>
      <c r="C24" s="83" t="s">
        <v>477</v>
      </c>
      <c r="D24" s="83" t="s">
        <v>471</v>
      </c>
      <c r="E24" s="84">
        <v>12.47043</v>
      </c>
      <c r="F24" s="85">
        <v>10.49</v>
      </c>
      <c r="G24" s="86">
        <f t="shared" si="1"/>
        <v>1.1887921830314585</v>
      </c>
      <c r="H24" s="87">
        <v>40694</v>
      </c>
      <c r="I24" s="88" t="s">
        <v>478</v>
      </c>
      <c r="CA24" s="1" t="s">
        <v>71</v>
      </c>
      <c r="CB24" s="1" t="s">
        <v>18</v>
      </c>
      <c r="CC24" s="1" t="s">
        <v>132</v>
      </c>
      <c r="CE24" s="122" t="str">
        <f>FUR[[#This Row],[Part Type]]</f>
        <v>Furniture</v>
      </c>
      <c r="CF24" s="122" t="str">
        <f>FUR[[#This Row],[Chemicals]]</f>
        <v>Ag-5, Ag-6</v>
      </c>
      <c r="CG24" s="122" t="str">
        <f>FUR[[#This Row],[UID]]</f>
        <v>1B-18</v>
      </c>
      <c r="CK24" s="82" t="str">
        <f>IF(FUR[[#This Row],[Status]]=0,"",FUR[[#This Row],[Status]])</f>
        <v>Retired</v>
      </c>
    </row>
    <row r="25" spans="1:89">
      <c r="A25" s="82" t="s">
        <v>120</v>
      </c>
      <c r="B25" s="83" t="s">
        <v>31</v>
      </c>
      <c r="C25" s="83" t="s">
        <v>479</v>
      </c>
      <c r="D25" s="83" t="s">
        <v>480</v>
      </c>
      <c r="E25" s="84">
        <v>13.064399999999999</v>
      </c>
      <c r="F25" s="85">
        <v>10.49</v>
      </c>
      <c r="G25" s="86">
        <f t="shared" si="1"/>
        <v>1.2454146806482362</v>
      </c>
      <c r="H25" s="87">
        <v>40773</v>
      </c>
      <c r="CA25" s="1" t="s">
        <v>71</v>
      </c>
      <c r="CB25" s="1" t="s">
        <v>18</v>
      </c>
      <c r="CC25" s="1" t="s">
        <v>132</v>
      </c>
      <c r="CE25" s="122" t="str">
        <f>FUR[[#This Row],[Part Type]]</f>
        <v>Furniture</v>
      </c>
      <c r="CF25" s="122" t="str">
        <f>FUR[[#This Row],[Chemicals]]</f>
        <v>Ag-10, Ag-6</v>
      </c>
      <c r="CG25" s="122" t="str">
        <f>FUR[[#This Row],[UID]]</f>
        <v>1B-19</v>
      </c>
      <c r="CK25" s="82" t="str">
        <f>IF(FUR[[#This Row],[Status]]=0,"",FUR[[#This Row],[Status]])</f>
        <v>Active</v>
      </c>
    </row>
    <row r="26" spans="1:89">
      <c r="A26" s="82" t="s">
        <v>120</v>
      </c>
      <c r="B26" s="83" t="s">
        <v>31</v>
      </c>
      <c r="C26" s="83" t="s">
        <v>481</v>
      </c>
      <c r="D26" s="83" t="s">
        <v>463</v>
      </c>
      <c r="E26" s="84">
        <v>8.8971199999999993</v>
      </c>
      <c r="F26" s="85">
        <v>8.7200000000000006</v>
      </c>
      <c r="G26" s="86">
        <f t="shared" si="1"/>
        <v>1.0203119266055045</v>
      </c>
      <c r="H26" s="87">
        <v>39814</v>
      </c>
      <c r="I26" s="88" t="s">
        <v>464</v>
      </c>
      <c r="CA26" s="1" t="s">
        <v>71</v>
      </c>
      <c r="CB26" s="1" t="s">
        <v>18</v>
      </c>
      <c r="CC26" s="1" t="s">
        <v>132</v>
      </c>
      <c r="CE26" s="122" t="str">
        <f>FUR[[#This Row],[Part Type]]</f>
        <v>Furniture</v>
      </c>
      <c r="CF26" s="122" t="str">
        <f>FUR[[#This Row],[Chemicals]]</f>
        <v>Ni200201-1, NiCr8020-4</v>
      </c>
      <c r="CG26" s="122" t="str">
        <f>FUR[[#This Row],[UID]]</f>
        <v>1B-2</v>
      </c>
      <c r="CK26" s="82" t="str">
        <f>IF(FUR[[#This Row],[Status]]=0,"",FUR[[#This Row],[Status]])</f>
        <v>Active</v>
      </c>
    </row>
    <row r="27" spans="1:89">
      <c r="A27" s="82" t="s">
        <v>120</v>
      </c>
      <c r="B27" s="83" t="s">
        <v>31</v>
      </c>
      <c r="C27" s="83" t="s">
        <v>482</v>
      </c>
      <c r="D27" s="83" t="s">
        <v>480</v>
      </c>
      <c r="E27" s="84">
        <v>13.243309999999999</v>
      </c>
      <c r="F27" s="85">
        <v>10.49</v>
      </c>
      <c r="G27" s="86">
        <f t="shared" si="1"/>
        <v>1.2624699714013345</v>
      </c>
      <c r="H27" s="87">
        <v>40773</v>
      </c>
      <c r="CA27" s="1" t="s">
        <v>71</v>
      </c>
      <c r="CB27" s="1" t="s">
        <v>18</v>
      </c>
      <c r="CC27" s="1" t="s">
        <v>132</v>
      </c>
      <c r="CE27" s="122" t="str">
        <f>FUR[[#This Row],[Part Type]]</f>
        <v>Furniture</v>
      </c>
      <c r="CF27" s="122" t="str">
        <f>FUR[[#This Row],[Chemicals]]</f>
        <v>Ag-10, Ag-6</v>
      </c>
      <c r="CG27" s="122" t="str">
        <f>FUR[[#This Row],[UID]]</f>
        <v>1B-20</v>
      </c>
      <c r="CK27" s="82" t="str">
        <f>IF(FUR[[#This Row],[Status]]=0,"",FUR[[#This Row],[Status]])</f>
        <v>Active</v>
      </c>
    </row>
    <row r="28" spans="1:89">
      <c r="A28" s="82" t="s">
        <v>120</v>
      </c>
      <c r="B28" s="83" t="s">
        <v>31</v>
      </c>
      <c r="C28" s="83" t="s">
        <v>483</v>
      </c>
      <c r="D28" s="83" t="s">
        <v>484</v>
      </c>
      <c r="E28" s="84">
        <v>13.13374</v>
      </c>
      <c r="F28" s="85">
        <v>10.49</v>
      </c>
      <c r="G28" s="86">
        <f t="shared" si="1"/>
        <v>1.2520247855100095</v>
      </c>
      <c r="H28" s="87">
        <v>40773</v>
      </c>
      <c r="I28" s="88" t="s">
        <v>485</v>
      </c>
      <c r="CA28" s="1" t="s">
        <v>71</v>
      </c>
      <c r="CB28" s="1" t="s">
        <v>18</v>
      </c>
      <c r="CC28" s="1" t="s">
        <v>132</v>
      </c>
      <c r="CE28" s="122" t="str">
        <f>FUR[[#This Row],[Part Type]]</f>
        <v>Furniture</v>
      </c>
      <c r="CF28" s="122" t="str">
        <f>FUR[[#This Row],[Chemicals]]</f>
        <v>Ag-10, Ag-6, Ag-14</v>
      </c>
      <c r="CG28" s="122" t="str">
        <f>FUR[[#This Row],[UID]]</f>
        <v>1B-21</v>
      </c>
      <c r="CK28" s="82" t="str">
        <f>IF(FUR[[#This Row],[Status]]=0,"",FUR[[#This Row],[Status]])</f>
        <v>Active</v>
      </c>
    </row>
    <row r="29" spans="1:89">
      <c r="A29" s="82" t="s">
        <v>120</v>
      </c>
      <c r="B29" s="83" t="s">
        <v>31</v>
      </c>
      <c r="C29" s="83" t="s">
        <v>486</v>
      </c>
      <c r="D29" s="83" t="s">
        <v>480</v>
      </c>
      <c r="E29" s="84">
        <v>13.07572</v>
      </c>
      <c r="F29" s="85">
        <v>10.49</v>
      </c>
      <c r="G29" s="86">
        <f t="shared" si="1"/>
        <v>1.2464938036224977</v>
      </c>
      <c r="H29" s="87">
        <v>40773</v>
      </c>
      <c r="CA29" s="1" t="s">
        <v>71</v>
      </c>
      <c r="CB29" s="1" t="s">
        <v>18</v>
      </c>
      <c r="CC29" s="1" t="s">
        <v>132</v>
      </c>
      <c r="CE29" s="122" t="str">
        <f>FUR[[#This Row],[Part Type]]</f>
        <v>Furniture</v>
      </c>
      <c r="CF29" s="122" t="str">
        <f>FUR[[#This Row],[Chemicals]]</f>
        <v>Ag-10, Ag-6</v>
      </c>
      <c r="CG29" s="122" t="str">
        <f>FUR[[#This Row],[UID]]</f>
        <v>1B-22</v>
      </c>
      <c r="CK29" s="82" t="str">
        <f>IF(FUR[[#This Row],[Status]]=0,"",FUR[[#This Row],[Status]])</f>
        <v>Active</v>
      </c>
    </row>
    <row r="30" spans="1:89">
      <c r="A30" s="82" t="s">
        <v>120</v>
      </c>
      <c r="B30" s="83" t="s">
        <v>31</v>
      </c>
      <c r="C30" s="83" t="s">
        <v>487</v>
      </c>
      <c r="D30" s="83" t="s">
        <v>480</v>
      </c>
      <c r="E30" s="84">
        <v>13.08098</v>
      </c>
      <c r="F30" s="85">
        <v>10.49</v>
      </c>
      <c r="G30" s="86">
        <f t="shared" si="1"/>
        <v>1.2469952335557675</v>
      </c>
      <c r="H30" s="87">
        <v>40773</v>
      </c>
      <c r="CA30" s="1" t="s">
        <v>71</v>
      </c>
      <c r="CB30" s="1" t="s">
        <v>18</v>
      </c>
      <c r="CC30" s="1" t="s">
        <v>132</v>
      </c>
      <c r="CE30" s="122" t="str">
        <f>FUR[[#This Row],[Part Type]]</f>
        <v>Furniture</v>
      </c>
      <c r="CF30" s="122" t="str">
        <f>FUR[[#This Row],[Chemicals]]</f>
        <v>Ag-10, Ag-6</v>
      </c>
      <c r="CG30" s="122" t="str">
        <f>FUR[[#This Row],[UID]]</f>
        <v>1B-23</v>
      </c>
      <c r="CK30" s="82" t="str">
        <f>IF(FUR[[#This Row],[Status]]=0,"",FUR[[#This Row],[Status]])</f>
        <v>Active</v>
      </c>
    </row>
    <row r="31" spans="1:89">
      <c r="A31" s="82" t="s">
        <v>120</v>
      </c>
      <c r="B31" s="83" t="s">
        <v>31</v>
      </c>
      <c r="C31" s="83" t="s">
        <v>488</v>
      </c>
      <c r="D31" s="83" t="s">
        <v>489</v>
      </c>
      <c r="E31" s="84">
        <v>12.73475</v>
      </c>
      <c r="F31" s="85">
        <v>10.49</v>
      </c>
      <c r="G31" s="86">
        <f t="shared" si="1"/>
        <v>1.2139895138226882</v>
      </c>
      <c r="H31" s="87">
        <v>40773</v>
      </c>
      <c r="I31" s="88" t="s">
        <v>490</v>
      </c>
      <c r="CA31" s="1" t="s">
        <v>71</v>
      </c>
      <c r="CB31" s="1" t="s">
        <v>18</v>
      </c>
      <c r="CC31" s="1" t="s">
        <v>132</v>
      </c>
      <c r="CE31" s="122" t="str">
        <f>FUR[[#This Row],[Part Type]]</f>
        <v>Furniture</v>
      </c>
      <c r="CF31" s="122" t="str">
        <f>FUR[[#This Row],[Chemicals]]</f>
        <v>Ag-14, Ag-6</v>
      </c>
      <c r="CG31" s="122" t="str">
        <f>FUR[[#This Row],[UID]]</f>
        <v>1B-24</v>
      </c>
      <c r="CK31" s="82" t="str">
        <f>IF(FUR[[#This Row],[Status]]=0,"",FUR[[#This Row],[Status]])</f>
        <v>Active</v>
      </c>
    </row>
    <row r="32" spans="1:89">
      <c r="A32" s="82" t="s">
        <v>120</v>
      </c>
      <c r="B32" s="83" t="s">
        <v>31</v>
      </c>
      <c r="C32" s="83" t="s">
        <v>491</v>
      </c>
      <c r="D32" s="83" t="s">
        <v>489</v>
      </c>
      <c r="E32" s="84">
        <v>12.772629999999999</v>
      </c>
      <c r="F32" s="85">
        <v>10.49</v>
      </c>
      <c r="G32" s="86">
        <f t="shared" si="1"/>
        <v>1.2176005719733078</v>
      </c>
      <c r="H32" s="87">
        <v>40773</v>
      </c>
      <c r="I32" s="88" t="s">
        <v>492</v>
      </c>
      <c r="CA32" s="1" t="s">
        <v>71</v>
      </c>
      <c r="CB32" s="1" t="s">
        <v>18</v>
      </c>
      <c r="CC32" s="1" t="s">
        <v>132</v>
      </c>
      <c r="CE32" s="122" t="str">
        <f>FUR[[#This Row],[Part Type]]</f>
        <v>Furniture</v>
      </c>
      <c r="CF32" s="122" t="str">
        <f>FUR[[#This Row],[Chemicals]]</f>
        <v>Ag-14, Ag-6</v>
      </c>
      <c r="CG32" s="122" t="str">
        <f>FUR[[#This Row],[UID]]</f>
        <v>1B-25</v>
      </c>
      <c r="CK32" s="82" t="str">
        <f>IF(FUR[[#This Row],[Status]]=0,"",FUR[[#This Row],[Status]])</f>
        <v>Active</v>
      </c>
    </row>
    <row r="33" spans="1:89">
      <c r="A33" s="82" t="s">
        <v>120</v>
      </c>
      <c r="B33" s="83" t="s">
        <v>31</v>
      </c>
      <c r="C33" s="83" t="s">
        <v>493</v>
      </c>
      <c r="D33" s="83" t="s">
        <v>489</v>
      </c>
      <c r="E33" s="84">
        <v>12.794169999999999</v>
      </c>
      <c r="F33" s="85">
        <v>10.49</v>
      </c>
      <c r="G33" s="86">
        <f t="shared" si="1"/>
        <v>1.219653956148713</v>
      </c>
      <c r="H33" s="87">
        <v>40773</v>
      </c>
      <c r="I33" s="88" t="s">
        <v>494</v>
      </c>
      <c r="CA33" s="1" t="s">
        <v>71</v>
      </c>
      <c r="CB33" s="1" t="s">
        <v>18</v>
      </c>
      <c r="CC33" s="1" t="s">
        <v>132</v>
      </c>
      <c r="CE33" s="122" t="str">
        <f>FUR[[#This Row],[Part Type]]</f>
        <v>Furniture</v>
      </c>
      <c r="CF33" s="122" t="str">
        <f>FUR[[#This Row],[Chemicals]]</f>
        <v>Ag-14, Ag-6</v>
      </c>
      <c r="CG33" s="122" t="str">
        <f>FUR[[#This Row],[UID]]</f>
        <v>1B-26</v>
      </c>
      <c r="CK33" s="82" t="str">
        <f>IF(FUR[[#This Row],[Status]]=0,"",FUR[[#This Row],[Status]])</f>
        <v>Active</v>
      </c>
    </row>
    <row r="34" spans="1:89">
      <c r="A34" s="82" t="s">
        <v>120</v>
      </c>
      <c r="B34" s="83" t="s">
        <v>31</v>
      </c>
      <c r="C34" s="83" t="s">
        <v>495</v>
      </c>
      <c r="D34" s="83" t="s">
        <v>496</v>
      </c>
      <c r="E34" s="84">
        <v>13.10782</v>
      </c>
      <c r="F34" s="85">
        <v>10.49</v>
      </c>
      <c r="G34" s="86">
        <f t="shared" si="1"/>
        <v>1.2495538608198284</v>
      </c>
      <c r="H34" s="87">
        <v>40899</v>
      </c>
      <c r="CA34" s="1" t="s">
        <v>71</v>
      </c>
      <c r="CB34" s="1" t="s">
        <v>18</v>
      </c>
      <c r="CC34" s="1" t="s">
        <v>132</v>
      </c>
      <c r="CE34" s="122" t="str">
        <f>FUR[[#This Row],[Part Type]]</f>
        <v>Furniture</v>
      </c>
      <c r="CF34" s="122" t="str">
        <f>FUR[[#This Row],[Chemicals]]</f>
        <v>Ag-6, Ag-14</v>
      </c>
      <c r="CG34" s="122" t="str">
        <f>FUR[[#This Row],[UID]]</f>
        <v>1B-27</v>
      </c>
      <c r="CK34" s="82" t="str">
        <f>IF(FUR[[#This Row],[Status]]=0,"",FUR[[#This Row],[Status]])</f>
        <v>Active</v>
      </c>
    </row>
    <row r="35" spans="1:89">
      <c r="A35" s="82" t="s">
        <v>120</v>
      </c>
      <c r="B35" s="83" t="s">
        <v>31</v>
      </c>
      <c r="C35" s="83" t="s">
        <v>497</v>
      </c>
      <c r="D35" s="83" t="s">
        <v>498</v>
      </c>
      <c r="E35" s="84">
        <v>9.9568100000000008</v>
      </c>
      <c r="F35" s="85">
        <v>10.49</v>
      </c>
      <c r="G35" s="86">
        <f t="shared" si="1"/>
        <v>0.94917159199237378</v>
      </c>
      <c r="H35" s="87">
        <v>40899</v>
      </c>
      <c r="CA35" s="1" t="s">
        <v>71</v>
      </c>
      <c r="CB35" s="1" t="s">
        <v>18</v>
      </c>
      <c r="CC35" s="1" t="s">
        <v>132</v>
      </c>
      <c r="CE35" s="122" t="str">
        <f>FUR[[#This Row],[Part Type]]</f>
        <v>Furniture</v>
      </c>
      <c r="CF35" s="122" t="str">
        <f>FUR[[#This Row],[Chemicals]]</f>
        <v>Ag-16, Ag-14</v>
      </c>
      <c r="CG35" s="122" t="str">
        <f>FUR[[#This Row],[UID]]</f>
        <v>1B-28</v>
      </c>
      <c r="CK35" s="82" t="str">
        <f>IF(FUR[[#This Row],[Status]]=0,"",FUR[[#This Row],[Status]])</f>
        <v>Active</v>
      </c>
    </row>
    <row r="36" spans="1:89">
      <c r="A36" s="82" t="s">
        <v>120</v>
      </c>
      <c r="B36" s="83" t="s">
        <v>31</v>
      </c>
      <c r="C36" s="83" t="s">
        <v>499</v>
      </c>
      <c r="D36" s="83" t="s">
        <v>498</v>
      </c>
      <c r="E36" s="84">
        <v>10.161049999999999</v>
      </c>
      <c r="F36" s="85">
        <v>10.49</v>
      </c>
      <c r="G36" s="86">
        <f t="shared" si="1"/>
        <v>0.96864156339370822</v>
      </c>
      <c r="H36" s="87">
        <v>40899</v>
      </c>
      <c r="CA36" s="1" t="s">
        <v>71</v>
      </c>
      <c r="CB36" s="1" t="s">
        <v>18</v>
      </c>
      <c r="CC36" s="1" t="s">
        <v>132</v>
      </c>
      <c r="CE36" s="122" t="str">
        <f>FUR[[#This Row],[Part Type]]</f>
        <v>Furniture</v>
      </c>
      <c r="CF36" s="122" t="str">
        <f>FUR[[#This Row],[Chemicals]]</f>
        <v>Ag-16, Ag-14</v>
      </c>
      <c r="CG36" s="122" t="str">
        <f>FUR[[#This Row],[UID]]</f>
        <v>1B-29</v>
      </c>
      <c r="CK36" s="82" t="str">
        <f>IF(FUR[[#This Row],[Status]]=0,"",FUR[[#This Row],[Status]])</f>
        <v>Active</v>
      </c>
    </row>
    <row r="37" spans="1:89">
      <c r="A37" s="82" t="s">
        <v>260</v>
      </c>
      <c r="B37" s="83" t="s">
        <v>31</v>
      </c>
      <c r="C37" s="83" t="s">
        <v>500</v>
      </c>
      <c r="D37" s="83" t="s">
        <v>463</v>
      </c>
      <c r="E37" s="84">
        <v>8.7590500000000002</v>
      </c>
      <c r="F37" s="85">
        <v>8.7799999999999994</v>
      </c>
      <c r="G37" s="86">
        <f t="shared" si="1"/>
        <v>0.99761389521640098</v>
      </c>
      <c r="H37" s="87">
        <v>39083</v>
      </c>
      <c r="I37" s="88" t="s">
        <v>501</v>
      </c>
      <c r="CA37" s="1" t="s">
        <v>71</v>
      </c>
      <c r="CB37" s="1" t="s">
        <v>18</v>
      </c>
      <c r="CC37" s="1" t="s">
        <v>132</v>
      </c>
      <c r="CE37" s="122" t="str">
        <f>FUR[[#This Row],[Part Type]]</f>
        <v>Furniture</v>
      </c>
      <c r="CF37" s="122" t="str">
        <f>FUR[[#This Row],[Chemicals]]</f>
        <v>Ni200201-1, NiCr8020-4</v>
      </c>
      <c r="CG37" s="122" t="str">
        <f>FUR[[#This Row],[UID]]</f>
        <v>1B-3</v>
      </c>
      <c r="CK37" s="82" t="str">
        <f>IF(FUR[[#This Row],[Status]]=0,"",FUR[[#This Row],[Status]])</f>
        <v>Retired</v>
      </c>
    </row>
    <row r="38" spans="1:89">
      <c r="A38" s="82" t="s">
        <v>120</v>
      </c>
      <c r="B38" s="83" t="s">
        <v>31</v>
      </c>
      <c r="C38" s="83" t="s">
        <v>502</v>
      </c>
      <c r="D38" s="83" t="s">
        <v>498</v>
      </c>
      <c r="E38" s="84">
        <v>10.062760000000001</v>
      </c>
      <c r="F38" s="85">
        <v>10.49</v>
      </c>
      <c r="G38" s="86">
        <f t="shared" si="1"/>
        <v>0.95927168732125845</v>
      </c>
      <c r="H38" s="87">
        <v>40899</v>
      </c>
      <c r="CA38" s="1" t="s">
        <v>71</v>
      </c>
      <c r="CB38" s="1" t="s">
        <v>18</v>
      </c>
      <c r="CC38" s="1" t="s">
        <v>132</v>
      </c>
      <c r="CE38" s="122" t="str">
        <f>FUR[[#This Row],[Part Type]]</f>
        <v>Furniture</v>
      </c>
      <c r="CF38" s="122" t="str">
        <f>FUR[[#This Row],[Chemicals]]</f>
        <v>Ag-16, Ag-14</v>
      </c>
      <c r="CG38" s="122" t="str">
        <f>FUR[[#This Row],[UID]]</f>
        <v>1B-30</v>
      </c>
      <c r="CK38" s="82" t="str">
        <f>IF(FUR[[#This Row],[Status]]=0,"",FUR[[#This Row],[Status]])</f>
        <v>Active</v>
      </c>
    </row>
    <row r="39" spans="1:89">
      <c r="A39" s="82" t="s">
        <v>120</v>
      </c>
      <c r="B39" s="83" t="s">
        <v>31</v>
      </c>
      <c r="C39" s="83" t="s">
        <v>503</v>
      </c>
      <c r="D39" s="83" t="s">
        <v>498</v>
      </c>
      <c r="E39" s="84">
        <v>10.09118</v>
      </c>
      <c r="F39" s="85">
        <v>10.49</v>
      </c>
      <c r="G39" s="86">
        <f t="shared" si="1"/>
        <v>0.96198093422306952</v>
      </c>
      <c r="H39" s="87">
        <v>40899</v>
      </c>
      <c r="CA39" s="1" t="s">
        <v>71</v>
      </c>
      <c r="CB39" s="1" t="s">
        <v>18</v>
      </c>
      <c r="CC39" s="1" t="s">
        <v>132</v>
      </c>
      <c r="CE39" s="122" t="str">
        <f>FUR[[#This Row],[Part Type]]</f>
        <v>Furniture</v>
      </c>
      <c r="CF39" s="122" t="str">
        <f>FUR[[#This Row],[Chemicals]]</f>
        <v>Ag-16, Ag-14</v>
      </c>
      <c r="CG39" s="122" t="str">
        <f>FUR[[#This Row],[UID]]</f>
        <v>1B-31</v>
      </c>
      <c r="CK39" s="82" t="str">
        <f>IF(FUR[[#This Row],[Status]]=0,"",FUR[[#This Row],[Status]])</f>
        <v>Active</v>
      </c>
    </row>
    <row r="40" spans="1:89">
      <c r="A40" s="82" t="s">
        <v>120</v>
      </c>
      <c r="B40" s="83" t="s">
        <v>31</v>
      </c>
      <c r="C40" s="83" t="s">
        <v>504</v>
      </c>
      <c r="D40" s="83" t="s">
        <v>498</v>
      </c>
      <c r="E40" s="84">
        <v>10.15368</v>
      </c>
      <c r="F40" s="85">
        <v>10.49</v>
      </c>
      <c r="G40" s="86">
        <f t="shared" si="1"/>
        <v>0.96793898951382262</v>
      </c>
      <c r="H40" s="87">
        <v>40899</v>
      </c>
      <c r="CA40" s="1" t="s">
        <v>71</v>
      </c>
      <c r="CB40" s="1" t="s">
        <v>18</v>
      </c>
      <c r="CC40" s="1" t="s">
        <v>132</v>
      </c>
      <c r="CE40" s="122" t="str">
        <f>FUR[[#This Row],[Part Type]]</f>
        <v>Furniture</v>
      </c>
      <c r="CF40" s="122" t="str">
        <f>FUR[[#This Row],[Chemicals]]</f>
        <v>Ag-16, Ag-14</v>
      </c>
      <c r="CG40" s="122" t="str">
        <f>FUR[[#This Row],[UID]]</f>
        <v>1B-32</v>
      </c>
      <c r="CK40" s="82" t="str">
        <f>IF(FUR[[#This Row],[Status]]=0,"",FUR[[#This Row],[Status]])</f>
        <v>Active</v>
      </c>
    </row>
    <row r="41" spans="1:89">
      <c r="A41" s="82" t="s">
        <v>120</v>
      </c>
      <c r="B41" s="83" t="s">
        <v>31</v>
      </c>
      <c r="C41" s="83" t="s">
        <v>505</v>
      </c>
      <c r="D41" s="83" t="s">
        <v>498</v>
      </c>
      <c r="E41" s="84">
        <v>10.087960000000001</v>
      </c>
      <c r="F41" s="85">
        <v>10.49</v>
      </c>
      <c r="G41" s="86">
        <f t="shared" si="1"/>
        <v>0.96167397521449005</v>
      </c>
      <c r="H41" s="87">
        <v>40899</v>
      </c>
      <c r="CA41" s="1" t="s">
        <v>71</v>
      </c>
      <c r="CB41" s="1" t="s">
        <v>18</v>
      </c>
      <c r="CC41" s="1" t="s">
        <v>132</v>
      </c>
      <c r="CE41" s="122" t="str">
        <f>FUR[[#This Row],[Part Type]]</f>
        <v>Furniture</v>
      </c>
      <c r="CF41" s="122" t="str">
        <f>FUR[[#This Row],[Chemicals]]</f>
        <v>Ag-16, Ag-14</v>
      </c>
      <c r="CG41" s="122" t="str">
        <f>FUR[[#This Row],[UID]]</f>
        <v>1B-33</v>
      </c>
      <c r="CK41" s="82" t="str">
        <f>IF(FUR[[#This Row],[Status]]=0,"",FUR[[#This Row],[Status]])</f>
        <v>Active</v>
      </c>
    </row>
    <row r="42" spans="1:89">
      <c r="A42" s="82" t="s">
        <v>120</v>
      </c>
      <c r="B42" s="83" t="s">
        <v>31</v>
      </c>
      <c r="C42" s="83" t="s">
        <v>506</v>
      </c>
      <c r="D42" s="83" t="s">
        <v>498</v>
      </c>
      <c r="E42" s="84">
        <v>10.05076</v>
      </c>
      <c r="F42" s="85">
        <v>10.49</v>
      </c>
      <c r="G42" s="86">
        <f t="shared" si="1"/>
        <v>0.95812774070543372</v>
      </c>
      <c r="H42" s="87">
        <v>40899</v>
      </c>
      <c r="CA42" s="1" t="s">
        <v>71</v>
      </c>
      <c r="CB42" s="1" t="s">
        <v>18</v>
      </c>
      <c r="CC42" s="1" t="s">
        <v>132</v>
      </c>
      <c r="CE42" s="122" t="str">
        <f>FUR[[#This Row],[Part Type]]</f>
        <v>Furniture</v>
      </c>
      <c r="CF42" s="122" t="str">
        <f>FUR[[#This Row],[Chemicals]]</f>
        <v>Ag-16, Ag-14</v>
      </c>
      <c r="CG42" s="122" t="str">
        <f>FUR[[#This Row],[UID]]</f>
        <v>1B-34</v>
      </c>
      <c r="CK42" s="82" t="str">
        <f>IF(FUR[[#This Row],[Status]]=0,"",FUR[[#This Row],[Status]])</f>
        <v>Active</v>
      </c>
    </row>
    <row r="43" spans="1:89">
      <c r="A43" s="82" t="s">
        <v>120</v>
      </c>
      <c r="B43" s="83" t="s">
        <v>31</v>
      </c>
      <c r="C43" s="83" t="s">
        <v>507</v>
      </c>
      <c r="D43" s="83" t="s">
        <v>498</v>
      </c>
      <c r="E43" s="84">
        <v>9.8022299999999998</v>
      </c>
      <c r="F43" s="85">
        <v>10.49</v>
      </c>
      <c r="G43" s="86">
        <f t="shared" si="1"/>
        <v>0.9344356530028598</v>
      </c>
      <c r="H43" s="87">
        <v>40899</v>
      </c>
      <c r="CA43" s="1" t="s">
        <v>71</v>
      </c>
      <c r="CB43" s="1" t="s">
        <v>18</v>
      </c>
      <c r="CC43" s="1" t="s">
        <v>132</v>
      </c>
      <c r="CE43" s="122" t="str">
        <f>FUR[[#This Row],[Part Type]]</f>
        <v>Furniture</v>
      </c>
      <c r="CF43" s="122" t="str">
        <f>FUR[[#This Row],[Chemicals]]</f>
        <v>Ag-16, Ag-14</v>
      </c>
      <c r="CG43" s="122" t="str">
        <f>FUR[[#This Row],[UID]]</f>
        <v>1B-35</v>
      </c>
      <c r="CK43" s="82" t="str">
        <f>IF(FUR[[#This Row],[Status]]=0,"",FUR[[#This Row],[Status]])</f>
        <v>Active</v>
      </c>
    </row>
    <row r="44" spans="1:89">
      <c r="A44" s="82" t="s">
        <v>120</v>
      </c>
      <c r="B44" s="83" t="s">
        <v>31</v>
      </c>
      <c r="C44" s="83" t="s">
        <v>508</v>
      </c>
      <c r="D44" s="83" t="s">
        <v>498</v>
      </c>
      <c r="E44" s="84">
        <v>10.022779999999999</v>
      </c>
      <c r="F44" s="85">
        <v>10.49</v>
      </c>
      <c r="G44" s="86">
        <f t="shared" si="1"/>
        <v>0.95546043851286933</v>
      </c>
      <c r="H44" s="87">
        <v>40899</v>
      </c>
      <c r="CA44" s="1" t="s">
        <v>71</v>
      </c>
      <c r="CB44" s="1" t="s">
        <v>18</v>
      </c>
      <c r="CC44" s="1" t="s">
        <v>132</v>
      </c>
      <c r="CE44" s="122" t="str">
        <f>FUR[[#This Row],[Part Type]]</f>
        <v>Furniture</v>
      </c>
      <c r="CF44" s="122" t="str">
        <f>FUR[[#This Row],[Chemicals]]</f>
        <v>Ag-16, Ag-14</v>
      </c>
      <c r="CG44" s="122" t="str">
        <f>FUR[[#This Row],[UID]]</f>
        <v>1B-36</v>
      </c>
      <c r="CK44" s="82" t="str">
        <f>IF(FUR[[#This Row],[Status]]=0,"",FUR[[#This Row],[Status]])</f>
        <v>Active</v>
      </c>
    </row>
    <row r="45" spans="1:89">
      <c r="A45" s="82" t="s">
        <v>120</v>
      </c>
      <c r="B45" s="83" t="s">
        <v>31</v>
      </c>
      <c r="C45" s="89" t="s">
        <v>509</v>
      </c>
      <c r="D45" s="89" t="s">
        <v>510</v>
      </c>
      <c r="E45" s="89">
        <f>AVERAGE(5.55792,5.57261,5.61232,5.63252)</f>
        <v>5.5938425000000001</v>
      </c>
      <c r="F45" s="85">
        <v>10.28</v>
      </c>
      <c r="G45" s="86">
        <f t="shared" ref="G45:G76" si="2">E45/F45</f>
        <v>0.54414810311284045</v>
      </c>
      <c r="H45" s="90">
        <v>41980</v>
      </c>
      <c r="I45" s="88" t="s">
        <v>511</v>
      </c>
      <c r="CA45" s="1" t="s">
        <v>71</v>
      </c>
      <c r="CB45" s="1" t="s">
        <v>18</v>
      </c>
      <c r="CC45" s="1" t="s">
        <v>132</v>
      </c>
      <c r="CE45" s="122" t="str">
        <f>FUR[[#This Row],[Part Type]]</f>
        <v>Furniture</v>
      </c>
      <c r="CF45" s="122" t="str">
        <f>FUR[[#This Row],[Chemicals]]</f>
        <v>Mo</v>
      </c>
      <c r="CG45" s="122" t="str">
        <f>FUR[[#This Row],[UID]]</f>
        <v>1B-37</v>
      </c>
      <c r="CK45" s="82" t="str">
        <f>IF(FUR[[#This Row],[Status]]=0,"",FUR[[#This Row],[Status]])</f>
        <v>Active</v>
      </c>
    </row>
    <row r="46" spans="1:89">
      <c r="A46" s="82" t="s">
        <v>120</v>
      </c>
      <c r="B46" s="83" t="s">
        <v>31</v>
      </c>
      <c r="C46" s="89" t="s">
        <v>512</v>
      </c>
      <c r="D46" s="89" t="s">
        <v>510</v>
      </c>
      <c r="E46" s="89">
        <f>AVERAGE(5.55157,6.20671)</f>
        <v>5.8791399999999996</v>
      </c>
      <c r="F46" s="85">
        <v>10.28</v>
      </c>
      <c r="G46" s="86">
        <f t="shared" si="2"/>
        <v>0.57190077821011676</v>
      </c>
      <c r="H46" s="90">
        <v>41980</v>
      </c>
      <c r="I46" s="88" t="s">
        <v>513</v>
      </c>
      <c r="CA46" s="1" t="s">
        <v>71</v>
      </c>
      <c r="CB46" s="1" t="s">
        <v>18</v>
      </c>
      <c r="CC46" s="1" t="s">
        <v>132</v>
      </c>
      <c r="CE46" s="122" t="str">
        <f>FUR[[#This Row],[Part Type]]</f>
        <v>Furniture</v>
      </c>
      <c r="CF46" s="122" t="str">
        <f>FUR[[#This Row],[Chemicals]]</f>
        <v>Mo</v>
      </c>
      <c r="CG46" s="122" t="str">
        <f>FUR[[#This Row],[UID]]</f>
        <v>1B-38</v>
      </c>
      <c r="CK46" s="82" t="str">
        <f>IF(FUR[[#This Row],[Status]]=0,"",FUR[[#This Row],[Status]])</f>
        <v>Active</v>
      </c>
    </row>
    <row r="47" spans="1:89">
      <c r="A47" s="82" t="s">
        <v>120</v>
      </c>
      <c r="B47" s="83" t="s">
        <v>31</v>
      </c>
      <c r="C47" s="89" t="s">
        <v>514</v>
      </c>
      <c r="D47" s="89" t="s">
        <v>510</v>
      </c>
      <c r="E47" s="89">
        <f>AVERAGE(5.4764,5.44304,5.42627,5.44143)</f>
        <v>5.4467850000000002</v>
      </c>
      <c r="F47" s="85">
        <v>10.28</v>
      </c>
      <c r="G47" s="86">
        <f t="shared" si="2"/>
        <v>0.52984289883268487</v>
      </c>
      <c r="H47" s="90">
        <v>41980</v>
      </c>
      <c r="I47" s="88" t="s">
        <v>515</v>
      </c>
      <c r="CA47" s="1" t="s">
        <v>71</v>
      </c>
      <c r="CB47" s="1" t="s">
        <v>18</v>
      </c>
      <c r="CC47" s="1" t="s">
        <v>132</v>
      </c>
      <c r="CE47" s="122" t="str">
        <f>FUR[[#This Row],[Part Type]]</f>
        <v>Furniture</v>
      </c>
      <c r="CF47" s="122" t="str">
        <f>FUR[[#This Row],[Chemicals]]</f>
        <v>Mo</v>
      </c>
      <c r="CG47" s="122" t="str">
        <f>FUR[[#This Row],[UID]]</f>
        <v>1B-39</v>
      </c>
      <c r="CK47" s="82" t="str">
        <f>IF(FUR[[#This Row],[Status]]=0,"",FUR[[#This Row],[Status]])</f>
        <v>Active</v>
      </c>
    </row>
    <row r="48" spans="1:89">
      <c r="A48" s="82" t="s">
        <v>260</v>
      </c>
      <c r="B48" s="83" t="s">
        <v>31</v>
      </c>
      <c r="C48" s="83" t="s">
        <v>516</v>
      </c>
      <c r="D48" s="83" t="s">
        <v>463</v>
      </c>
      <c r="E48" s="84">
        <v>8.1416299999999993</v>
      </c>
      <c r="F48" s="85">
        <v>8.7799999999999994</v>
      </c>
      <c r="G48" s="86">
        <f t="shared" si="2"/>
        <v>0.92729271070615027</v>
      </c>
      <c r="H48" s="87">
        <v>39814</v>
      </c>
      <c r="I48" s="88" t="s">
        <v>517</v>
      </c>
      <c r="CA48" s="1" t="s">
        <v>71</v>
      </c>
      <c r="CB48" s="1" t="s">
        <v>18</v>
      </c>
      <c r="CC48" s="1" t="s">
        <v>132</v>
      </c>
      <c r="CE48" s="122" t="str">
        <f>FUR[[#This Row],[Part Type]]</f>
        <v>Furniture</v>
      </c>
      <c r="CF48" s="122" t="str">
        <f>FUR[[#This Row],[Chemicals]]</f>
        <v>Ni200201-1, NiCr8020-4</v>
      </c>
      <c r="CG48" s="122" t="str">
        <f>FUR[[#This Row],[UID]]</f>
        <v>1B-4</v>
      </c>
      <c r="CK48" s="82" t="str">
        <f>IF(FUR[[#This Row],[Status]]=0,"",FUR[[#This Row],[Status]])</f>
        <v>Retired</v>
      </c>
    </row>
    <row r="49" spans="1:89">
      <c r="A49" s="82" t="s">
        <v>120</v>
      </c>
      <c r="B49" s="83" t="s">
        <v>31</v>
      </c>
      <c r="C49" s="89" t="s">
        <v>518</v>
      </c>
      <c r="D49" s="89" t="s">
        <v>510</v>
      </c>
      <c r="E49" s="89">
        <f>AVERAGE(5.3444,5.50938)</f>
        <v>5.4268900000000002</v>
      </c>
      <c r="F49" s="85">
        <v>10.28</v>
      </c>
      <c r="G49" s="86">
        <f t="shared" si="2"/>
        <v>0.5279075875486382</v>
      </c>
      <c r="H49" s="90">
        <v>41980</v>
      </c>
      <c r="I49" s="88" t="s">
        <v>519</v>
      </c>
      <c r="CA49" s="1" t="s">
        <v>71</v>
      </c>
      <c r="CB49" s="1" t="s">
        <v>18</v>
      </c>
      <c r="CC49" s="1" t="s">
        <v>132</v>
      </c>
      <c r="CE49" s="122" t="str">
        <f>FUR[[#This Row],[Part Type]]</f>
        <v>Furniture</v>
      </c>
      <c r="CF49" s="122" t="str">
        <f>FUR[[#This Row],[Chemicals]]</f>
        <v>Mo</v>
      </c>
      <c r="CG49" s="122" t="str">
        <f>FUR[[#This Row],[UID]]</f>
        <v>1B-40</v>
      </c>
      <c r="CK49" s="82" t="str">
        <f>IF(FUR[[#This Row],[Status]]=0,"",FUR[[#This Row],[Status]])</f>
        <v>Active</v>
      </c>
    </row>
    <row r="50" spans="1:89">
      <c r="A50" s="82" t="s">
        <v>120</v>
      </c>
      <c r="B50" s="83" t="s">
        <v>31</v>
      </c>
      <c r="C50" s="89" t="s">
        <v>520</v>
      </c>
      <c r="D50" s="89" t="s">
        <v>521</v>
      </c>
      <c r="E50" s="89">
        <f>AVERAGE(7.0747,7.15284,7.05339,7.12249)</f>
        <v>7.1008550000000001</v>
      </c>
      <c r="F50" s="85">
        <v>10.49</v>
      </c>
      <c r="G50" s="86">
        <f t="shared" si="2"/>
        <v>0.67691658722592951</v>
      </c>
      <c r="H50" s="90">
        <v>41980</v>
      </c>
      <c r="I50" s="88" t="s">
        <v>522</v>
      </c>
      <c r="CA50" s="1" t="s">
        <v>71</v>
      </c>
      <c r="CB50" s="1" t="s">
        <v>18</v>
      </c>
      <c r="CC50" s="1" t="s">
        <v>132</v>
      </c>
      <c r="CE50" s="122" t="str">
        <f>FUR[[#This Row],[Part Type]]</f>
        <v>Furniture</v>
      </c>
      <c r="CF50" s="122" t="str">
        <f>FUR[[#This Row],[Chemicals]]</f>
        <v>Ag</v>
      </c>
      <c r="CG50" s="122" t="str">
        <f>FUR[[#This Row],[UID]]</f>
        <v>1B-41</v>
      </c>
      <c r="CK50" s="82" t="str">
        <f>IF(FUR[[#This Row],[Status]]=0,"",FUR[[#This Row],[Status]])</f>
        <v>Active</v>
      </c>
    </row>
    <row r="51" spans="1:89">
      <c r="A51" s="82" t="s">
        <v>120</v>
      </c>
      <c r="B51" s="83" t="s">
        <v>31</v>
      </c>
      <c r="C51" s="89" t="s">
        <v>523</v>
      </c>
      <c r="D51" s="89" t="s">
        <v>521</v>
      </c>
      <c r="E51" s="89">
        <f>AVERAGE(7.16893,7.17371)</f>
        <v>7.1713199999999997</v>
      </c>
      <c r="F51" s="85">
        <v>10.49</v>
      </c>
      <c r="G51" s="86">
        <f t="shared" si="2"/>
        <v>0.68363393708293607</v>
      </c>
      <c r="H51" s="90">
        <v>41980</v>
      </c>
      <c r="I51" s="88" t="s">
        <v>524</v>
      </c>
      <c r="CA51" s="1" t="s">
        <v>71</v>
      </c>
      <c r="CB51" s="1" t="s">
        <v>18</v>
      </c>
      <c r="CC51" s="1" t="s">
        <v>132</v>
      </c>
      <c r="CE51" s="122" t="str">
        <f>FUR[[#This Row],[Part Type]]</f>
        <v>Furniture</v>
      </c>
      <c r="CF51" s="122" t="str">
        <f>FUR[[#This Row],[Chemicals]]</f>
        <v>Ag</v>
      </c>
      <c r="CG51" s="122" t="str">
        <f>FUR[[#This Row],[UID]]</f>
        <v>1B-42</v>
      </c>
      <c r="CK51" s="82" t="str">
        <f>IF(FUR[[#This Row],[Status]]=0,"",FUR[[#This Row],[Status]])</f>
        <v>Active</v>
      </c>
    </row>
    <row r="52" spans="1:89">
      <c r="A52" s="82" t="s">
        <v>120</v>
      </c>
      <c r="B52" s="83" t="s">
        <v>31</v>
      </c>
      <c r="C52" s="89" t="s">
        <v>525</v>
      </c>
      <c r="D52" s="89" t="s">
        <v>521</v>
      </c>
      <c r="E52" s="89">
        <f>AVERAGE(6.5823,6.31028)</f>
        <v>6.4462899999999994</v>
      </c>
      <c r="F52" s="85">
        <v>10.49</v>
      </c>
      <c r="G52" s="86">
        <f t="shared" si="2"/>
        <v>0.61451763584366059</v>
      </c>
      <c r="H52" s="90">
        <v>41980</v>
      </c>
      <c r="I52" s="88" t="s">
        <v>526</v>
      </c>
      <c r="CA52" s="1" t="s">
        <v>71</v>
      </c>
      <c r="CB52" s="1" t="s">
        <v>18</v>
      </c>
      <c r="CC52" s="1" t="s">
        <v>132</v>
      </c>
      <c r="CE52" s="122" t="str">
        <f>FUR[[#This Row],[Part Type]]</f>
        <v>Furniture</v>
      </c>
      <c r="CF52" s="122" t="str">
        <f>FUR[[#This Row],[Chemicals]]</f>
        <v>Ag</v>
      </c>
      <c r="CG52" s="122" t="str">
        <f>FUR[[#This Row],[UID]]</f>
        <v>1B-43</v>
      </c>
      <c r="CK52" s="82" t="str">
        <f>IF(FUR[[#This Row],[Status]]=0,"",FUR[[#This Row],[Status]])</f>
        <v>Active</v>
      </c>
    </row>
    <row r="53" spans="1:89">
      <c r="A53" s="82" t="s">
        <v>120</v>
      </c>
      <c r="B53" s="83" t="s">
        <v>31</v>
      </c>
      <c r="C53" s="89" t="s">
        <v>527</v>
      </c>
      <c r="D53" s="89" t="s">
        <v>521</v>
      </c>
      <c r="E53" s="89">
        <f>AVERAGE(6.4447,6.30368,6.35146,6.3196)</f>
        <v>6.3548600000000004</v>
      </c>
      <c r="F53" s="85">
        <v>10.49</v>
      </c>
      <c r="G53" s="86">
        <f t="shared" si="2"/>
        <v>0.60580171591992371</v>
      </c>
      <c r="H53" s="90">
        <v>41980</v>
      </c>
      <c r="I53" s="88" t="s">
        <v>528</v>
      </c>
      <c r="CA53" s="1" t="s">
        <v>71</v>
      </c>
      <c r="CB53" s="1" t="s">
        <v>18</v>
      </c>
      <c r="CC53" s="1" t="s">
        <v>132</v>
      </c>
      <c r="CE53" s="122" t="str">
        <f>FUR[[#This Row],[Part Type]]</f>
        <v>Furniture</v>
      </c>
      <c r="CF53" s="122" t="str">
        <f>FUR[[#This Row],[Chemicals]]</f>
        <v>Ag</v>
      </c>
      <c r="CG53" s="122" t="str">
        <f>FUR[[#This Row],[UID]]</f>
        <v>1B-44</v>
      </c>
      <c r="CK53" s="82" t="str">
        <f>IF(FUR[[#This Row],[Status]]=0,"",FUR[[#This Row],[Status]])</f>
        <v>Active</v>
      </c>
    </row>
    <row r="54" spans="1:89">
      <c r="A54" s="82" t="s">
        <v>120</v>
      </c>
      <c r="B54" s="83" t="s">
        <v>31</v>
      </c>
      <c r="C54" s="83" t="s">
        <v>529</v>
      </c>
      <c r="D54" s="83" t="s">
        <v>530</v>
      </c>
      <c r="E54" s="84">
        <v>69.162000000000006</v>
      </c>
      <c r="F54" s="85">
        <v>8.89</v>
      </c>
      <c r="G54" s="86">
        <f t="shared" si="2"/>
        <v>7.7797525309336333</v>
      </c>
      <c r="H54" s="87">
        <v>39769</v>
      </c>
      <c r="CA54" s="1" t="s">
        <v>71</v>
      </c>
      <c r="CB54" s="1" t="s">
        <v>18</v>
      </c>
      <c r="CC54" s="1" t="s">
        <v>132</v>
      </c>
      <c r="CE54" s="122" t="str">
        <f>FUR[[#This Row],[Part Type]]</f>
        <v>Furniture</v>
      </c>
      <c r="CF54" s="122" t="str">
        <f>FUR[[#This Row],[Chemicals]]</f>
        <v>Ni200201-1</v>
      </c>
      <c r="CG54" s="122" t="str">
        <f>FUR[[#This Row],[UID]]</f>
        <v>1B-5</v>
      </c>
      <c r="CK54" s="82" t="str">
        <f>IF(FUR[[#This Row],[Status]]=0,"",FUR[[#This Row],[Status]])</f>
        <v>Active</v>
      </c>
    </row>
    <row r="55" spans="1:89">
      <c r="A55" s="82" t="s">
        <v>120</v>
      </c>
      <c r="B55" s="83" t="s">
        <v>31</v>
      </c>
      <c r="C55" s="83" t="s">
        <v>531</v>
      </c>
      <c r="D55" s="83" t="s">
        <v>463</v>
      </c>
      <c r="E55" s="84">
        <v>9.0409000000000006</v>
      </c>
      <c r="F55" s="85">
        <v>8.75</v>
      </c>
      <c r="G55" s="86">
        <f t="shared" si="2"/>
        <v>1.0332457142857143</v>
      </c>
      <c r="H55" s="87">
        <v>39965</v>
      </c>
      <c r="I55" s="88" t="s">
        <v>532</v>
      </c>
      <c r="CA55" s="1" t="s">
        <v>71</v>
      </c>
      <c r="CB55" s="1" t="s">
        <v>18</v>
      </c>
      <c r="CC55" s="1" t="s">
        <v>132</v>
      </c>
      <c r="CE55" s="122" t="str">
        <f>FUR[[#This Row],[Part Type]]</f>
        <v>Furniture</v>
      </c>
      <c r="CF55" s="122" t="str">
        <f>FUR[[#This Row],[Chemicals]]</f>
        <v>Ni200201-1, NiCr8020-4</v>
      </c>
      <c r="CG55" s="122" t="str">
        <f>FUR[[#This Row],[UID]]</f>
        <v>1B-6</v>
      </c>
      <c r="CK55" s="82" t="str">
        <f>IF(FUR[[#This Row],[Status]]=0,"",FUR[[#This Row],[Status]])</f>
        <v>Active</v>
      </c>
    </row>
    <row r="56" spans="1:89">
      <c r="A56" s="82" t="s">
        <v>120</v>
      </c>
      <c r="B56" s="83" t="s">
        <v>31</v>
      </c>
      <c r="C56" s="83" t="s">
        <v>533</v>
      </c>
      <c r="D56" s="83" t="s">
        <v>463</v>
      </c>
      <c r="E56" s="84">
        <v>8.5891500000000001</v>
      </c>
      <c r="F56" s="85">
        <v>8.74</v>
      </c>
      <c r="G56" s="86">
        <f t="shared" si="2"/>
        <v>0.98274027459954227</v>
      </c>
      <c r="H56" s="87">
        <v>39083</v>
      </c>
      <c r="I56" s="88" t="s">
        <v>532</v>
      </c>
      <c r="CA56" s="1" t="s">
        <v>71</v>
      </c>
      <c r="CB56" s="1" t="s">
        <v>18</v>
      </c>
      <c r="CC56" s="1" t="s">
        <v>132</v>
      </c>
      <c r="CE56" s="122" t="str">
        <f>FUR[[#This Row],[Part Type]]</f>
        <v>Furniture</v>
      </c>
      <c r="CF56" s="122" t="str">
        <f>FUR[[#This Row],[Chemicals]]</f>
        <v>Ni200201-1, NiCr8020-4</v>
      </c>
      <c r="CG56" s="122" t="str">
        <f>FUR[[#This Row],[UID]]</f>
        <v>1B-7</v>
      </c>
      <c r="CK56" s="82" t="str">
        <f>IF(FUR[[#This Row],[Status]]=0,"",FUR[[#This Row],[Status]])</f>
        <v>Active</v>
      </c>
    </row>
    <row r="57" spans="1:89">
      <c r="A57" s="82" t="s">
        <v>120</v>
      </c>
      <c r="B57" s="83" t="s">
        <v>31</v>
      </c>
      <c r="C57" s="83" t="s">
        <v>534</v>
      </c>
      <c r="D57" s="83" t="s">
        <v>463</v>
      </c>
      <c r="E57" s="84">
        <v>8.3908699999999996</v>
      </c>
      <c r="F57" s="85">
        <v>8.74</v>
      </c>
      <c r="G57" s="86">
        <f t="shared" si="2"/>
        <v>0.96005377574370698</v>
      </c>
      <c r="H57" s="87">
        <v>40610</v>
      </c>
      <c r="CA57" s="1" t="s">
        <v>71</v>
      </c>
      <c r="CB57" s="1" t="s">
        <v>18</v>
      </c>
      <c r="CC57" s="1" t="s">
        <v>132</v>
      </c>
      <c r="CE57" s="122" t="str">
        <f>FUR[[#This Row],[Part Type]]</f>
        <v>Furniture</v>
      </c>
      <c r="CF57" s="122" t="str">
        <f>FUR[[#This Row],[Chemicals]]</f>
        <v>Ni200201-1, NiCr8020-4</v>
      </c>
      <c r="CG57" s="122" t="str">
        <f>FUR[[#This Row],[UID]]</f>
        <v>1B-8</v>
      </c>
      <c r="CK57" s="82" t="str">
        <f>IF(FUR[[#This Row],[Status]]=0,"",FUR[[#This Row],[Status]])</f>
        <v>Active</v>
      </c>
    </row>
    <row r="58" spans="1:89">
      <c r="A58" s="82" t="s">
        <v>120</v>
      </c>
      <c r="B58" s="83" t="s">
        <v>31</v>
      </c>
      <c r="C58" s="83" t="s">
        <v>535</v>
      </c>
      <c r="D58" s="83" t="s">
        <v>463</v>
      </c>
      <c r="E58" s="84">
        <v>9.0093800000000002</v>
      </c>
      <c r="F58" s="85">
        <v>8.74</v>
      </c>
      <c r="G58" s="86">
        <f t="shared" si="2"/>
        <v>1.0308215102974829</v>
      </c>
      <c r="H58" s="87">
        <v>40610</v>
      </c>
      <c r="CA58" s="1" t="s">
        <v>71</v>
      </c>
      <c r="CB58" s="1" t="s">
        <v>18</v>
      </c>
      <c r="CC58" s="1" t="s">
        <v>132</v>
      </c>
      <c r="CE58" s="122" t="str">
        <f>FUR[[#This Row],[Part Type]]</f>
        <v>Furniture</v>
      </c>
      <c r="CF58" s="122" t="str">
        <f>FUR[[#This Row],[Chemicals]]</f>
        <v>Ni200201-1, NiCr8020-4</v>
      </c>
      <c r="CG58" s="122" t="str">
        <f>FUR[[#This Row],[UID]]</f>
        <v>1B-9</v>
      </c>
      <c r="CK58" s="82" t="str">
        <f>IF(FUR[[#This Row],[Status]]=0,"",FUR[[#This Row],[Status]])</f>
        <v>Active</v>
      </c>
    </row>
    <row r="59" spans="1:89">
      <c r="A59" s="82" t="s">
        <v>120</v>
      </c>
      <c r="B59" s="83" t="s">
        <v>31</v>
      </c>
      <c r="C59" s="89" t="s">
        <v>536</v>
      </c>
      <c r="D59" s="89" t="s">
        <v>537</v>
      </c>
      <c r="F59" s="89">
        <v>8.44</v>
      </c>
      <c r="G59" s="86">
        <f t="shared" si="2"/>
        <v>0</v>
      </c>
      <c r="H59" s="90">
        <v>42444</v>
      </c>
      <c r="I59" s="88" t="s">
        <v>538</v>
      </c>
      <c r="CA59" s="1" t="s">
        <v>71</v>
      </c>
      <c r="CB59" s="1" t="s">
        <v>18</v>
      </c>
      <c r="CC59" s="1" t="s">
        <v>132</v>
      </c>
      <c r="CE59" s="122" t="str">
        <f>FUR[[#This Row],[Part Type]]</f>
        <v>Furniture</v>
      </c>
      <c r="CF59" s="122" t="str">
        <f>FUR[[#This Row],[Chemicals]]</f>
        <v>Inc625</v>
      </c>
      <c r="CG59" s="122" t="str">
        <f>FUR[[#This Row],[UID]]</f>
        <v>1Bc-1</v>
      </c>
      <c r="CK59" s="82" t="str">
        <f>IF(FUR[[#This Row],[Status]]=0,"",FUR[[#This Row],[Status]])</f>
        <v>Active</v>
      </c>
    </row>
    <row r="60" spans="1:89">
      <c r="A60" s="82" t="s">
        <v>120</v>
      </c>
      <c r="B60" s="83" t="s">
        <v>31</v>
      </c>
      <c r="C60" s="89" t="s">
        <v>539</v>
      </c>
      <c r="D60" s="89" t="s">
        <v>537</v>
      </c>
      <c r="F60" s="89">
        <v>8.44</v>
      </c>
      <c r="G60" s="86">
        <f t="shared" si="2"/>
        <v>0</v>
      </c>
      <c r="H60" s="90">
        <v>42444</v>
      </c>
      <c r="I60" s="88" t="s">
        <v>540</v>
      </c>
      <c r="CA60" s="1" t="s">
        <v>71</v>
      </c>
      <c r="CB60" s="1" t="s">
        <v>18</v>
      </c>
      <c r="CC60" s="1" t="s">
        <v>132</v>
      </c>
      <c r="CE60" s="122" t="str">
        <f>FUR[[#This Row],[Part Type]]</f>
        <v>Furniture</v>
      </c>
      <c r="CF60" s="122" t="str">
        <f>FUR[[#This Row],[Chemicals]]</f>
        <v>Inc625</v>
      </c>
      <c r="CG60" s="122" t="str">
        <f>FUR[[#This Row],[UID]]</f>
        <v>1Bc-2</v>
      </c>
      <c r="CK60" s="82" t="str">
        <f>IF(FUR[[#This Row],[Status]]=0,"",FUR[[#This Row],[Status]])</f>
        <v>Active</v>
      </c>
    </row>
    <row r="61" spans="1:89">
      <c r="A61" s="82" t="s">
        <v>120</v>
      </c>
      <c r="B61" s="83" t="s">
        <v>31</v>
      </c>
      <c r="C61" s="89" t="s">
        <v>541</v>
      </c>
      <c r="D61" s="89" t="s">
        <v>537</v>
      </c>
      <c r="F61" s="89">
        <v>8.44</v>
      </c>
      <c r="G61" s="86">
        <f t="shared" si="2"/>
        <v>0</v>
      </c>
      <c r="H61" s="90">
        <v>42444</v>
      </c>
      <c r="I61" s="88" t="s">
        <v>542</v>
      </c>
      <c r="CA61" s="1" t="s">
        <v>71</v>
      </c>
      <c r="CB61" s="1" t="s">
        <v>18</v>
      </c>
      <c r="CC61" s="1" t="s">
        <v>132</v>
      </c>
      <c r="CE61" s="122" t="str">
        <f>FUR[[#This Row],[Part Type]]</f>
        <v>Furniture</v>
      </c>
      <c r="CF61" s="122" t="str">
        <f>FUR[[#This Row],[Chemicals]]</f>
        <v>Inc625</v>
      </c>
      <c r="CG61" s="122" t="str">
        <f>FUR[[#This Row],[UID]]</f>
        <v>1Bc-3</v>
      </c>
      <c r="CK61" s="82" t="str">
        <f>IF(FUR[[#This Row],[Status]]=0,"",FUR[[#This Row],[Status]])</f>
        <v>Active</v>
      </c>
    </row>
    <row r="62" spans="1:89">
      <c r="A62" s="82" t="s">
        <v>260</v>
      </c>
      <c r="B62" s="83" t="s">
        <v>31</v>
      </c>
      <c r="C62" s="83" t="s">
        <v>543</v>
      </c>
      <c r="D62" s="83" t="s">
        <v>446</v>
      </c>
      <c r="E62" s="84">
        <v>9.0235500000000002</v>
      </c>
      <c r="F62" s="85">
        <v>8.9079999999999995</v>
      </c>
      <c r="G62" s="86">
        <f t="shared" si="2"/>
        <v>1.0129714863044454</v>
      </c>
      <c r="H62" s="87">
        <v>39083</v>
      </c>
      <c r="I62" s="88" t="s">
        <v>544</v>
      </c>
      <c r="CA62" s="1" t="s">
        <v>71</v>
      </c>
      <c r="CB62" s="1" t="s">
        <v>18</v>
      </c>
      <c r="CC62" s="1" t="s">
        <v>132</v>
      </c>
      <c r="CE62" s="122" t="str">
        <f>FUR[[#This Row],[Part Type]]</f>
        <v>Furniture</v>
      </c>
      <c r="CF62" s="122" t="str">
        <f>FUR[[#This Row],[Chemicals]]</f>
        <v>Ni-20, Ni-19</v>
      </c>
      <c r="CG62" s="122" t="str">
        <f>FUR[[#This Row],[UID]]</f>
        <v>1C-0</v>
      </c>
      <c r="CK62" s="82" t="str">
        <f>IF(FUR[[#This Row],[Status]]=0,"",FUR[[#This Row],[Status]])</f>
        <v>Retired</v>
      </c>
    </row>
    <row r="63" spans="1:89">
      <c r="A63" s="82" t="s">
        <v>120</v>
      </c>
      <c r="B63" s="83" t="s">
        <v>31</v>
      </c>
      <c r="C63" s="83" t="s">
        <v>545</v>
      </c>
      <c r="D63" s="83" t="s">
        <v>446</v>
      </c>
      <c r="E63" s="84">
        <v>10.07943</v>
      </c>
      <c r="F63" s="85">
        <v>8.9079999999999995</v>
      </c>
      <c r="G63" s="86">
        <f t="shared" si="2"/>
        <v>1.1315031432420297</v>
      </c>
      <c r="H63" s="87">
        <v>39600</v>
      </c>
      <c r="I63" s="88" t="s">
        <v>532</v>
      </c>
      <c r="CA63" s="1" t="s">
        <v>71</v>
      </c>
      <c r="CB63" s="1" t="s">
        <v>18</v>
      </c>
      <c r="CC63" s="1" t="s">
        <v>132</v>
      </c>
      <c r="CE63" s="122" t="str">
        <f>FUR[[#This Row],[Part Type]]</f>
        <v>Furniture</v>
      </c>
      <c r="CF63" s="122" t="str">
        <f>FUR[[#This Row],[Chemicals]]</f>
        <v>Ni-20, Ni-19</v>
      </c>
      <c r="CG63" s="122" t="str">
        <f>FUR[[#This Row],[UID]]</f>
        <v>1C-1</v>
      </c>
      <c r="CK63" s="82" t="str">
        <f>IF(FUR[[#This Row],[Status]]=0,"",FUR[[#This Row],[Status]])</f>
        <v>Active</v>
      </c>
    </row>
    <row r="64" spans="1:89">
      <c r="A64" s="82" t="s">
        <v>120</v>
      </c>
      <c r="B64" s="83" t="s">
        <v>31</v>
      </c>
      <c r="C64" s="83" t="s">
        <v>546</v>
      </c>
      <c r="D64" s="83" t="s">
        <v>547</v>
      </c>
      <c r="E64" s="84">
        <v>3.5476200000000002</v>
      </c>
      <c r="F64" s="85">
        <v>19.25</v>
      </c>
      <c r="G64" s="86">
        <f t="shared" si="2"/>
        <v>0.18429194805194807</v>
      </c>
      <c r="H64" s="87">
        <v>40679</v>
      </c>
      <c r="CA64" s="1" t="s">
        <v>71</v>
      </c>
      <c r="CB64" s="1" t="s">
        <v>18</v>
      </c>
      <c r="CC64" s="1" t="s">
        <v>132</v>
      </c>
      <c r="CE64" s="122" t="str">
        <f>FUR[[#This Row],[Part Type]]</f>
        <v>Furniture</v>
      </c>
      <c r="CF64" s="122" t="str">
        <f>FUR[[#This Row],[Chemicals]]</f>
        <v>W-6, W-3</v>
      </c>
      <c r="CG64" s="122" t="str">
        <f>FUR[[#This Row],[UID]]</f>
        <v>1C-10</v>
      </c>
      <c r="CK64" s="82" t="str">
        <f>IF(FUR[[#This Row],[Status]]=0,"",FUR[[#This Row],[Status]])</f>
        <v>Active</v>
      </c>
    </row>
    <row r="65" spans="1:89">
      <c r="A65" s="82" t="s">
        <v>120</v>
      </c>
      <c r="B65" s="83" t="s">
        <v>31</v>
      </c>
      <c r="C65" s="83" t="s">
        <v>548</v>
      </c>
      <c r="D65" s="83" t="s">
        <v>549</v>
      </c>
      <c r="F65" s="84">
        <v>2.29</v>
      </c>
      <c r="G65" s="86">
        <f t="shared" si="2"/>
        <v>0</v>
      </c>
      <c r="H65" s="87">
        <v>40544</v>
      </c>
      <c r="I65" s="88" t="s">
        <v>550</v>
      </c>
      <c r="CA65" s="1" t="s">
        <v>71</v>
      </c>
      <c r="CB65" s="1" t="s">
        <v>18</v>
      </c>
      <c r="CC65" s="1" t="s">
        <v>132</v>
      </c>
      <c r="CE65" s="122" t="str">
        <f>FUR[[#This Row],[Part Type]]</f>
        <v>Furniture</v>
      </c>
      <c r="CF65" s="122" t="str">
        <f>FUR[[#This Row],[Chemicals]]</f>
        <v>BN-1</v>
      </c>
      <c r="CG65" s="122" t="str">
        <f>FUR[[#This Row],[UID]]</f>
        <v>1C-11</v>
      </c>
      <c r="CK65" s="82" t="str">
        <f>IF(FUR[[#This Row],[Status]]=0,"",FUR[[#This Row],[Status]])</f>
        <v>Active</v>
      </c>
    </row>
    <row r="66" spans="1:89">
      <c r="A66" s="82" t="s">
        <v>120</v>
      </c>
      <c r="B66" s="83" t="s">
        <v>31</v>
      </c>
      <c r="C66" s="83" t="s">
        <v>551</v>
      </c>
      <c r="D66" s="83" t="s">
        <v>552</v>
      </c>
      <c r="E66" s="84">
        <v>8.7991600000000005</v>
      </c>
      <c r="F66" s="85">
        <v>10.49</v>
      </c>
      <c r="G66" s="86">
        <f t="shared" si="2"/>
        <v>0.83881410867492856</v>
      </c>
      <c r="H66" s="87">
        <v>40773</v>
      </c>
      <c r="I66" s="88" t="s">
        <v>553</v>
      </c>
      <c r="CA66" s="1" t="s">
        <v>71</v>
      </c>
      <c r="CB66" s="1" t="s">
        <v>18</v>
      </c>
      <c r="CC66" s="1" t="s">
        <v>132</v>
      </c>
      <c r="CE66" s="122" t="str">
        <f>FUR[[#This Row],[Part Type]]</f>
        <v>Furniture</v>
      </c>
      <c r="CF66" s="122" t="str">
        <f>FUR[[#This Row],[Chemicals]]</f>
        <v>Ag-8, Ag-10, Ag-6, Ag-4</v>
      </c>
      <c r="CG66" s="122" t="str">
        <f>FUR[[#This Row],[UID]]</f>
        <v>1C-12</v>
      </c>
      <c r="CK66" s="82" t="str">
        <f>IF(FUR[[#This Row],[Status]]=0,"",FUR[[#This Row],[Status]])</f>
        <v>Active</v>
      </c>
    </row>
    <row r="67" spans="1:89">
      <c r="A67" s="82" t="s">
        <v>120</v>
      </c>
      <c r="B67" s="83" t="s">
        <v>31</v>
      </c>
      <c r="C67" s="83" t="s">
        <v>554</v>
      </c>
      <c r="D67" s="83" t="s">
        <v>555</v>
      </c>
      <c r="E67" s="84">
        <v>9.3289000000000009</v>
      </c>
      <c r="F67" s="85">
        <v>10.49</v>
      </c>
      <c r="G67" s="86">
        <f t="shared" si="2"/>
        <v>0.88931363203050529</v>
      </c>
      <c r="H67" s="87">
        <v>40773</v>
      </c>
      <c r="I67" s="88" t="s">
        <v>556</v>
      </c>
      <c r="CA67" s="1" t="s">
        <v>71</v>
      </c>
      <c r="CB67" s="1" t="s">
        <v>18</v>
      </c>
      <c r="CC67" s="1" t="s">
        <v>132</v>
      </c>
      <c r="CE67" s="122" t="str">
        <f>FUR[[#This Row],[Part Type]]</f>
        <v>Furniture</v>
      </c>
      <c r="CF67" s="122" t="str">
        <f>FUR[[#This Row],[Chemicals]]</f>
        <v>Ag-15, Ag-10, Ag-6, Ag-4</v>
      </c>
      <c r="CG67" s="122" t="str">
        <f>FUR[[#This Row],[UID]]</f>
        <v>1C-13</v>
      </c>
      <c r="CK67" s="82" t="str">
        <f>IF(FUR[[#This Row],[Status]]=0,"",FUR[[#This Row],[Status]])</f>
        <v>Active</v>
      </c>
    </row>
    <row r="68" spans="1:89">
      <c r="A68" s="82" t="s">
        <v>120</v>
      </c>
      <c r="B68" s="83" t="s">
        <v>31</v>
      </c>
      <c r="C68" s="83" t="s">
        <v>557</v>
      </c>
      <c r="D68" s="83" t="s">
        <v>555</v>
      </c>
      <c r="E68" s="84">
        <v>9.1204999999999998</v>
      </c>
      <c r="F68" s="85">
        <v>10.49</v>
      </c>
      <c r="G68" s="86">
        <f t="shared" si="2"/>
        <v>0.86944709246901808</v>
      </c>
      <c r="H68" s="87">
        <v>40773</v>
      </c>
      <c r="I68" s="88" t="s">
        <v>556</v>
      </c>
      <c r="CA68" s="1" t="s">
        <v>71</v>
      </c>
      <c r="CB68" s="1" t="s">
        <v>18</v>
      </c>
      <c r="CC68" s="1" t="s">
        <v>132</v>
      </c>
      <c r="CE68" s="122" t="str">
        <f>FUR[[#This Row],[Part Type]]</f>
        <v>Furniture</v>
      </c>
      <c r="CF68" s="122" t="str">
        <f>FUR[[#This Row],[Chemicals]]</f>
        <v>Ag-15, Ag-10, Ag-6, Ag-4</v>
      </c>
      <c r="CG68" s="122" t="str">
        <f>FUR[[#This Row],[UID]]</f>
        <v>1C-14</v>
      </c>
      <c r="CK68" s="82" t="str">
        <f>IF(FUR[[#This Row],[Status]]=0,"",FUR[[#This Row],[Status]])</f>
        <v>Active</v>
      </c>
    </row>
    <row r="69" spans="1:89">
      <c r="A69" s="82" t="s">
        <v>120</v>
      </c>
      <c r="B69" s="83" t="s">
        <v>31</v>
      </c>
      <c r="C69" s="83" t="s">
        <v>558</v>
      </c>
      <c r="D69" s="83" t="s">
        <v>555</v>
      </c>
      <c r="E69" s="84">
        <v>9.1347000000000005</v>
      </c>
      <c r="F69" s="85">
        <v>10.49</v>
      </c>
      <c r="G69" s="86">
        <f t="shared" si="2"/>
        <v>0.8708007626310772</v>
      </c>
      <c r="H69" s="87">
        <v>40773</v>
      </c>
      <c r="I69" s="88" t="s">
        <v>556</v>
      </c>
      <c r="CA69" s="1" t="s">
        <v>71</v>
      </c>
      <c r="CB69" s="1" t="s">
        <v>18</v>
      </c>
      <c r="CC69" s="1" t="s">
        <v>132</v>
      </c>
      <c r="CE69" s="122" t="str">
        <f>FUR[[#This Row],[Part Type]]</f>
        <v>Furniture</v>
      </c>
      <c r="CF69" s="122" t="str">
        <f>FUR[[#This Row],[Chemicals]]</f>
        <v>Ag-15, Ag-10, Ag-6, Ag-4</v>
      </c>
      <c r="CG69" s="122" t="str">
        <f>FUR[[#This Row],[UID]]</f>
        <v>1C-15</v>
      </c>
      <c r="CK69" s="82" t="str">
        <f>IF(FUR[[#This Row],[Status]]=0,"",FUR[[#This Row],[Status]])</f>
        <v>Active</v>
      </c>
    </row>
    <row r="70" spans="1:89">
      <c r="A70" s="82" t="s">
        <v>120</v>
      </c>
      <c r="B70" s="83" t="s">
        <v>31</v>
      </c>
      <c r="C70" s="83" t="s">
        <v>559</v>
      </c>
      <c r="D70" s="83" t="s">
        <v>560</v>
      </c>
      <c r="E70" s="84">
        <v>16.815270000000002</v>
      </c>
      <c r="F70" s="85">
        <v>10.49</v>
      </c>
      <c r="G70" s="86">
        <f t="shared" si="2"/>
        <v>1.6029809342230696</v>
      </c>
      <c r="H70" s="87">
        <v>40773</v>
      </c>
      <c r="I70" s="88" t="s">
        <v>556</v>
      </c>
      <c r="CA70" s="1" t="s">
        <v>71</v>
      </c>
      <c r="CB70" s="1" t="s">
        <v>18</v>
      </c>
      <c r="CC70" s="1" t="s">
        <v>132</v>
      </c>
      <c r="CE70" s="122" t="str">
        <f>FUR[[#This Row],[Part Type]]</f>
        <v>Furniture</v>
      </c>
      <c r="CF70" s="122" t="str">
        <f>FUR[[#This Row],[Chemicals]]</f>
        <v>Ag-11, Ag-10</v>
      </c>
      <c r="CG70" s="122" t="str">
        <f>FUR[[#This Row],[UID]]</f>
        <v>1C-16</v>
      </c>
      <c r="CK70" s="82" t="str">
        <f>IF(FUR[[#This Row],[Status]]=0,"",FUR[[#This Row],[Status]])</f>
        <v>Active</v>
      </c>
    </row>
    <row r="71" spans="1:89">
      <c r="A71" s="82" t="s">
        <v>120</v>
      </c>
      <c r="B71" s="83" t="s">
        <v>31</v>
      </c>
      <c r="C71" s="83" t="s">
        <v>561</v>
      </c>
      <c r="D71" s="83" t="s">
        <v>562</v>
      </c>
      <c r="E71" s="84">
        <v>12.386760000000001</v>
      </c>
      <c r="F71" s="85">
        <v>10.49</v>
      </c>
      <c r="G71" s="86">
        <f t="shared" si="2"/>
        <v>1.1808160152526215</v>
      </c>
      <c r="H71" s="87">
        <v>40773</v>
      </c>
      <c r="I71" s="88" t="s">
        <v>556</v>
      </c>
      <c r="CA71" s="1" t="s">
        <v>71</v>
      </c>
      <c r="CB71" s="1" t="s">
        <v>18</v>
      </c>
      <c r="CC71" s="1" t="s">
        <v>132</v>
      </c>
      <c r="CE71" s="122" t="str">
        <f>FUR[[#This Row],[Part Type]]</f>
        <v>Furniture</v>
      </c>
      <c r="CF71" s="122" t="str">
        <f>FUR[[#This Row],[Chemicals]]</f>
        <v>Ag-6, Ag-10</v>
      </c>
      <c r="CG71" s="122" t="str">
        <f>FUR[[#This Row],[UID]]</f>
        <v>1C-17</v>
      </c>
      <c r="CK71" s="82" t="str">
        <f>IF(FUR[[#This Row],[Status]]=0,"",FUR[[#This Row],[Status]])</f>
        <v>Active</v>
      </c>
    </row>
    <row r="72" spans="1:89">
      <c r="A72" s="82" t="s">
        <v>120</v>
      </c>
      <c r="B72" s="83" t="s">
        <v>31</v>
      </c>
      <c r="C72" s="83" t="s">
        <v>563</v>
      </c>
      <c r="E72" s="84">
        <v>13.093310000000001</v>
      </c>
      <c r="F72" s="85">
        <v>10.49</v>
      </c>
      <c r="G72" s="86">
        <f t="shared" si="2"/>
        <v>1.2481706387035272</v>
      </c>
      <c r="H72" s="87">
        <v>40822</v>
      </c>
      <c r="CA72" s="1" t="s">
        <v>71</v>
      </c>
      <c r="CB72" s="1" t="s">
        <v>18</v>
      </c>
      <c r="CC72" s="1" t="s">
        <v>132</v>
      </c>
      <c r="CE72" s="122" t="str">
        <f>FUR[[#This Row],[Part Type]]</f>
        <v>Furniture</v>
      </c>
      <c r="CF72" s="122">
        <f>FUR[[#This Row],[Chemicals]]</f>
        <v>0</v>
      </c>
      <c r="CG72" s="122" t="str">
        <f>FUR[[#This Row],[UID]]</f>
        <v>1C-18</v>
      </c>
      <c r="CK72" s="82" t="str">
        <f>IF(FUR[[#This Row],[Status]]=0,"",FUR[[#This Row],[Status]])</f>
        <v>Active</v>
      </c>
    </row>
    <row r="73" spans="1:89">
      <c r="A73" s="82" t="s">
        <v>120</v>
      </c>
      <c r="B73" s="83" t="s">
        <v>31</v>
      </c>
      <c r="C73" s="83" t="s">
        <v>564</v>
      </c>
      <c r="D73" s="83" t="s">
        <v>565</v>
      </c>
      <c r="E73" s="84">
        <v>13.454510000000001</v>
      </c>
      <c r="F73" s="85">
        <v>10.49</v>
      </c>
      <c r="G73" s="86">
        <f t="shared" si="2"/>
        <v>1.2826034318398476</v>
      </c>
      <c r="H73" s="87">
        <v>40822</v>
      </c>
      <c r="CA73" s="1" t="s">
        <v>71</v>
      </c>
      <c r="CB73" s="1" t="s">
        <v>18</v>
      </c>
      <c r="CC73" s="1" t="s">
        <v>132</v>
      </c>
      <c r="CE73" s="122" t="str">
        <f>FUR[[#This Row],[Part Type]]</f>
        <v>Furniture</v>
      </c>
      <c r="CF73" s="122" t="str">
        <f>FUR[[#This Row],[Chemicals]]</f>
        <v>Ag-16</v>
      </c>
      <c r="CG73" s="122" t="str">
        <f>FUR[[#This Row],[UID]]</f>
        <v>1C-19</v>
      </c>
      <c r="CK73" s="82" t="str">
        <f>IF(FUR[[#This Row],[Status]]=0,"",FUR[[#This Row],[Status]])</f>
        <v>Active</v>
      </c>
    </row>
    <row r="74" spans="1:89">
      <c r="A74" s="82" t="s">
        <v>120</v>
      </c>
      <c r="B74" s="83" t="s">
        <v>31</v>
      </c>
      <c r="C74" s="83" t="s">
        <v>566</v>
      </c>
      <c r="D74" s="83" t="s">
        <v>446</v>
      </c>
      <c r="E74" s="84">
        <v>9.9248600000000007</v>
      </c>
      <c r="F74" s="85">
        <v>8.9079999999999995</v>
      </c>
      <c r="G74" s="86">
        <f t="shared" si="2"/>
        <v>1.1141513246519983</v>
      </c>
      <c r="H74" s="87">
        <v>40148</v>
      </c>
      <c r="CA74" s="1" t="s">
        <v>71</v>
      </c>
      <c r="CB74" s="1" t="s">
        <v>18</v>
      </c>
      <c r="CC74" s="1" t="s">
        <v>132</v>
      </c>
      <c r="CE74" s="122" t="str">
        <f>FUR[[#This Row],[Part Type]]</f>
        <v>Furniture</v>
      </c>
      <c r="CF74" s="122" t="str">
        <f>FUR[[#This Row],[Chemicals]]</f>
        <v>Ni-20, Ni-19</v>
      </c>
      <c r="CG74" s="122" t="str">
        <f>FUR[[#This Row],[UID]]</f>
        <v>1C-2</v>
      </c>
      <c r="CK74" s="82" t="str">
        <f>IF(FUR[[#This Row],[Status]]=0,"",FUR[[#This Row],[Status]])</f>
        <v>Active</v>
      </c>
    </row>
    <row r="75" spans="1:89">
      <c r="A75" s="82" t="s">
        <v>120</v>
      </c>
      <c r="B75" s="83" t="s">
        <v>31</v>
      </c>
      <c r="C75" s="83" t="s">
        <v>567</v>
      </c>
      <c r="D75" s="83" t="s">
        <v>568</v>
      </c>
      <c r="E75" s="84">
        <v>13.36809</v>
      </c>
      <c r="F75" s="85">
        <v>10.49</v>
      </c>
      <c r="G75" s="86">
        <f t="shared" si="2"/>
        <v>1.2743651096282174</v>
      </c>
      <c r="H75" s="87">
        <v>40822</v>
      </c>
      <c r="CA75" s="1" t="s">
        <v>71</v>
      </c>
      <c r="CB75" s="1" t="s">
        <v>18</v>
      </c>
      <c r="CC75" s="1" t="s">
        <v>132</v>
      </c>
      <c r="CE75" s="122" t="str">
        <f>FUR[[#This Row],[Part Type]]</f>
        <v>Furniture</v>
      </c>
      <c r="CF75" s="122" t="str">
        <f>FUR[[#This Row],[Chemicals]]</f>
        <v>Ag-6</v>
      </c>
      <c r="CG75" s="122" t="str">
        <f>FUR[[#This Row],[UID]]</f>
        <v>1C-20</v>
      </c>
      <c r="CK75" s="82" t="str">
        <f>IF(FUR[[#This Row],[Status]]=0,"",FUR[[#This Row],[Status]])</f>
        <v>Active</v>
      </c>
    </row>
    <row r="76" spans="1:89">
      <c r="A76" s="82" t="s">
        <v>120</v>
      </c>
      <c r="B76" s="83" t="s">
        <v>31</v>
      </c>
      <c r="C76" s="83" t="s">
        <v>569</v>
      </c>
      <c r="D76" s="83" t="s">
        <v>568</v>
      </c>
      <c r="E76" s="84">
        <v>12.791600000000001</v>
      </c>
      <c r="F76" s="85">
        <v>10.49</v>
      </c>
      <c r="G76" s="86">
        <f t="shared" si="2"/>
        <v>1.2194089609151573</v>
      </c>
      <c r="H76" s="87">
        <v>40822</v>
      </c>
      <c r="CA76" s="1" t="s">
        <v>71</v>
      </c>
      <c r="CB76" s="1" t="s">
        <v>18</v>
      </c>
      <c r="CC76" s="1" t="s">
        <v>132</v>
      </c>
      <c r="CE76" s="122" t="str">
        <f>FUR[[#This Row],[Part Type]]</f>
        <v>Furniture</v>
      </c>
      <c r="CF76" s="122" t="str">
        <f>FUR[[#This Row],[Chemicals]]</f>
        <v>Ag-6</v>
      </c>
      <c r="CG76" s="122" t="str">
        <f>FUR[[#This Row],[UID]]</f>
        <v>1C-21</v>
      </c>
      <c r="CK76" s="82" t="str">
        <f>IF(FUR[[#This Row],[Status]]=0,"",FUR[[#This Row],[Status]])</f>
        <v>Active</v>
      </c>
    </row>
    <row r="77" spans="1:89">
      <c r="A77" s="82" t="s">
        <v>120</v>
      </c>
      <c r="B77" s="83" t="s">
        <v>31</v>
      </c>
      <c r="C77" s="83" t="s">
        <v>570</v>
      </c>
      <c r="D77" s="83" t="s">
        <v>568</v>
      </c>
      <c r="E77" s="84">
        <v>13.034409999999999</v>
      </c>
      <c r="F77" s="85">
        <v>10.49</v>
      </c>
      <c r="G77" s="86">
        <f t="shared" ref="G77:G108" si="3">E77/F77</f>
        <v>1.2425557673975214</v>
      </c>
      <c r="H77" s="87">
        <v>40822</v>
      </c>
      <c r="CA77" s="1" t="s">
        <v>71</v>
      </c>
      <c r="CB77" s="1" t="s">
        <v>18</v>
      </c>
      <c r="CC77" s="1" t="s">
        <v>132</v>
      </c>
      <c r="CE77" s="122" t="str">
        <f>FUR[[#This Row],[Part Type]]</f>
        <v>Furniture</v>
      </c>
      <c r="CF77" s="122" t="str">
        <f>FUR[[#This Row],[Chemicals]]</f>
        <v>Ag-6</v>
      </c>
      <c r="CG77" s="122" t="str">
        <f>FUR[[#This Row],[UID]]</f>
        <v>1C-22</v>
      </c>
      <c r="CK77" s="82" t="str">
        <f>IF(FUR[[#This Row],[Status]]=0,"",FUR[[#This Row],[Status]])</f>
        <v>Active</v>
      </c>
    </row>
    <row r="78" spans="1:89">
      <c r="A78" s="82" t="s">
        <v>120</v>
      </c>
      <c r="B78" s="83" t="s">
        <v>31</v>
      </c>
      <c r="C78" s="83" t="s">
        <v>571</v>
      </c>
      <c r="D78" s="83" t="s">
        <v>572</v>
      </c>
      <c r="E78" s="84">
        <v>9.7232800000000008</v>
      </c>
      <c r="F78" s="85">
        <v>10.49</v>
      </c>
      <c r="G78" s="86">
        <f t="shared" si="3"/>
        <v>0.92690943755958066</v>
      </c>
      <c r="H78" s="87">
        <v>40899</v>
      </c>
      <c r="I78" s="88" t="s">
        <v>573</v>
      </c>
      <c r="CA78" s="1" t="s">
        <v>71</v>
      </c>
      <c r="CB78" s="1" t="s">
        <v>18</v>
      </c>
      <c r="CC78" s="1" t="s">
        <v>132</v>
      </c>
      <c r="CE78" s="122" t="str">
        <f>FUR[[#This Row],[Part Type]]</f>
        <v>Furniture</v>
      </c>
      <c r="CF78" s="122" t="str">
        <f>FUR[[#This Row],[Chemicals]]</f>
        <v>Ag-6, Ag-14, Ag-15, Ag-4</v>
      </c>
      <c r="CG78" s="122" t="str">
        <f>FUR[[#This Row],[UID]]</f>
        <v>1C-23</v>
      </c>
      <c r="CK78" s="82" t="str">
        <f>IF(FUR[[#This Row],[Status]]=0,"",FUR[[#This Row],[Status]])</f>
        <v>Active</v>
      </c>
    </row>
    <row r="79" spans="1:89">
      <c r="A79" s="82" t="s">
        <v>120</v>
      </c>
      <c r="B79" s="83" t="s">
        <v>31</v>
      </c>
      <c r="C79" s="83" t="s">
        <v>574</v>
      </c>
      <c r="D79" s="83" t="s">
        <v>575</v>
      </c>
      <c r="E79" s="84">
        <v>9.8976699999999997</v>
      </c>
      <c r="F79" s="85">
        <v>10.49</v>
      </c>
      <c r="G79" s="86">
        <f t="shared" si="3"/>
        <v>0.94353384175405142</v>
      </c>
      <c r="H79" s="87">
        <v>40899</v>
      </c>
      <c r="I79" s="88" t="s">
        <v>573</v>
      </c>
      <c r="CA79" s="1" t="s">
        <v>71</v>
      </c>
      <c r="CB79" s="1" t="s">
        <v>18</v>
      </c>
      <c r="CC79" s="1" t="s">
        <v>132</v>
      </c>
      <c r="CE79" s="122" t="str">
        <f>FUR[[#This Row],[Part Type]]</f>
        <v>Furniture</v>
      </c>
      <c r="CF79" s="122" t="str">
        <f>FUR[[#This Row],[Chemicals]]</f>
        <v>Ag-4, Ag-14, Ag-15, Ag-16</v>
      </c>
      <c r="CG79" s="122" t="str">
        <f>FUR[[#This Row],[UID]]</f>
        <v>1C-24</v>
      </c>
      <c r="CK79" s="82" t="str">
        <f>IF(FUR[[#This Row],[Status]]=0,"",FUR[[#This Row],[Status]])</f>
        <v>Active</v>
      </c>
    </row>
    <row r="80" spans="1:89">
      <c r="A80" s="82" t="s">
        <v>120</v>
      </c>
      <c r="B80" s="83" t="s">
        <v>31</v>
      </c>
      <c r="C80" s="83" t="s">
        <v>576</v>
      </c>
      <c r="D80" s="83" t="s">
        <v>575</v>
      </c>
      <c r="E80" s="84">
        <v>9.89161</v>
      </c>
      <c r="F80" s="85">
        <v>10.49</v>
      </c>
      <c r="G80" s="86">
        <f t="shared" si="3"/>
        <v>0.94295614871305999</v>
      </c>
      <c r="H80" s="87">
        <v>40899</v>
      </c>
      <c r="I80" s="88" t="s">
        <v>573</v>
      </c>
      <c r="CA80" s="1" t="s">
        <v>71</v>
      </c>
      <c r="CB80" s="1" t="s">
        <v>18</v>
      </c>
      <c r="CC80" s="1" t="s">
        <v>132</v>
      </c>
      <c r="CE80" s="122" t="str">
        <f>FUR[[#This Row],[Part Type]]</f>
        <v>Furniture</v>
      </c>
      <c r="CF80" s="122" t="str">
        <f>FUR[[#This Row],[Chemicals]]</f>
        <v>Ag-4, Ag-14, Ag-15, Ag-16</v>
      </c>
      <c r="CG80" s="122" t="str">
        <f>FUR[[#This Row],[UID]]</f>
        <v>1C-25</v>
      </c>
      <c r="CK80" s="82" t="str">
        <f>IF(FUR[[#This Row],[Status]]=0,"",FUR[[#This Row],[Status]])</f>
        <v>Active</v>
      </c>
    </row>
    <row r="81" spans="1:89">
      <c r="A81" s="82" t="s">
        <v>120</v>
      </c>
      <c r="B81" s="83" t="s">
        <v>31</v>
      </c>
      <c r="C81" s="83" t="s">
        <v>577</v>
      </c>
      <c r="D81" s="83" t="s">
        <v>578</v>
      </c>
      <c r="E81" s="84">
        <v>9.8294099999999993</v>
      </c>
      <c r="F81" s="85">
        <v>10.49</v>
      </c>
      <c r="G81" s="86">
        <f t="shared" si="3"/>
        <v>0.93702669208770251</v>
      </c>
      <c r="H81" s="87">
        <v>40899</v>
      </c>
      <c r="I81" s="88" t="s">
        <v>573</v>
      </c>
      <c r="CA81" s="1" t="s">
        <v>71</v>
      </c>
      <c r="CB81" s="1" t="s">
        <v>18</v>
      </c>
      <c r="CC81" s="1" t="s">
        <v>132</v>
      </c>
      <c r="CE81" s="122" t="str">
        <f>FUR[[#This Row],[Part Type]]</f>
        <v>Furniture</v>
      </c>
      <c r="CF81" s="122" t="str">
        <f>FUR[[#This Row],[Chemicals]]</f>
        <v>Ag-4, Ag-16, Ag-14, Ag-15</v>
      </c>
      <c r="CG81" s="122" t="str">
        <f>FUR[[#This Row],[UID]]</f>
        <v>1C-26</v>
      </c>
      <c r="CK81" s="82" t="str">
        <f>IF(FUR[[#This Row],[Status]]=0,"",FUR[[#This Row],[Status]])</f>
        <v>Active</v>
      </c>
    </row>
    <row r="82" spans="1:89">
      <c r="A82" s="82" t="s">
        <v>120</v>
      </c>
      <c r="B82" s="83" t="s">
        <v>31</v>
      </c>
      <c r="C82" s="83" t="s">
        <v>579</v>
      </c>
      <c r="D82" s="83" t="s">
        <v>580</v>
      </c>
      <c r="E82" s="84">
        <v>9.7089200000000009</v>
      </c>
      <c r="F82" s="85">
        <v>10.49</v>
      </c>
      <c r="G82" s="86">
        <f t="shared" si="3"/>
        <v>0.92554051477597721</v>
      </c>
      <c r="H82" s="87">
        <v>40899</v>
      </c>
      <c r="I82" s="88" t="s">
        <v>581</v>
      </c>
      <c r="CA82" s="1" t="s">
        <v>71</v>
      </c>
      <c r="CB82" s="1" t="s">
        <v>18</v>
      </c>
      <c r="CC82" s="1" t="s">
        <v>132</v>
      </c>
      <c r="CE82" s="122" t="str">
        <f>FUR[[#This Row],[Part Type]]</f>
        <v>Furniture</v>
      </c>
      <c r="CF82" s="122" t="str">
        <f>FUR[[#This Row],[Chemicals]]</f>
        <v>Ag-10, Ag-15, Ag-6, Ag-4</v>
      </c>
      <c r="CG82" s="122" t="str">
        <f>FUR[[#This Row],[UID]]</f>
        <v>1C-27</v>
      </c>
      <c r="CK82" s="82" t="str">
        <f>IF(FUR[[#This Row],[Status]]=0,"",FUR[[#This Row],[Status]])</f>
        <v>Active</v>
      </c>
    </row>
    <row r="83" spans="1:89">
      <c r="A83" s="82" t="s">
        <v>120</v>
      </c>
      <c r="B83" s="83" t="s">
        <v>31</v>
      </c>
      <c r="C83" s="83" t="s">
        <v>582</v>
      </c>
      <c r="D83" s="83" t="s">
        <v>580</v>
      </c>
      <c r="E83" s="84">
        <v>10.05397</v>
      </c>
      <c r="F83" s="85">
        <v>10.49</v>
      </c>
      <c r="G83" s="86">
        <f t="shared" si="3"/>
        <v>0.95843374642516677</v>
      </c>
      <c r="H83" s="87">
        <v>40899</v>
      </c>
      <c r="I83" s="88" t="s">
        <v>583</v>
      </c>
      <c r="CA83" s="1" t="s">
        <v>71</v>
      </c>
      <c r="CB83" s="1" t="s">
        <v>18</v>
      </c>
      <c r="CC83" s="1" t="s">
        <v>132</v>
      </c>
      <c r="CE83" s="122" t="str">
        <f>FUR[[#This Row],[Part Type]]</f>
        <v>Furniture</v>
      </c>
      <c r="CF83" s="122" t="str">
        <f>FUR[[#This Row],[Chemicals]]</f>
        <v>Ag-10, Ag-15, Ag-6, Ag-4</v>
      </c>
      <c r="CG83" s="122" t="str">
        <f>FUR[[#This Row],[UID]]</f>
        <v>1C-28</v>
      </c>
      <c r="CK83" s="82" t="str">
        <f>IF(FUR[[#This Row],[Status]]=0,"",FUR[[#This Row],[Status]])</f>
        <v>Active</v>
      </c>
    </row>
    <row r="84" spans="1:89">
      <c r="A84" s="82" t="s">
        <v>120</v>
      </c>
      <c r="B84" s="83" t="s">
        <v>31</v>
      </c>
      <c r="C84" s="83" t="s">
        <v>584</v>
      </c>
      <c r="E84" s="84">
        <v>10.603579999999999</v>
      </c>
      <c r="F84" s="85">
        <v>10.49</v>
      </c>
      <c r="G84" s="86">
        <f t="shared" si="3"/>
        <v>1.0108274547187797</v>
      </c>
      <c r="H84" s="87">
        <v>41501</v>
      </c>
      <c r="CA84" s="1" t="s">
        <v>71</v>
      </c>
      <c r="CB84" s="1" t="s">
        <v>18</v>
      </c>
      <c r="CC84" s="1" t="s">
        <v>132</v>
      </c>
      <c r="CE84" s="122" t="str">
        <f>FUR[[#This Row],[Part Type]]</f>
        <v>Furniture</v>
      </c>
      <c r="CF84" s="122">
        <f>FUR[[#This Row],[Chemicals]]</f>
        <v>0</v>
      </c>
      <c r="CG84" s="122" t="str">
        <f>FUR[[#This Row],[UID]]</f>
        <v>1C-29</v>
      </c>
      <c r="CK84" s="82" t="str">
        <f>IF(FUR[[#This Row],[Status]]=0,"",FUR[[#This Row],[Status]])</f>
        <v>Active</v>
      </c>
    </row>
    <row r="85" spans="1:89">
      <c r="A85" s="82" t="s">
        <v>120</v>
      </c>
      <c r="B85" s="83" t="s">
        <v>31</v>
      </c>
      <c r="C85" s="83" t="s">
        <v>585</v>
      </c>
      <c r="D85" s="83" t="s">
        <v>446</v>
      </c>
      <c r="E85" s="84">
        <v>9.3685500000000008</v>
      </c>
      <c r="F85" s="85">
        <v>8.9079999999999995</v>
      </c>
      <c r="G85" s="86">
        <f t="shared" si="3"/>
        <v>1.0517007184553213</v>
      </c>
      <c r="H85" s="87">
        <v>40148</v>
      </c>
      <c r="CA85" s="1" t="s">
        <v>71</v>
      </c>
      <c r="CB85" s="1" t="s">
        <v>18</v>
      </c>
      <c r="CC85" s="1" t="s">
        <v>132</v>
      </c>
      <c r="CE85" s="122" t="str">
        <f>FUR[[#This Row],[Part Type]]</f>
        <v>Furniture</v>
      </c>
      <c r="CF85" s="122" t="str">
        <f>FUR[[#This Row],[Chemicals]]</f>
        <v>Ni-20, Ni-19</v>
      </c>
      <c r="CG85" s="122" t="str">
        <f>FUR[[#This Row],[UID]]</f>
        <v>1C-3</v>
      </c>
      <c r="CK85" s="82" t="str">
        <f>IF(FUR[[#This Row],[Status]]=0,"",FUR[[#This Row],[Status]])</f>
        <v>Active</v>
      </c>
    </row>
    <row r="86" spans="1:89">
      <c r="A86" s="82" t="s">
        <v>120</v>
      </c>
      <c r="B86" s="83" t="s">
        <v>31</v>
      </c>
      <c r="C86" s="89" t="s">
        <v>586</v>
      </c>
      <c r="D86" s="89" t="s">
        <v>510</v>
      </c>
      <c r="E86" s="89">
        <f>SUM(7.72021,11.89516)</f>
        <v>19.615369999999999</v>
      </c>
      <c r="F86" s="85">
        <v>10.28</v>
      </c>
      <c r="G86" s="86">
        <f t="shared" si="3"/>
        <v>1.9081099221789883</v>
      </c>
      <c r="H86" s="90">
        <v>41980</v>
      </c>
      <c r="I86" s="88" t="s">
        <v>587</v>
      </c>
      <c r="CA86" s="1" t="s">
        <v>71</v>
      </c>
      <c r="CB86" s="1" t="s">
        <v>18</v>
      </c>
      <c r="CC86" s="1" t="s">
        <v>132</v>
      </c>
      <c r="CE86" s="122" t="str">
        <f>FUR[[#This Row],[Part Type]]</f>
        <v>Furniture</v>
      </c>
      <c r="CF86" s="122" t="str">
        <f>FUR[[#This Row],[Chemicals]]</f>
        <v>Mo</v>
      </c>
      <c r="CG86" s="122" t="str">
        <f>FUR[[#This Row],[UID]]</f>
        <v>1C-30</v>
      </c>
      <c r="CK86" s="82" t="str">
        <f>IF(FUR[[#This Row],[Status]]=0,"",FUR[[#This Row],[Status]])</f>
        <v>Active</v>
      </c>
    </row>
    <row r="87" spans="1:89">
      <c r="A87" s="82" t="s">
        <v>120</v>
      </c>
      <c r="B87" s="83" t="s">
        <v>31</v>
      </c>
      <c r="C87" s="89" t="s">
        <v>588</v>
      </c>
      <c r="D87" s="89" t="s">
        <v>589</v>
      </c>
      <c r="E87" s="89">
        <v>6.1428099999999999</v>
      </c>
      <c r="F87" s="89">
        <v>8.5</v>
      </c>
      <c r="G87" s="86">
        <f t="shared" si="3"/>
        <v>0.72268352941176472</v>
      </c>
      <c r="H87" s="90">
        <v>42464</v>
      </c>
      <c r="I87" s="88" t="s">
        <v>590</v>
      </c>
      <c r="CA87" s="1" t="s">
        <v>71</v>
      </c>
      <c r="CB87" s="1" t="s">
        <v>18</v>
      </c>
      <c r="CC87" s="1" t="s">
        <v>132</v>
      </c>
      <c r="CE87" s="122" t="str">
        <f>FUR[[#This Row],[Part Type]]</f>
        <v>Furniture</v>
      </c>
      <c r="CF87" s="122" t="str">
        <f>FUR[[#This Row],[Chemicals]]</f>
        <v>Inc625,NiCr</v>
      </c>
      <c r="CG87" s="122" t="str">
        <f>FUR[[#This Row],[UID]]</f>
        <v>1C-31</v>
      </c>
      <c r="CK87" s="82" t="str">
        <f>IF(FUR[[#This Row],[Status]]=0,"",FUR[[#This Row],[Status]])</f>
        <v>Active</v>
      </c>
    </row>
    <row r="88" spans="1:89">
      <c r="A88" s="82" t="s">
        <v>120</v>
      </c>
      <c r="B88" s="83" t="s">
        <v>31</v>
      </c>
      <c r="C88" s="89" t="s">
        <v>591</v>
      </c>
      <c r="D88" s="89" t="s">
        <v>592</v>
      </c>
      <c r="F88" s="89">
        <v>10.220000000000001</v>
      </c>
      <c r="G88" s="86">
        <f t="shared" si="3"/>
        <v>0</v>
      </c>
      <c r="H88" s="90">
        <v>42512</v>
      </c>
      <c r="I88" s="88" t="s">
        <v>593</v>
      </c>
      <c r="CA88" s="1" t="s">
        <v>71</v>
      </c>
      <c r="CB88" s="1" t="s">
        <v>18</v>
      </c>
      <c r="CC88" s="1" t="s">
        <v>132</v>
      </c>
      <c r="CE88" s="122" t="str">
        <f>FUR[[#This Row],[Part Type]]</f>
        <v>Furniture</v>
      </c>
      <c r="CF88" s="122" t="str">
        <f>FUR[[#This Row],[Chemicals]]</f>
        <v>TZM-2</v>
      </c>
      <c r="CG88" s="122" t="str">
        <f>FUR[[#This Row],[UID]]</f>
        <v>1C-32</v>
      </c>
      <c r="CK88" s="82" t="str">
        <f>IF(FUR[[#This Row],[Status]]=0,"",FUR[[#This Row],[Status]])</f>
        <v>Active</v>
      </c>
    </row>
    <row r="89" spans="1:89">
      <c r="A89" s="82" t="s">
        <v>120</v>
      </c>
      <c r="B89" s="83" t="s">
        <v>31</v>
      </c>
      <c r="C89" s="89" t="s">
        <v>594</v>
      </c>
      <c r="D89" s="89" t="s">
        <v>595</v>
      </c>
      <c r="F89" s="89">
        <v>10.220000000000001</v>
      </c>
      <c r="G89" s="86">
        <f t="shared" si="3"/>
        <v>0</v>
      </c>
      <c r="H89" s="90">
        <v>42512</v>
      </c>
      <c r="I89" s="88" t="s">
        <v>593</v>
      </c>
      <c r="CA89" s="1" t="s">
        <v>71</v>
      </c>
      <c r="CB89" s="1" t="s">
        <v>18</v>
      </c>
      <c r="CC89" s="1" t="s">
        <v>132</v>
      </c>
      <c r="CE89" s="122" t="str">
        <f>FUR[[#This Row],[Part Type]]</f>
        <v>Furniture</v>
      </c>
      <c r="CF89" s="122" t="str">
        <f>FUR[[#This Row],[Chemicals]]</f>
        <v>TZM-3</v>
      </c>
      <c r="CG89" s="122" t="str">
        <f>FUR[[#This Row],[UID]]</f>
        <v>1C-33</v>
      </c>
      <c r="CK89" s="82" t="str">
        <f>IF(FUR[[#This Row],[Status]]=0,"",FUR[[#This Row],[Status]])</f>
        <v>Active</v>
      </c>
    </row>
    <row r="90" spans="1:89">
      <c r="A90" s="82" t="s">
        <v>120</v>
      </c>
      <c r="B90" s="83" t="s">
        <v>31</v>
      </c>
      <c r="C90" s="83" t="s">
        <v>596</v>
      </c>
      <c r="D90" s="83" t="s">
        <v>446</v>
      </c>
      <c r="E90" s="84">
        <v>11.89221</v>
      </c>
      <c r="F90" s="85">
        <v>8.9079999999999995</v>
      </c>
      <c r="G90" s="86">
        <f t="shared" si="3"/>
        <v>1.3350033677593176</v>
      </c>
      <c r="H90" s="87">
        <v>40148</v>
      </c>
      <c r="CA90" s="1" t="s">
        <v>71</v>
      </c>
      <c r="CB90" s="1" t="s">
        <v>18</v>
      </c>
      <c r="CC90" s="1" t="s">
        <v>132</v>
      </c>
      <c r="CE90" s="122" t="str">
        <f>FUR[[#This Row],[Part Type]]</f>
        <v>Furniture</v>
      </c>
      <c r="CF90" s="122" t="str">
        <f>FUR[[#This Row],[Chemicals]]</f>
        <v>Ni-20, Ni-19</v>
      </c>
      <c r="CG90" s="122" t="str">
        <f>FUR[[#This Row],[UID]]</f>
        <v>1C-4</v>
      </c>
      <c r="CK90" s="82" t="str">
        <f>IF(FUR[[#This Row],[Status]]=0,"",FUR[[#This Row],[Status]])</f>
        <v>Active</v>
      </c>
    </row>
    <row r="91" spans="1:89">
      <c r="A91" s="82" t="s">
        <v>120</v>
      </c>
      <c r="B91" s="83" t="s">
        <v>31</v>
      </c>
      <c r="C91" s="83" t="s">
        <v>597</v>
      </c>
      <c r="D91" s="83" t="s">
        <v>598</v>
      </c>
      <c r="E91" s="84">
        <v>9.3391800000000007</v>
      </c>
      <c r="F91" s="85">
        <v>8.35</v>
      </c>
      <c r="G91" s="86">
        <f t="shared" si="3"/>
        <v>1.1184646706586827</v>
      </c>
      <c r="H91" s="87">
        <v>40610</v>
      </c>
      <c r="CA91" s="1" t="s">
        <v>71</v>
      </c>
      <c r="CB91" s="1" t="s">
        <v>18</v>
      </c>
      <c r="CC91" s="1" t="s">
        <v>132</v>
      </c>
      <c r="CE91" s="122" t="str">
        <f>FUR[[#This Row],[Part Type]]</f>
        <v>Furniture</v>
      </c>
      <c r="CF91" s="122" t="str">
        <f>FUR[[#This Row],[Chemicals]]</f>
        <v>Ni-19, NiCr8020-3</v>
      </c>
      <c r="CG91" s="122" t="str">
        <f>FUR[[#This Row],[UID]]</f>
        <v>1C-5</v>
      </c>
      <c r="CK91" s="82" t="str">
        <f>IF(FUR[[#This Row],[Status]]=0,"",FUR[[#This Row],[Status]])</f>
        <v>Active</v>
      </c>
    </row>
    <row r="92" spans="1:89">
      <c r="A92" s="82" t="s">
        <v>120</v>
      </c>
      <c r="B92" s="83" t="s">
        <v>31</v>
      </c>
      <c r="C92" s="83" t="s">
        <v>599</v>
      </c>
      <c r="D92" s="83" t="s">
        <v>598</v>
      </c>
      <c r="E92" s="84">
        <v>9.3863699999999994</v>
      </c>
      <c r="F92" s="85">
        <v>8.35</v>
      </c>
      <c r="G92" s="86">
        <f t="shared" si="3"/>
        <v>1.1241161676646707</v>
      </c>
      <c r="H92" s="87">
        <v>40610</v>
      </c>
      <c r="CA92" s="1" t="s">
        <v>71</v>
      </c>
      <c r="CB92" s="1" t="s">
        <v>18</v>
      </c>
      <c r="CC92" s="1" t="s">
        <v>132</v>
      </c>
      <c r="CE92" s="122" t="str">
        <f>FUR[[#This Row],[Part Type]]</f>
        <v>Furniture</v>
      </c>
      <c r="CF92" s="122" t="str">
        <f>FUR[[#This Row],[Chemicals]]</f>
        <v>Ni-19, NiCr8020-3</v>
      </c>
      <c r="CG92" s="122" t="str">
        <f>FUR[[#This Row],[UID]]</f>
        <v>1C-6</v>
      </c>
      <c r="CK92" s="82" t="str">
        <f>IF(FUR[[#This Row],[Status]]=0,"",FUR[[#This Row],[Status]])</f>
        <v>Active</v>
      </c>
    </row>
    <row r="93" spans="1:89">
      <c r="A93" s="82" t="s">
        <v>120</v>
      </c>
      <c r="B93" s="83" t="s">
        <v>31</v>
      </c>
      <c r="C93" s="83" t="s">
        <v>600</v>
      </c>
      <c r="D93" s="83" t="s">
        <v>598</v>
      </c>
      <c r="E93" s="84">
        <v>9.5434300000000007</v>
      </c>
      <c r="F93" s="85">
        <v>8.35</v>
      </c>
      <c r="G93" s="86">
        <f t="shared" si="3"/>
        <v>1.1429257485029942</v>
      </c>
      <c r="H93" s="87">
        <v>40610</v>
      </c>
      <c r="CA93" s="1" t="s">
        <v>71</v>
      </c>
      <c r="CB93" s="1" t="s">
        <v>18</v>
      </c>
      <c r="CC93" s="1" t="s">
        <v>132</v>
      </c>
      <c r="CE93" s="122" t="str">
        <f>FUR[[#This Row],[Part Type]]</f>
        <v>Furniture</v>
      </c>
      <c r="CF93" s="122" t="str">
        <f>FUR[[#This Row],[Chemicals]]</f>
        <v>Ni-19, NiCr8020-3</v>
      </c>
      <c r="CG93" s="122" t="str">
        <f>FUR[[#This Row],[UID]]</f>
        <v>1C-7</v>
      </c>
      <c r="CK93" s="82" t="str">
        <f>IF(FUR[[#This Row],[Status]]=0,"",FUR[[#This Row],[Status]])</f>
        <v>Active</v>
      </c>
    </row>
    <row r="94" spans="1:89">
      <c r="A94" s="82" t="s">
        <v>120</v>
      </c>
      <c r="B94" s="83" t="s">
        <v>31</v>
      </c>
      <c r="C94" s="83" t="s">
        <v>601</v>
      </c>
      <c r="D94" s="83" t="s">
        <v>602</v>
      </c>
      <c r="E94" s="84">
        <v>1.4800500000000001</v>
      </c>
      <c r="F94" s="85">
        <v>10.49</v>
      </c>
      <c r="G94" s="86">
        <f t="shared" si="3"/>
        <v>0.14109151572926598</v>
      </c>
      <c r="H94" s="87">
        <v>40679</v>
      </c>
      <c r="CA94" s="1" t="s">
        <v>71</v>
      </c>
      <c r="CB94" s="1" t="s">
        <v>18</v>
      </c>
      <c r="CC94" s="1" t="s">
        <v>132</v>
      </c>
      <c r="CE94" s="122" t="str">
        <f>FUR[[#This Row],[Part Type]]</f>
        <v>Furniture</v>
      </c>
      <c r="CF94" s="122" t="str">
        <f>FUR[[#This Row],[Chemicals]]</f>
        <v>Ag-8, Ag-4, Ag-2</v>
      </c>
      <c r="CG94" s="122" t="str">
        <f>FUR[[#This Row],[UID]]</f>
        <v>1C-8</v>
      </c>
      <c r="CK94" s="82" t="str">
        <f>IF(FUR[[#This Row],[Status]]=0,"",FUR[[#This Row],[Status]])</f>
        <v>Active</v>
      </c>
    </row>
    <row r="95" spans="1:89">
      <c r="A95" s="82" t="s">
        <v>120</v>
      </c>
      <c r="B95" s="83" t="s">
        <v>31</v>
      </c>
      <c r="C95" s="83" t="s">
        <v>603</v>
      </c>
      <c r="D95" s="83" t="s">
        <v>604</v>
      </c>
      <c r="F95" s="85">
        <v>8.57</v>
      </c>
      <c r="G95" s="86">
        <f t="shared" si="3"/>
        <v>0</v>
      </c>
      <c r="H95" s="87">
        <v>40679</v>
      </c>
      <c r="CA95" s="1" t="s">
        <v>71</v>
      </c>
      <c r="CB95" s="1" t="s">
        <v>18</v>
      </c>
      <c r="CC95" s="1" t="s">
        <v>132</v>
      </c>
      <c r="CE95" s="122" t="str">
        <f>FUR[[#This Row],[Part Type]]</f>
        <v>Furniture</v>
      </c>
      <c r="CF95" s="122" t="str">
        <f>FUR[[#This Row],[Chemicals]]</f>
        <v>Nb-1, Nb-2</v>
      </c>
      <c r="CG95" s="122" t="str">
        <f>FUR[[#This Row],[UID]]</f>
        <v>1C-9</v>
      </c>
      <c r="CK95" s="82" t="str">
        <f>IF(FUR[[#This Row],[Status]]=0,"",FUR[[#This Row],[Status]])</f>
        <v>Active</v>
      </c>
    </row>
    <row r="96" spans="1:89">
      <c r="A96" s="82" t="s">
        <v>120</v>
      </c>
      <c r="B96" s="83" t="s">
        <v>31</v>
      </c>
      <c r="C96" s="89" t="s">
        <v>605</v>
      </c>
      <c r="D96" s="89" t="s">
        <v>606</v>
      </c>
      <c r="F96" s="89">
        <v>8.4700000000000006</v>
      </c>
      <c r="G96" s="86">
        <f t="shared" si="3"/>
        <v>0</v>
      </c>
      <c r="H96" s="90">
        <v>42444</v>
      </c>
      <c r="I96" s="82" t="s">
        <v>607</v>
      </c>
      <c r="CA96" s="1" t="s">
        <v>71</v>
      </c>
      <c r="CB96" s="1" t="s">
        <v>18</v>
      </c>
      <c r="CC96" s="1" t="s">
        <v>132</v>
      </c>
      <c r="CE96" s="122" t="str">
        <f>FUR[[#This Row],[Part Type]]</f>
        <v>Furniture</v>
      </c>
      <c r="CF96" s="122" t="str">
        <f>FUR[[#This Row],[Chemicals]]</f>
        <v>Inc600, Inc625, NiCr</v>
      </c>
      <c r="CG96" s="122" t="str">
        <f>FUR[[#This Row],[UID]]</f>
        <v>1Cc-1</v>
      </c>
      <c r="CK96" s="82" t="str">
        <f>IF(FUR[[#This Row],[Status]]=0,"",FUR[[#This Row],[Status]])</f>
        <v>Active</v>
      </c>
    </row>
    <row r="97" spans="1:89">
      <c r="A97" s="82" t="s">
        <v>120</v>
      </c>
      <c r="B97" s="83" t="s">
        <v>31</v>
      </c>
      <c r="C97" s="89" t="s">
        <v>608</v>
      </c>
      <c r="D97" s="89" t="s">
        <v>521</v>
      </c>
      <c r="E97" s="89">
        <v>131.97</v>
      </c>
      <c r="F97" s="85">
        <v>10.49</v>
      </c>
      <c r="G97" s="86">
        <f t="shared" si="3"/>
        <v>12.580552907530981</v>
      </c>
      <c r="H97" s="90">
        <v>41980</v>
      </c>
      <c r="I97" s="88" t="s">
        <v>609</v>
      </c>
      <c r="CA97" s="1" t="s">
        <v>71</v>
      </c>
      <c r="CB97" s="1" t="s">
        <v>18</v>
      </c>
      <c r="CC97" s="1" t="s">
        <v>132</v>
      </c>
      <c r="CE97" s="122" t="str">
        <f>FUR[[#This Row],[Part Type]]</f>
        <v>Furniture</v>
      </c>
      <c r="CF97" s="122" t="str">
        <f>FUR[[#This Row],[Chemicals]]</f>
        <v>Ag</v>
      </c>
      <c r="CG97" s="122" t="str">
        <f>FUR[[#This Row],[UID]]</f>
        <v>1H-20</v>
      </c>
      <c r="CK97" s="82" t="str">
        <f>IF(FUR[[#This Row],[Status]]=0,"",FUR[[#This Row],[Status]])</f>
        <v>Active</v>
      </c>
    </row>
    <row r="98" spans="1:89">
      <c r="A98" s="82" t="s">
        <v>120</v>
      </c>
      <c r="B98" s="83" t="s">
        <v>31</v>
      </c>
      <c r="C98" s="89" t="s">
        <v>610</v>
      </c>
      <c r="D98" s="89" t="s">
        <v>521</v>
      </c>
      <c r="E98" s="89">
        <v>118.97</v>
      </c>
      <c r="F98" s="85">
        <v>10.49</v>
      </c>
      <c r="G98" s="86">
        <f t="shared" si="3"/>
        <v>11.341277407054337</v>
      </c>
      <c r="H98" s="90">
        <v>41980</v>
      </c>
      <c r="I98" s="88" t="s">
        <v>611</v>
      </c>
      <c r="CA98" s="1" t="s">
        <v>71</v>
      </c>
      <c r="CB98" s="1" t="s">
        <v>18</v>
      </c>
      <c r="CC98" s="1" t="s">
        <v>132</v>
      </c>
      <c r="CE98" s="122" t="str">
        <f>FUR[[#This Row],[Part Type]]</f>
        <v>Furniture</v>
      </c>
      <c r="CF98" s="122" t="str">
        <f>FUR[[#This Row],[Chemicals]]</f>
        <v>Ag</v>
      </c>
      <c r="CG98" s="122" t="str">
        <f>FUR[[#This Row],[UID]]</f>
        <v>1H-21</v>
      </c>
      <c r="CK98" s="82" t="str">
        <f>IF(FUR[[#This Row],[Status]]=0,"",FUR[[#This Row],[Status]])</f>
        <v>Active</v>
      </c>
    </row>
    <row r="99" spans="1:89">
      <c r="A99" s="82" t="s">
        <v>120</v>
      </c>
      <c r="B99" s="83" t="s">
        <v>31</v>
      </c>
      <c r="C99" s="89" t="s">
        <v>612</v>
      </c>
      <c r="D99" s="89" t="s">
        <v>521</v>
      </c>
      <c r="E99" s="89">
        <v>119.75</v>
      </c>
      <c r="F99" s="85">
        <v>10.49</v>
      </c>
      <c r="G99" s="86">
        <f t="shared" si="3"/>
        <v>11.415633937082935</v>
      </c>
      <c r="H99" s="90">
        <v>41980</v>
      </c>
      <c r="I99" s="88" t="s">
        <v>613</v>
      </c>
      <c r="CA99" s="1" t="s">
        <v>71</v>
      </c>
      <c r="CB99" s="1" t="s">
        <v>18</v>
      </c>
      <c r="CC99" s="1" t="s">
        <v>132</v>
      </c>
      <c r="CE99" s="122" t="str">
        <f>FUR[[#This Row],[Part Type]]</f>
        <v>Furniture</v>
      </c>
      <c r="CF99" s="122" t="str">
        <f>FUR[[#This Row],[Chemicals]]</f>
        <v>Ag</v>
      </c>
      <c r="CG99" s="122" t="str">
        <f>FUR[[#This Row],[UID]]</f>
        <v>1H-22</v>
      </c>
      <c r="CK99" s="82" t="str">
        <f>IF(FUR[[#This Row],[Status]]=0,"",FUR[[#This Row],[Status]])</f>
        <v>Active</v>
      </c>
    </row>
    <row r="100" spans="1:89">
      <c r="A100" s="82" t="s">
        <v>120</v>
      </c>
      <c r="B100" s="83" t="s">
        <v>31</v>
      </c>
      <c r="C100" s="89" t="s">
        <v>614</v>
      </c>
      <c r="D100" s="89" t="s">
        <v>521</v>
      </c>
      <c r="E100" s="89">
        <v>117.82</v>
      </c>
      <c r="F100" s="85">
        <v>10.49</v>
      </c>
      <c r="G100" s="86">
        <f t="shared" si="3"/>
        <v>11.231649189704479</v>
      </c>
      <c r="H100" s="90">
        <v>41980</v>
      </c>
      <c r="I100" s="88" t="s">
        <v>615</v>
      </c>
      <c r="CA100" s="1" t="s">
        <v>71</v>
      </c>
      <c r="CB100" s="1" t="s">
        <v>18</v>
      </c>
      <c r="CC100" s="1" t="s">
        <v>132</v>
      </c>
      <c r="CE100" s="122" t="str">
        <f>FUR[[#This Row],[Part Type]]</f>
        <v>Furniture</v>
      </c>
      <c r="CF100" s="122" t="str">
        <f>FUR[[#This Row],[Chemicals]]</f>
        <v>Ag</v>
      </c>
      <c r="CG100" s="122" t="str">
        <f>FUR[[#This Row],[UID]]</f>
        <v>1H-23</v>
      </c>
      <c r="CK100" s="82" t="str">
        <f>IF(FUR[[#This Row],[Status]]=0,"",FUR[[#This Row],[Status]])</f>
        <v>Active</v>
      </c>
    </row>
    <row r="101" spans="1:89">
      <c r="A101" s="82" t="s">
        <v>120</v>
      </c>
      <c r="B101" s="83" t="s">
        <v>31</v>
      </c>
      <c r="C101" s="89" t="s">
        <v>616</v>
      </c>
      <c r="D101" s="89" t="s">
        <v>521</v>
      </c>
      <c r="E101" s="89">
        <v>79.577500000000001</v>
      </c>
      <c r="F101" s="85">
        <v>10.49</v>
      </c>
      <c r="G101" s="86">
        <f t="shared" si="3"/>
        <v>7.5860343183984744</v>
      </c>
      <c r="H101" s="90">
        <v>41980</v>
      </c>
      <c r="I101" s="88" t="s">
        <v>617</v>
      </c>
      <c r="CA101" s="1" t="s">
        <v>71</v>
      </c>
      <c r="CB101" s="1" t="s">
        <v>18</v>
      </c>
      <c r="CC101" s="1" t="s">
        <v>132</v>
      </c>
      <c r="CE101" s="122" t="str">
        <f>FUR[[#This Row],[Part Type]]</f>
        <v>Furniture</v>
      </c>
      <c r="CF101" s="122" t="str">
        <f>FUR[[#This Row],[Chemicals]]</f>
        <v>Ag</v>
      </c>
      <c r="CG101" s="122" t="str">
        <f>FUR[[#This Row],[UID]]</f>
        <v>1H-24</v>
      </c>
      <c r="CK101" s="82" t="str">
        <f>IF(FUR[[#This Row],[Status]]=0,"",FUR[[#This Row],[Status]])</f>
        <v>Active</v>
      </c>
    </row>
    <row r="102" spans="1:89">
      <c r="A102" s="82" t="s">
        <v>120</v>
      </c>
      <c r="B102" s="83" t="s">
        <v>31</v>
      </c>
      <c r="C102" s="89" t="s">
        <v>618</v>
      </c>
      <c r="D102" s="89" t="s">
        <v>510</v>
      </c>
      <c r="E102" s="89">
        <v>121.29</v>
      </c>
      <c r="F102" s="85">
        <v>10.28</v>
      </c>
      <c r="G102" s="86">
        <f t="shared" si="3"/>
        <v>11.798638132295721</v>
      </c>
      <c r="H102" s="90">
        <v>41980</v>
      </c>
      <c r="I102" s="88" t="s">
        <v>615</v>
      </c>
      <c r="CA102" s="1" t="s">
        <v>71</v>
      </c>
      <c r="CB102" s="1" t="s">
        <v>18</v>
      </c>
      <c r="CC102" s="1" t="s">
        <v>132</v>
      </c>
      <c r="CE102" s="122" t="str">
        <f>FUR[[#This Row],[Part Type]]</f>
        <v>Furniture</v>
      </c>
      <c r="CF102" s="122" t="str">
        <f>FUR[[#This Row],[Chemicals]]</f>
        <v>Mo</v>
      </c>
      <c r="CG102" s="122" t="str">
        <f>FUR[[#This Row],[UID]]</f>
        <v>1H-25</v>
      </c>
      <c r="CK102" s="82" t="str">
        <f>IF(FUR[[#This Row],[Status]]=0,"",FUR[[#This Row],[Status]])</f>
        <v>Active</v>
      </c>
    </row>
    <row r="103" spans="1:89">
      <c r="A103" s="82" t="s">
        <v>120</v>
      </c>
      <c r="B103" s="83" t="s">
        <v>31</v>
      </c>
      <c r="C103" s="83" t="s">
        <v>619</v>
      </c>
      <c r="D103" s="83" t="s">
        <v>560</v>
      </c>
      <c r="E103" s="84">
        <v>8.8299500000000002</v>
      </c>
      <c r="F103" s="85">
        <v>10.49</v>
      </c>
      <c r="G103" s="86">
        <f t="shared" si="3"/>
        <v>0.8417492850333651</v>
      </c>
      <c r="H103" s="87">
        <v>40773</v>
      </c>
      <c r="I103" s="88" t="s">
        <v>620</v>
      </c>
      <c r="CA103" s="1" t="s">
        <v>71</v>
      </c>
      <c r="CB103" s="1" t="s">
        <v>18</v>
      </c>
      <c r="CC103" s="1" t="s">
        <v>132</v>
      </c>
      <c r="CE103" s="122" t="str">
        <f>FUR[[#This Row],[Part Type]]</f>
        <v>Furniture</v>
      </c>
      <c r="CF103" s="122" t="str">
        <f>FUR[[#This Row],[Chemicals]]</f>
        <v>Ag-11, Ag-10</v>
      </c>
      <c r="CG103" s="122" t="str">
        <f>FUR[[#This Row],[UID]]</f>
        <v>1L-1</v>
      </c>
      <c r="CK103" s="82" t="str">
        <f>IF(FUR[[#This Row],[Status]]=0,"",FUR[[#This Row],[Status]])</f>
        <v>Active</v>
      </c>
    </row>
    <row r="104" spans="1:89">
      <c r="A104" s="82" t="s">
        <v>120</v>
      </c>
      <c r="B104" s="83" t="s">
        <v>31</v>
      </c>
      <c r="C104" s="83" t="s">
        <v>621</v>
      </c>
      <c r="D104" s="83" t="s">
        <v>560</v>
      </c>
      <c r="E104" s="84">
        <v>8.8159600000000005</v>
      </c>
      <c r="F104" s="85">
        <v>10.49</v>
      </c>
      <c r="G104" s="86">
        <f t="shared" si="3"/>
        <v>0.84041563393708296</v>
      </c>
      <c r="H104" s="87">
        <v>40773</v>
      </c>
      <c r="I104" s="88" t="s">
        <v>620</v>
      </c>
      <c r="CA104" s="1" t="s">
        <v>71</v>
      </c>
      <c r="CB104" s="1" t="s">
        <v>18</v>
      </c>
      <c r="CC104" s="1" t="s">
        <v>132</v>
      </c>
      <c r="CE104" s="122" t="str">
        <f>FUR[[#This Row],[Part Type]]</f>
        <v>Furniture</v>
      </c>
      <c r="CF104" s="122" t="str">
        <f>FUR[[#This Row],[Chemicals]]</f>
        <v>Ag-11, Ag-10</v>
      </c>
      <c r="CG104" s="122" t="str">
        <f>FUR[[#This Row],[UID]]</f>
        <v>1L-2</v>
      </c>
      <c r="CK104" s="82" t="str">
        <f>IF(FUR[[#This Row],[Status]]=0,"",FUR[[#This Row],[Status]])</f>
        <v>Active</v>
      </c>
    </row>
    <row r="105" spans="1:89">
      <c r="A105" s="82" t="s">
        <v>120</v>
      </c>
      <c r="B105" s="83" t="s">
        <v>31</v>
      </c>
      <c r="C105" s="83" t="s">
        <v>622</v>
      </c>
      <c r="D105" s="83" t="s">
        <v>560</v>
      </c>
      <c r="E105" s="84">
        <v>7.5511100000000004</v>
      </c>
      <c r="F105" s="85">
        <v>10.49</v>
      </c>
      <c r="G105" s="86">
        <f t="shared" si="3"/>
        <v>0.71983889418493807</v>
      </c>
      <c r="H105" s="87">
        <v>40773</v>
      </c>
      <c r="CA105" s="1" t="s">
        <v>71</v>
      </c>
      <c r="CB105" s="1" t="s">
        <v>18</v>
      </c>
      <c r="CC105" s="1" t="s">
        <v>132</v>
      </c>
      <c r="CE105" s="122" t="str">
        <f>FUR[[#This Row],[Part Type]]</f>
        <v>Furniture</v>
      </c>
      <c r="CF105" s="122" t="str">
        <f>FUR[[#This Row],[Chemicals]]</f>
        <v>Ag-11, Ag-10</v>
      </c>
      <c r="CG105" s="122" t="str">
        <f>FUR[[#This Row],[UID]]</f>
        <v>1L-3</v>
      </c>
      <c r="CK105" s="82" t="str">
        <f>IF(FUR[[#This Row],[Status]]=0,"",FUR[[#This Row],[Status]])</f>
        <v>Active</v>
      </c>
    </row>
    <row r="106" spans="1:89">
      <c r="A106" s="82" t="s">
        <v>120</v>
      </c>
      <c r="B106" s="83" t="s">
        <v>31</v>
      </c>
      <c r="C106" s="83" t="s">
        <v>623</v>
      </c>
      <c r="D106" s="83" t="s">
        <v>560</v>
      </c>
      <c r="E106" s="84">
        <v>7.5178000000000003</v>
      </c>
      <c r="F106" s="85">
        <v>10.49</v>
      </c>
      <c r="G106" s="86">
        <f t="shared" si="3"/>
        <v>0.71666348903717825</v>
      </c>
      <c r="H106" s="87">
        <v>40773</v>
      </c>
      <c r="CA106" s="1" t="s">
        <v>71</v>
      </c>
      <c r="CB106" s="1" t="s">
        <v>18</v>
      </c>
      <c r="CC106" s="1" t="s">
        <v>132</v>
      </c>
      <c r="CE106" s="122" t="str">
        <f>FUR[[#This Row],[Part Type]]</f>
        <v>Furniture</v>
      </c>
      <c r="CF106" s="122" t="str">
        <f>FUR[[#This Row],[Chemicals]]</f>
        <v>Ag-11, Ag-10</v>
      </c>
      <c r="CG106" s="122" t="str">
        <f>FUR[[#This Row],[UID]]</f>
        <v>1L-4</v>
      </c>
      <c r="CK106" s="82" t="str">
        <f>IF(FUR[[#This Row],[Status]]=0,"",FUR[[#This Row],[Status]])</f>
        <v>Active</v>
      </c>
    </row>
    <row r="107" spans="1:89">
      <c r="A107" s="82" t="s">
        <v>120</v>
      </c>
      <c r="B107" s="83" t="s">
        <v>31</v>
      </c>
      <c r="C107" s="83" t="s">
        <v>624</v>
      </c>
      <c r="D107" s="83" t="s">
        <v>560</v>
      </c>
      <c r="E107" s="84">
        <v>7.5579499999999999</v>
      </c>
      <c r="F107" s="85">
        <v>10.49</v>
      </c>
      <c r="G107" s="86">
        <f t="shared" si="3"/>
        <v>0.72049094375595801</v>
      </c>
      <c r="H107" s="87">
        <v>40773</v>
      </c>
      <c r="CA107" s="1" t="s">
        <v>71</v>
      </c>
      <c r="CB107" s="1" t="s">
        <v>18</v>
      </c>
      <c r="CC107" s="1" t="s">
        <v>132</v>
      </c>
      <c r="CE107" s="122" t="str">
        <f>FUR[[#This Row],[Part Type]]</f>
        <v>Furniture</v>
      </c>
      <c r="CF107" s="122" t="str">
        <f>FUR[[#This Row],[Chemicals]]</f>
        <v>Ag-11, Ag-10</v>
      </c>
      <c r="CG107" s="122" t="str">
        <f>FUR[[#This Row],[UID]]</f>
        <v>1L-5</v>
      </c>
      <c r="CK107" s="82" t="str">
        <f>IF(FUR[[#This Row],[Status]]=0,"",FUR[[#This Row],[Status]])</f>
        <v>Active</v>
      </c>
    </row>
    <row r="108" spans="1:89">
      <c r="A108" s="82" t="s">
        <v>120</v>
      </c>
      <c r="B108" s="83" t="s">
        <v>31</v>
      </c>
      <c r="C108" s="83" t="s">
        <v>625</v>
      </c>
      <c r="D108" s="83" t="s">
        <v>560</v>
      </c>
      <c r="E108" s="84">
        <v>7.6130899999999997</v>
      </c>
      <c r="F108" s="85">
        <v>10.49</v>
      </c>
      <c r="G108" s="86">
        <f t="shared" si="3"/>
        <v>0.72574737845567205</v>
      </c>
      <c r="H108" s="87">
        <v>40773</v>
      </c>
      <c r="CA108" s="1" t="s">
        <v>71</v>
      </c>
      <c r="CB108" s="1" t="s">
        <v>18</v>
      </c>
      <c r="CC108" s="1" t="s">
        <v>132</v>
      </c>
      <c r="CE108" s="122" t="str">
        <f>FUR[[#This Row],[Part Type]]</f>
        <v>Furniture</v>
      </c>
      <c r="CF108" s="122" t="str">
        <f>FUR[[#This Row],[Chemicals]]</f>
        <v>Ag-11, Ag-10</v>
      </c>
      <c r="CG108" s="122" t="str">
        <f>FUR[[#This Row],[UID]]</f>
        <v>1L-6</v>
      </c>
      <c r="CK108" s="82" t="str">
        <f>IF(FUR[[#This Row],[Status]]=0,"",FUR[[#This Row],[Status]])</f>
        <v>Active</v>
      </c>
    </row>
    <row r="109" spans="1:89">
      <c r="A109" s="82" t="s">
        <v>120</v>
      </c>
      <c r="B109" s="83" t="s">
        <v>31</v>
      </c>
      <c r="C109" s="83" t="s">
        <v>626</v>
      </c>
      <c r="D109" s="83" t="s">
        <v>560</v>
      </c>
      <c r="E109" s="84">
        <v>7.66092</v>
      </c>
      <c r="F109" s="85">
        <v>10.49</v>
      </c>
      <c r="G109" s="86">
        <f t="shared" ref="G109:G140" si="4">E109/F109</f>
        <v>0.73030695900857956</v>
      </c>
      <c r="H109" s="87">
        <v>40773</v>
      </c>
      <c r="CA109" s="1" t="s">
        <v>71</v>
      </c>
      <c r="CB109" s="1" t="s">
        <v>18</v>
      </c>
      <c r="CC109" s="1" t="s">
        <v>132</v>
      </c>
      <c r="CE109" s="122" t="str">
        <f>FUR[[#This Row],[Part Type]]</f>
        <v>Furniture</v>
      </c>
      <c r="CF109" s="122" t="str">
        <f>FUR[[#This Row],[Chemicals]]</f>
        <v>Ag-11, Ag-10</v>
      </c>
      <c r="CG109" s="122" t="str">
        <f>FUR[[#This Row],[UID]]</f>
        <v>1L-7</v>
      </c>
      <c r="CK109" s="82" t="str">
        <f>IF(FUR[[#This Row],[Status]]=0,"",FUR[[#This Row],[Status]])</f>
        <v>Active</v>
      </c>
    </row>
    <row r="110" spans="1:89">
      <c r="A110" s="82" t="s">
        <v>120</v>
      </c>
      <c r="B110" s="83" t="s">
        <v>31</v>
      </c>
      <c r="C110" s="83" t="s">
        <v>627</v>
      </c>
      <c r="D110" s="83" t="s">
        <v>628</v>
      </c>
      <c r="E110" s="84">
        <v>79.473600000000005</v>
      </c>
      <c r="F110" s="85">
        <v>10.49</v>
      </c>
      <c r="G110" s="86">
        <f t="shared" si="4"/>
        <v>7.5761296472831274</v>
      </c>
      <c r="H110" s="87">
        <v>40773</v>
      </c>
      <c r="I110" s="88" t="s">
        <v>629</v>
      </c>
      <c r="CA110" s="1" t="s">
        <v>71</v>
      </c>
      <c r="CB110" s="1" t="s">
        <v>18</v>
      </c>
      <c r="CC110" s="1" t="s">
        <v>132</v>
      </c>
      <c r="CE110" s="122" t="str">
        <f>FUR[[#This Row],[Part Type]]</f>
        <v>Furniture</v>
      </c>
      <c r="CF110" s="122" t="str">
        <f>FUR[[#This Row],[Chemicals]]</f>
        <v>Ag-7</v>
      </c>
      <c r="CG110" s="122" t="str">
        <f>FUR[[#This Row],[UID]]</f>
        <v>1P-1</v>
      </c>
      <c r="CK110" s="82" t="str">
        <f>IF(FUR[[#This Row],[Status]]=0,"",FUR[[#This Row],[Status]])</f>
        <v>Active</v>
      </c>
    </row>
    <row r="111" spans="1:89">
      <c r="A111" s="82" t="s">
        <v>120</v>
      </c>
      <c r="B111" s="83" t="s">
        <v>31</v>
      </c>
      <c r="C111" s="83" t="s">
        <v>630</v>
      </c>
      <c r="E111" s="84">
        <v>86.087699999999998</v>
      </c>
      <c r="F111" s="85">
        <v>10.49</v>
      </c>
      <c r="G111" s="86">
        <f t="shared" si="4"/>
        <v>8.2066444232602471</v>
      </c>
      <c r="H111" s="87">
        <v>41501</v>
      </c>
      <c r="CA111" s="1" t="s">
        <v>71</v>
      </c>
      <c r="CB111" s="1" t="s">
        <v>18</v>
      </c>
      <c r="CC111" s="1" t="s">
        <v>132</v>
      </c>
      <c r="CE111" s="122" t="str">
        <f>FUR[[#This Row],[Part Type]]</f>
        <v>Furniture</v>
      </c>
      <c r="CF111" s="122">
        <f>FUR[[#This Row],[Chemicals]]</f>
        <v>0</v>
      </c>
      <c r="CG111" s="122" t="str">
        <f>FUR[[#This Row],[UID]]</f>
        <v>1P-10</v>
      </c>
      <c r="CK111" s="82" t="str">
        <f>IF(FUR[[#This Row],[Status]]=0,"",FUR[[#This Row],[Status]])</f>
        <v>Active</v>
      </c>
    </row>
    <row r="112" spans="1:89">
      <c r="A112" s="82" t="s">
        <v>120</v>
      </c>
      <c r="B112" s="83" t="s">
        <v>31</v>
      </c>
      <c r="C112" s="83" t="s">
        <v>613</v>
      </c>
      <c r="E112" s="84">
        <v>120.24</v>
      </c>
      <c r="F112" s="85">
        <v>10.49</v>
      </c>
      <c r="G112" s="86">
        <f t="shared" si="4"/>
        <v>11.46234509056244</v>
      </c>
      <c r="H112" s="87">
        <v>41501</v>
      </c>
      <c r="CA112" s="1" t="s">
        <v>71</v>
      </c>
      <c r="CB112" s="1" t="s">
        <v>18</v>
      </c>
      <c r="CC112" s="1" t="s">
        <v>132</v>
      </c>
      <c r="CE112" s="122" t="str">
        <f>FUR[[#This Row],[Part Type]]</f>
        <v>Furniture</v>
      </c>
      <c r="CF112" s="122">
        <f>FUR[[#This Row],[Chemicals]]</f>
        <v>0</v>
      </c>
      <c r="CG112" s="122" t="str">
        <f>FUR[[#This Row],[UID]]</f>
        <v>1P-11</v>
      </c>
      <c r="CK112" s="82" t="str">
        <f>IF(FUR[[#This Row],[Status]]=0,"",FUR[[#This Row],[Status]])</f>
        <v>Active</v>
      </c>
    </row>
    <row r="113" spans="1:89">
      <c r="A113" s="82" t="s">
        <v>120</v>
      </c>
      <c r="B113" s="83" t="s">
        <v>31</v>
      </c>
      <c r="C113" s="83" t="s">
        <v>611</v>
      </c>
      <c r="E113" s="84">
        <v>119.5639</v>
      </c>
      <c r="F113" s="85">
        <v>10.49</v>
      </c>
      <c r="G113" s="86">
        <f t="shared" si="4"/>
        <v>11.39789323164919</v>
      </c>
      <c r="H113" s="87">
        <v>41501</v>
      </c>
      <c r="CA113" s="1" t="s">
        <v>71</v>
      </c>
      <c r="CB113" s="1" t="s">
        <v>18</v>
      </c>
      <c r="CC113" s="1" t="s">
        <v>132</v>
      </c>
      <c r="CE113" s="122" t="str">
        <f>FUR[[#This Row],[Part Type]]</f>
        <v>Furniture</v>
      </c>
      <c r="CF113" s="122">
        <f>FUR[[#This Row],[Chemicals]]</f>
        <v>0</v>
      </c>
      <c r="CG113" s="122" t="str">
        <f>FUR[[#This Row],[UID]]</f>
        <v>1P-12</v>
      </c>
      <c r="CK113" s="82" t="str">
        <f>IF(FUR[[#This Row],[Status]]=0,"",FUR[[#This Row],[Status]])</f>
        <v>Active</v>
      </c>
    </row>
    <row r="114" spans="1:89">
      <c r="A114" s="82" t="s">
        <v>120</v>
      </c>
      <c r="B114" s="83" t="s">
        <v>31</v>
      </c>
      <c r="C114" s="83" t="s">
        <v>631</v>
      </c>
      <c r="D114" s="83" t="s">
        <v>632</v>
      </c>
      <c r="E114" s="84">
        <v>135.88999999999999</v>
      </c>
      <c r="F114" s="85">
        <v>10.49</v>
      </c>
      <c r="G114" s="86">
        <f t="shared" si="4"/>
        <v>12.954242135367014</v>
      </c>
      <c r="H114" s="87">
        <v>41602</v>
      </c>
      <c r="I114" s="88" t="s">
        <v>633</v>
      </c>
      <c r="CA114" s="1" t="s">
        <v>71</v>
      </c>
      <c r="CB114" s="1" t="s">
        <v>18</v>
      </c>
      <c r="CC114" s="1" t="s">
        <v>132</v>
      </c>
      <c r="CE114" s="122" t="str">
        <f>FUR[[#This Row],[Part Type]]</f>
        <v>Furniture</v>
      </c>
      <c r="CF114" s="122" t="str">
        <f>FUR[[#This Row],[Chemicals]]</f>
        <v>Ag-13</v>
      </c>
      <c r="CG114" s="122" t="str">
        <f>FUR[[#This Row],[UID]]</f>
        <v>1P-13</v>
      </c>
      <c r="CK114" s="82" t="str">
        <f>IF(FUR[[#This Row],[Status]]=0,"",FUR[[#This Row],[Status]])</f>
        <v>Active</v>
      </c>
    </row>
    <row r="115" spans="1:89">
      <c r="A115" s="82" t="s">
        <v>120</v>
      </c>
      <c r="B115" s="83" t="s">
        <v>31</v>
      </c>
      <c r="C115" s="89" t="s">
        <v>634</v>
      </c>
      <c r="D115" s="89" t="s">
        <v>521</v>
      </c>
      <c r="E115" s="89">
        <v>77.778099999999995</v>
      </c>
      <c r="F115" s="85">
        <v>10.49</v>
      </c>
      <c r="G115" s="86">
        <f t="shared" si="4"/>
        <v>7.4144995233555759</v>
      </c>
      <c r="H115" s="90">
        <v>41980</v>
      </c>
      <c r="I115" s="88" t="s">
        <v>635</v>
      </c>
      <c r="CA115" s="1" t="s">
        <v>71</v>
      </c>
      <c r="CB115" s="1" t="s">
        <v>18</v>
      </c>
      <c r="CC115" s="1" t="s">
        <v>132</v>
      </c>
      <c r="CE115" s="122" t="str">
        <f>FUR[[#This Row],[Part Type]]</f>
        <v>Furniture</v>
      </c>
      <c r="CF115" s="122" t="str">
        <f>FUR[[#This Row],[Chemicals]]</f>
        <v>Ag</v>
      </c>
      <c r="CG115" s="122" t="str">
        <f>FUR[[#This Row],[UID]]</f>
        <v>1P-14</v>
      </c>
      <c r="CK115" s="82" t="str">
        <f>IF(FUR[[#This Row],[Status]]=0,"",FUR[[#This Row],[Status]])</f>
        <v>Active</v>
      </c>
    </row>
    <row r="116" spans="1:89">
      <c r="A116" s="82" t="s">
        <v>120</v>
      </c>
      <c r="B116" s="83" t="s">
        <v>31</v>
      </c>
      <c r="C116" s="83" t="s">
        <v>635</v>
      </c>
      <c r="D116" s="83" t="s">
        <v>628</v>
      </c>
      <c r="E116" s="84">
        <v>79.5732</v>
      </c>
      <c r="F116" s="85">
        <v>10.49</v>
      </c>
      <c r="G116" s="86">
        <f t="shared" si="4"/>
        <v>7.5856244041944709</v>
      </c>
      <c r="H116" s="87">
        <v>40773</v>
      </c>
      <c r="I116" s="88" t="s">
        <v>629</v>
      </c>
      <c r="CA116" s="1" t="s">
        <v>71</v>
      </c>
      <c r="CB116" s="1" t="s">
        <v>18</v>
      </c>
      <c r="CC116" s="1" t="s">
        <v>132</v>
      </c>
      <c r="CE116" s="122" t="str">
        <f>FUR[[#This Row],[Part Type]]</f>
        <v>Furniture</v>
      </c>
      <c r="CF116" s="122" t="str">
        <f>FUR[[#This Row],[Chemicals]]</f>
        <v>Ag-7</v>
      </c>
      <c r="CG116" s="122" t="str">
        <f>FUR[[#This Row],[UID]]</f>
        <v>1P-2</v>
      </c>
      <c r="CK116" s="82" t="str">
        <f>IF(FUR[[#This Row],[Status]]=0,"",FUR[[#This Row],[Status]])</f>
        <v>Active</v>
      </c>
    </row>
    <row r="117" spans="1:89">
      <c r="A117" s="82" t="s">
        <v>120</v>
      </c>
      <c r="B117" s="83" t="s">
        <v>31</v>
      </c>
      <c r="C117" s="89" t="s">
        <v>636</v>
      </c>
      <c r="D117" s="89" t="s">
        <v>521</v>
      </c>
      <c r="E117" s="89">
        <v>85.708100000000002</v>
      </c>
      <c r="F117" s="85">
        <v>10.49</v>
      </c>
      <c r="G117" s="86">
        <f t="shared" si="4"/>
        <v>8.1704575786463298</v>
      </c>
      <c r="H117" s="90">
        <v>41980</v>
      </c>
      <c r="I117" s="88" t="s">
        <v>630</v>
      </c>
      <c r="CA117" s="1" t="s">
        <v>71</v>
      </c>
      <c r="CB117" s="1" t="s">
        <v>18</v>
      </c>
      <c r="CC117" s="1" t="s">
        <v>132</v>
      </c>
      <c r="CE117" s="122" t="str">
        <f>FUR[[#This Row],[Part Type]]</f>
        <v>Furniture</v>
      </c>
      <c r="CF117" s="122" t="str">
        <f>FUR[[#This Row],[Chemicals]]</f>
        <v>Ag</v>
      </c>
      <c r="CG117" s="122" t="str">
        <f>FUR[[#This Row],[UID]]</f>
        <v>1P-20</v>
      </c>
      <c r="CK117" s="82" t="str">
        <f>IF(FUR[[#This Row],[Status]]=0,"",FUR[[#This Row],[Status]])</f>
        <v>Active</v>
      </c>
    </row>
    <row r="118" spans="1:89">
      <c r="A118" s="82" t="s">
        <v>120</v>
      </c>
      <c r="B118" s="83" t="s">
        <v>31</v>
      </c>
      <c r="C118" s="89" t="s">
        <v>637</v>
      </c>
      <c r="D118" s="89" t="s">
        <v>521</v>
      </c>
      <c r="E118" s="89">
        <v>83.431799999999996</v>
      </c>
      <c r="F118" s="85">
        <v>10.49</v>
      </c>
      <c r="G118" s="86">
        <f t="shared" si="4"/>
        <v>7.9534604385128684</v>
      </c>
      <c r="H118" s="90">
        <v>41980</v>
      </c>
      <c r="I118" s="88" t="s">
        <v>615</v>
      </c>
      <c r="CA118" s="1" t="s">
        <v>71</v>
      </c>
      <c r="CB118" s="1" t="s">
        <v>18</v>
      </c>
      <c r="CC118" s="1" t="s">
        <v>132</v>
      </c>
      <c r="CE118" s="122" t="str">
        <f>FUR[[#This Row],[Part Type]]</f>
        <v>Furniture</v>
      </c>
      <c r="CF118" s="122" t="str">
        <f>FUR[[#This Row],[Chemicals]]</f>
        <v>Ag</v>
      </c>
      <c r="CG118" s="122" t="str">
        <f>FUR[[#This Row],[UID]]</f>
        <v>1P-21</v>
      </c>
      <c r="CK118" s="82" t="str">
        <f>IF(FUR[[#This Row],[Status]]=0,"",FUR[[#This Row],[Status]])</f>
        <v>Active</v>
      </c>
    </row>
    <row r="119" spans="1:89">
      <c r="A119" s="82" t="s">
        <v>120</v>
      </c>
      <c r="B119" s="83" t="s">
        <v>31</v>
      </c>
      <c r="C119" s="89" t="s">
        <v>638</v>
      </c>
      <c r="D119" s="89" t="s">
        <v>521</v>
      </c>
      <c r="E119" s="89">
        <v>84.347499999999997</v>
      </c>
      <c r="F119" s="85">
        <v>10.49</v>
      </c>
      <c r="G119" s="86">
        <f t="shared" si="4"/>
        <v>8.0407530981887501</v>
      </c>
      <c r="H119" s="90">
        <v>41980</v>
      </c>
      <c r="I119" s="88" t="s">
        <v>615</v>
      </c>
      <c r="CA119" s="1" t="s">
        <v>71</v>
      </c>
      <c r="CB119" s="1" t="s">
        <v>18</v>
      </c>
      <c r="CC119" s="1" t="s">
        <v>132</v>
      </c>
      <c r="CE119" s="122" t="str">
        <f>FUR[[#This Row],[Part Type]]</f>
        <v>Furniture</v>
      </c>
      <c r="CF119" s="122" t="str">
        <f>FUR[[#This Row],[Chemicals]]</f>
        <v>Ag</v>
      </c>
      <c r="CG119" s="122" t="str">
        <f>FUR[[#This Row],[UID]]</f>
        <v>1P-22</v>
      </c>
      <c r="CK119" s="82" t="str">
        <f>IF(FUR[[#This Row],[Status]]=0,"",FUR[[#This Row],[Status]])</f>
        <v>Active</v>
      </c>
    </row>
    <row r="120" spans="1:89">
      <c r="A120" s="82" t="s">
        <v>120</v>
      </c>
      <c r="B120" s="83" t="s">
        <v>31</v>
      </c>
      <c r="C120" s="89" t="s">
        <v>639</v>
      </c>
      <c r="D120" s="89" t="s">
        <v>521</v>
      </c>
      <c r="E120" s="89">
        <v>85.249399999999994</v>
      </c>
      <c r="F120" s="85">
        <v>10.49</v>
      </c>
      <c r="G120" s="86">
        <f t="shared" si="4"/>
        <v>8.1267302192564337</v>
      </c>
      <c r="H120" s="90">
        <v>41980</v>
      </c>
      <c r="I120" s="88" t="s">
        <v>615</v>
      </c>
      <c r="CA120" s="1" t="s">
        <v>71</v>
      </c>
      <c r="CB120" s="1" t="s">
        <v>18</v>
      </c>
      <c r="CC120" s="1" t="s">
        <v>132</v>
      </c>
      <c r="CE120" s="122" t="str">
        <f>FUR[[#This Row],[Part Type]]</f>
        <v>Furniture</v>
      </c>
      <c r="CF120" s="122" t="str">
        <f>FUR[[#This Row],[Chemicals]]</f>
        <v>Ag</v>
      </c>
      <c r="CG120" s="122" t="str">
        <f>FUR[[#This Row],[UID]]</f>
        <v>1P-23</v>
      </c>
      <c r="CK120" s="82" t="str">
        <f>IF(FUR[[#This Row],[Status]]=0,"",FUR[[#This Row],[Status]])</f>
        <v>Active</v>
      </c>
    </row>
    <row r="121" spans="1:89">
      <c r="A121" s="82" t="s">
        <v>120</v>
      </c>
      <c r="B121" s="83" t="s">
        <v>31</v>
      </c>
      <c r="C121" s="89" t="s">
        <v>640</v>
      </c>
      <c r="D121" s="89" t="s">
        <v>521</v>
      </c>
      <c r="E121" s="89">
        <v>34.842799999999997</v>
      </c>
      <c r="F121" s="85">
        <v>10.49</v>
      </c>
      <c r="G121" s="86">
        <f t="shared" si="4"/>
        <v>3.3215252621544322</v>
      </c>
      <c r="H121" s="90">
        <v>41980</v>
      </c>
      <c r="I121" s="88" t="s">
        <v>627</v>
      </c>
      <c r="CA121" s="1" t="s">
        <v>71</v>
      </c>
      <c r="CB121" s="1" t="s">
        <v>18</v>
      </c>
      <c r="CC121" s="1" t="s">
        <v>132</v>
      </c>
      <c r="CE121" s="122" t="str">
        <f>FUR[[#This Row],[Part Type]]</f>
        <v>Furniture</v>
      </c>
      <c r="CF121" s="122" t="str">
        <f>FUR[[#This Row],[Chemicals]]</f>
        <v>Ag</v>
      </c>
      <c r="CG121" s="122" t="str">
        <f>FUR[[#This Row],[UID]]</f>
        <v>1P-24</v>
      </c>
      <c r="CK121" s="82" t="str">
        <f>IF(FUR[[#This Row],[Status]]=0,"",FUR[[#This Row],[Status]])</f>
        <v>Active</v>
      </c>
    </row>
    <row r="122" spans="1:89">
      <c r="A122" s="82" t="s">
        <v>120</v>
      </c>
      <c r="B122" s="83" t="s">
        <v>31</v>
      </c>
      <c r="C122" s="89" t="s">
        <v>641</v>
      </c>
      <c r="D122" s="89" t="s">
        <v>510</v>
      </c>
      <c r="E122" s="89">
        <v>85.3352</v>
      </c>
      <c r="F122" s="85">
        <v>10.28</v>
      </c>
      <c r="G122" s="86">
        <f t="shared" si="4"/>
        <v>8.3010894941634241</v>
      </c>
      <c r="H122" s="90">
        <v>41980</v>
      </c>
      <c r="I122" s="88" t="s">
        <v>615</v>
      </c>
      <c r="CA122" s="1" t="s">
        <v>71</v>
      </c>
      <c r="CB122" s="1" t="s">
        <v>18</v>
      </c>
      <c r="CC122" s="1" t="s">
        <v>132</v>
      </c>
      <c r="CE122" s="122" t="str">
        <f>FUR[[#This Row],[Part Type]]</f>
        <v>Furniture</v>
      </c>
      <c r="CF122" s="122" t="str">
        <f>FUR[[#This Row],[Chemicals]]</f>
        <v>Mo</v>
      </c>
      <c r="CG122" s="122" t="str">
        <f>FUR[[#This Row],[UID]]</f>
        <v>1P-25</v>
      </c>
      <c r="CK122" s="82" t="str">
        <f>IF(FUR[[#This Row],[Status]]=0,"",FUR[[#This Row],[Status]])</f>
        <v>Active</v>
      </c>
    </row>
    <row r="123" spans="1:89">
      <c r="A123" s="82" t="s">
        <v>120</v>
      </c>
      <c r="B123" s="83" t="s">
        <v>31</v>
      </c>
      <c r="C123" s="83" t="s">
        <v>642</v>
      </c>
      <c r="D123" s="83" t="s">
        <v>643</v>
      </c>
      <c r="E123" s="84">
        <v>79.577799999999996</v>
      </c>
      <c r="F123" s="85">
        <v>10.49</v>
      </c>
      <c r="G123" s="86">
        <f t="shared" si="4"/>
        <v>7.5860629170638703</v>
      </c>
      <c r="H123" s="87">
        <v>40765</v>
      </c>
      <c r="I123" s="88" t="s">
        <v>629</v>
      </c>
      <c r="CA123" s="1" t="s">
        <v>71</v>
      </c>
      <c r="CB123" s="1" t="s">
        <v>18</v>
      </c>
      <c r="CC123" s="1" t="s">
        <v>132</v>
      </c>
      <c r="CE123" s="122" t="str">
        <f>FUR[[#This Row],[Part Type]]</f>
        <v>Furniture</v>
      </c>
      <c r="CF123" s="122" t="str">
        <f>FUR[[#This Row],[Chemicals]]</f>
        <v>Ag-11</v>
      </c>
      <c r="CG123" s="122" t="str">
        <f>FUR[[#This Row],[UID]]</f>
        <v>1P-3</v>
      </c>
      <c r="CK123" s="82" t="str">
        <f>IF(FUR[[#This Row],[Status]]=0,"",FUR[[#This Row],[Status]])</f>
        <v>Active</v>
      </c>
    </row>
    <row r="124" spans="1:89">
      <c r="A124" s="82" t="s">
        <v>120</v>
      </c>
      <c r="B124" s="83" t="s">
        <v>31</v>
      </c>
      <c r="C124" s="83" t="s">
        <v>644</v>
      </c>
      <c r="D124" s="83" t="s">
        <v>643</v>
      </c>
      <c r="E124" s="84">
        <v>79.618499999999997</v>
      </c>
      <c r="F124" s="85">
        <v>10.49</v>
      </c>
      <c r="G124" s="86">
        <f t="shared" si="4"/>
        <v>7.5899428026692082</v>
      </c>
      <c r="H124" s="87">
        <v>40765</v>
      </c>
      <c r="I124" s="88" t="s">
        <v>629</v>
      </c>
      <c r="CA124" s="1" t="s">
        <v>71</v>
      </c>
      <c r="CB124" s="1" t="s">
        <v>18</v>
      </c>
      <c r="CC124" s="1" t="s">
        <v>132</v>
      </c>
      <c r="CE124" s="122" t="str">
        <f>FUR[[#This Row],[Part Type]]</f>
        <v>Furniture</v>
      </c>
      <c r="CF124" s="122" t="str">
        <f>FUR[[#This Row],[Chemicals]]</f>
        <v>Ag-11</v>
      </c>
      <c r="CG124" s="122" t="str">
        <f>FUR[[#This Row],[UID]]</f>
        <v>1P-4</v>
      </c>
      <c r="CK124" s="82" t="str">
        <f>IF(FUR[[#This Row],[Status]]=0,"",FUR[[#This Row],[Status]])</f>
        <v>Active</v>
      </c>
    </row>
    <row r="125" spans="1:89">
      <c r="A125" s="82" t="s">
        <v>120</v>
      </c>
      <c r="B125" s="83" t="s">
        <v>31</v>
      </c>
      <c r="C125" s="83" t="s">
        <v>645</v>
      </c>
      <c r="D125" s="83" t="s">
        <v>643</v>
      </c>
      <c r="E125" s="84">
        <v>79.550899999999999</v>
      </c>
      <c r="F125" s="85">
        <v>10.49</v>
      </c>
      <c r="G125" s="86">
        <f t="shared" si="4"/>
        <v>7.5834985700667303</v>
      </c>
      <c r="H125" s="87">
        <v>40765</v>
      </c>
      <c r="I125" s="88" t="s">
        <v>629</v>
      </c>
      <c r="CA125" s="1" t="s">
        <v>71</v>
      </c>
      <c r="CB125" s="1" t="s">
        <v>18</v>
      </c>
      <c r="CC125" s="1" t="s">
        <v>132</v>
      </c>
      <c r="CE125" s="122" t="str">
        <f>FUR[[#This Row],[Part Type]]</f>
        <v>Furniture</v>
      </c>
      <c r="CF125" s="122" t="str">
        <f>FUR[[#This Row],[Chemicals]]</f>
        <v>Ag-11</v>
      </c>
      <c r="CG125" s="122" t="str">
        <f>FUR[[#This Row],[UID]]</f>
        <v>1P-5</v>
      </c>
      <c r="CK125" s="82" t="str">
        <f>IF(FUR[[#This Row],[Status]]=0,"",FUR[[#This Row],[Status]])</f>
        <v>Active</v>
      </c>
    </row>
    <row r="126" spans="1:89">
      <c r="A126" s="82" t="s">
        <v>120</v>
      </c>
      <c r="B126" s="83" t="s">
        <v>31</v>
      </c>
      <c r="C126" s="83" t="s">
        <v>646</v>
      </c>
      <c r="D126" s="83" t="s">
        <v>647</v>
      </c>
      <c r="E126" s="84">
        <v>32.807499999999997</v>
      </c>
      <c r="F126" s="85">
        <v>10.49</v>
      </c>
      <c r="G126" s="86">
        <f t="shared" si="4"/>
        <v>3.127502383222116</v>
      </c>
      <c r="H126" s="87">
        <v>40683</v>
      </c>
      <c r="I126" s="88" t="s">
        <v>648</v>
      </c>
      <c r="CA126" s="1" t="s">
        <v>71</v>
      </c>
      <c r="CB126" s="1" t="s">
        <v>18</v>
      </c>
      <c r="CC126" s="1" t="s">
        <v>132</v>
      </c>
      <c r="CE126" s="122" t="str">
        <f>FUR[[#This Row],[Part Type]]</f>
        <v>Furniture</v>
      </c>
      <c r="CF126" s="122" t="str">
        <f>FUR[[#This Row],[Chemicals]]</f>
        <v>Ag-6, Ag-3</v>
      </c>
      <c r="CG126" s="122" t="str">
        <f>FUR[[#This Row],[UID]]</f>
        <v>1P-6</v>
      </c>
      <c r="CK126" s="82" t="str">
        <f>IF(FUR[[#This Row],[Status]]=0,"",FUR[[#This Row],[Status]])</f>
        <v>Active</v>
      </c>
    </row>
    <row r="127" spans="1:89">
      <c r="A127" s="82" t="s">
        <v>120</v>
      </c>
      <c r="B127" s="83" t="s">
        <v>31</v>
      </c>
      <c r="C127" s="83" t="s">
        <v>649</v>
      </c>
      <c r="D127" s="83" t="s">
        <v>647</v>
      </c>
      <c r="E127" s="84">
        <v>33.317300000000003</v>
      </c>
      <c r="F127" s="85">
        <v>10.49</v>
      </c>
      <c r="G127" s="86">
        <f t="shared" si="4"/>
        <v>3.1761010486177312</v>
      </c>
      <c r="H127" s="87">
        <v>40683</v>
      </c>
      <c r="I127" s="88" t="s">
        <v>648</v>
      </c>
      <c r="CA127" s="1" t="s">
        <v>71</v>
      </c>
      <c r="CB127" s="1" t="s">
        <v>18</v>
      </c>
      <c r="CC127" s="1" t="s">
        <v>132</v>
      </c>
      <c r="CE127" s="122" t="str">
        <f>FUR[[#This Row],[Part Type]]</f>
        <v>Furniture</v>
      </c>
      <c r="CF127" s="122" t="str">
        <f>FUR[[#This Row],[Chemicals]]</f>
        <v>Ag-6, Ag-3</v>
      </c>
      <c r="CG127" s="122" t="str">
        <f>FUR[[#This Row],[UID]]</f>
        <v>1P-7</v>
      </c>
      <c r="CK127" s="82" t="str">
        <f>IF(FUR[[#This Row],[Status]]=0,"",FUR[[#This Row],[Status]])</f>
        <v>Active</v>
      </c>
    </row>
    <row r="128" spans="1:89">
      <c r="A128" s="82" t="s">
        <v>120</v>
      </c>
      <c r="B128" s="83" t="s">
        <v>31</v>
      </c>
      <c r="C128" s="83" t="s">
        <v>650</v>
      </c>
      <c r="D128" s="83" t="s">
        <v>628</v>
      </c>
      <c r="E128" s="84">
        <v>9.4047699999999992</v>
      </c>
      <c r="F128" s="85">
        <v>10.49</v>
      </c>
      <c r="G128" s="86">
        <f t="shared" si="4"/>
        <v>0.89654623450905613</v>
      </c>
      <c r="H128" s="87">
        <v>40683</v>
      </c>
      <c r="I128" s="88" t="s">
        <v>651</v>
      </c>
      <c r="CA128" s="1" t="s">
        <v>71</v>
      </c>
      <c r="CB128" s="1" t="s">
        <v>18</v>
      </c>
      <c r="CC128" s="1" t="s">
        <v>132</v>
      </c>
      <c r="CE128" s="122" t="str">
        <f>FUR[[#This Row],[Part Type]]</f>
        <v>Furniture</v>
      </c>
      <c r="CF128" s="122" t="str">
        <f>FUR[[#This Row],[Chemicals]]</f>
        <v>Ag-7</v>
      </c>
      <c r="CG128" s="122" t="str">
        <f>FUR[[#This Row],[UID]]</f>
        <v>1P-8</v>
      </c>
      <c r="CK128" s="82" t="str">
        <f>IF(FUR[[#This Row],[Status]]=0,"",FUR[[#This Row],[Status]])</f>
        <v>Active</v>
      </c>
    </row>
    <row r="129" spans="1:89">
      <c r="A129" s="82" t="s">
        <v>120</v>
      </c>
      <c r="B129" s="83" t="s">
        <v>31</v>
      </c>
      <c r="C129" s="83" t="s">
        <v>652</v>
      </c>
      <c r="D129" s="83" t="s">
        <v>628</v>
      </c>
      <c r="E129" s="84">
        <v>9.3954299999999993</v>
      </c>
      <c r="F129" s="85">
        <v>10.49</v>
      </c>
      <c r="G129" s="86">
        <f t="shared" si="4"/>
        <v>0.89565586272640596</v>
      </c>
      <c r="H129" s="87">
        <v>40683</v>
      </c>
      <c r="I129" s="88" t="s">
        <v>653</v>
      </c>
      <c r="CA129" s="1" t="s">
        <v>71</v>
      </c>
      <c r="CB129" s="1" t="s">
        <v>18</v>
      </c>
      <c r="CC129" s="1" t="s">
        <v>132</v>
      </c>
      <c r="CE129" s="122" t="str">
        <f>FUR[[#This Row],[Part Type]]</f>
        <v>Furniture</v>
      </c>
      <c r="CF129" s="122" t="str">
        <f>FUR[[#This Row],[Chemicals]]</f>
        <v>Ag-7</v>
      </c>
      <c r="CG129" s="122" t="str">
        <f>FUR[[#This Row],[UID]]</f>
        <v>1P-9</v>
      </c>
      <c r="CK129" s="82" t="str">
        <f>IF(FUR[[#This Row],[Status]]=0,"",FUR[[#This Row],[Status]])</f>
        <v>Active</v>
      </c>
    </row>
    <row r="130" spans="1:89">
      <c r="A130" s="82" t="s">
        <v>120</v>
      </c>
      <c r="B130" s="83" t="s">
        <v>31</v>
      </c>
      <c r="C130" s="83" t="s">
        <v>654</v>
      </c>
      <c r="D130" s="83" t="s">
        <v>655</v>
      </c>
      <c r="E130" s="84">
        <v>15.08694</v>
      </c>
      <c r="F130" s="85">
        <v>8.56</v>
      </c>
      <c r="G130" s="86">
        <f t="shared" si="4"/>
        <v>1.7624929906542055</v>
      </c>
      <c r="H130" s="87">
        <v>39083</v>
      </c>
      <c r="I130" s="88" t="s">
        <v>656</v>
      </c>
      <c r="CA130" s="1" t="s">
        <v>71</v>
      </c>
      <c r="CB130" s="1" t="s">
        <v>18</v>
      </c>
      <c r="CC130" s="1" t="s">
        <v>132</v>
      </c>
      <c r="CE130" s="122" t="str">
        <f>FUR[[#This Row],[Part Type]]</f>
        <v>Furniture</v>
      </c>
      <c r="CF130" s="122" t="str">
        <f>FUR[[#This Row],[Chemicals]]</f>
        <v>Ni200201-1, NiCr8020-4, Ni-19</v>
      </c>
      <c r="CG130" s="122" t="str">
        <f>FUR[[#This Row],[UID]]</f>
        <v>1S-0</v>
      </c>
      <c r="CK130" s="82" t="str">
        <f>IF(FUR[[#This Row],[Status]]=0,"",FUR[[#This Row],[Status]])</f>
        <v>Active</v>
      </c>
    </row>
    <row r="131" spans="1:89">
      <c r="A131" s="82" t="s">
        <v>120</v>
      </c>
      <c r="B131" s="83" t="s">
        <v>31</v>
      </c>
      <c r="C131" s="83" t="s">
        <v>657</v>
      </c>
      <c r="D131" s="83" t="s">
        <v>655</v>
      </c>
      <c r="E131" s="84">
        <v>13.318239999999999</v>
      </c>
      <c r="F131" s="85">
        <v>8.59</v>
      </c>
      <c r="G131" s="86">
        <f t="shared" si="4"/>
        <v>1.5504353899883585</v>
      </c>
      <c r="H131" s="87">
        <v>39821</v>
      </c>
      <c r="I131" s="88" t="s">
        <v>658</v>
      </c>
      <c r="CA131" s="1" t="s">
        <v>71</v>
      </c>
      <c r="CB131" s="1" t="s">
        <v>18</v>
      </c>
      <c r="CC131" s="1" t="s">
        <v>132</v>
      </c>
      <c r="CE131" s="122" t="str">
        <f>FUR[[#This Row],[Part Type]]</f>
        <v>Furniture</v>
      </c>
      <c r="CF131" s="122" t="str">
        <f>FUR[[#This Row],[Chemicals]]</f>
        <v>Ni200201-1, NiCr8020-4, Ni-19</v>
      </c>
      <c r="CG131" s="122" t="str">
        <f>FUR[[#This Row],[UID]]</f>
        <v>1S-1</v>
      </c>
      <c r="CK131" s="82" t="str">
        <f>IF(FUR[[#This Row],[Status]]=0,"",FUR[[#This Row],[Status]])</f>
        <v>Active</v>
      </c>
    </row>
    <row r="132" spans="1:89">
      <c r="A132" s="82" t="s">
        <v>260</v>
      </c>
      <c r="B132" s="83" t="s">
        <v>31</v>
      </c>
      <c r="C132" s="83" t="s">
        <v>659</v>
      </c>
      <c r="D132" s="83" t="s">
        <v>660</v>
      </c>
      <c r="E132" s="84">
        <v>20.43092</v>
      </c>
      <c r="F132" s="85">
        <v>10.49</v>
      </c>
      <c r="G132" s="86">
        <f t="shared" si="4"/>
        <v>1.9476568160152525</v>
      </c>
      <c r="H132" s="87">
        <v>40694</v>
      </c>
      <c r="I132" s="88" t="s">
        <v>661</v>
      </c>
      <c r="CA132" s="1" t="s">
        <v>71</v>
      </c>
      <c r="CB132" s="1" t="s">
        <v>18</v>
      </c>
      <c r="CC132" s="1" t="s">
        <v>132</v>
      </c>
      <c r="CE132" s="122" t="str">
        <f>FUR[[#This Row],[Part Type]]</f>
        <v>Furniture</v>
      </c>
      <c r="CF132" s="122" t="str">
        <f>FUR[[#This Row],[Chemicals]]</f>
        <v>Ag-5, Ag-6, Ag-4</v>
      </c>
      <c r="CG132" s="122" t="str">
        <f>FUR[[#This Row],[UID]]</f>
        <v>1S-10</v>
      </c>
      <c r="CK132" s="82" t="str">
        <f>IF(FUR[[#This Row],[Status]]=0,"",FUR[[#This Row],[Status]])</f>
        <v>Retired</v>
      </c>
    </row>
    <row r="133" spans="1:89">
      <c r="A133" s="82" t="s">
        <v>120</v>
      </c>
      <c r="B133" s="83" t="s">
        <v>31</v>
      </c>
      <c r="C133" s="83" t="s">
        <v>662</v>
      </c>
      <c r="D133" s="83" t="s">
        <v>562</v>
      </c>
      <c r="E133" s="84">
        <v>20.422260000000001</v>
      </c>
      <c r="F133" s="85">
        <v>10.49</v>
      </c>
      <c r="G133" s="86">
        <f t="shared" si="4"/>
        <v>1.9468312678741659</v>
      </c>
      <c r="H133" s="87">
        <v>40773</v>
      </c>
      <c r="I133" s="88" t="s">
        <v>663</v>
      </c>
      <c r="CA133" s="1" t="s">
        <v>71</v>
      </c>
      <c r="CB133" s="1" t="s">
        <v>18</v>
      </c>
      <c r="CC133" s="1" t="s">
        <v>132</v>
      </c>
      <c r="CE133" s="122" t="str">
        <f>FUR[[#This Row],[Part Type]]</f>
        <v>Furniture</v>
      </c>
      <c r="CF133" s="122" t="str">
        <f>FUR[[#This Row],[Chemicals]]</f>
        <v>Ag-6, Ag-10</v>
      </c>
      <c r="CG133" s="122" t="str">
        <f>FUR[[#This Row],[UID]]</f>
        <v>1S-11</v>
      </c>
      <c r="CK133" s="82" t="str">
        <f>IF(FUR[[#This Row],[Status]]=0,"",FUR[[#This Row],[Status]])</f>
        <v>Active</v>
      </c>
    </row>
    <row r="134" spans="1:89">
      <c r="A134" s="82" t="s">
        <v>120</v>
      </c>
      <c r="B134" s="83" t="s">
        <v>31</v>
      </c>
      <c r="C134" s="83" t="s">
        <v>664</v>
      </c>
      <c r="D134" s="83" t="s">
        <v>562</v>
      </c>
      <c r="E134" s="84">
        <v>20.430070000000001</v>
      </c>
      <c r="F134" s="85">
        <v>10.49</v>
      </c>
      <c r="G134" s="86">
        <f t="shared" si="4"/>
        <v>1.9475757864632983</v>
      </c>
      <c r="H134" s="87">
        <v>40773</v>
      </c>
      <c r="I134" s="88" t="s">
        <v>663</v>
      </c>
      <c r="CA134" s="1" t="s">
        <v>71</v>
      </c>
      <c r="CB134" s="1" t="s">
        <v>18</v>
      </c>
      <c r="CC134" s="1" t="s">
        <v>132</v>
      </c>
      <c r="CE134" s="122" t="str">
        <f>FUR[[#This Row],[Part Type]]</f>
        <v>Furniture</v>
      </c>
      <c r="CF134" s="122" t="str">
        <f>FUR[[#This Row],[Chemicals]]</f>
        <v>Ag-6, Ag-10</v>
      </c>
      <c r="CG134" s="122" t="str">
        <f>FUR[[#This Row],[UID]]</f>
        <v>1S-12</v>
      </c>
      <c r="CK134" s="82" t="str">
        <f>IF(FUR[[#This Row],[Status]]=0,"",FUR[[#This Row],[Status]])</f>
        <v>Active</v>
      </c>
    </row>
    <row r="135" spans="1:89">
      <c r="A135" s="82" t="s">
        <v>120</v>
      </c>
      <c r="B135" s="83" t="s">
        <v>31</v>
      </c>
      <c r="C135" s="83" t="s">
        <v>665</v>
      </c>
      <c r="D135" s="83" t="s">
        <v>562</v>
      </c>
      <c r="E135" s="84">
        <v>20.049379999999999</v>
      </c>
      <c r="F135" s="85">
        <v>10.49</v>
      </c>
      <c r="G135" s="86">
        <f t="shared" si="4"/>
        <v>1.9112850333651095</v>
      </c>
      <c r="H135" s="87">
        <v>40773</v>
      </c>
      <c r="I135" s="88" t="s">
        <v>666</v>
      </c>
      <c r="CA135" s="1" t="s">
        <v>71</v>
      </c>
      <c r="CB135" s="1" t="s">
        <v>18</v>
      </c>
      <c r="CC135" s="1" t="s">
        <v>132</v>
      </c>
      <c r="CE135" s="122" t="str">
        <f>FUR[[#This Row],[Part Type]]</f>
        <v>Furniture</v>
      </c>
      <c r="CF135" s="122" t="str">
        <f>FUR[[#This Row],[Chemicals]]</f>
        <v>Ag-6, Ag-10</v>
      </c>
      <c r="CG135" s="122" t="str">
        <f>FUR[[#This Row],[UID]]</f>
        <v>1S-13</v>
      </c>
      <c r="CK135" s="82" t="str">
        <f>IF(FUR[[#This Row],[Status]]=0,"",FUR[[#This Row],[Status]])</f>
        <v>Active</v>
      </c>
    </row>
    <row r="136" spans="1:89">
      <c r="A136" s="82" t="s">
        <v>120</v>
      </c>
      <c r="B136" s="83" t="s">
        <v>31</v>
      </c>
      <c r="C136" s="83" t="s">
        <v>667</v>
      </c>
      <c r="D136" s="83" t="s">
        <v>562</v>
      </c>
      <c r="E136" s="84">
        <v>20.15446</v>
      </c>
      <c r="F136" s="85">
        <v>10.49</v>
      </c>
      <c r="G136" s="86">
        <f t="shared" si="4"/>
        <v>1.921302192564347</v>
      </c>
      <c r="H136" s="87">
        <v>40773</v>
      </c>
      <c r="I136" s="88" t="s">
        <v>668</v>
      </c>
      <c r="CA136" s="1" t="s">
        <v>71</v>
      </c>
      <c r="CB136" s="1" t="s">
        <v>18</v>
      </c>
      <c r="CC136" s="1" t="s">
        <v>132</v>
      </c>
      <c r="CE136" s="122" t="str">
        <f>FUR[[#This Row],[Part Type]]</f>
        <v>Furniture</v>
      </c>
      <c r="CF136" s="122" t="str">
        <f>FUR[[#This Row],[Chemicals]]</f>
        <v>Ag-6, Ag-10</v>
      </c>
      <c r="CG136" s="122" t="str">
        <f>FUR[[#This Row],[UID]]</f>
        <v>1S-14</v>
      </c>
      <c r="CK136" s="82" t="str">
        <f>IF(FUR[[#This Row],[Status]]=0,"",FUR[[#This Row],[Status]])</f>
        <v>Active</v>
      </c>
    </row>
    <row r="137" spans="1:89">
      <c r="A137" s="82" t="s">
        <v>120</v>
      </c>
      <c r="B137" s="83" t="s">
        <v>31</v>
      </c>
      <c r="C137" s="83" t="s">
        <v>669</v>
      </c>
      <c r="D137" s="83" t="s">
        <v>496</v>
      </c>
      <c r="E137" s="84">
        <v>20.719989999999999</v>
      </c>
      <c r="F137" s="85">
        <v>10.49</v>
      </c>
      <c r="G137" s="86">
        <f t="shared" si="4"/>
        <v>1.9752135367016206</v>
      </c>
      <c r="H137" s="87">
        <v>40899</v>
      </c>
      <c r="CA137" s="1" t="s">
        <v>71</v>
      </c>
      <c r="CB137" s="1" t="s">
        <v>18</v>
      </c>
      <c r="CC137" s="1" t="s">
        <v>132</v>
      </c>
      <c r="CE137" s="122" t="str">
        <f>FUR[[#This Row],[Part Type]]</f>
        <v>Furniture</v>
      </c>
      <c r="CF137" s="122" t="str">
        <f>FUR[[#This Row],[Chemicals]]</f>
        <v>Ag-6, Ag-14</v>
      </c>
      <c r="CG137" s="122" t="str">
        <f>FUR[[#This Row],[UID]]</f>
        <v>1S-15</v>
      </c>
      <c r="CK137" s="82" t="str">
        <f>IF(FUR[[#This Row],[Status]]=0,"",FUR[[#This Row],[Status]])</f>
        <v>Active</v>
      </c>
    </row>
    <row r="138" spans="1:89">
      <c r="A138" s="82" t="s">
        <v>120</v>
      </c>
      <c r="B138" s="83" t="s">
        <v>31</v>
      </c>
      <c r="C138" s="83" t="s">
        <v>670</v>
      </c>
      <c r="D138" s="83" t="s">
        <v>671</v>
      </c>
      <c r="E138" s="84">
        <v>17.47692</v>
      </c>
      <c r="F138" s="85">
        <v>10.49</v>
      </c>
      <c r="G138" s="86">
        <f t="shared" si="4"/>
        <v>1.6660552907530981</v>
      </c>
      <c r="H138" s="87">
        <v>40899</v>
      </c>
      <c r="CA138" s="1" t="s">
        <v>71</v>
      </c>
      <c r="CB138" s="1" t="s">
        <v>18</v>
      </c>
      <c r="CC138" s="1" t="s">
        <v>132</v>
      </c>
      <c r="CE138" s="122" t="str">
        <f>FUR[[#This Row],[Part Type]]</f>
        <v>Furniture</v>
      </c>
      <c r="CF138" s="122" t="str">
        <f>FUR[[#This Row],[Chemicals]]</f>
        <v>Ag-14, Ag-16</v>
      </c>
      <c r="CG138" s="122" t="str">
        <f>FUR[[#This Row],[UID]]</f>
        <v>1S-16</v>
      </c>
      <c r="CK138" s="82" t="str">
        <f>IF(FUR[[#This Row],[Status]]=0,"",FUR[[#This Row],[Status]])</f>
        <v>Active</v>
      </c>
    </row>
    <row r="139" spans="1:89">
      <c r="A139" s="82" t="s">
        <v>120</v>
      </c>
      <c r="B139" s="83" t="s">
        <v>31</v>
      </c>
      <c r="C139" s="83" t="s">
        <v>672</v>
      </c>
      <c r="E139" s="84">
        <v>32.007800000000003</v>
      </c>
      <c r="F139" s="85">
        <v>10.49</v>
      </c>
      <c r="G139" s="86">
        <f t="shared" si="4"/>
        <v>3.0512678741658723</v>
      </c>
      <c r="H139" s="87">
        <v>41501</v>
      </c>
      <c r="CA139" s="1" t="s">
        <v>71</v>
      </c>
      <c r="CB139" s="1" t="s">
        <v>18</v>
      </c>
      <c r="CC139" s="1" t="s">
        <v>132</v>
      </c>
      <c r="CE139" s="122" t="str">
        <f>FUR[[#This Row],[Part Type]]</f>
        <v>Furniture</v>
      </c>
      <c r="CF139" s="122">
        <f>FUR[[#This Row],[Chemicals]]</f>
        <v>0</v>
      </c>
      <c r="CG139" s="122" t="str">
        <f>FUR[[#This Row],[UID]]</f>
        <v>1S-17</v>
      </c>
      <c r="CK139" s="82" t="str">
        <f>IF(FUR[[#This Row],[Status]]=0,"",FUR[[#This Row],[Status]])</f>
        <v>Active</v>
      </c>
    </row>
    <row r="140" spans="1:89">
      <c r="A140" s="82" t="s">
        <v>120</v>
      </c>
      <c r="B140" s="83" t="s">
        <v>31</v>
      </c>
      <c r="C140" s="83" t="s">
        <v>673</v>
      </c>
      <c r="E140" s="84">
        <v>32.067300000000003</v>
      </c>
      <c r="F140" s="85">
        <v>10.49</v>
      </c>
      <c r="G140" s="86">
        <f t="shared" si="4"/>
        <v>3.0569399428026696</v>
      </c>
      <c r="H140" s="87">
        <v>41501</v>
      </c>
      <c r="CA140" s="1" t="s">
        <v>71</v>
      </c>
      <c r="CB140" s="1" t="s">
        <v>18</v>
      </c>
      <c r="CC140" s="1" t="s">
        <v>132</v>
      </c>
      <c r="CE140" s="122" t="str">
        <f>FUR[[#This Row],[Part Type]]</f>
        <v>Furniture</v>
      </c>
      <c r="CF140" s="122">
        <f>FUR[[#This Row],[Chemicals]]</f>
        <v>0</v>
      </c>
      <c r="CG140" s="122" t="str">
        <f>FUR[[#This Row],[UID]]</f>
        <v>1S-18</v>
      </c>
      <c r="CK140" s="82" t="str">
        <f>IF(FUR[[#This Row],[Status]]=0,"",FUR[[#This Row],[Status]])</f>
        <v>Active</v>
      </c>
    </row>
    <row r="141" spans="1:89">
      <c r="A141" s="82" t="s">
        <v>120</v>
      </c>
      <c r="B141" s="83" t="s">
        <v>31</v>
      </c>
      <c r="C141" s="83" t="s">
        <v>674</v>
      </c>
      <c r="E141" s="84">
        <v>20.15446</v>
      </c>
      <c r="F141" s="85">
        <v>10.49</v>
      </c>
      <c r="G141" s="86">
        <f t="shared" ref="G141:G172" si="5">E141/F141</f>
        <v>1.921302192564347</v>
      </c>
      <c r="H141" s="87">
        <v>40773</v>
      </c>
      <c r="I141" s="88" t="s">
        <v>675</v>
      </c>
      <c r="CA141" s="1" t="s">
        <v>71</v>
      </c>
      <c r="CB141" s="1" t="s">
        <v>18</v>
      </c>
      <c r="CC141" s="1" t="s">
        <v>132</v>
      </c>
      <c r="CE141" s="122" t="str">
        <f>FUR[[#This Row],[Part Type]]</f>
        <v>Furniture</v>
      </c>
      <c r="CF141" s="122">
        <f>FUR[[#This Row],[Chemicals]]</f>
        <v>0</v>
      </c>
      <c r="CG141" s="122" t="str">
        <f>FUR[[#This Row],[UID]]</f>
        <v>1S-19</v>
      </c>
      <c r="CK141" s="82" t="str">
        <f>IF(FUR[[#This Row],[Status]]=0,"",FUR[[#This Row],[Status]])</f>
        <v>Active</v>
      </c>
    </row>
    <row r="142" spans="1:89">
      <c r="A142" s="82" t="s">
        <v>120</v>
      </c>
      <c r="B142" s="83" t="s">
        <v>31</v>
      </c>
      <c r="C142" s="83" t="s">
        <v>676</v>
      </c>
      <c r="D142" s="83" t="s">
        <v>655</v>
      </c>
      <c r="E142" s="84">
        <v>15.25174</v>
      </c>
      <c r="F142" s="85">
        <v>8.5500000000000007</v>
      </c>
      <c r="G142" s="86">
        <f t="shared" si="5"/>
        <v>1.7838292397660818</v>
      </c>
      <c r="H142" s="87">
        <v>39814</v>
      </c>
      <c r="CA142" s="1" t="s">
        <v>71</v>
      </c>
      <c r="CB142" s="1" t="s">
        <v>18</v>
      </c>
      <c r="CC142" s="1" t="s">
        <v>132</v>
      </c>
      <c r="CE142" s="122" t="str">
        <f>FUR[[#This Row],[Part Type]]</f>
        <v>Furniture</v>
      </c>
      <c r="CF142" s="122" t="str">
        <f>FUR[[#This Row],[Chemicals]]</f>
        <v>Ni200201-1, NiCr8020-4, Ni-19</v>
      </c>
      <c r="CG142" s="122" t="str">
        <f>FUR[[#This Row],[UID]]</f>
        <v>1S-2</v>
      </c>
      <c r="CK142" s="82" t="str">
        <f>IF(FUR[[#This Row],[Status]]=0,"",FUR[[#This Row],[Status]])</f>
        <v>Active</v>
      </c>
    </row>
    <row r="143" spans="1:89">
      <c r="A143" s="82" t="s">
        <v>120</v>
      </c>
      <c r="B143" s="83" t="s">
        <v>31</v>
      </c>
      <c r="C143" s="83" t="s">
        <v>677</v>
      </c>
      <c r="F143" s="85">
        <v>10.49</v>
      </c>
      <c r="G143" s="86">
        <f t="shared" si="5"/>
        <v>0</v>
      </c>
      <c r="CA143" s="1" t="s">
        <v>71</v>
      </c>
      <c r="CB143" s="1" t="s">
        <v>18</v>
      </c>
      <c r="CC143" s="1" t="s">
        <v>132</v>
      </c>
      <c r="CE143" s="122" t="str">
        <f>FUR[[#This Row],[Part Type]]</f>
        <v>Furniture</v>
      </c>
      <c r="CF143" s="122">
        <f>FUR[[#This Row],[Chemicals]]</f>
        <v>0</v>
      </c>
      <c r="CG143" s="122" t="str">
        <f>FUR[[#This Row],[UID]]</f>
        <v>1S-20</v>
      </c>
      <c r="CK143" s="82" t="str">
        <f>IF(FUR[[#This Row],[Status]]=0,"",FUR[[#This Row],[Status]])</f>
        <v>Active</v>
      </c>
    </row>
    <row r="144" spans="1:89">
      <c r="A144" s="82" t="s">
        <v>120</v>
      </c>
      <c r="B144" s="83" t="s">
        <v>31</v>
      </c>
      <c r="C144" s="89" t="s">
        <v>678</v>
      </c>
      <c r="D144" s="89" t="s">
        <v>537</v>
      </c>
      <c r="E144" s="89">
        <v>3.11</v>
      </c>
      <c r="F144" s="89">
        <v>8.44</v>
      </c>
      <c r="G144" s="86">
        <f t="shared" si="5"/>
        <v>0.36848341232227488</v>
      </c>
      <c r="H144" s="90">
        <v>41668</v>
      </c>
      <c r="I144" s="88" t="s">
        <v>679</v>
      </c>
      <c r="CA144" s="1" t="s">
        <v>71</v>
      </c>
      <c r="CB144" s="1" t="s">
        <v>18</v>
      </c>
      <c r="CC144" s="1" t="s">
        <v>132</v>
      </c>
      <c r="CE144" s="122" t="str">
        <f>FUR[[#This Row],[Part Type]]</f>
        <v>Furniture</v>
      </c>
      <c r="CF144" s="122" t="str">
        <f>FUR[[#This Row],[Chemicals]]</f>
        <v>Inc625</v>
      </c>
      <c r="CG144" s="122" t="str">
        <f>FUR[[#This Row],[UID]]</f>
        <v>1S-21</v>
      </c>
      <c r="CK144" s="82" t="str">
        <f>IF(FUR[[#This Row],[Status]]=0,"",FUR[[#This Row],[Status]])</f>
        <v>Active</v>
      </c>
    </row>
    <row r="145" spans="1:89">
      <c r="A145" s="82" t="s">
        <v>120</v>
      </c>
      <c r="B145" s="83" t="s">
        <v>31</v>
      </c>
      <c r="C145" s="89" t="s">
        <v>680</v>
      </c>
      <c r="D145" s="89" t="s">
        <v>537</v>
      </c>
      <c r="E145" s="89">
        <v>3.11</v>
      </c>
      <c r="F145" s="89">
        <v>8.44</v>
      </c>
      <c r="G145" s="86">
        <f t="shared" si="5"/>
        <v>0.36848341232227488</v>
      </c>
      <c r="H145" s="90">
        <v>41791</v>
      </c>
      <c r="I145" s="88" t="s">
        <v>679</v>
      </c>
      <c r="CA145" s="1" t="s">
        <v>71</v>
      </c>
      <c r="CB145" s="1" t="s">
        <v>18</v>
      </c>
      <c r="CC145" s="1" t="s">
        <v>132</v>
      </c>
      <c r="CE145" s="122" t="str">
        <f>FUR[[#This Row],[Part Type]]</f>
        <v>Furniture</v>
      </c>
      <c r="CF145" s="122" t="str">
        <f>FUR[[#This Row],[Chemicals]]</f>
        <v>Inc625</v>
      </c>
      <c r="CG145" s="122" t="str">
        <f>FUR[[#This Row],[UID]]</f>
        <v>1S-22</v>
      </c>
      <c r="CK145" s="82" t="str">
        <f>IF(FUR[[#This Row],[Status]]=0,"",FUR[[#This Row],[Status]])</f>
        <v>Active</v>
      </c>
    </row>
    <row r="146" spans="1:89">
      <c r="A146" s="82" t="s">
        <v>120</v>
      </c>
      <c r="B146" s="83" t="s">
        <v>31</v>
      </c>
      <c r="C146" s="89" t="s">
        <v>681</v>
      </c>
      <c r="D146" s="89" t="s">
        <v>537</v>
      </c>
      <c r="E146" s="89">
        <v>3.3205800000000001</v>
      </c>
      <c r="F146" s="89">
        <v>8.44</v>
      </c>
      <c r="G146" s="86">
        <f t="shared" si="5"/>
        <v>0.39343364928909957</v>
      </c>
      <c r="H146" s="90">
        <v>41981</v>
      </c>
      <c r="I146" s="88" t="s">
        <v>679</v>
      </c>
      <c r="CA146" s="1" t="s">
        <v>71</v>
      </c>
      <c r="CB146" s="1" t="s">
        <v>18</v>
      </c>
      <c r="CC146" s="1" t="s">
        <v>132</v>
      </c>
      <c r="CE146" s="122" t="str">
        <f>FUR[[#This Row],[Part Type]]</f>
        <v>Furniture</v>
      </c>
      <c r="CF146" s="122" t="str">
        <f>FUR[[#This Row],[Chemicals]]</f>
        <v>Inc625</v>
      </c>
      <c r="CG146" s="122" t="str">
        <f>FUR[[#This Row],[UID]]</f>
        <v>1S-23</v>
      </c>
      <c r="CK146" s="82" t="str">
        <f>IF(FUR[[#This Row],[Status]]=0,"",FUR[[#This Row],[Status]])</f>
        <v>Active</v>
      </c>
    </row>
    <row r="147" spans="1:89">
      <c r="A147" s="82" t="s">
        <v>120</v>
      </c>
      <c r="B147" s="83" t="s">
        <v>31</v>
      </c>
      <c r="C147" s="89" t="s">
        <v>682</v>
      </c>
      <c r="D147" s="89" t="s">
        <v>537</v>
      </c>
      <c r="E147" s="89">
        <v>3.2886500000000001</v>
      </c>
      <c r="F147" s="89">
        <v>8.44</v>
      </c>
      <c r="G147" s="86">
        <f t="shared" si="5"/>
        <v>0.38965047393364932</v>
      </c>
      <c r="H147" s="90">
        <v>41981</v>
      </c>
      <c r="I147" s="88" t="s">
        <v>679</v>
      </c>
      <c r="CA147" s="1" t="s">
        <v>71</v>
      </c>
      <c r="CB147" s="1" t="s">
        <v>18</v>
      </c>
      <c r="CC147" s="1" t="s">
        <v>132</v>
      </c>
      <c r="CE147" s="122" t="str">
        <f>FUR[[#This Row],[Part Type]]</f>
        <v>Furniture</v>
      </c>
      <c r="CF147" s="122" t="str">
        <f>FUR[[#This Row],[Chemicals]]</f>
        <v>Inc625</v>
      </c>
      <c r="CG147" s="122" t="str">
        <f>FUR[[#This Row],[UID]]</f>
        <v>1S-24</v>
      </c>
      <c r="CK147" s="82" t="str">
        <f>IF(FUR[[#This Row],[Status]]=0,"",FUR[[#This Row],[Status]])</f>
        <v>Active</v>
      </c>
    </row>
    <row r="148" spans="1:89">
      <c r="A148" s="82" t="s">
        <v>120</v>
      </c>
      <c r="B148" s="83" t="s">
        <v>31</v>
      </c>
      <c r="C148" s="89" t="s">
        <v>683</v>
      </c>
      <c r="D148" s="89" t="s">
        <v>684</v>
      </c>
      <c r="E148" s="89">
        <v>3.3909799999999999</v>
      </c>
      <c r="F148" s="89">
        <v>8.44</v>
      </c>
      <c r="G148" s="86">
        <f t="shared" si="5"/>
        <v>0.40177488151658769</v>
      </c>
      <c r="H148" s="90">
        <v>41981</v>
      </c>
      <c r="I148" s="88" t="s">
        <v>679</v>
      </c>
      <c r="CA148" s="1" t="s">
        <v>71</v>
      </c>
      <c r="CB148" s="1" t="s">
        <v>18</v>
      </c>
      <c r="CC148" s="1" t="s">
        <v>132</v>
      </c>
      <c r="CE148" s="122" t="str">
        <f>FUR[[#This Row],[Part Type]]</f>
        <v>Furniture</v>
      </c>
      <c r="CF148" s="122" t="str">
        <f>FUR[[#This Row],[Chemicals]]</f>
        <v>Inc626</v>
      </c>
      <c r="CG148" s="122" t="str">
        <f>FUR[[#This Row],[UID]]</f>
        <v>1S-25</v>
      </c>
      <c r="CK148" s="82" t="str">
        <f>IF(FUR[[#This Row],[Status]]=0,"",FUR[[#This Row],[Status]])</f>
        <v>Active</v>
      </c>
    </row>
    <row r="149" spans="1:89">
      <c r="A149" s="82" t="s">
        <v>120</v>
      </c>
      <c r="B149" s="83" t="s">
        <v>31</v>
      </c>
      <c r="C149" s="83" t="s">
        <v>685</v>
      </c>
      <c r="D149" s="83" t="s">
        <v>655</v>
      </c>
      <c r="E149" s="84">
        <v>15.06606</v>
      </c>
      <c r="F149" s="85">
        <v>8.56</v>
      </c>
      <c r="G149" s="86">
        <f t="shared" si="5"/>
        <v>1.760053738317757</v>
      </c>
      <c r="H149" s="87">
        <v>39814</v>
      </c>
      <c r="CA149" s="1" t="s">
        <v>71</v>
      </c>
      <c r="CB149" s="1" t="s">
        <v>18</v>
      </c>
      <c r="CC149" s="1" t="s">
        <v>132</v>
      </c>
      <c r="CE149" s="122" t="str">
        <f>FUR[[#This Row],[Part Type]]</f>
        <v>Furniture</v>
      </c>
      <c r="CF149" s="122" t="str">
        <f>FUR[[#This Row],[Chemicals]]</f>
        <v>Ni200201-1, NiCr8020-4, Ni-19</v>
      </c>
      <c r="CG149" s="122" t="str">
        <f>FUR[[#This Row],[UID]]</f>
        <v>1S-3</v>
      </c>
      <c r="CK149" s="82" t="str">
        <f>IF(FUR[[#This Row],[Status]]=0,"",FUR[[#This Row],[Status]])</f>
        <v>Active</v>
      </c>
    </row>
    <row r="150" spans="1:89">
      <c r="A150" s="82" t="s">
        <v>120</v>
      </c>
      <c r="B150" s="83" t="s">
        <v>31</v>
      </c>
      <c r="C150" s="83" t="s">
        <v>686</v>
      </c>
      <c r="D150" s="83" t="s">
        <v>655</v>
      </c>
      <c r="E150" s="84">
        <v>15.084250000000001</v>
      </c>
      <c r="F150" s="85">
        <v>8.56</v>
      </c>
      <c r="G150" s="86">
        <f t="shared" si="5"/>
        <v>1.762178738317757</v>
      </c>
      <c r="H150" s="87">
        <v>40148</v>
      </c>
      <c r="CA150" s="1" t="s">
        <v>71</v>
      </c>
      <c r="CB150" s="1" t="s">
        <v>18</v>
      </c>
      <c r="CC150" s="1" t="s">
        <v>132</v>
      </c>
      <c r="CE150" s="122" t="str">
        <f>FUR[[#This Row],[Part Type]]</f>
        <v>Furniture</v>
      </c>
      <c r="CF150" s="122" t="str">
        <f>FUR[[#This Row],[Chemicals]]</f>
        <v>Ni200201-1, NiCr8020-4, Ni-19</v>
      </c>
      <c r="CG150" s="122" t="str">
        <f>FUR[[#This Row],[UID]]</f>
        <v>1S-4</v>
      </c>
      <c r="CK150" s="82" t="str">
        <f>IF(FUR[[#This Row],[Status]]=0,"",FUR[[#This Row],[Status]])</f>
        <v>Active</v>
      </c>
    </row>
    <row r="151" spans="1:89">
      <c r="A151" s="82" t="s">
        <v>120</v>
      </c>
      <c r="B151" s="83" t="s">
        <v>31</v>
      </c>
      <c r="C151" s="83" t="s">
        <v>687</v>
      </c>
      <c r="D151" s="83" t="s">
        <v>655</v>
      </c>
      <c r="E151" s="84">
        <v>11.98423</v>
      </c>
      <c r="F151" s="85">
        <v>8.56</v>
      </c>
      <c r="G151" s="86">
        <f t="shared" si="5"/>
        <v>1.4000268691588784</v>
      </c>
      <c r="H151" s="87">
        <v>40134</v>
      </c>
      <c r="CA151" s="1" t="s">
        <v>71</v>
      </c>
      <c r="CB151" s="1" t="s">
        <v>18</v>
      </c>
      <c r="CC151" s="1" t="s">
        <v>132</v>
      </c>
      <c r="CE151" s="122" t="str">
        <f>FUR[[#This Row],[Part Type]]</f>
        <v>Furniture</v>
      </c>
      <c r="CF151" s="122" t="str">
        <f>FUR[[#This Row],[Chemicals]]</f>
        <v>Ni200201-1, NiCr8020-4, Ni-19</v>
      </c>
      <c r="CG151" s="122" t="str">
        <f>FUR[[#This Row],[UID]]</f>
        <v>1S-5</v>
      </c>
      <c r="CK151" s="82" t="str">
        <f>IF(FUR[[#This Row],[Status]]=0,"",FUR[[#This Row],[Status]])</f>
        <v>Active</v>
      </c>
    </row>
    <row r="152" spans="1:89">
      <c r="A152" s="82" t="s">
        <v>120</v>
      </c>
      <c r="B152" s="83" t="s">
        <v>31</v>
      </c>
      <c r="C152" s="83" t="s">
        <v>688</v>
      </c>
      <c r="D152" s="83" t="s">
        <v>689</v>
      </c>
      <c r="E152" s="84">
        <v>14.64448</v>
      </c>
      <c r="F152" s="85">
        <v>8.56</v>
      </c>
      <c r="G152" s="86">
        <f t="shared" si="5"/>
        <v>1.7108037383177568</v>
      </c>
      <c r="H152" s="87">
        <v>40610</v>
      </c>
      <c r="CA152" s="1" t="s">
        <v>71</v>
      </c>
      <c r="CB152" s="1" t="s">
        <v>18</v>
      </c>
      <c r="CC152" s="1" t="s">
        <v>132</v>
      </c>
      <c r="CE152" s="122" t="str">
        <f>FUR[[#This Row],[Part Type]]</f>
        <v>Furniture</v>
      </c>
      <c r="CF152" s="122" t="str">
        <f>FUR[[#This Row],[Chemicals]]</f>
        <v>Ni200201-1, Ni-19, NiCr8020-4</v>
      </c>
      <c r="CG152" s="122" t="str">
        <f>FUR[[#This Row],[UID]]</f>
        <v>1S-6</v>
      </c>
      <c r="CK152" s="82" t="str">
        <f>IF(FUR[[#This Row],[Status]]=0,"",FUR[[#This Row],[Status]])</f>
        <v>Active</v>
      </c>
    </row>
    <row r="153" spans="1:89">
      <c r="A153" s="82" t="s">
        <v>120</v>
      </c>
      <c r="B153" s="83" t="s">
        <v>31</v>
      </c>
      <c r="C153" s="83" t="s">
        <v>690</v>
      </c>
      <c r="D153" s="83" t="s">
        <v>689</v>
      </c>
      <c r="E153" s="84">
        <v>14.879580000000001</v>
      </c>
      <c r="F153" s="85">
        <v>8.56</v>
      </c>
      <c r="G153" s="86">
        <f t="shared" si="5"/>
        <v>1.7382686915887851</v>
      </c>
      <c r="H153" s="87">
        <v>40610</v>
      </c>
      <c r="CA153" s="1" t="s">
        <v>71</v>
      </c>
      <c r="CB153" s="1" t="s">
        <v>18</v>
      </c>
      <c r="CC153" s="1" t="s">
        <v>132</v>
      </c>
      <c r="CE153" s="122" t="str">
        <f>FUR[[#This Row],[Part Type]]</f>
        <v>Furniture</v>
      </c>
      <c r="CF153" s="122" t="str">
        <f>FUR[[#This Row],[Chemicals]]</f>
        <v>Ni200201-1, Ni-19, NiCr8020-4</v>
      </c>
      <c r="CG153" s="122" t="str">
        <f>FUR[[#This Row],[UID]]</f>
        <v>1S-7</v>
      </c>
      <c r="CK153" s="82" t="str">
        <f>IF(FUR[[#This Row],[Status]]=0,"",FUR[[#This Row],[Status]])</f>
        <v>Active</v>
      </c>
    </row>
    <row r="154" spans="1:89">
      <c r="A154" s="82" t="s">
        <v>120</v>
      </c>
      <c r="B154" s="83" t="s">
        <v>31</v>
      </c>
      <c r="C154" s="83" t="s">
        <v>691</v>
      </c>
      <c r="D154" s="83" t="s">
        <v>689</v>
      </c>
      <c r="E154" s="84">
        <v>14.68838</v>
      </c>
      <c r="F154" s="85">
        <v>8.56</v>
      </c>
      <c r="G154" s="86">
        <f t="shared" si="5"/>
        <v>1.7159322429906541</v>
      </c>
      <c r="H154" s="87">
        <v>40610</v>
      </c>
      <c r="CA154" s="1" t="s">
        <v>71</v>
      </c>
      <c r="CB154" s="1" t="s">
        <v>18</v>
      </c>
      <c r="CC154" s="1" t="s">
        <v>132</v>
      </c>
      <c r="CE154" s="122" t="str">
        <f>FUR[[#This Row],[Part Type]]</f>
        <v>Furniture</v>
      </c>
      <c r="CF154" s="122" t="str">
        <f>FUR[[#This Row],[Chemicals]]</f>
        <v>Ni200201-1, Ni-19, NiCr8020-4</v>
      </c>
      <c r="CG154" s="122" t="str">
        <f>FUR[[#This Row],[UID]]</f>
        <v>1S-8</v>
      </c>
      <c r="CK154" s="82" t="str">
        <f>IF(FUR[[#This Row],[Status]]=0,"",FUR[[#This Row],[Status]])</f>
        <v>Active</v>
      </c>
    </row>
    <row r="155" spans="1:89">
      <c r="A155" s="82" t="s">
        <v>260</v>
      </c>
      <c r="B155" s="83" t="s">
        <v>31</v>
      </c>
      <c r="C155" s="83" t="s">
        <v>692</v>
      </c>
      <c r="D155" s="83" t="s">
        <v>693</v>
      </c>
      <c r="E155" s="84">
        <v>20.885829999999999</v>
      </c>
      <c r="F155" s="85">
        <v>10.49</v>
      </c>
      <c r="G155" s="86">
        <f t="shared" si="5"/>
        <v>1.9910228789323163</v>
      </c>
      <c r="H155" s="87">
        <v>40679</v>
      </c>
      <c r="I155" s="88" t="s">
        <v>694</v>
      </c>
      <c r="CA155" s="1" t="s">
        <v>71</v>
      </c>
      <c r="CB155" s="1" t="s">
        <v>18</v>
      </c>
      <c r="CC155" s="1" t="s">
        <v>132</v>
      </c>
      <c r="CE155" s="122" t="str">
        <f>FUR[[#This Row],[Part Type]]</f>
        <v>Furniture</v>
      </c>
      <c r="CF155" s="122" t="str">
        <f>FUR[[#This Row],[Chemicals]]</f>
        <v>Ag-5, Ag-4, Ag-6</v>
      </c>
      <c r="CG155" s="122" t="str">
        <f>FUR[[#This Row],[UID]]</f>
        <v>1S-9</v>
      </c>
      <c r="CK155" s="82" t="str">
        <f>IF(FUR[[#This Row],[Status]]=0,"",FUR[[#This Row],[Status]])</f>
        <v>Retired</v>
      </c>
    </row>
    <row r="156" spans="1:89">
      <c r="A156" s="82" t="s">
        <v>120</v>
      </c>
      <c r="B156" s="83" t="s">
        <v>31</v>
      </c>
      <c r="C156" s="83" t="s">
        <v>695</v>
      </c>
      <c r="D156" s="89" t="s">
        <v>696</v>
      </c>
      <c r="E156" s="84">
        <v>340.79</v>
      </c>
      <c r="F156" s="85">
        <v>10.49</v>
      </c>
      <c r="G156" s="86">
        <f t="shared" si="5"/>
        <v>32.487130600571973</v>
      </c>
      <c r="H156" s="87">
        <v>41501</v>
      </c>
      <c r="CA156" s="1" t="s">
        <v>71</v>
      </c>
      <c r="CB156" s="1" t="s">
        <v>18</v>
      </c>
      <c r="CC156" s="1" t="s">
        <v>132</v>
      </c>
      <c r="CE156" s="122" t="str">
        <f>FUR[[#This Row],[Part Type]]</f>
        <v>Furniture</v>
      </c>
      <c r="CF156" s="122" t="str">
        <f>FUR[[#This Row],[Chemicals]]</f>
        <v>Ag-9</v>
      </c>
      <c r="CG156" s="122" t="str">
        <f>FUR[[#This Row],[UID]]</f>
        <v>1T-1</v>
      </c>
      <c r="CK156" s="82" t="str">
        <f>IF(FUR[[#This Row],[Status]]=0,"",FUR[[#This Row],[Status]])</f>
        <v>Active</v>
      </c>
    </row>
    <row r="157" spans="1:89">
      <c r="A157" s="82" t="s">
        <v>120</v>
      </c>
      <c r="B157" s="83" t="s">
        <v>31</v>
      </c>
      <c r="C157" s="83" t="s">
        <v>697</v>
      </c>
      <c r="D157" s="83" t="s">
        <v>696</v>
      </c>
      <c r="E157" s="84">
        <v>383.8</v>
      </c>
      <c r="F157" s="85">
        <v>10.49</v>
      </c>
      <c r="G157" s="86">
        <f t="shared" si="5"/>
        <v>36.587225929456629</v>
      </c>
      <c r="I157" s="88" t="s">
        <v>698</v>
      </c>
      <c r="CA157" s="1" t="s">
        <v>71</v>
      </c>
      <c r="CB157" s="1" t="s">
        <v>18</v>
      </c>
      <c r="CC157" s="1" t="s">
        <v>132</v>
      </c>
      <c r="CE157" s="122" t="str">
        <f>FUR[[#This Row],[Part Type]]</f>
        <v>Furniture</v>
      </c>
      <c r="CF157" s="122" t="str">
        <f>FUR[[#This Row],[Chemicals]]</f>
        <v>Ag-9</v>
      </c>
      <c r="CG157" s="122" t="str">
        <f>FUR[[#This Row],[UID]]</f>
        <v>1T-10</v>
      </c>
      <c r="CK157" s="82" t="str">
        <f>IF(FUR[[#This Row],[Status]]=0,"",FUR[[#This Row],[Status]])</f>
        <v>Active</v>
      </c>
    </row>
    <row r="158" spans="1:89">
      <c r="A158" s="82" t="s">
        <v>260</v>
      </c>
      <c r="B158" s="83" t="s">
        <v>31</v>
      </c>
      <c r="C158" s="83" t="s">
        <v>699</v>
      </c>
      <c r="D158" s="83" t="s">
        <v>700</v>
      </c>
      <c r="E158" s="84">
        <v>325.07</v>
      </c>
      <c r="F158" s="85">
        <v>10.49</v>
      </c>
      <c r="G158" s="86">
        <f t="shared" si="5"/>
        <v>30.988560533841753</v>
      </c>
      <c r="H158" s="87">
        <v>41602</v>
      </c>
      <c r="I158" s="88" t="s">
        <v>701</v>
      </c>
      <c r="CA158" s="1" t="s">
        <v>71</v>
      </c>
      <c r="CB158" s="1" t="s">
        <v>18</v>
      </c>
      <c r="CC158" s="1" t="s">
        <v>132</v>
      </c>
      <c r="CE158" s="122" t="str">
        <f>FUR[[#This Row],[Part Type]]</f>
        <v>Furniture</v>
      </c>
      <c r="CF158" s="122" t="str">
        <f>FUR[[#This Row],[Chemicals]]</f>
        <v>Ag-17</v>
      </c>
      <c r="CG158" s="122" t="str">
        <f>FUR[[#This Row],[UID]]</f>
        <v>1T-11</v>
      </c>
      <c r="CK158" s="82" t="str">
        <f>IF(FUR[[#This Row],[Status]]=0,"",FUR[[#This Row],[Status]])</f>
        <v>Retired</v>
      </c>
    </row>
    <row r="159" spans="1:89">
      <c r="A159" s="82" t="s">
        <v>120</v>
      </c>
      <c r="B159" s="83" t="s">
        <v>31</v>
      </c>
      <c r="C159" s="83" t="s">
        <v>702</v>
      </c>
      <c r="D159" s="89" t="s">
        <v>696</v>
      </c>
      <c r="E159" s="84">
        <v>327.54000000000002</v>
      </c>
      <c r="F159" s="85">
        <v>10.49</v>
      </c>
      <c r="G159" s="86">
        <f t="shared" si="5"/>
        <v>31.224022878932317</v>
      </c>
      <c r="H159" s="87">
        <v>41501</v>
      </c>
      <c r="CA159" s="1" t="s">
        <v>71</v>
      </c>
      <c r="CB159" s="1" t="s">
        <v>18</v>
      </c>
      <c r="CC159" s="1" t="s">
        <v>132</v>
      </c>
      <c r="CE159" s="122" t="str">
        <f>FUR[[#This Row],[Part Type]]</f>
        <v>Furniture</v>
      </c>
      <c r="CF159" s="122" t="str">
        <f>FUR[[#This Row],[Chemicals]]</f>
        <v>Ag-9</v>
      </c>
      <c r="CG159" s="122" t="str">
        <f>FUR[[#This Row],[UID]]</f>
        <v>1T-2</v>
      </c>
      <c r="CK159" s="82" t="str">
        <f>IF(FUR[[#This Row],[Status]]=0,"",FUR[[#This Row],[Status]])</f>
        <v>Active</v>
      </c>
    </row>
    <row r="160" spans="1:89">
      <c r="A160" s="82" t="s">
        <v>120</v>
      </c>
      <c r="B160" s="83" t="s">
        <v>31</v>
      </c>
      <c r="C160" s="89" t="s">
        <v>703</v>
      </c>
      <c r="D160" s="89" t="s">
        <v>521</v>
      </c>
      <c r="E160" s="89">
        <v>299.74</v>
      </c>
      <c r="F160" s="85">
        <v>10.49</v>
      </c>
      <c r="G160" s="86">
        <f t="shared" si="5"/>
        <v>28.57387988560534</v>
      </c>
      <c r="H160" s="90">
        <v>41980</v>
      </c>
      <c r="I160" s="88" t="s">
        <v>609</v>
      </c>
      <c r="CA160" s="1" t="s">
        <v>71</v>
      </c>
      <c r="CB160" s="1" t="s">
        <v>18</v>
      </c>
      <c r="CC160" s="1" t="s">
        <v>132</v>
      </c>
      <c r="CE160" s="122" t="str">
        <f>FUR[[#This Row],[Part Type]]</f>
        <v>Furniture</v>
      </c>
      <c r="CF160" s="122" t="str">
        <f>FUR[[#This Row],[Chemicals]]</f>
        <v>Ag</v>
      </c>
      <c r="CG160" s="122" t="str">
        <f>FUR[[#This Row],[UID]]</f>
        <v>1T-20</v>
      </c>
      <c r="CK160" s="82" t="str">
        <f>IF(FUR[[#This Row],[Status]]=0,"",FUR[[#This Row],[Status]])</f>
        <v>Active</v>
      </c>
    </row>
    <row r="161" spans="1:89">
      <c r="A161" s="82" t="s">
        <v>120</v>
      </c>
      <c r="B161" s="83" t="s">
        <v>31</v>
      </c>
      <c r="C161" s="89" t="s">
        <v>704</v>
      </c>
      <c r="D161" s="89" t="s">
        <v>521</v>
      </c>
      <c r="E161" s="89">
        <v>350.05</v>
      </c>
      <c r="F161" s="85">
        <v>10.49</v>
      </c>
      <c r="G161" s="86">
        <f t="shared" si="5"/>
        <v>33.369876072449955</v>
      </c>
      <c r="H161" s="90">
        <v>41980</v>
      </c>
      <c r="I161" s="88" t="s">
        <v>609</v>
      </c>
      <c r="CA161" s="1" t="s">
        <v>71</v>
      </c>
      <c r="CB161" s="1" t="s">
        <v>18</v>
      </c>
      <c r="CC161" s="1" t="s">
        <v>132</v>
      </c>
      <c r="CE161" s="122" t="str">
        <f>FUR[[#This Row],[Part Type]]</f>
        <v>Furniture</v>
      </c>
      <c r="CF161" s="122" t="str">
        <f>FUR[[#This Row],[Chemicals]]</f>
        <v>Ag</v>
      </c>
      <c r="CG161" s="122" t="str">
        <f>FUR[[#This Row],[UID]]</f>
        <v>1T-21</v>
      </c>
      <c r="CK161" s="82" t="str">
        <f>IF(FUR[[#This Row],[Status]]=0,"",FUR[[#This Row],[Status]])</f>
        <v>Active</v>
      </c>
    </row>
    <row r="162" spans="1:89">
      <c r="A162" s="82" t="s">
        <v>120</v>
      </c>
      <c r="B162" s="83" t="s">
        <v>31</v>
      </c>
      <c r="C162" s="89" t="s">
        <v>705</v>
      </c>
      <c r="D162" s="89" t="s">
        <v>521</v>
      </c>
      <c r="E162" s="89">
        <v>355.4</v>
      </c>
      <c r="F162" s="85">
        <v>10.49</v>
      </c>
      <c r="G162" s="86">
        <f t="shared" si="5"/>
        <v>33.879885605338416</v>
      </c>
      <c r="H162" s="90">
        <v>41980</v>
      </c>
      <c r="I162" s="88" t="s">
        <v>609</v>
      </c>
      <c r="CA162" s="1" t="s">
        <v>71</v>
      </c>
      <c r="CB162" s="1" t="s">
        <v>18</v>
      </c>
      <c r="CC162" s="1" t="s">
        <v>132</v>
      </c>
      <c r="CE162" s="122" t="str">
        <f>FUR[[#This Row],[Part Type]]</f>
        <v>Furniture</v>
      </c>
      <c r="CF162" s="122" t="str">
        <f>FUR[[#This Row],[Chemicals]]</f>
        <v>Ag</v>
      </c>
      <c r="CG162" s="122" t="str">
        <f>FUR[[#This Row],[UID]]</f>
        <v>1T-22</v>
      </c>
      <c r="CK162" s="82" t="str">
        <f>IF(FUR[[#This Row],[Status]]=0,"",FUR[[#This Row],[Status]])</f>
        <v>Active</v>
      </c>
    </row>
    <row r="163" spans="1:89">
      <c r="A163" s="82" t="s">
        <v>120</v>
      </c>
      <c r="B163" s="83" t="s">
        <v>31</v>
      </c>
      <c r="C163" s="89" t="s">
        <v>706</v>
      </c>
      <c r="D163" s="89" t="s">
        <v>521</v>
      </c>
      <c r="E163" s="89">
        <v>342.28</v>
      </c>
      <c r="F163" s="85">
        <v>10.49</v>
      </c>
      <c r="G163" s="86">
        <f t="shared" si="5"/>
        <v>32.629170638703521</v>
      </c>
      <c r="H163" s="90">
        <v>41980</v>
      </c>
      <c r="I163" s="88" t="s">
        <v>609</v>
      </c>
      <c r="CA163" s="1" t="s">
        <v>71</v>
      </c>
      <c r="CB163" s="1" t="s">
        <v>18</v>
      </c>
      <c r="CC163" s="1" t="s">
        <v>132</v>
      </c>
      <c r="CE163" s="122" t="str">
        <f>FUR[[#This Row],[Part Type]]</f>
        <v>Furniture</v>
      </c>
      <c r="CF163" s="122" t="str">
        <f>FUR[[#This Row],[Chemicals]]</f>
        <v>Ag</v>
      </c>
      <c r="CG163" s="122" t="str">
        <f>FUR[[#This Row],[UID]]</f>
        <v>1T-23</v>
      </c>
      <c r="CK163" s="82" t="str">
        <f>IF(FUR[[#This Row],[Status]]=0,"",FUR[[#This Row],[Status]])</f>
        <v>Active</v>
      </c>
    </row>
    <row r="164" spans="1:89">
      <c r="A164" s="82" t="s">
        <v>120</v>
      </c>
      <c r="B164" s="83" t="s">
        <v>31</v>
      </c>
      <c r="C164" s="89" t="s">
        <v>707</v>
      </c>
      <c r="D164" s="89" t="s">
        <v>521</v>
      </c>
      <c r="E164" s="89">
        <v>135.32</v>
      </c>
      <c r="F164" s="85">
        <v>10.49</v>
      </c>
      <c r="G164" s="86">
        <f t="shared" si="5"/>
        <v>12.899904671115348</v>
      </c>
      <c r="H164" s="90">
        <v>41980</v>
      </c>
      <c r="I164" s="88" t="s">
        <v>708</v>
      </c>
      <c r="CA164" s="1" t="s">
        <v>71</v>
      </c>
      <c r="CB164" s="1" t="s">
        <v>18</v>
      </c>
      <c r="CC164" s="1" t="s">
        <v>132</v>
      </c>
      <c r="CE164" s="122" t="str">
        <f>FUR[[#This Row],[Part Type]]</f>
        <v>Furniture</v>
      </c>
      <c r="CF164" s="122" t="str">
        <f>FUR[[#This Row],[Chemicals]]</f>
        <v>Ag</v>
      </c>
      <c r="CG164" s="122" t="str">
        <f>FUR[[#This Row],[UID]]</f>
        <v>1T-24</v>
      </c>
      <c r="CK164" s="82" t="str">
        <f>IF(FUR[[#This Row],[Status]]=0,"",FUR[[#This Row],[Status]])</f>
        <v>Active</v>
      </c>
    </row>
    <row r="165" spans="1:89">
      <c r="A165" s="82" t="s">
        <v>120</v>
      </c>
      <c r="B165" s="83" t="s">
        <v>31</v>
      </c>
      <c r="C165" s="89" t="s">
        <v>709</v>
      </c>
      <c r="D165" s="89" t="s">
        <v>510</v>
      </c>
      <c r="E165" s="89">
        <v>255.58</v>
      </c>
      <c r="F165" s="85">
        <v>10.28</v>
      </c>
      <c r="G165" s="86">
        <f t="shared" si="5"/>
        <v>24.861867704280158</v>
      </c>
      <c r="H165" s="90">
        <v>41980</v>
      </c>
      <c r="I165" s="88" t="s">
        <v>140</v>
      </c>
      <c r="CA165" s="1" t="s">
        <v>71</v>
      </c>
      <c r="CB165" s="1" t="s">
        <v>18</v>
      </c>
      <c r="CC165" s="1" t="s">
        <v>132</v>
      </c>
      <c r="CE165" s="122" t="str">
        <f>FUR[[#This Row],[Part Type]]</f>
        <v>Furniture</v>
      </c>
      <c r="CF165" s="122" t="str">
        <f>FUR[[#This Row],[Chemicals]]</f>
        <v>Mo</v>
      </c>
      <c r="CG165" s="122" t="str">
        <f>FUR[[#This Row],[UID]]</f>
        <v>1T-25</v>
      </c>
      <c r="CK165" s="82" t="str">
        <f>IF(FUR[[#This Row],[Status]]=0,"",FUR[[#This Row],[Status]])</f>
        <v>Active</v>
      </c>
    </row>
    <row r="166" spans="1:89">
      <c r="A166" s="82" t="s">
        <v>120</v>
      </c>
      <c r="B166" s="83" t="s">
        <v>31</v>
      </c>
      <c r="C166" s="83" t="s">
        <v>710</v>
      </c>
      <c r="D166" s="83" t="s">
        <v>696</v>
      </c>
      <c r="E166" s="84">
        <v>396.8</v>
      </c>
      <c r="F166" s="85">
        <v>10.49</v>
      </c>
      <c r="G166" s="86">
        <f t="shared" si="5"/>
        <v>37.826501429933273</v>
      </c>
      <c r="H166" s="87">
        <v>40858</v>
      </c>
      <c r="I166" s="88" t="s">
        <v>711</v>
      </c>
      <c r="CA166" s="1" t="s">
        <v>71</v>
      </c>
      <c r="CB166" s="1" t="s">
        <v>18</v>
      </c>
      <c r="CC166" s="1" t="s">
        <v>132</v>
      </c>
      <c r="CE166" s="122" t="str">
        <f>FUR[[#This Row],[Part Type]]</f>
        <v>Furniture</v>
      </c>
      <c r="CF166" s="122" t="str">
        <f>FUR[[#This Row],[Chemicals]]</f>
        <v>Ag-9</v>
      </c>
      <c r="CG166" s="122" t="str">
        <f>FUR[[#This Row],[UID]]</f>
        <v>1T-3</v>
      </c>
      <c r="CK166" s="82" t="str">
        <f>IF(FUR[[#This Row],[Status]]=0,"",FUR[[#This Row],[Status]])</f>
        <v>Active</v>
      </c>
    </row>
    <row r="167" spans="1:89">
      <c r="A167" s="82" t="s">
        <v>120</v>
      </c>
      <c r="B167" s="83" t="s">
        <v>31</v>
      </c>
      <c r="C167" s="83" t="s">
        <v>712</v>
      </c>
      <c r="D167" s="83" t="s">
        <v>696</v>
      </c>
      <c r="E167" s="84">
        <v>409.7</v>
      </c>
      <c r="F167" s="85">
        <v>10.49</v>
      </c>
      <c r="G167" s="86">
        <f t="shared" si="5"/>
        <v>39.056244041944709</v>
      </c>
      <c r="I167" s="88" t="s">
        <v>713</v>
      </c>
      <c r="CA167" s="1" t="s">
        <v>71</v>
      </c>
      <c r="CB167" s="1" t="s">
        <v>18</v>
      </c>
      <c r="CC167" s="1" t="s">
        <v>132</v>
      </c>
      <c r="CE167" s="122" t="str">
        <f>FUR[[#This Row],[Part Type]]</f>
        <v>Furniture</v>
      </c>
      <c r="CF167" s="122" t="str">
        <f>FUR[[#This Row],[Chemicals]]</f>
        <v>Ag-9</v>
      </c>
      <c r="CG167" s="122" t="str">
        <f>FUR[[#This Row],[UID]]</f>
        <v>1T-4</v>
      </c>
      <c r="CK167" s="82" t="str">
        <f>IF(FUR[[#This Row],[Status]]=0,"",FUR[[#This Row],[Status]])</f>
        <v>Active</v>
      </c>
    </row>
    <row r="168" spans="1:89">
      <c r="A168" s="82" t="s">
        <v>120</v>
      </c>
      <c r="B168" s="83" t="s">
        <v>31</v>
      </c>
      <c r="C168" s="83" t="s">
        <v>714</v>
      </c>
      <c r="D168" s="83" t="s">
        <v>696</v>
      </c>
      <c r="E168" s="84">
        <v>386.6</v>
      </c>
      <c r="F168" s="85">
        <v>10.49</v>
      </c>
      <c r="G168" s="86">
        <f t="shared" si="5"/>
        <v>36.854146806482369</v>
      </c>
      <c r="I168" s="88" t="s">
        <v>715</v>
      </c>
      <c r="CA168" s="1" t="s">
        <v>71</v>
      </c>
      <c r="CB168" s="1" t="s">
        <v>18</v>
      </c>
      <c r="CC168" s="1" t="s">
        <v>132</v>
      </c>
      <c r="CE168" s="122" t="str">
        <f>FUR[[#This Row],[Part Type]]</f>
        <v>Furniture</v>
      </c>
      <c r="CF168" s="122" t="str">
        <f>FUR[[#This Row],[Chemicals]]</f>
        <v>Ag-9</v>
      </c>
      <c r="CG168" s="122" t="str">
        <f>FUR[[#This Row],[UID]]</f>
        <v>1T-5</v>
      </c>
      <c r="CK168" s="82" t="str">
        <f>IF(FUR[[#This Row],[Status]]=0,"",FUR[[#This Row],[Status]])</f>
        <v>Active</v>
      </c>
    </row>
    <row r="169" spans="1:89">
      <c r="A169" s="82" t="s">
        <v>120</v>
      </c>
      <c r="B169" s="83" t="s">
        <v>31</v>
      </c>
      <c r="C169" s="83" t="s">
        <v>716</v>
      </c>
      <c r="D169" s="83" t="s">
        <v>696</v>
      </c>
      <c r="E169" s="84">
        <v>389.4</v>
      </c>
      <c r="F169" s="85">
        <v>10.49</v>
      </c>
      <c r="G169" s="86">
        <f t="shared" si="5"/>
        <v>37.121067683508102</v>
      </c>
      <c r="I169" s="88" t="s">
        <v>717</v>
      </c>
      <c r="CA169" s="1" t="s">
        <v>71</v>
      </c>
      <c r="CB169" s="1" t="s">
        <v>18</v>
      </c>
      <c r="CC169" s="1" t="s">
        <v>132</v>
      </c>
      <c r="CE169" s="122" t="str">
        <f>FUR[[#This Row],[Part Type]]</f>
        <v>Furniture</v>
      </c>
      <c r="CF169" s="122" t="str">
        <f>FUR[[#This Row],[Chemicals]]</f>
        <v>Ag-9</v>
      </c>
      <c r="CG169" s="122" t="str">
        <f>FUR[[#This Row],[UID]]</f>
        <v>1T-6</v>
      </c>
      <c r="CK169" s="82" t="str">
        <f>IF(FUR[[#This Row],[Status]]=0,"",FUR[[#This Row],[Status]])</f>
        <v>Active</v>
      </c>
    </row>
    <row r="170" spans="1:89">
      <c r="A170" s="82" t="s">
        <v>120</v>
      </c>
      <c r="B170" s="83" t="s">
        <v>31</v>
      </c>
      <c r="C170" s="83" t="s">
        <v>718</v>
      </c>
      <c r="D170" s="83" t="s">
        <v>696</v>
      </c>
      <c r="E170" s="84">
        <v>386.3</v>
      </c>
      <c r="F170" s="85">
        <v>10.49</v>
      </c>
      <c r="G170" s="86">
        <f t="shared" si="5"/>
        <v>36.825548141086749</v>
      </c>
      <c r="I170" s="88" t="s">
        <v>719</v>
      </c>
      <c r="CA170" s="1" t="s">
        <v>71</v>
      </c>
      <c r="CB170" s="1" t="s">
        <v>18</v>
      </c>
      <c r="CC170" s="1" t="s">
        <v>132</v>
      </c>
      <c r="CE170" s="122" t="str">
        <f>FUR[[#This Row],[Part Type]]</f>
        <v>Furniture</v>
      </c>
      <c r="CF170" s="122" t="str">
        <f>FUR[[#This Row],[Chemicals]]</f>
        <v>Ag-9</v>
      </c>
      <c r="CG170" s="122" t="str">
        <f>FUR[[#This Row],[UID]]</f>
        <v>1T-7</v>
      </c>
      <c r="CK170" s="82" t="str">
        <f>IF(FUR[[#This Row],[Status]]=0,"",FUR[[#This Row],[Status]])</f>
        <v>Active</v>
      </c>
    </row>
    <row r="171" spans="1:89">
      <c r="A171" s="82" t="s">
        <v>120</v>
      </c>
      <c r="B171" s="83" t="s">
        <v>31</v>
      </c>
      <c r="C171" s="83" t="s">
        <v>720</v>
      </c>
      <c r="D171" s="83" t="s">
        <v>696</v>
      </c>
      <c r="E171" s="84">
        <v>381.54</v>
      </c>
      <c r="F171" s="85">
        <v>10.49</v>
      </c>
      <c r="G171" s="86">
        <f t="shared" si="5"/>
        <v>36.371782650142997</v>
      </c>
      <c r="I171" s="88" t="s">
        <v>721</v>
      </c>
      <c r="CA171" s="1" t="s">
        <v>71</v>
      </c>
      <c r="CB171" s="1" t="s">
        <v>18</v>
      </c>
      <c r="CC171" s="1" t="s">
        <v>132</v>
      </c>
      <c r="CE171" s="122" t="str">
        <f>FUR[[#This Row],[Part Type]]</f>
        <v>Furniture</v>
      </c>
      <c r="CF171" s="122" t="str">
        <f>FUR[[#This Row],[Chemicals]]</f>
        <v>Ag-9</v>
      </c>
      <c r="CG171" s="122" t="str">
        <f>FUR[[#This Row],[UID]]</f>
        <v>1T-8</v>
      </c>
      <c r="CK171" s="82" t="str">
        <f>IF(FUR[[#This Row],[Status]]=0,"",FUR[[#This Row],[Status]])</f>
        <v>Active</v>
      </c>
    </row>
    <row r="172" spans="1:89">
      <c r="A172" s="82" t="s">
        <v>120</v>
      </c>
      <c r="B172" s="83" t="s">
        <v>31</v>
      </c>
      <c r="C172" s="83" t="s">
        <v>722</v>
      </c>
      <c r="D172" s="83" t="s">
        <v>696</v>
      </c>
      <c r="E172" s="84">
        <v>386.7</v>
      </c>
      <c r="F172" s="85">
        <v>10.49</v>
      </c>
      <c r="G172" s="86">
        <f t="shared" si="5"/>
        <v>36.863679694947564</v>
      </c>
      <c r="I172" s="88" t="s">
        <v>723</v>
      </c>
      <c r="CA172" s="1" t="s">
        <v>71</v>
      </c>
      <c r="CB172" s="1" t="s">
        <v>18</v>
      </c>
      <c r="CC172" s="1" t="s">
        <v>132</v>
      </c>
      <c r="CE172" s="122" t="str">
        <f>FUR[[#This Row],[Part Type]]</f>
        <v>Furniture</v>
      </c>
      <c r="CF172" s="122" t="str">
        <f>FUR[[#This Row],[Chemicals]]</f>
        <v>Ag-9</v>
      </c>
      <c r="CG172" s="122" t="str">
        <f>FUR[[#This Row],[UID]]</f>
        <v>1T-9</v>
      </c>
      <c r="CK172" s="82" t="str">
        <f>IF(FUR[[#This Row],[Status]]=0,"",FUR[[#This Row],[Status]])</f>
        <v>Active</v>
      </c>
    </row>
    <row r="173" spans="1:89">
      <c r="A173" s="82" t="s">
        <v>120</v>
      </c>
      <c r="B173" s="83" t="s">
        <v>31</v>
      </c>
      <c r="C173" s="89" t="s">
        <v>724</v>
      </c>
      <c r="D173" s="89" t="s">
        <v>725</v>
      </c>
      <c r="F173" s="89">
        <v>8.4700000000000006</v>
      </c>
      <c r="G173" s="86">
        <f t="shared" ref="G173:G180" si="6">E173/F173</f>
        <v>0</v>
      </c>
      <c r="H173" s="90">
        <v>42444</v>
      </c>
      <c r="I173" s="88" t="s">
        <v>726</v>
      </c>
      <c r="CA173" s="1" t="s">
        <v>71</v>
      </c>
      <c r="CB173" s="1" t="s">
        <v>18</v>
      </c>
      <c r="CC173" s="1" t="s">
        <v>132</v>
      </c>
      <c r="CE173" s="122" t="str">
        <f>FUR[[#This Row],[Part Type]]</f>
        <v>Furniture</v>
      </c>
      <c r="CF173" s="122" t="str">
        <f>FUR[[#This Row],[Chemicals]]</f>
        <v>Inc600</v>
      </c>
      <c r="CG173" s="122" t="str">
        <f>FUR[[#This Row],[UID]]</f>
        <v>1Tc-1</v>
      </c>
      <c r="CK173" s="82" t="str">
        <f>IF(FUR[[#This Row],[Status]]=0,"",FUR[[#This Row],[Status]])</f>
        <v>Active</v>
      </c>
    </row>
    <row r="174" spans="1:89">
      <c r="A174" s="82" t="s">
        <v>120</v>
      </c>
      <c r="B174" s="83" t="s">
        <v>31</v>
      </c>
      <c r="C174" s="89" t="s">
        <v>727</v>
      </c>
      <c r="D174" s="89" t="s">
        <v>510</v>
      </c>
      <c r="E174" s="89">
        <f>42.69/16*4</f>
        <v>10.672499999999999</v>
      </c>
      <c r="F174" s="85">
        <v>10.28</v>
      </c>
      <c r="G174" s="86">
        <f t="shared" si="6"/>
        <v>1.0381809338521402</v>
      </c>
      <c r="H174" s="90">
        <v>41980</v>
      </c>
      <c r="I174" s="88" t="s">
        <v>728</v>
      </c>
      <c r="CA174" s="1" t="s">
        <v>71</v>
      </c>
      <c r="CB174" s="1" t="s">
        <v>18</v>
      </c>
      <c r="CC174" s="1" t="s">
        <v>132</v>
      </c>
      <c r="CE174" s="122" t="str">
        <f>FUR[[#This Row],[Part Type]]</f>
        <v>Furniture</v>
      </c>
      <c r="CF174" s="122" t="str">
        <f>FUR[[#This Row],[Chemicals]]</f>
        <v>Mo</v>
      </c>
      <c r="CG174" s="122" t="str">
        <f>FUR[[#This Row],[UID]]</f>
        <v>1W-1</v>
      </c>
      <c r="CK174" s="82" t="str">
        <f>IF(FUR[[#This Row],[Status]]=0,"",FUR[[#This Row],[Status]])</f>
        <v>Active</v>
      </c>
    </row>
    <row r="175" spans="1:89">
      <c r="A175" s="82" t="s">
        <v>120</v>
      </c>
      <c r="B175" s="83" t="s">
        <v>31</v>
      </c>
      <c r="C175" s="89" t="s">
        <v>729</v>
      </c>
      <c r="D175" s="89" t="s">
        <v>521</v>
      </c>
      <c r="E175" s="89">
        <v>10.46894</v>
      </c>
      <c r="F175" s="85">
        <v>10.49</v>
      </c>
      <c r="G175" s="86">
        <f t="shared" si="6"/>
        <v>0.99799237368922777</v>
      </c>
      <c r="H175" s="90">
        <v>41980</v>
      </c>
      <c r="I175" s="88" t="s">
        <v>730</v>
      </c>
      <c r="CA175" s="1" t="s">
        <v>71</v>
      </c>
      <c r="CB175" s="1" t="s">
        <v>18</v>
      </c>
      <c r="CC175" s="1" t="s">
        <v>132</v>
      </c>
      <c r="CE175" s="122" t="str">
        <f>FUR[[#This Row],[Part Type]]</f>
        <v>Furniture</v>
      </c>
      <c r="CF175" s="122" t="str">
        <f>FUR[[#This Row],[Chemicals]]</f>
        <v>Ag</v>
      </c>
      <c r="CG175" s="122" t="str">
        <f>FUR[[#This Row],[UID]]</f>
        <v>1W-2</v>
      </c>
      <c r="CK175" s="82" t="str">
        <f>IF(FUR[[#This Row],[Status]]=0,"",FUR[[#This Row],[Status]])</f>
        <v>Active</v>
      </c>
    </row>
    <row r="176" spans="1:89">
      <c r="A176" s="82" t="s">
        <v>120</v>
      </c>
      <c r="B176" s="83" t="s">
        <v>31</v>
      </c>
      <c r="C176" s="89" t="s">
        <v>731</v>
      </c>
      <c r="D176" s="89" t="s">
        <v>732</v>
      </c>
      <c r="G176" s="95" t="e">
        <f t="shared" si="6"/>
        <v>#DIV/0!</v>
      </c>
      <c r="H176" s="90">
        <v>41914</v>
      </c>
      <c r="I176" s="88" t="s">
        <v>733</v>
      </c>
      <c r="CA176" s="1" t="s">
        <v>71</v>
      </c>
      <c r="CB176" s="1" t="s">
        <v>18</v>
      </c>
      <c r="CC176" s="1" t="s">
        <v>132</v>
      </c>
      <c r="CE176" s="122" t="str">
        <f>FUR[[#This Row],[Part Type]]</f>
        <v>Furniture</v>
      </c>
      <c r="CF176" s="122" t="str">
        <f>FUR[[#This Row],[Chemicals]]</f>
        <v>Ni200, SS304, Ag-solder, Inc625</v>
      </c>
      <c r="CG176" s="122" t="str">
        <f>FUR[[#This Row],[UID]]</f>
        <v>2C-2</v>
      </c>
      <c r="CK176" s="82" t="str">
        <f>IF(FUR[[#This Row],[Status]]=0,"",FUR[[#This Row],[Status]])</f>
        <v>Active</v>
      </c>
    </row>
    <row r="177" spans="1:89">
      <c r="A177" s="82" t="s">
        <v>120</v>
      </c>
      <c r="B177" s="83" t="s">
        <v>31</v>
      </c>
      <c r="C177" s="89" t="s">
        <v>734</v>
      </c>
      <c r="G177" s="95" t="e">
        <f t="shared" si="6"/>
        <v>#DIV/0!</v>
      </c>
      <c r="CA177" s="1" t="s">
        <v>71</v>
      </c>
      <c r="CB177" s="1" t="s">
        <v>18</v>
      </c>
      <c r="CC177" s="1" t="s">
        <v>132</v>
      </c>
      <c r="CE177" s="122" t="str">
        <f>FUR[[#This Row],[Part Type]]</f>
        <v>Furniture</v>
      </c>
      <c r="CF177" s="122">
        <f>FUR[[#This Row],[Chemicals]]</f>
        <v>0</v>
      </c>
      <c r="CG177" s="122" t="str">
        <f>FUR[[#This Row],[UID]]</f>
        <v>2S-1</v>
      </c>
      <c r="CK177" s="82" t="str">
        <f>IF(FUR[[#This Row],[Status]]=0,"",FUR[[#This Row],[Status]])</f>
        <v>Active</v>
      </c>
    </row>
    <row r="178" spans="1:89">
      <c r="A178" s="82" t="s">
        <v>120</v>
      </c>
      <c r="B178" s="83" t="s">
        <v>31</v>
      </c>
      <c r="C178" s="89" t="s">
        <v>735</v>
      </c>
      <c r="D178" s="89" t="s">
        <v>736</v>
      </c>
      <c r="G178" s="95" t="e">
        <f t="shared" si="6"/>
        <v>#DIV/0!</v>
      </c>
      <c r="H178" s="90">
        <v>41905</v>
      </c>
      <c r="I178" s="88" t="s">
        <v>737</v>
      </c>
      <c r="CA178" s="1" t="s">
        <v>71</v>
      </c>
      <c r="CB178" s="1" t="s">
        <v>18</v>
      </c>
      <c r="CC178" s="1" t="s">
        <v>132</v>
      </c>
      <c r="CE178" s="122" t="str">
        <f>FUR[[#This Row],[Part Type]]</f>
        <v>Furniture</v>
      </c>
      <c r="CF178" s="122" t="str">
        <f>FUR[[#This Row],[Chemicals]]</f>
        <v>Ni200, Inc625, Ni-19</v>
      </c>
      <c r="CG178" s="122" t="str">
        <f>FUR[[#This Row],[UID]]</f>
        <v>2S-2</v>
      </c>
      <c r="CK178" s="82" t="str">
        <f>IF(FUR[[#This Row],[Status]]=0,"",FUR[[#This Row],[Status]])</f>
        <v>Active</v>
      </c>
    </row>
    <row r="179" spans="1:89">
      <c r="A179" s="82" t="s">
        <v>120</v>
      </c>
      <c r="B179" s="83" t="s">
        <v>31</v>
      </c>
      <c r="C179" s="89" t="s">
        <v>738</v>
      </c>
      <c r="D179" s="89" t="s">
        <v>739</v>
      </c>
      <c r="G179" s="95" t="e">
        <f t="shared" si="6"/>
        <v>#DIV/0!</v>
      </c>
      <c r="H179" s="90">
        <v>41905</v>
      </c>
      <c r="I179" s="88" t="s">
        <v>740</v>
      </c>
      <c r="CA179" s="1" t="s">
        <v>71</v>
      </c>
      <c r="CB179" s="1" t="s">
        <v>18</v>
      </c>
      <c r="CC179" s="1" t="s">
        <v>132</v>
      </c>
      <c r="CE179" s="122" t="str">
        <f>FUR[[#This Row],[Part Type]]</f>
        <v>Furniture</v>
      </c>
      <c r="CF179" s="122" t="str">
        <f>FUR[[#This Row],[Chemicals]]</f>
        <v>SS304</v>
      </c>
      <c r="CG179" s="122" t="str">
        <f>FUR[[#This Row],[UID]]</f>
        <v>2T-1</v>
      </c>
      <c r="CK179" s="82" t="str">
        <f>IF(FUR[[#This Row],[Status]]=0,"",FUR[[#This Row],[Status]])</f>
        <v>Active</v>
      </c>
    </row>
    <row r="180" spans="1:89">
      <c r="A180" s="82" t="s">
        <v>120</v>
      </c>
      <c r="B180" s="83" t="s">
        <v>31</v>
      </c>
      <c r="C180" s="89" t="s">
        <v>741</v>
      </c>
      <c r="D180" s="89" t="s">
        <v>739</v>
      </c>
      <c r="G180" s="95" t="e">
        <f t="shared" si="6"/>
        <v>#DIV/0!</v>
      </c>
      <c r="H180" s="90">
        <v>41921</v>
      </c>
      <c r="I180" s="88" t="s">
        <v>742</v>
      </c>
      <c r="CA180" s="1" t="s">
        <v>71</v>
      </c>
      <c r="CB180" s="1" t="s">
        <v>18</v>
      </c>
      <c r="CC180" s="1" t="s">
        <v>132</v>
      </c>
      <c r="CE180" s="122" t="str">
        <f>FUR[[#This Row],[Part Type]]</f>
        <v>Furniture</v>
      </c>
      <c r="CF180" s="122" t="str">
        <f>FUR[[#This Row],[Chemicals]]</f>
        <v>SS304</v>
      </c>
      <c r="CG180" s="122" t="str">
        <f>FUR[[#This Row],[UID]]</f>
        <v>2T-2</v>
      </c>
      <c r="CK180" s="82" t="str">
        <f>IF(FUR[[#This Row],[Status]]=0,"",FUR[[#This Row],[Status]])</f>
        <v>Active</v>
      </c>
    </row>
    <row r="181" spans="1:89">
      <c r="A181" s="82" t="s">
        <v>120</v>
      </c>
      <c r="B181" s="89" t="s">
        <v>31</v>
      </c>
      <c r="C181" s="89" t="s">
        <v>743</v>
      </c>
      <c r="D181" s="89" t="s">
        <v>744</v>
      </c>
      <c r="E181" s="89">
        <v>55.563000000000002</v>
      </c>
      <c r="F181" s="174">
        <v>6.5110000000000001</v>
      </c>
      <c r="G181" s="86">
        <f t="shared" ref="G181:G190" si="7">E181/F181</f>
        <v>8.5337121793887274</v>
      </c>
      <c r="H181" s="90">
        <v>45400</v>
      </c>
      <c r="I181" s="82" t="s">
        <v>745</v>
      </c>
      <c r="CA181" s="1" t="s">
        <v>71</v>
      </c>
      <c r="CB181" s="1" t="s">
        <v>18</v>
      </c>
      <c r="CC181" s="1" t="s">
        <v>132</v>
      </c>
      <c r="CE181" s="122" t="str">
        <f>FUR[[#This Row],[Part Type]]</f>
        <v>Furniture</v>
      </c>
      <c r="CF181" s="122" t="str">
        <f>FUR[[#This Row],[Chemicals]]</f>
        <v>Zr</v>
      </c>
      <c r="CG181" s="122" t="str">
        <f>FUR[[#This Row],[UID]]</f>
        <v>Zr-9A</v>
      </c>
      <c r="CK181" s="82" t="str">
        <f>IF(FUR[[#This Row],[Status]]=0,"",FUR[[#This Row],[Status]])</f>
        <v>Active</v>
      </c>
    </row>
    <row r="182" spans="1:89">
      <c r="A182" s="82" t="s">
        <v>120</v>
      </c>
      <c r="B182" s="89" t="s">
        <v>31</v>
      </c>
      <c r="C182" s="89" t="s">
        <v>746</v>
      </c>
      <c r="D182" s="89" t="s">
        <v>744</v>
      </c>
      <c r="E182" s="89">
        <v>55.493000000000002</v>
      </c>
      <c r="F182" s="174">
        <v>6.5110000000000001</v>
      </c>
      <c r="G182" s="86">
        <f t="shared" si="7"/>
        <v>8.5229611426816163</v>
      </c>
      <c r="H182" s="90">
        <v>45400</v>
      </c>
      <c r="I182" s="82" t="s">
        <v>747</v>
      </c>
      <c r="CA182" s="1" t="s">
        <v>71</v>
      </c>
      <c r="CB182" s="1" t="s">
        <v>18</v>
      </c>
      <c r="CC182" s="1" t="s">
        <v>132</v>
      </c>
      <c r="CE182" s="122" t="str">
        <f>FUR[[#This Row],[Part Type]]</f>
        <v>Furniture</v>
      </c>
      <c r="CF182" s="122" t="str">
        <f>FUR[[#This Row],[Chemicals]]</f>
        <v>Zr</v>
      </c>
      <c r="CG182" s="122" t="str">
        <f>FUR[[#This Row],[UID]]</f>
        <v>Zr-9B</v>
      </c>
      <c r="CK182" s="82" t="str">
        <f>IF(FUR[[#This Row],[Status]]=0,"",FUR[[#This Row],[Status]])</f>
        <v>Active</v>
      </c>
    </row>
    <row r="183" spans="1:89">
      <c r="A183" s="82" t="s">
        <v>120</v>
      </c>
      <c r="B183" s="89" t="s">
        <v>31</v>
      </c>
      <c r="C183" s="89" t="s">
        <v>748</v>
      </c>
      <c r="D183" s="89" t="s">
        <v>744</v>
      </c>
      <c r="E183" s="89">
        <v>55.585999999999999</v>
      </c>
      <c r="F183" s="174">
        <v>6.5110000000000001</v>
      </c>
      <c r="G183" s="86">
        <f t="shared" si="7"/>
        <v>8.537244662878205</v>
      </c>
      <c r="H183" s="90">
        <v>45400</v>
      </c>
      <c r="I183" s="82" t="s">
        <v>747</v>
      </c>
      <c r="CA183" s="1" t="s">
        <v>71</v>
      </c>
      <c r="CB183" s="1" t="s">
        <v>18</v>
      </c>
      <c r="CC183" s="1" t="s">
        <v>132</v>
      </c>
      <c r="CE183" s="122" t="str">
        <f>FUR[[#This Row],[Part Type]]</f>
        <v>Furniture</v>
      </c>
      <c r="CF183" s="122" t="str">
        <f>FUR[[#This Row],[Chemicals]]</f>
        <v>Zr</v>
      </c>
      <c r="CG183" s="122" t="str">
        <f>FUR[[#This Row],[UID]]</f>
        <v>Zr-9C</v>
      </c>
      <c r="CK183" s="82" t="str">
        <f>IF(FUR[[#This Row],[Status]]=0,"",FUR[[#This Row],[Status]])</f>
        <v>Active</v>
      </c>
    </row>
    <row r="184" spans="1:89">
      <c r="A184" s="82" t="s">
        <v>120</v>
      </c>
      <c r="B184" s="89" t="s">
        <v>31</v>
      </c>
      <c r="C184" s="89" t="s">
        <v>749</v>
      </c>
      <c r="D184" s="89" t="s">
        <v>744</v>
      </c>
      <c r="F184" s="174">
        <v>6.5110000000000001</v>
      </c>
      <c r="G184" s="86">
        <f t="shared" si="7"/>
        <v>0</v>
      </c>
      <c r="H184" s="90">
        <v>45400</v>
      </c>
      <c r="I184" s="82" t="s">
        <v>747</v>
      </c>
      <c r="CA184" s="1" t="s">
        <v>71</v>
      </c>
      <c r="CB184" s="1" t="s">
        <v>18</v>
      </c>
      <c r="CC184" s="1" t="s">
        <v>132</v>
      </c>
      <c r="CE184" s="122" t="str">
        <f>FUR[[#This Row],[Part Type]]</f>
        <v>Furniture</v>
      </c>
      <c r="CF184" s="122" t="str">
        <f>FUR[[#This Row],[Chemicals]]</f>
        <v>Zr</v>
      </c>
      <c r="CG184" s="122" t="str">
        <f>FUR[[#This Row],[UID]]</f>
        <v>Zr-9D</v>
      </c>
      <c r="CK184" s="82" t="str">
        <f>IF(FUR[[#This Row],[Status]]=0,"",FUR[[#This Row],[Status]])</f>
        <v>Active</v>
      </c>
    </row>
    <row r="185" spans="1:89">
      <c r="A185" s="82" t="s">
        <v>120</v>
      </c>
      <c r="B185" s="89" t="s">
        <v>31</v>
      </c>
      <c r="C185" s="89" t="s">
        <v>750</v>
      </c>
      <c r="D185" s="89" t="s">
        <v>744</v>
      </c>
      <c r="F185" s="174">
        <v>6.5110000000000001</v>
      </c>
      <c r="G185" s="86">
        <f t="shared" si="7"/>
        <v>0</v>
      </c>
      <c r="H185" s="90">
        <v>45400</v>
      </c>
      <c r="I185" s="82" t="s">
        <v>747</v>
      </c>
      <c r="CA185" s="1" t="s">
        <v>71</v>
      </c>
      <c r="CB185" s="1" t="s">
        <v>18</v>
      </c>
      <c r="CC185" s="1" t="s">
        <v>132</v>
      </c>
      <c r="CE185" s="122" t="str">
        <f>FUR[[#This Row],[Part Type]]</f>
        <v>Furniture</v>
      </c>
      <c r="CF185" s="122" t="str">
        <f>FUR[[#This Row],[Chemicals]]</f>
        <v>Zr</v>
      </c>
      <c r="CG185" s="122" t="str">
        <f>FUR[[#This Row],[UID]]</f>
        <v>Zr-9E</v>
      </c>
      <c r="CK185" s="82" t="str">
        <f>IF(FUR[[#This Row],[Status]]=0,"",FUR[[#This Row],[Status]])</f>
        <v>Active</v>
      </c>
    </row>
    <row r="186" spans="1:89">
      <c r="A186" s="82" t="s">
        <v>120</v>
      </c>
      <c r="B186" s="89" t="s">
        <v>31</v>
      </c>
      <c r="C186" s="89" t="s">
        <v>751</v>
      </c>
      <c r="D186" s="89" t="s">
        <v>744</v>
      </c>
      <c r="E186" s="89">
        <v>35.362000000000002</v>
      </c>
      <c r="F186" s="174">
        <v>6.5110000000000001</v>
      </c>
      <c r="G186" s="86">
        <f t="shared" si="7"/>
        <v>5.4311165719551528</v>
      </c>
      <c r="H186" s="90">
        <v>45400</v>
      </c>
      <c r="I186" s="82" t="s">
        <v>752</v>
      </c>
      <c r="CA186" s="1" t="s">
        <v>71</v>
      </c>
      <c r="CB186" s="1" t="s">
        <v>18</v>
      </c>
      <c r="CC186" s="1" t="s">
        <v>132</v>
      </c>
      <c r="CE186" s="122" t="str">
        <f>FUR[[#This Row],[Part Type]]</f>
        <v>Furniture</v>
      </c>
      <c r="CF186" s="122" t="str">
        <f>FUR[[#This Row],[Chemicals]]</f>
        <v>Zr</v>
      </c>
      <c r="CG186" s="122" t="str">
        <f>FUR[[#This Row],[UID]]</f>
        <v>Zr-9F</v>
      </c>
      <c r="CK186" s="82" t="str">
        <f>IF(FUR[[#This Row],[Status]]=0,"",FUR[[#This Row],[Status]])</f>
        <v>Active</v>
      </c>
    </row>
    <row r="187" spans="1:89">
      <c r="A187" s="82" t="s">
        <v>120</v>
      </c>
      <c r="B187" s="89" t="s">
        <v>31</v>
      </c>
      <c r="C187" s="89" t="s">
        <v>753</v>
      </c>
      <c r="D187" s="89" t="s">
        <v>744</v>
      </c>
      <c r="E187" s="89">
        <v>35.637999999999998</v>
      </c>
      <c r="F187" s="174">
        <v>6.5110000000000001</v>
      </c>
      <c r="G187" s="86">
        <f t="shared" si="7"/>
        <v>5.4735063738289043</v>
      </c>
      <c r="H187" s="90">
        <v>45400</v>
      </c>
      <c r="I187" s="82" t="s">
        <v>752</v>
      </c>
      <c r="CA187" s="1" t="s">
        <v>71</v>
      </c>
      <c r="CB187" s="1" t="s">
        <v>18</v>
      </c>
      <c r="CC187" s="1" t="s">
        <v>132</v>
      </c>
      <c r="CE187" s="122" t="str">
        <f>FUR[[#This Row],[Part Type]]</f>
        <v>Furniture</v>
      </c>
      <c r="CF187" s="122" t="str">
        <f>FUR[[#This Row],[Chemicals]]</f>
        <v>Zr</v>
      </c>
      <c r="CG187" s="122" t="str">
        <f>FUR[[#This Row],[UID]]</f>
        <v>Zr-9G</v>
      </c>
      <c r="CK187" s="82" t="str">
        <f>IF(FUR[[#This Row],[Status]]=0,"",FUR[[#This Row],[Status]])</f>
        <v>Active</v>
      </c>
    </row>
    <row r="188" spans="1:89">
      <c r="A188" s="82" t="s">
        <v>120</v>
      </c>
      <c r="B188" s="89" t="s">
        <v>31</v>
      </c>
      <c r="C188" s="89" t="s">
        <v>754</v>
      </c>
      <c r="D188" s="89" t="s">
        <v>744</v>
      </c>
      <c r="E188" s="89">
        <v>35.404000000000003</v>
      </c>
      <c r="F188" s="174">
        <v>6.5110000000000001</v>
      </c>
      <c r="G188" s="86">
        <f t="shared" si="7"/>
        <v>5.4375671939794197</v>
      </c>
      <c r="H188" s="90">
        <v>45400</v>
      </c>
      <c r="I188" s="82" t="s">
        <v>752</v>
      </c>
      <c r="CA188" s="1" t="s">
        <v>71</v>
      </c>
      <c r="CB188" s="1" t="s">
        <v>18</v>
      </c>
      <c r="CC188" s="1" t="s">
        <v>132</v>
      </c>
      <c r="CE188" s="122" t="str">
        <f>FUR[[#This Row],[Part Type]]</f>
        <v>Furniture</v>
      </c>
      <c r="CF188" s="122" t="str">
        <f>FUR[[#This Row],[Chemicals]]</f>
        <v>Zr</v>
      </c>
      <c r="CG188" s="122" t="str">
        <f>FUR[[#This Row],[UID]]</f>
        <v>Zr-9H</v>
      </c>
      <c r="CK188" s="82" t="str">
        <f>IF(FUR[[#This Row],[Status]]=0,"",FUR[[#This Row],[Status]])</f>
        <v>Active</v>
      </c>
    </row>
    <row r="189" spans="1:89">
      <c r="A189" s="82" t="s">
        <v>120</v>
      </c>
      <c r="B189" s="89" t="s">
        <v>31</v>
      </c>
      <c r="C189" s="89" t="s">
        <v>755</v>
      </c>
      <c r="D189" s="89" t="s">
        <v>744</v>
      </c>
      <c r="F189" s="174">
        <v>6.5110000000000001</v>
      </c>
      <c r="G189" s="86">
        <f t="shared" si="7"/>
        <v>0</v>
      </c>
      <c r="H189" s="90">
        <v>45400</v>
      </c>
      <c r="I189" s="82" t="s">
        <v>752</v>
      </c>
      <c r="CA189" s="1" t="s">
        <v>71</v>
      </c>
      <c r="CB189" s="1" t="s">
        <v>18</v>
      </c>
      <c r="CC189" s="1" t="s">
        <v>132</v>
      </c>
      <c r="CE189" s="122" t="str">
        <f>FUR[[#This Row],[Part Type]]</f>
        <v>Furniture</v>
      </c>
      <c r="CF189" s="122" t="str">
        <f>FUR[[#This Row],[Chemicals]]</f>
        <v>Zr</v>
      </c>
      <c r="CG189" s="122" t="str">
        <f>FUR[[#This Row],[UID]]</f>
        <v>Zr-9I</v>
      </c>
      <c r="CK189" s="82" t="str">
        <f>IF(FUR[[#This Row],[Status]]=0,"",FUR[[#This Row],[Status]])</f>
        <v>Active</v>
      </c>
    </row>
    <row r="190" spans="1:89">
      <c r="A190" s="82" t="s">
        <v>120</v>
      </c>
      <c r="B190" s="89" t="s">
        <v>31</v>
      </c>
      <c r="C190" s="89" t="s">
        <v>756</v>
      </c>
      <c r="D190" s="89" t="s">
        <v>744</v>
      </c>
      <c r="F190" s="174">
        <v>6.5110000000000001</v>
      </c>
      <c r="G190" s="86">
        <f t="shared" si="7"/>
        <v>0</v>
      </c>
      <c r="H190" s="90">
        <v>45400</v>
      </c>
      <c r="I190" s="82" t="s">
        <v>752</v>
      </c>
      <c r="CA190" s="1" t="s">
        <v>71</v>
      </c>
      <c r="CB190" s="1" t="s">
        <v>18</v>
      </c>
      <c r="CC190" s="1" t="s">
        <v>132</v>
      </c>
      <c r="CE190" s="122" t="str">
        <f>FUR[[#This Row],[Part Type]]</f>
        <v>Furniture</v>
      </c>
      <c r="CF190" s="122" t="str">
        <f>FUR[[#This Row],[Chemicals]]</f>
        <v>Zr</v>
      </c>
      <c r="CG190" s="122" t="str">
        <f>FUR[[#This Row],[UID]]</f>
        <v>Zr-9J</v>
      </c>
      <c r="CK190" s="82" t="str">
        <f>IF(FUR[[#This Row],[Status]]=0,"",FUR[[#This Row],[Status]])</f>
        <v>Active</v>
      </c>
    </row>
    <row r="191" spans="1:89">
      <c r="CA191" s="1" t="s">
        <v>71</v>
      </c>
      <c r="CB191" s="1" t="s">
        <v>18</v>
      </c>
      <c r="CC191" s="1" t="s">
        <v>132</v>
      </c>
      <c r="CE191" s="122">
        <f>FUR[[#This Row],[Part Type]]</f>
        <v>0</v>
      </c>
      <c r="CF191" s="122">
        <f>FUR[[#This Row],[Chemicals]]</f>
        <v>0</v>
      </c>
      <c r="CG191" s="122">
        <f>FUR[[#This Row],[UID]]</f>
        <v>0</v>
      </c>
      <c r="CK191" s="82" t="str">
        <f>IF(FUR[[#This Row],[Status]]=0,"",FUR[[#This Row],[Status]])</f>
        <v/>
      </c>
    </row>
    <row r="192" spans="1:89">
      <c r="CA192" s="1" t="s">
        <v>71</v>
      </c>
      <c r="CB192" s="1" t="s">
        <v>18</v>
      </c>
      <c r="CC192" s="1" t="s">
        <v>132</v>
      </c>
      <c r="CE192" s="122">
        <f>FUR[[#This Row],[Part Type]]</f>
        <v>0</v>
      </c>
      <c r="CF192" s="122">
        <f>FUR[[#This Row],[Chemicals]]</f>
        <v>0</v>
      </c>
      <c r="CG192" s="122">
        <f>FUR[[#This Row],[UID]]</f>
        <v>0</v>
      </c>
      <c r="CK192" s="82" t="str">
        <f>IF(FUR[[#This Row],[Status]]=0,"",FUR[[#This Row],[Status]])</f>
        <v/>
      </c>
    </row>
    <row r="193" spans="79:89">
      <c r="CA193" s="1" t="s">
        <v>71</v>
      </c>
      <c r="CB193" s="1" t="s">
        <v>18</v>
      </c>
      <c r="CC193" s="1" t="s">
        <v>132</v>
      </c>
      <c r="CE193" s="122">
        <f>FUR[[#This Row],[Part Type]]</f>
        <v>0</v>
      </c>
      <c r="CF193" s="122">
        <f>FUR[[#This Row],[Chemicals]]</f>
        <v>0</v>
      </c>
      <c r="CG193" s="122">
        <f>FUR[[#This Row],[UID]]</f>
        <v>0</v>
      </c>
      <c r="CK193" s="82" t="str">
        <f>IF(FUR[[#This Row],[Status]]=0,"",FUR[[#This Row],[Status]])</f>
        <v/>
      </c>
    </row>
    <row r="194" spans="79:89">
      <c r="CA194" s="1" t="s">
        <v>71</v>
      </c>
      <c r="CB194" s="1" t="s">
        <v>18</v>
      </c>
      <c r="CC194" s="1" t="s">
        <v>132</v>
      </c>
      <c r="CE194" s="122">
        <f>FUR[[#This Row],[Part Type]]</f>
        <v>0</v>
      </c>
      <c r="CF194" s="122">
        <f>FUR[[#This Row],[Chemicals]]</f>
        <v>0</v>
      </c>
      <c r="CG194" s="122">
        <f>FUR[[#This Row],[UID]]</f>
        <v>0</v>
      </c>
      <c r="CK194" s="82" t="str">
        <f>IF(FUR[[#This Row],[Status]]=0,"",FUR[[#This Row],[Status]])</f>
        <v/>
      </c>
    </row>
    <row r="195" spans="79:89">
      <c r="CA195" s="1" t="s">
        <v>71</v>
      </c>
      <c r="CB195" s="1" t="s">
        <v>18</v>
      </c>
      <c r="CC195" s="1" t="s">
        <v>132</v>
      </c>
      <c r="CE195" s="122">
        <f>FUR[[#This Row],[Part Type]]</f>
        <v>0</v>
      </c>
      <c r="CF195" s="122">
        <f>FUR[[#This Row],[Chemicals]]</f>
        <v>0</v>
      </c>
      <c r="CG195" s="122">
        <f>FUR[[#This Row],[UID]]</f>
        <v>0</v>
      </c>
      <c r="CK195" s="82" t="str">
        <f>IF(FUR[[#This Row],[Status]]=0,"",FUR[[#This Row],[Status]])</f>
        <v/>
      </c>
    </row>
    <row r="196" spans="79:89">
      <c r="CA196" s="1" t="s">
        <v>71</v>
      </c>
      <c r="CB196" s="1" t="s">
        <v>18</v>
      </c>
      <c r="CC196" s="1" t="s">
        <v>132</v>
      </c>
      <c r="CE196" s="122">
        <f>FUR[[#This Row],[Part Type]]</f>
        <v>0</v>
      </c>
      <c r="CF196" s="122">
        <f>FUR[[#This Row],[Chemicals]]</f>
        <v>0</v>
      </c>
      <c r="CG196" s="122">
        <f>FUR[[#This Row],[UID]]</f>
        <v>0</v>
      </c>
      <c r="CK196" s="82" t="str">
        <f>IF(FUR[[#This Row],[Status]]=0,"",FUR[[#This Row],[Status]])</f>
        <v/>
      </c>
    </row>
    <row r="197" spans="79:89">
      <c r="CA197" s="1" t="s">
        <v>71</v>
      </c>
      <c r="CB197" s="1" t="s">
        <v>18</v>
      </c>
      <c r="CC197" s="1" t="s">
        <v>132</v>
      </c>
      <c r="CE197" s="122">
        <f>FUR[[#This Row],[Part Type]]</f>
        <v>0</v>
      </c>
      <c r="CF197" s="122">
        <f>FUR[[#This Row],[Chemicals]]</f>
        <v>0</v>
      </c>
      <c r="CG197" s="122">
        <f>FUR[[#This Row],[UID]]</f>
        <v>0</v>
      </c>
      <c r="CK197" s="82" t="str">
        <f>IF(FUR[[#This Row],[Status]]=0,"",FUR[[#This Row],[Status]])</f>
        <v/>
      </c>
    </row>
    <row r="198" spans="79:89">
      <c r="CA198" s="1" t="s">
        <v>71</v>
      </c>
      <c r="CB198" s="1" t="s">
        <v>18</v>
      </c>
      <c r="CC198" s="1" t="s">
        <v>132</v>
      </c>
      <c r="CE198" s="122">
        <f>FUR[[#This Row],[Part Type]]</f>
        <v>0</v>
      </c>
      <c r="CF198" s="122">
        <f>FUR[[#This Row],[Chemicals]]</f>
        <v>0</v>
      </c>
      <c r="CG198" s="122">
        <f>FUR[[#This Row],[UID]]</f>
        <v>0</v>
      </c>
      <c r="CK198" s="82" t="str">
        <f>IF(FUR[[#This Row],[Status]]=0,"",FUR[[#This Row],[Status]])</f>
        <v/>
      </c>
    </row>
    <row r="199" spans="79:89">
      <c r="CA199" s="1" t="s">
        <v>71</v>
      </c>
      <c r="CB199" s="1" t="s">
        <v>18</v>
      </c>
      <c r="CC199" s="1" t="s">
        <v>132</v>
      </c>
      <c r="CE199" s="122">
        <f>FUR[[#This Row],[Part Type]]</f>
        <v>0</v>
      </c>
      <c r="CF199" s="122">
        <f>FUR[[#This Row],[Chemicals]]</f>
        <v>0</v>
      </c>
      <c r="CG199" s="122">
        <f>FUR[[#This Row],[UID]]</f>
        <v>0</v>
      </c>
      <c r="CK199" s="82" t="str">
        <f>IF(FUR[[#This Row],[Status]]=0,"",FUR[[#This Row],[Status]])</f>
        <v/>
      </c>
    </row>
    <row r="200" spans="79:89">
      <c r="CA200" s="1" t="s">
        <v>71</v>
      </c>
      <c r="CB200" s="1" t="s">
        <v>18</v>
      </c>
      <c r="CC200" s="1" t="s">
        <v>132</v>
      </c>
      <c r="CE200" s="122">
        <f>FUR[[#This Row],[Part Type]]</f>
        <v>0</v>
      </c>
      <c r="CF200" s="122">
        <f>FUR[[#This Row],[Chemicals]]</f>
        <v>0</v>
      </c>
      <c r="CG200" s="122">
        <f>FUR[[#This Row],[UID]]</f>
        <v>0</v>
      </c>
      <c r="CK200" s="82" t="str">
        <f>IF(FUR[[#This Row],[Status]]=0,"",FUR[[#This Row],[Status]])</f>
        <v/>
      </c>
    </row>
    <row r="201" spans="79:89">
      <c r="CA201" s="1" t="s">
        <v>71</v>
      </c>
      <c r="CB201" s="1" t="s">
        <v>18</v>
      </c>
      <c r="CC201" s="1" t="s">
        <v>132</v>
      </c>
      <c r="CE201" s="122">
        <f>FUR[[#This Row],[Part Type]]</f>
        <v>0</v>
      </c>
      <c r="CF201" s="122">
        <f>FUR[[#This Row],[Chemicals]]</f>
        <v>0</v>
      </c>
      <c r="CG201" s="122">
        <f>FUR[[#This Row],[UID]]</f>
        <v>0</v>
      </c>
      <c r="CK201" s="82" t="str">
        <f>IF(FUR[[#This Row],[Status]]=0,"",FUR[[#This Row],[Status]])</f>
        <v/>
      </c>
    </row>
    <row r="202" spans="79:89">
      <c r="CA202" s="1" t="s">
        <v>71</v>
      </c>
      <c r="CB202" s="1" t="s">
        <v>18</v>
      </c>
      <c r="CC202" s="1" t="s">
        <v>132</v>
      </c>
      <c r="CE202" s="122">
        <f>FUR[[#This Row],[Part Type]]</f>
        <v>0</v>
      </c>
      <c r="CF202" s="122">
        <f>FUR[[#This Row],[Chemicals]]</f>
        <v>0</v>
      </c>
      <c r="CG202" s="122">
        <f>FUR[[#This Row],[UID]]</f>
        <v>0</v>
      </c>
      <c r="CK202" s="82" t="str">
        <f>IF(FUR[[#This Row],[Status]]=0,"",FUR[[#This Row],[Status]])</f>
        <v/>
      </c>
    </row>
    <row r="203" spans="79:89">
      <c r="CA203" s="1" t="s">
        <v>71</v>
      </c>
      <c r="CB203" s="1" t="s">
        <v>18</v>
      </c>
      <c r="CC203" s="1" t="s">
        <v>132</v>
      </c>
      <c r="CE203" s="122">
        <f>FUR[[#This Row],[Part Type]]</f>
        <v>0</v>
      </c>
      <c r="CF203" s="122">
        <f>FUR[[#This Row],[Chemicals]]</f>
        <v>0</v>
      </c>
      <c r="CG203" s="122">
        <f>FUR[[#This Row],[UID]]</f>
        <v>0</v>
      </c>
      <c r="CK203" s="82" t="str">
        <f>IF(FUR[[#This Row],[Status]]=0,"",FUR[[#This Row],[Status]])</f>
        <v/>
      </c>
    </row>
    <row r="204" spans="79:89">
      <c r="CA204" s="1" t="s">
        <v>71</v>
      </c>
      <c r="CB204" s="1" t="s">
        <v>18</v>
      </c>
      <c r="CC204" s="1" t="s">
        <v>132</v>
      </c>
      <c r="CE204" s="122">
        <f>FUR[[#This Row],[Part Type]]</f>
        <v>0</v>
      </c>
      <c r="CF204" s="122">
        <f>FUR[[#This Row],[Chemicals]]</f>
        <v>0</v>
      </c>
      <c r="CG204" s="122">
        <f>FUR[[#This Row],[UID]]</f>
        <v>0</v>
      </c>
      <c r="CK204" s="82" t="str">
        <f>IF(FUR[[#This Row],[Status]]=0,"",FUR[[#This Row],[Status]])</f>
        <v/>
      </c>
    </row>
    <row r="205" spans="79:89">
      <c r="CA205" s="1" t="s">
        <v>71</v>
      </c>
      <c r="CB205" s="1" t="s">
        <v>18</v>
      </c>
      <c r="CC205" s="1" t="s">
        <v>132</v>
      </c>
      <c r="CE205" s="122">
        <f>FUR[[#This Row],[Part Type]]</f>
        <v>0</v>
      </c>
      <c r="CF205" s="122">
        <f>FUR[[#This Row],[Chemicals]]</f>
        <v>0</v>
      </c>
      <c r="CG205" s="122">
        <f>FUR[[#This Row],[UID]]</f>
        <v>0</v>
      </c>
      <c r="CK205" s="82" t="str">
        <f>IF(FUR[[#This Row],[Status]]=0,"",FUR[[#This Row],[Status]])</f>
        <v/>
      </c>
    </row>
    <row r="206" spans="79:89">
      <c r="CA206" s="1" t="s">
        <v>71</v>
      </c>
      <c r="CB206" s="1" t="s">
        <v>18</v>
      </c>
      <c r="CC206" s="1" t="s">
        <v>132</v>
      </c>
      <c r="CE206" s="122">
        <f>FUR[[#This Row],[Part Type]]</f>
        <v>0</v>
      </c>
      <c r="CF206" s="122">
        <f>FUR[[#This Row],[Chemicals]]</f>
        <v>0</v>
      </c>
      <c r="CG206" s="122">
        <f>FUR[[#This Row],[UID]]</f>
        <v>0</v>
      </c>
      <c r="CK206" s="82" t="str">
        <f>IF(FUR[[#This Row],[Status]]=0,"",FUR[[#This Row],[Status]])</f>
        <v/>
      </c>
    </row>
    <row r="207" spans="79:89">
      <c r="CA207" s="1" t="s">
        <v>71</v>
      </c>
      <c r="CB207" s="1" t="s">
        <v>18</v>
      </c>
      <c r="CC207" s="1" t="s">
        <v>132</v>
      </c>
      <c r="CE207" s="122">
        <f>FUR[[#This Row],[Part Type]]</f>
        <v>0</v>
      </c>
      <c r="CF207" s="122">
        <f>FUR[[#This Row],[Chemicals]]</f>
        <v>0</v>
      </c>
      <c r="CG207" s="122">
        <f>FUR[[#This Row],[UID]]</f>
        <v>0</v>
      </c>
      <c r="CK207" s="82" t="str">
        <f>IF(FUR[[#This Row],[Status]]=0,"",FUR[[#This Row],[Status]])</f>
        <v/>
      </c>
    </row>
    <row r="208" spans="79:89">
      <c r="CA208" s="1" t="s">
        <v>71</v>
      </c>
      <c r="CB208" s="1" t="s">
        <v>18</v>
      </c>
      <c r="CC208" s="1" t="s">
        <v>132</v>
      </c>
      <c r="CE208" s="122">
        <f>FUR[[#This Row],[Part Type]]</f>
        <v>0</v>
      </c>
      <c r="CF208" s="122">
        <f>FUR[[#This Row],[Chemicals]]</f>
        <v>0</v>
      </c>
      <c r="CG208" s="122">
        <f>FUR[[#This Row],[UID]]</f>
        <v>0</v>
      </c>
      <c r="CK208" s="82" t="str">
        <f>IF(FUR[[#This Row],[Status]]=0,"",FUR[[#This Row],[Status]])</f>
        <v/>
      </c>
    </row>
    <row r="209" spans="79:89">
      <c r="CA209" s="1" t="s">
        <v>71</v>
      </c>
      <c r="CB209" s="1" t="s">
        <v>18</v>
      </c>
      <c r="CC209" s="1" t="s">
        <v>132</v>
      </c>
      <c r="CE209" s="122">
        <f>FUR[[#This Row],[Part Type]]</f>
        <v>0</v>
      </c>
      <c r="CF209" s="122">
        <f>FUR[[#This Row],[Chemicals]]</f>
        <v>0</v>
      </c>
      <c r="CG209" s="122">
        <f>FUR[[#This Row],[UID]]</f>
        <v>0</v>
      </c>
      <c r="CK209" s="82" t="str">
        <f>IF(FUR[[#This Row],[Status]]=0,"",FUR[[#This Row],[Status]])</f>
        <v/>
      </c>
    </row>
    <row r="210" spans="79:89">
      <c r="CA210" s="1" t="s">
        <v>71</v>
      </c>
      <c r="CB210" s="1" t="s">
        <v>18</v>
      </c>
      <c r="CC210" s="1" t="s">
        <v>132</v>
      </c>
      <c r="CE210" s="122">
        <f>FUR[[#This Row],[Part Type]]</f>
        <v>0</v>
      </c>
      <c r="CF210" s="122">
        <f>FUR[[#This Row],[Chemicals]]</f>
        <v>0</v>
      </c>
      <c r="CG210" s="122">
        <f>FUR[[#This Row],[UID]]</f>
        <v>0</v>
      </c>
      <c r="CK210" s="82" t="str">
        <f>IF(FUR[[#This Row],[Status]]=0,"",FUR[[#This Row],[Status]])</f>
        <v/>
      </c>
    </row>
    <row r="211" spans="79:89">
      <c r="CA211" s="1" t="s">
        <v>71</v>
      </c>
      <c r="CB211" s="1" t="s">
        <v>18</v>
      </c>
      <c r="CC211" s="1" t="s">
        <v>132</v>
      </c>
      <c r="CE211" s="122">
        <f>FUR[[#This Row],[Part Type]]</f>
        <v>0</v>
      </c>
      <c r="CF211" s="122">
        <f>FUR[[#This Row],[Chemicals]]</f>
        <v>0</v>
      </c>
      <c r="CG211" s="122">
        <f>FUR[[#This Row],[UID]]</f>
        <v>0</v>
      </c>
      <c r="CK211" s="82" t="str">
        <f>IF(FUR[[#This Row],[Status]]=0,"",FUR[[#This Row],[Status]])</f>
        <v/>
      </c>
    </row>
    <row r="212" spans="79:89">
      <c r="CA212" s="1" t="s">
        <v>71</v>
      </c>
      <c r="CB212" s="1" t="s">
        <v>18</v>
      </c>
      <c r="CC212" s="1" t="s">
        <v>132</v>
      </c>
      <c r="CE212" s="122">
        <f>FUR[[#This Row],[Part Type]]</f>
        <v>0</v>
      </c>
      <c r="CF212" s="122">
        <f>FUR[[#This Row],[Chemicals]]</f>
        <v>0</v>
      </c>
      <c r="CG212" s="122">
        <f>FUR[[#This Row],[UID]]</f>
        <v>0</v>
      </c>
      <c r="CK212" s="82" t="str">
        <f>IF(FUR[[#This Row],[Status]]=0,"",FUR[[#This Row],[Status]])</f>
        <v/>
      </c>
    </row>
    <row r="213" spans="79:89">
      <c r="CA213" s="1" t="s">
        <v>71</v>
      </c>
      <c r="CB213" s="1" t="s">
        <v>18</v>
      </c>
      <c r="CC213" s="1" t="s">
        <v>132</v>
      </c>
      <c r="CE213" s="122">
        <f>FUR[[#This Row],[Part Type]]</f>
        <v>0</v>
      </c>
      <c r="CF213" s="122">
        <f>FUR[[#This Row],[Chemicals]]</f>
        <v>0</v>
      </c>
      <c r="CG213" s="122">
        <f>FUR[[#This Row],[UID]]</f>
        <v>0</v>
      </c>
      <c r="CK213" s="82" t="str">
        <f>IF(FUR[[#This Row],[Status]]=0,"",FUR[[#This Row],[Status]])</f>
        <v/>
      </c>
    </row>
    <row r="214" spans="79:89">
      <c r="CA214" s="1" t="s">
        <v>71</v>
      </c>
      <c r="CB214" s="1" t="s">
        <v>18</v>
      </c>
      <c r="CC214" s="1" t="s">
        <v>132</v>
      </c>
      <c r="CE214" s="122">
        <f>FUR[[#This Row],[Part Type]]</f>
        <v>0</v>
      </c>
      <c r="CF214" s="122">
        <f>FUR[[#This Row],[Chemicals]]</f>
        <v>0</v>
      </c>
      <c r="CG214" s="122">
        <f>FUR[[#This Row],[UID]]</f>
        <v>0</v>
      </c>
      <c r="CK214" s="82" t="str">
        <f>IF(FUR[[#This Row],[Status]]=0,"",FUR[[#This Row],[Status]])</f>
        <v/>
      </c>
    </row>
    <row r="215" spans="79:89">
      <c r="CA215" s="1" t="s">
        <v>71</v>
      </c>
      <c r="CB215" s="1" t="s">
        <v>18</v>
      </c>
      <c r="CC215" s="1" t="s">
        <v>132</v>
      </c>
      <c r="CE215" s="122">
        <f>FUR[[#This Row],[Part Type]]</f>
        <v>0</v>
      </c>
      <c r="CF215" s="122">
        <f>FUR[[#This Row],[Chemicals]]</f>
        <v>0</v>
      </c>
      <c r="CG215" s="122">
        <f>FUR[[#This Row],[UID]]</f>
        <v>0</v>
      </c>
      <c r="CK215" s="82" t="str">
        <f>IF(FUR[[#This Row],[Status]]=0,"",FUR[[#This Row],[Status]])</f>
        <v/>
      </c>
    </row>
    <row r="216" spans="79:89">
      <c r="CA216" s="1" t="s">
        <v>71</v>
      </c>
      <c r="CB216" s="1" t="s">
        <v>18</v>
      </c>
      <c r="CC216" s="1" t="s">
        <v>132</v>
      </c>
      <c r="CE216" s="122">
        <f>FUR[[#This Row],[Part Type]]</f>
        <v>0</v>
      </c>
      <c r="CF216" s="122">
        <f>FUR[[#This Row],[Chemicals]]</f>
        <v>0</v>
      </c>
      <c r="CG216" s="122">
        <f>FUR[[#This Row],[UID]]</f>
        <v>0</v>
      </c>
      <c r="CK216" s="82" t="str">
        <f>IF(FUR[[#This Row],[Status]]=0,"",FUR[[#This Row],[Status]])</f>
        <v/>
      </c>
    </row>
    <row r="217" spans="79:89">
      <c r="CA217" s="1" t="s">
        <v>71</v>
      </c>
      <c r="CB217" s="1" t="s">
        <v>18</v>
      </c>
      <c r="CC217" s="1" t="s">
        <v>132</v>
      </c>
      <c r="CE217" s="122">
        <f>FUR[[#This Row],[Part Type]]</f>
        <v>0</v>
      </c>
      <c r="CF217" s="122">
        <f>FUR[[#This Row],[Chemicals]]</f>
        <v>0</v>
      </c>
      <c r="CG217" s="122">
        <f>FUR[[#This Row],[UID]]</f>
        <v>0</v>
      </c>
      <c r="CK217" s="82" t="str">
        <f>IF(FUR[[#This Row],[Status]]=0,"",FUR[[#This Row],[Status]])</f>
        <v/>
      </c>
    </row>
    <row r="218" spans="79:89">
      <c r="CA218" s="1" t="s">
        <v>71</v>
      </c>
      <c r="CB218" s="1" t="s">
        <v>18</v>
      </c>
      <c r="CC218" s="1" t="s">
        <v>132</v>
      </c>
      <c r="CE218" s="122">
        <f>FUR[[#This Row],[Part Type]]</f>
        <v>0</v>
      </c>
      <c r="CF218" s="122">
        <f>FUR[[#This Row],[Chemicals]]</f>
        <v>0</v>
      </c>
      <c r="CG218" s="122">
        <f>FUR[[#This Row],[UID]]</f>
        <v>0</v>
      </c>
      <c r="CK218" s="82" t="str">
        <f>IF(FUR[[#This Row],[Status]]=0,"",FUR[[#This Row],[Status]])</f>
        <v/>
      </c>
    </row>
    <row r="219" spans="79:89">
      <c r="CA219" s="1" t="s">
        <v>71</v>
      </c>
      <c r="CB219" s="1" t="s">
        <v>18</v>
      </c>
      <c r="CC219" s="1" t="s">
        <v>132</v>
      </c>
      <c r="CE219" s="122">
        <f>FUR[[#This Row],[Part Type]]</f>
        <v>0</v>
      </c>
      <c r="CF219" s="122">
        <f>FUR[[#This Row],[Chemicals]]</f>
        <v>0</v>
      </c>
      <c r="CG219" s="122">
        <f>FUR[[#This Row],[UID]]</f>
        <v>0</v>
      </c>
      <c r="CK219" s="82" t="str">
        <f>IF(FUR[[#This Row],[Status]]=0,"",FUR[[#This Row],[Status]])</f>
        <v/>
      </c>
    </row>
    <row r="220" spans="79:89">
      <c r="CA220" s="1" t="s">
        <v>71</v>
      </c>
      <c r="CB220" s="1" t="s">
        <v>18</v>
      </c>
      <c r="CC220" s="1" t="s">
        <v>132</v>
      </c>
      <c r="CE220" s="122">
        <f>FUR[[#This Row],[Part Type]]</f>
        <v>0</v>
      </c>
      <c r="CF220" s="122">
        <f>FUR[[#This Row],[Chemicals]]</f>
        <v>0</v>
      </c>
      <c r="CG220" s="122">
        <f>FUR[[#This Row],[UID]]</f>
        <v>0</v>
      </c>
      <c r="CK220" s="82" t="str">
        <f>IF(FUR[[#This Row],[Status]]=0,"",FUR[[#This Row],[Status]])</f>
        <v/>
      </c>
    </row>
    <row r="221" spans="79:89">
      <c r="CA221" s="1" t="s">
        <v>71</v>
      </c>
      <c r="CB221" s="1" t="s">
        <v>18</v>
      </c>
      <c r="CC221" s="1" t="s">
        <v>132</v>
      </c>
      <c r="CE221" s="122">
        <f>FUR[[#This Row],[Part Type]]</f>
        <v>0</v>
      </c>
      <c r="CF221" s="122">
        <f>FUR[[#This Row],[Chemicals]]</f>
        <v>0</v>
      </c>
      <c r="CG221" s="122">
        <f>FUR[[#This Row],[UID]]</f>
        <v>0</v>
      </c>
      <c r="CK221" s="82" t="str">
        <f>IF(FUR[[#This Row],[Status]]=0,"",FUR[[#This Row],[Status]])</f>
        <v/>
      </c>
    </row>
    <row r="222" spans="79:89">
      <c r="CA222" s="1" t="s">
        <v>71</v>
      </c>
      <c r="CB222" s="1" t="s">
        <v>18</v>
      </c>
      <c r="CC222" s="1" t="s">
        <v>132</v>
      </c>
      <c r="CE222" s="122">
        <f>FUR[[#This Row],[Part Type]]</f>
        <v>0</v>
      </c>
      <c r="CF222" s="122">
        <f>FUR[[#This Row],[Chemicals]]</f>
        <v>0</v>
      </c>
      <c r="CG222" s="122">
        <f>FUR[[#This Row],[UID]]</f>
        <v>0</v>
      </c>
      <c r="CK222" s="82" t="str">
        <f>IF(FUR[[#This Row],[Status]]=0,"",FUR[[#This Row],[Status]])</f>
        <v/>
      </c>
    </row>
    <row r="223" spans="79:89">
      <c r="CA223" s="1" t="s">
        <v>71</v>
      </c>
      <c r="CB223" s="1" t="s">
        <v>18</v>
      </c>
      <c r="CC223" s="1" t="s">
        <v>132</v>
      </c>
      <c r="CE223" s="122">
        <f>FUR[[#This Row],[Part Type]]</f>
        <v>0</v>
      </c>
      <c r="CF223" s="122">
        <f>FUR[[#This Row],[Chemicals]]</f>
        <v>0</v>
      </c>
      <c r="CG223" s="122">
        <f>FUR[[#This Row],[UID]]</f>
        <v>0</v>
      </c>
      <c r="CK223" s="82" t="str">
        <f>IF(FUR[[#This Row],[Status]]=0,"",FUR[[#This Row],[Status]])</f>
        <v/>
      </c>
    </row>
    <row r="224" spans="79:89">
      <c r="CA224" s="1" t="s">
        <v>71</v>
      </c>
      <c r="CB224" s="1" t="s">
        <v>18</v>
      </c>
      <c r="CC224" s="1" t="s">
        <v>132</v>
      </c>
      <c r="CE224" s="122">
        <f>FUR[[#This Row],[Part Type]]</f>
        <v>0</v>
      </c>
      <c r="CF224" s="122">
        <f>FUR[[#This Row],[Chemicals]]</f>
        <v>0</v>
      </c>
      <c r="CG224" s="122">
        <f>FUR[[#This Row],[UID]]</f>
        <v>0</v>
      </c>
      <c r="CK224" s="82" t="str">
        <f>IF(FUR[[#This Row],[Status]]=0,"",FUR[[#This Row],[Status]])</f>
        <v/>
      </c>
    </row>
    <row r="225" spans="79:89">
      <c r="CA225" s="1" t="s">
        <v>71</v>
      </c>
      <c r="CB225" s="1" t="s">
        <v>18</v>
      </c>
      <c r="CC225" s="1" t="s">
        <v>132</v>
      </c>
      <c r="CE225" s="122">
        <f>FUR[[#This Row],[Part Type]]</f>
        <v>0</v>
      </c>
      <c r="CF225" s="122">
        <f>FUR[[#This Row],[Chemicals]]</f>
        <v>0</v>
      </c>
      <c r="CG225" s="122">
        <f>FUR[[#This Row],[UID]]</f>
        <v>0</v>
      </c>
      <c r="CK225" s="82" t="str">
        <f>IF(FUR[[#This Row],[Status]]=0,"",FUR[[#This Row],[Status]])</f>
        <v/>
      </c>
    </row>
    <row r="226" spans="79:89">
      <c r="CA226" s="1" t="s">
        <v>71</v>
      </c>
      <c r="CB226" s="1" t="s">
        <v>18</v>
      </c>
      <c r="CC226" s="1" t="s">
        <v>132</v>
      </c>
      <c r="CE226" s="122">
        <f>FUR[[#This Row],[Part Type]]</f>
        <v>0</v>
      </c>
      <c r="CF226" s="122">
        <f>FUR[[#This Row],[Chemicals]]</f>
        <v>0</v>
      </c>
      <c r="CG226" s="122">
        <f>FUR[[#This Row],[UID]]</f>
        <v>0</v>
      </c>
      <c r="CK226" s="82" t="str">
        <f>IF(FUR[[#This Row],[Status]]=0,"",FUR[[#This Row],[Status]])</f>
        <v/>
      </c>
    </row>
    <row r="227" spans="79:89">
      <c r="CA227" s="1" t="s">
        <v>71</v>
      </c>
      <c r="CB227" s="1" t="s">
        <v>18</v>
      </c>
      <c r="CC227" s="1" t="s">
        <v>132</v>
      </c>
      <c r="CE227" s="122">
        <f>FUR[[#This Row],[Part Type]]</f>
        <v>0</v>
      </c>
      <c r="CF227" s="122">
        <f>FUR[[#This Row],[Chemicals]]</f>
        <v>0</v>
      </c>
      <c r="CG227" s="122">
        <f>FUR[[#This Row],[UID]]</f>
        <v>0</v>
      </c>
      <c r="CK227" s="82" t="str">
        <f>IF(FUR[[#This Row],[Status]]=0,"",FUR[[#This Row],[Status]])</f>
        <v/>
      </c>
    </row>
    <row r="228" spans="79:89">
      <c r="CA228" s="1" t="s">
        <v>71</v>
      </c>
      <c r="CB228" s="1" t="s">
        <v>18</v>
      </c>
      <c r="CC228" s="1" t="s">
        <v>132</v>
      </c>
      <c r="CE228" s="122">
        <f>FUR[[#This Row],[Part Type]]</f>
        <v>0</v>
      </c>
      <c r="CF228" s="122">
        <f>FUR[[#This Row],[Chemicals]]</f>
        <v>0</v>
      </c>
      <c r="CG228" s="122">
        <f>FUR[[#This Row],[UID]]</f>
        <v>0</v>
      </c>
      <c r="CK228" s="82" t="str">
        <f>IF(FUR[[#This Row],[Status]]=0,"",FUR[[#This Row],[Status]])</f>
        <v/>
      </c>
    </row>
    <row r="229" spans="79:89">
      <c r="CA229" s="1" t="s">
        <v>71</v>
      </c>
      <c r="CB229" s="1" t="s">
        <v>18</v>
      </c>
      <c r="CC229" s="1" t="s">
        <v>132</v>
      </c>
      <c r="CE229" s="122">
        <f>FUR[[#This Row],[Part Type]]</f>
        <v>0</v>
      </c>
      <c r="CF229" s="122">
        <f>FUR[[#This Row],[Chemicals]]</f>
        <v>0</v>
      </c>
      <c r="CG229" s="122">
        <f>FUR[[#This Row],[UID]]</f>
        <v>0</v>
      </c>
      <c r="CK229" s="82" t="str">
        <f>IF(FUR[[#This Row],[Status]]=0,"",FUR[[#This Row],[Status]])</f>
        <v/>
      </c>
    </row>
    <row r="230" spans="79:89">
      <c r="CA230" s="1" t="s">
        <v>71</v>
      </c>
      <c r="CB230" s="1" t="s">
        <v>18</v>
      </c>
      <c r="CC230" s="1" t="s">
        <v>132</v>
      </c>
      <c r="CE230" s="122">
        <f>FUR[[#This Row],[Part Type]]</f>
        <v>0</v>
      </c>
      <c r="CF230" s="122">
        <f>FUR[[#This Row],[Chemicals]]</f>
        <v>0</v>
      </c>
      <c r="CG230" s="122">
        <f>FUR[[#This Row],[UID]]</f>
        <v>0</v>
      </c>
      <c r="CK230" s="82" t="str">
        <f>IF(FUR[[#This Row],[Status]]=0,"",FUR[[#This Row],[Status]])</f>
        <v/>
      </c>
    </row>
    <row r="231" spans="79:89">
      <c r="CA231" s="1" t="s">
        <v>71</v>
      </c>
      <c r="CB231" s="1" t="s">
        <v>18</v>
      </c>
      <c r="CC231" s="1" t="s">
        <v>132</v>
      </c>
      <c r="CE231" s="122">
        <f>FUR[[#This Row],[Part Type]]</f>
        <v>0</v>
      </c>
      <c r="CF231" s="122">
        <f>FUR[[#This Row],[Chemicals]]</f>
        <v>0</v>
      </c>
      <c r="CG231" s="122">
        <f>FUR[[#This Row],[UID]]</f>
        <v>0</v>
      </c>
      <c r="CK231" s="82" t="str">
        <f>IF(FUR[[#This Row],[Status]]=0,"",FUR[[#This Row],[Status]])</f>
        <v/>
      </c>
    </row>
    <row r="232" spans="79:89">
      <c r="CA232" s="1" t="s">
        <v>71</v>
      </c>
      <c r="CB232" s="1" t="s">
        <v>18</v>
      </c>
      <c r="CC232" s="1" t="s">
        <v>132</v>
      </c>
      <c r="CE232" s="122">
        <f>FUR[[#This Row],[Part Type]]</f>
        <v>0</v>
      </c>
      <c r="CF232" s="122">
        <f>FUR[[#This Row],[Chemicals]]</f>
        <v>0</v>
      </c>
      <c r="CG232" s="122">
        <f>FUR[[#This Row],[UID]]</f>
        <v>0</v>
      </c>
      <c r="CK232" s="82" t="str">
        <f>IF(FUR[[#This Row],[Status]]=0,"",FUR[[#This Row],[Status]])</f>
        <v/>
      </c>
    </row>
    <row r="233" spans="79:89">
      <c r="CA233" s="1" t="s">
        <v>71</v>
      </c>
      <c r="CB233" s="1" t="s">
        <v>18</v>
      </c>
      <c r="CC233" s="1" t="s">
        <v>132</v>
      </c>
      <c r="CE233" s="122">
        <f>FUR[[#This Row],[Part Type]]</f>
        <v>0</v>
      </c>
      <c r="CF233" s="122">
        <f>FUR[[#This Row],[Chemicals]]</f>
        <v>0</v>
      </c>
      <c r="CG233" s="122">
        <f>FUR[[#This Row],[UID]]</f>
        <v>0</v>
      </c>
      <c r="CK233" s="82" t="str">
        <f>IF(FUR[[#This Row],[Status]]=0,"",FUR[[#This Row],[Status]])</f>
        <v/>
      </c>
    </row>
    <row r="234" spans="79:89">
      <c r="CA234" s="1" t="s">
        <v>71</v>
      </c>
      <c r="CB234" s="1" t="s">
        <v>18</v>
      </c>
      <c r="CC234" s="1" t="s">
        <v>132</v>
      </c>
      <c r="CE234" s="122">
        <f>FUR[[#This Row],[Part Type]]</f>
        <v>0</v>
      </c>
      <c r="CF234" s="122">
        <f>FUR[[#This Row],[Chemicals]]</f>
        <v>0</v>
      </c>
      <c r="CG234" s="122">
        <f>FUR[[#This Row],[UID]]</f>
        <v>0</v>
      </c>
      <c r="CK234" s="82" t="str">
        <f>IF(FUR[[#This Row],[Status]]=0,"",FUR[[#This Row],[Status]])</f>
        <v/>
      </c>
    </row>
    <row r="235" spans="79:89">
      <c r="CA235" s="1" t="s">
        <v>71</v>
      </c>
      <c r="CB235" s="1" t="s">
        <v>18</v>
      </c>
      <c r="CC235" s="1" t="s">
        <v>132</v>
      </c>
      <c r="CE235" s="122">
        <f>FUR[[#This Row],[Part Type]]</f>
        <v>0</v>
      </c>
      <c r="CF235" s="122">
        <f>FUR[[#This Row],[Chemicals]]</f>
        <v>0</v>
      </c>
      <c r="CG235" s="122">
        <f>FUR[[#This Row],[UID]]</f>
        <v>0</v>
      </c>
      <c r="CK235" s="82" t="str">
        <f>IF(FUR[[#This Row],[Status]]=0,"",FUR[[#This Row],[Status]])</f>
        <v/>
      </c>
    </row>
    <row r="236" spans="79:89">
      <c r="CA236" s="1" t="s">
        <v>71</v>
      </c>
      <c r="CB236" s="1" t="s">
        <v>18</v>
      </c>
      <c r="CC236" s="1" t="s">
        <v>132</v>
      </c>
      <c r="CE236" s="122">
        <f>FUR[[#This Row],[Part Type]]</f>
        <v>0</v>
      </c>
      <c r="CF236" s="122">
        <f>FUR[[#This Row],[Chemicals]]</f>
        <v>0</v>
      </c>
      <c r="CG236" s="122">
        <f>FUR[[#This Row],[UID]]</f>
        <v>0</v>
      </c>
      <c r="CK236" s="82" t="str">
        <f>IF(FUR[[#This Row],[Status]]=0,"",FUR[[#This Row],[Status]])</f>
        <v/>
      </c>
    </row>
    <row r="237" spans="79:89">
      <c r="CA237" s="1" t="s">
        <v>71</v>
      </c>
      <c r="CB237" s="1" t="s">
        <v>18</v>
      </c>
      <c r="CC237" s="1" t="s">
        <v>132</v>
      </c>
      <c r="CE237" s="122">
        <f>FUR[[#This Row],[Part Type]]</f>
        <v>0</v>
      </c>
      <c r="CF237" s="122">
        <f>FUR[[#This Row],[Chemicals]]</f>
        <v>0</v>
      </c>
      <c r="CG237" s="122">
        <f>FUR[[#This Row],[UID]]</f>
        <v>0</v>
      </c>
      <c r="CK237" s="82" t="str">
        <f>IF(FUR[[#This Row],[Status]]=0,"",FUR[[#This Row],[Status]])</f>
        <v/>
      </c>
    </row>
    <row r="238" spans="79:89">
      <c r="CA238" s="1" t="s">
        <v>71</v>
      </c>
      <c r="CB238" s="1" t="s">
        <v>18</v>
      </c>
      <c r="CC238" s="1" t="s">
        <v>132</v>
      </c>
      <c r="CE238" s="122">
        <f>FUR[[#This Row],[Part Type]]</f>
        <v>0</v>
      </c>
      <c r="CF238" s="122">
        <f>FUR[[#This Row],[Chemicals]]</f>
        <v>0</v>
      </c>
      <c r="CG238" s="122">
        <f>FUR[[#This Row],[UID]]</f>
        <v>0</v>
      </c>
      <c r="CK238" s="82" t="str">
        <f>IF(FUR[[#This Row],[Status]]=0,"",FUR[[#This Row],[Status]])</f>
        <v/>
      </c>
    </row>
    <row r="239" spans="79:89">
      <c r="CA239" s="1" t="s">
        <v>71</v>
      </c>
      <c r="CB239" s="1" t="s">
        <v>18</v>
      </c>
      <c r="CC239" s="1" t="s">
        <v>132</v>
      </c>
      <c r="CE239" s="122">
        <f>FUR[[#This Row],[Part Type]]</f>
        <v>0</v>
      </c>
      <c r="CF239" s="122">
        <f>FUR[[#This Row],[Chemicals]]</f>
        <v>0</v>
      </c>
      <c r="CG239" s="122">
        <f>FUR[[#This Row],[UID]]</f>
        <v>0</v>
      </c>
      <c r="CK239" s="82" t="str">
        <f>IF(FUR[[#This Row],[Status]]=0,"",FUR[[#This Row],[Status]])</f>
        <v/>
      </c>
    </row>
    <row r="240" spans="79:89">
      <c r="CA240" s="1" t="s">
        <v>71</v>
      </c>
      <c r="CB240" s="1" t="s">
        <v>18</v>
      </c>
      <c r="CC240" s="1" t="s">
        <v>132</v>
      </c>
      <c r="CE240" s="122">
        <f>FUR[[#This Row],[Part Type]]</f>
        <v>0</v>
      </c>
      <c r="CF240" s="122">
        <f>FUR[[#This Row],[Chemicals]]</f>
        <v>0</v>
      </c>
      <c r="CG240" s="122">
        <f>FUR[[#This Row],[UID]]</f>
        <v>0</v>
      </c>
      <c r="CK240" s="82" t="str">
        <f>IF(FUR[[#This Row],[Status]]=0,"",FUR[[#This Row],[Status]])</f>
        <v/>
      </c>
    </row>
    <row r="241" spans="79:89">
      <c r="CA241" s="1" t="s">
        <v>71</v>
      </c>
      <c r="CB241" s="1" t="s">
        <v>18</v>
      </c>
      <c r="CC241" s="1" t="s">
        <v>132</v>
      </c>
      <c r="CE241" s="122">
        <f>FUR[[#This Row],[Part Type]]</f>
        <v>0</v>
      </c>
      <c r="CF241" s="122">
        <f>FUR[[#This Row],[Chemicals]]</f>
        <v>0</v>
      </c>
      <c r="CG241" s="122">
        <f>FUR[[#This Row],[UID]]</f>
        <v>0</v>
      </c>
      <c r="CK241" s="82" t="str">
        <f>IF(FUR[[#This Row],[Status]]=0,"",FUR[[#This Row],[Status]])</f>
        <v/>
      </c>
    </row>
    <row r="242" spans="79:89">
      <c r="CA242" s="1" t="s">
        <v>71</v>
      </c>
      <c r="CB242" s="1" t="s">
        <v>18</v>
      </c>
      <c r="CC242" s="1" t="s">
        <v>132</v>
      </c>
      <c r="CE242" s="122">
        <f>FUR[[#This Row],[Part Type]]</f>
        <v>0</v>
      </c>
      <c r="CF242" s="122">
        <f>FUR[[#This Row],[Chemicals]]</f>
        <v>0</v>
      </c>
      <c r="CG242" s="122">
        <f>FUR[[#This Row],[UID]]</f>
        <v>0</v>
      </c>
      <c r="CK242" s="82" t="str">
        <f>IF(FUR[[#This Row],[Status]]=0,"",FUR[[#This Row],[Status]])</f>
        <v/>
      </c>
    </row>
    <row r="243" spans="79:89">
      <c r="CA243" s="1" t="s">
        <v>71</v>
      </c>
      <c r="CB243" s="1" t="s">
        <v>18</v>
      </c>
      <c r="CC243" s="1" t="s">
        <v>132</v>
      </c>
      <c r="CE243" s="122">
        <f>FUR[[#This Row],[Part Type]]</f>
        <v>0</v>
      </c>
      <c r="CF243" s="122">
        <f>FUR[[#This Row],[Chemicals]]</f>
        <v>0</v>
      </c>
      <c r="CG243" s="122">
        <f>FUR[[#This Row],[UID]]</f>
        <v>0</v>
      </c>
      <c r="CK243" s="82" t="str">
        <f>IF(FUR[[#This Row],[Status]]=0,"",FUR[[#This Row],[Status]])</f>
        <v/>
      </c>
    </row>
    <row r="244" spans="79:89">
      <c r="CA244" s="1" t="s">
        <v>71</v>
      </c>
      <c r="CB244" s="1" t="s">
        <v>18</v>
      </c>
      <c r="CC244" s="1" t="s">
        <v>132</v>
      </c>
      <c r="CE244" s="122">
        <f>FUR[[#This Row],[Part Type]]</f>
        <v>0</v>
      </c>
      <c r="CF244" s="122">
        <f>FUR[[#This Row],[Chemicals]]</f>
        <v>0</v>
      </c>
      <c r="CG244" s="122">
        <f>FUR[[#This Row],[UID]]</f>
        <v>0</v>
      </c>
      <c r="CK244" s="82" t="str">
        <f>IF(FUR[[#This Row],[Status]]=0,"",FUR[[#This Row],[Status]])</f>
        <v/>
      </c>
    </row>
    <row r="245" spans="79:89">
      <c r="CA245" s="1" t="s">
        <v>71</v>
      </c>
      <c r="CB245" s="1" t="s">
        <v>18</v>
      </c>
      <c r="CC245" s="1" t="s">
        <v>132</v>
      </c>
      <c r="CE245" s="122">
        <f>FUR[[#This Row],[Part Type]]</f>
        <v>0</v>
      </c>
      <c r="CF245" s="122">
        <f>FUR[[#This Row],[Chemicals]]</f>
        <v>0</v>
      </c>
      <c r="CG245" s="122">
        <f>FUR[[#This Row],[UID]]</f>
        <v>0</v>
      </c>
      <c r="CK245" s="82" t="str">
        <f>IF(FUR[[#This Row],[Status]]=0,"",FUR[[#This Row],[Status]])</f>
        <v/>
      </c>
    </row>
    <row r="246" spans="79:89">
      <c r="CA246" s="1" t="s">
        <v>71</v>
      </c>
      <c r="CB246" s="1" t="s">
        <v>18</v>
      </c>
      <c r="CC246" s="1" t="s">
        <v>132</v>
      </c>
      <c r="CE246" s="122">
        <f>FUR[[#This Row],[Part Type]]</f>
        <v>0</v>
      </c>
      <c r="CF246" s="122">
        <f>FUR[[#This Row],[Chemicals]]</f>
        <v>0</v>
      </c>
      <c r="CG246" s="122">
        <f>FUR[[#This Row],[UID]]</f>
        <v>0</v>
      </c>
      <c r="CK246" s="82" t="str">
        <f>IF(FUR[[#This Row],[Status]]=0,"",FUR[[#This Row],[Status]])</f>
        <v/>
      </c>
    </row>
    <row r="247" spans="79:89">
      <c r="CA247" s="1" t="s">
        <v>71</v>
      </c>
      <c r="CB247" s="1" t="s">
        <v>18</v>
      </c>
      <c r="CC247" s="1" t="s">
        <v>132</v>
      </c>
      <c r="CE247" s="122">
        <f>FUR[[#This Row],[Part Type]]</f>
        <v>0</v>
      </c>
      <c r="CF247" s="122">
        <f>FUR[[#This Row],[Chemicals]]</f>
        <v>0</v>
      </c>
      <c r="CG247" s="122">
        <f>FUR[[#This Row],[UID]]</f>
        <v>0</v>
      </c>
      <c r="CK247" s="82" t="str">
        <f>IF(FUR[[#This Row],[Status]]=0,"",FUR[[#This Row],[Status]])</f>
        <v/>
      </c>
    </row>
    <row r="248" spans="79:89">
      <c r="CA248" s="1" t="s">
        <v>71</v>
      </c>
      <c r="CB248" s="1" t="s">
        <v>18</v>
      </c>
      <c r="CC248" s="1" t="s">
        <v>132</v>
      </c>
      <c r="CE248" s="122">
        <f>FUR[[#This Row],[Part Type]]</f>
        <v>0</v>
      </c>
      <c r="CF248" s="122">
        <f>FUR[[#This Row],[Chemicals]]</f>
        <v>0</v>
      </c>
      <c r="CG248" s="122">
        <f>FUR[[#This Row],[UID]]</f>
        <v>0</v>
      </c>
      <c r="CK248" s="82" t="str">
        <f>IF(FUR[[#This Row],[Status]]=0,"",FUR[[#This Row],[Status]])</f>
        <v/>
      </c>
    </row>
    <row r="249" spans="79:89">
      <c r="CA249" s="1" t="s">
        <v>71</v>
      </c>
      <c r="CB249" s="1" t="s">
        <v>18</v>
      </c>
      <c r="CC249" s="1" t="s">
        <v>132</v>
      </c>
      <c r="CE249" s="122">
        <f>FUR[[#This Row],[Part Type]]</f>
        <v>0</v>
      </c>
      <c r="CF249" s="122">
        <f>FUR[[#This Row],[Chemicals]]</f>
        <v>0</v>
      </c>
      <c r="CG249" s="122">
        <f>FUR[[#This Row],[UID]]</f>
        <v>0</v>
      </c>
      <c r="CK249" s="82" t="str">
        <f>IF(FUR[[#This Row],[Status]]=0,"",FUR[[#This Row],[Status]])</f>
        <v/>
      </c>
    </row>
    <row r="250" spans="79:89">
      <c r="CA250" s="1" t="s">
        <v>71</v>
      </c>
      <c r="CB250" s="1" t="s">
        <v>18</v>
      </c>
      <c r="CC250" s="1" t="s">
        <v>132</v>
      </c>
      <c r="CE250" s="122">
        <f>FUR[[#This Row],[Part Type]]</f>
        <v>0</v>
      </c>
      <c r="CF250" s="122">
        <f>FUR[[#This Row],[Chemicals]]</f>
        <v>0</v>
      </c>
      <c r="CG250" s="122">
        <f>FUR[[#This Row],[UID]]</f>
        <v>0</v>
      </c>
      <c r="CK250" s="82" t="str">
        <f>IF(FUR[[#This Row],[Status]]=0,"",FUR[[#This Row],[Status]])</f>
        <v/>
      </c>
    </row>
    <row r="251" spans="79:89">
      <c r="CA251" s="1" t="s">
        <v>71</v>
      </c>
      <c r="CB251" s="1" t="s">
        <v>18</v>
      </c>
      <c r="CC251" s="1" t="s">
        <v>132</v>
      </c>
      <c r="CE251" s="122">
        <f>FUR[[#This Row],[Part Type]]</f>
        <v>0</v>
      </c>
      <c r="CF251" s="122">
        <f>FUR[[#This Row],[Chemicals]]</f>
        <v>0</v>
      </c>
      <c r="CG251" s="122">
        <f>FUR[[#This Row],[UID]]</f>
        <v>0</v>
      </c>
      <c r="CK251" s="82" t="str">
        <f>IF(FUR[[#This Row],[Status]]=0,"",FUR[[#This Row],[Status]])</f>
        <v/>
      </c>
    </row>
    <row r="252" spans="79:89">
      <c r="CA252" s="1" t="s">
        <v>71</v>
      </c>
      <c r="CB252" s="1" t="s">
        <v>18</v>
      </c>
      <c r="CC252" s="1" t="s">
        <v>132</v>
      </c>
      <c r="CE252" s="122">
        <f>FUR[[#This Row],[Part Type]]</f>
        <v>0</v>
      </c>
      <c r="CF252" s="122">
        <f>FUR[[#This Row],[Chemicals]]</f>
        <v>0</v>
      </c>
      <c r="CG252" s="122">
        <f>FUR[[#This Row],[UID]]</f>
        <v>0</v>
      </c>
      <c r="CK252" s="82" t="str">
        <f>IF(FUR[[#This Row],[Status]]=0,"",FUR[[#This Row],[Status]])</f>
        <v/>
      </c>
    </row>
    <row r="253" spans="79:89">
      <c r="CA253" s="1" t="s">
        <v>71</v>
      </c>
      <c r="CB253" s="1" t="s">
        <v>18</v>
      </c>
      <c r="CC253" s="1" t="s">
        <v>132</v>
      </c>
      <c r="CE253" s="122">
        <f>FUR[[#This Row],[Part Type]]</f>
        <v>0</v>
      </c>
      <c r="CF253" s="122">
        <f>FUR[[#This Row],[Chemicals]]</f>
        <v>0</v>
      </c>
      <c r="CG253" s="122">
        <f>FUR[[#This Row],[UID]]</f>
        <v>0</v>
      </c>
      <c r="CK253" s="82" t="str">
        <f>IF(FUR[[#This Row],[Status]]=0,"",FUR[[#This Row],[Status]])</f>
        <v/>
      </c>
    </row>
    <row r="254" spans="79:89">
      <c r="CA254" s="1" t="s">
        <v>71</v>
      </c>
      <c r="CB254" s="1" t="s">
        <v>18</v>
      </c>
      <c r="CC254" s="1" t="s">
        <v>132</v>
      </c>
      <c r="CE254" s="122">
        <f>FUR[[#This Row],[Part Type]]</f>
        <v>0</v>
      </c>
      <c r="CF254" s="122">
        <f>FUR[[#This Row],[Chemicals]]</f>
        <v>0</v>
      </c>
      <c r="CG254" s="122">
        <f>FUR[[#This Row],[UID]]</f>
        <v>0</v>
      </c>
      <c r="CK254" s="82" t="str">
        <f>IF(FUR[[#This Row],[Status]]=0,"",FUR[[#This Row],[Status]])</f>
        <v/>
      </c>
    </row>
    <row r="255" spans="79:89">
      <c r="CA255" s="1" t="s">
        <v>71</v>
      </c>
      <c r="CB255" s="1" t="s">
        <v>18</v>
      </c>
      <c r="CC255" s="1" t="s">
        <v>132</v>
      </c>
      <c r="CE255" s="122">
        <f>FUR[[#This Row],[Part Type]]</f>
        <v>0</v>
      </c>
      <c r="CF255" s="122">
        <f>FUR[[#This Row],[Chemicals]]</f>
        <v>0</v>
      </c>
      <c r="CG255" s="122">
        <f>FUR[[#This Row],[UID]]</f>
        <v>0</v>
      </c>
      <c r="CK255" s="82" t="str">
        <f>IF(FUR[[#This Row],[Status]]=0,"",FUR[[#This Row],[Status]])</f>
        <v/>
      </c>
    </row>
    <row r="256" spans="79:89">
      <c r="CA256" s="1" t="s">
        <v>71</v>
      </c>
      <c r="CB256" s="1" t="s">
        <v>18</v>
      </c>
      <c r="CC256" s="1" t="s">
        <v>132</v>
      </c>
      <c r="CE256" s="122">
        <f>FUR[[#This Row],[Part Type]]</f>
        <v>0</v>
      </c>
      <c r="CF256" s="122">
        <f>FUR[[#This Row],[Chemicals]]</f>
        <v>0</v>
      </c>
      <c r="CG256" s="122">
        <f>FUR[[#This Row],[UID]]</f>
        <v>0</v>
      </c>
      <c r="CK256" s="82" t="str">
        <f>IF(FUR[[#This Row],[Status]]=0,"",FUR[[#This Row],[Status]])</f>
        <v/>
      </c>
    </row>
    <row r="257" spans="79:89">
      <c r="CA257" s="1" t="s">
        <v>71</v>
      </c>
      <c r="CB257" s="1" t="s">
        <v>18</v>
      </c>
      <c r="CC257" s="1" t="s">
        <v>132</v>
      </c>
      <c r="CE257" s="122">
        <f>FUR[[#This Row],[Part Type]]</f>
        <v>0</v>
      </c>
      <c r="CF257" s="122">
        <f>FUR[[#This Row],[Chemicals]]</f>
        <v>0</v>
      </c>
      <c r="CG257" s="122">
        <f>FUR[[#This Row],[UID]]</f>
        <v>0</v>
      </c>
      <c r="CK257" s="82" t="str">
        <f>IF(FUR[[#This Row],[Status]]=0,"",FUR[[#This Row],[Status]])</f>
        <v/>
      </c>
    </row>
    <row r="258" spans="79:89">
      <c r="CA258" s="1" t="s">
        <v>71</v>
      </c>
      <c r="CB258" s="1" t="s">
        <v>18</v>
      </c>
      <c r="CC258" s="1" t="s">
        <v>132</v>
      </c>
      <c r="CE258" s="122">
        <f>FUR[[#This Row],[Part Type]]</f>
        <v>0</v>
      </c>
      <c r="CF258" s="122">
        <f>FUR[[#This Row],[Chemicals]]</f>
        <v>0</v>
      </c>
      <c r="CG258" s="122">
        <f>FUR[[#This Row],[UID]]</f>
        <v>0</v>
      </c>
      <c r="CK258" s="82" t="str">
        <f>IF(FUR[[#This Row],[Status]]=0,"",FUR[[#This Row],[Status]])</f>
        <v/>
      </c>
    </row>
    <row r="259" spans="79:89">
      <c r="CA259" s="1" t="s">
        <v>71</v>
      </c>
      <c r="CB259" s="1" t="s">
        <v>18</v>
      </c>
      <c r="CC259" s="1" t="s">
        <v>132</v>
      </c>
      <c r="CE259" s="122">
        <f>FUR[[#This Row],[Part Type]]</f>
        <v>0</v>
      </c>
      <c r="CF259" s="122">
        <f>FUR[[#This Row],[Chemicals]]</f>
        <v>0</v>
      </c>
      <c r="CG259" s="122">
        <f>FUR[[#This Row],[UID]]</f>
        <v>0</v>
      </c>
      <c r="CK259" s="82" t="str">
        <f>IF(FUR[[#This Row],[Status]]=0,"",FUR[[#This Row],[Status]])</f>
        <v/>
      </c>
    </row>
    <row r="260" spans="79:89">
      <c r="CA260" s="1" t="s">
        <v>71</v>
      </c>
      <c r="CB260" s="1" t="s">
        <v>18</v>
      </c>
      <c r="CC260" s="1" t="s">
        <v>132</v>
      </c>
      <c r="CE260" s="122">
        <f>FUR[[#This Row],[Part Type]]</f>
        <v>0</v>
      </c>
      <c r="CF260" s="122">
        <f>FUR[[#This Row],[Chemicals]]</f>
        <v>0</v>
      </c>
      <c r="CG260" s="122">
        <f>FUR[[#This Row],[UID]]</f>
        <v>0</v>
      </c>
      <c r="CK260" s="82" t="str">
        <f>IF(FUR[[#This Row],[Status]]=0,"",FUR[[#This Row],[Status]])</f>
        <v/>
      </c>
    </row>
    <row r="261" spans="79:89">
      <c r="CA261" s="1" t="s">
        <v>71</v>
      </c>
      <c r="CB261" s="1" t="s">
        <v>18</v>
      </c>
      <c r="CC261" s="1" t="s">
        <v>132</v>
      </c>
      <c r="CE261" s="122">
        <f>FUR[[#This Row],[Part Type]]</f>
        <v>0</v>
      </c>
      <c r="CF261" s="122">
        <f>FUR[[#This Row],[Chemicals]]</f>
        <v>0</v>
      </c>
      <c r="CG261" s="122">
        <f>FUR[[#This Row],[UID]]</f>
        <v>0</v>
      </c>
      <c r="CK261" s="82" t="str">
        <f>IF(FUR[[#This Row],[Status]]=0,"",FUR[[#This Row],[Status]])</f>
        <v/>
      </c>
    </row>
    <row r="262" spans="79:89">
      <c r="CA262" s="1" t="s">
        <v>71</v>
      </c>
      <c r="CB262" s="1" t="s">
        <v>18</v>
      </c>
      <c r="CC262" s="1" t="s">
        <v>132</v>
      </c>
      <c r="CE262" s="122">
        <f>FUR[[#This Row],[Part Type]]</f>
        <v>0</v>
      </c>
      <c r="CF262" s="122">
        <f>FUR[[#This Row],[Chemicals]]</f>
        <v>0</v>
      </c>
      <c r="CG262" s="122">
        <f>FUR[[#This Row],[UID]]</f>
        <v>0</v>
      </c>
      <c r="CK262" s="82" t="str">
        <f>IF(FUR[[#This Row],[Status]]=0,"",FUR[[#This Row],[Status]])</f>
        <v/>
      </c>
    </row>
    <row r="263" spans="79:89">
      <c r="CA263" s="1" t="s">
        <v>71</v>
      </c>
      <c r="CB263" s="1" t="s">
        <v>18</v>
      </c>
      <c r="CC263" s="1" t="s">
        <v>132</v>
      </c>
      <c r="CE263" s="122">
        <f>FUR[[#This Row],[Part Type]]</f>
        <v>0</v>
      </c>
      <c r="CF263" s="122">
        <f>FUR[[#This Row],[Chemicals]]</f>
        <v>0</v>
      </c>
      <c r="CG263" s="122">
        <f>FUR[[#This Row],[UID]]</f>
        <v>0</v>
      </c>
      <c r="CK263" s="82" t="str">
        <f>IF(FUR[[#This Row],[Status]]=0,"",FUR[[#This Row],[Status]])</f>
        <v/>
      </c>
    </row>
    <row r="264" spans="79:89">
      <c r="CA264" s="1" t="s">
        <v>71</v>
      </c>
      <c r="CB264" s="1" t="s">
        <v>18</v>
      </c>
      <c r="CC264" s="1" t="s">
        <v>132</v>
      </c>
      <c r="CE264" s="122">
        <f>FUR[[#This Row],[Part Type]]</f>
        <v>0</v>
      </c>
      <c r="CF264" s="122">
        <f>FUR[[#This Row],[Chemicals]]</f>
        <v>0</v>
      </c>
      <c r="CG264" s="122">
        <f>FUR[[#This Row],[UID]]</f>
        <v>0</v>
      </c>
      <c r="CK264" s="82" t="str">
        <f>IF(FUR[[#This Row],[Status]]=0,"",FUR[[#This Row],[Status]])</f>
        <v/>
      </c>
    </row>
    <row r="265" spans="79:89">
      <c r="CA265" s="1" t="s">
        <v>71</v>
      </c>
      <c r="CB265" s="1" t="s">
        <v>18</v>
      </c>
      <c r="CC265" s="1" t="s">
        <v>132</v>
      </c>
      <c r="CE265" s="122">
        <f>FUR[[#This Row],[Part Type]]</f>
        <v>0</v>
      </c>
      <c r="CF265" s="122">
        <f>FUR[[#This Row],[Chemicals]]</f>
        <v>0</v>
      </c>
      <c r="CG265" s="122">
        <f>FUR[[#This Row],[UID]]</f>
        <v>0</v>
      </c>
      <c r="CK265" s="82" t="str">
        <f>IF(FUR[[#This Row],[Status]]=0,"",FUR[[#This Row],[Status]])</f>
        <v/>
      </c>
    </row>
    <row r="266" spans="79:89">
      <c r="CA266" s="1" t="s">
        <v>71</v>
      </c>
      <c r="CB266" s="1" t="s">
        <v>18</v>
      </c>
      <c r="CC266" s="1" t="s">
        <v>132</v>
      </c>
      <c r="CE266" s="122">
        <f>FUR[[#This Row],[Part Type]]</f>
        <v>0</v>
      </c>
      <c r="CF266" s="122">
        <f>FUR[[#This Row],[Chemicals]]</f>
        <v>0</v>
      </c>
      <c r="CG266" s="122">
        <f>FUR[[#This Row],[UID]]</f>
        <v>0</v>
      </c>
      <c r="CK266" s="82" t="str">
        <f>IF(FUR[[#This Row],[Status]]=0,"",FUR[[#This Row],[Status]])</f>
        <v/>
      </c>
    </row>
    <row r="267" spans="79:89">
      <c r="CA267" s="1" t="s">
        <v>71</v>
      </c>
      <c r="CB267" s="1" t="s">
        <v>18</v>
      </c>
      <c r="CC267" s="1" t="s">
        <v>132</v>
      </c>
      <c r="CE267" s="122">
        <f>FUR[[#This Row],[Part Type]]</f>
        <v>0</v>
      </c>
      <c r="CF267" s="122">
        <f>FUR[[#This Row],[Chemicals]]</f>
        <v>0</v>
      </c>
      <c r="CG267" s="122">
        <f>FUR[[#This Row],[UID]]</f>
        <v>0</v>
      </c>
      <c r="CK267" s="82" t="str">
        <f>IF(FUR[[#This Row],[Status]]=0,"",FUR[[#This Row],[Status]])</f>
        <v/>
      </c>
    </row>
    <row r="268" spans="79:89">
      <c r="CA268" s="1" t="s">
        <v>71</v>
      </c>
      <c r="CB268" s="1" t="s">
        <v>18</v>
      </c>
      <c r="CC268" s="1" t="s">
        <v>132</v>
      </c>
      <c r="CE268" s="122">
        <f>FUR[[#This Row],[Part Type]]</f>
        <v>0</v>
      </c>
      <c r="CF268" s="122">
        <f>FUR[[#This Row],[Chemicals]]</f>
        <v>0</v>
      </c>
      <c r="CG268" s="122">
        <f>FUR[[#This Row],[UID]]</f>
        <v>0</v>
      </c>
      <c r="CK268" s="82" t="str">
        <f>IF(FUR[[#This Row],[Status]]=0,"",FUR[[#This Row],[Status]])</f>
        <v/>
      </c>
    </row>
    <row r="269" spans="79:89">
      <c r="CA269" s="1" t="s">
        <v>71</v>
      </c>
      <c r="CB269" s="1" t="s">
        <v>18</v>
      </c>
      <c r="CC269" s="1" t="s">
        <v>132</v>
      </c>
      <c r="CE269" s="122">
        <f>FUR[[#This Row],[Part Type]]</f>
        <v>0</v>
      </c>
      <c r="CF269" s="122">
        <f>FUR[[#This Row],[Chemicals]]</f>
        <v>0</v>
      </c>
      <c r="CG269" s="122">
        <f>FUR[[#This Row],[UID]]</f>
        <v>0</v>
      </c>
      <c r="CK269" s="82" t="str">
        <f>IF(FUR[[#This Row],[Status]]=0,"",FUR[[#This Row],[Status]])</f>
        <v/>
      </c>
    </row>
    <row r="270" spans="79:89">
      <c r="CA270" s="1" t="s">
        <v>71</v>
      </c>
      <c r="CB270" s="1" t="s">
        <v>18</v>
      </c>
      <c r="CC270" s="1" t="s">
        <v>132</v>
      </c>
      <c r="CE270" s="122">
        <f>FUR[[#This Row],[Part Type]]</f>
        <v>0</v>
      </c>
      <c r="CF270" s="122">
        <f>FUR[[#This Row],[Chemicals]]</f>
        <v>0</v>
      </c>
      <c r="CG270" s="122">
        <f>FUR[[#This Row],[UID]]</f>
        <v>0</v>
      </c>
      <c r="CK270" s="82" t="str">
        <f>IF(FUR[[#This Row],[Status]]=0,"",FUR[[#This Row],[Status]])</f>
        <v/>
      </c>
    </row>
    <row r="271" spans="79:89">
      <c r="CA271" s="1" t="s">
        <v>71</v>
      </c>
      <c r="CB271" s="1" t="s">
        <v>18</v>
      </c>
      <c r="CC271" s="1" t="s">
        <v>132</v>
      </c>
      <c r="CE271" s="122">
        <f>FUR[[#This Row],[Part Type]]</f>
        <v>0</v>
      </c>
      <c r="CF271" s="122">
        <f>FUR[[#This Row],[Chemicals]]</f>
        <v>0</v>
      </c>
      <c r="CG271" s="122">
        <f>FUR[[#This Row],[UID]]</f>
        <v>0</v>
      </c>
      <c r="CK271" s="82" t="str">
        <f>IF(FUR[[#This Row],[Status]]=0,"",FUR[[#This Row],[Status]])</f>
        <v/>
      </c>
    </row>
    <row r="272" spans="79:89">
      <c r="CA272" s="1" t="s">
        <v>71</v>
      </c>
      <c r="CB272" s="1" t="s">
        <v>18</v>
      </c>
      <c r="CC272" s="1" t="s">
        <v>132</v>
      </c>
      <c r="CE272" s="122">
        <f>FUR[[#This Row],[Part Type]]</f>
        <v>0</v>
      </c>
      <c r="CF272" s="122">
        <f>FUR[[#This Row],[Chemicals]]</f>
        <v>0</v>
      </c>
      <c r="CG272" s="122">
        <f>FUR[[#This Row],[UID]]</f>
        <v>0</v>
      </c>
      <c r="CK272" s="82" t="str">
        <f>IF(FUR[[#This Row],[Status]]=0,"",FUR[[#This Row],[Status]])</f>
        <v/>
      </c>
    </row>
    <row r="273" spans="79:89">
      <c r="CA273" s="1" t="s">
        <v>71</v>
      </c>
      <c r="CB273" s="1" t="s">
        <v>18</v>
      </c>
      <c r="CC273" s="1" t="s">
        <v>132</v>
      </c>
      <c r="CE273" s="122">
        <f>FUR[[#This Row],[Part Type]]</f>
        <v>0</v>
      </c>
      <c r="CF273" s="122">
        <f>FUR[[#This Row],[Chemicals]]</f>
        <v>0</v>
      </c>
      <c r="CG273" s="122">
        <f>FUR[[#This Row],[UID]]</f>
        <v>0</v>
      </c>
      <c r="CK273" s="82" t="str">
        <f>IF(FUR[[#This Row],[Status]]=0,"",FUR[[#This Row],[Status]])</f>
        <v/>
      </c>
    </row>
    <row r="274" spans="79:89">
      <c r="CA274" s="1" t="s">
        <v>71</v>
      </c>
      <c r="CB274" s="1" t="s">
        <v>18</v>
      </c>
      <c r="CC274" s="1" t="s">
        <v>132</v>
      </c>
      <c r="CE274" s="122">
        <f>FUR[[#This Row],[Part Type]]</f>
        <v>0</v>
      </c>
      <c r="CF274" s="122">
        <f>FUR[[#This Row],[Chemicals]]</f>
        <v>0</v>
      </c>
      <c r="CG274" s="122">
        <f>FUR[[#This Row],[UID]]</f>
        <v>0</v>
      </c>
      <c r="CK274" s="82" t="str">
        <f>IF(FUR[[#This Row],[Status]]=0,"",FUR[[#This Row],[Status]])</f>
        <v/>
      </c>
    </row>
    <row r="275" spans="79:89">
      <c r="CA275" s="1" t="s">
        <v>71</v>
      </c>
      <c r="CB275" s="1" t="s">
        <v>18</v>
      </c>
      <c r="CC275" s="1" t="s">
        <v>132</v>
      </c>
      <c r="CE275" s="122">
        <f>FUR[[#This Row],[Part Type]]</f>
        <v>0</v>
      </c>
      <c r="CF275" s="122">
        <f>FUR[[#This Row],[Chemicals]]</f>
        <v>0</v>
      </c>
      <c r="CG275" s="122">
        <f>FUR[[#This Row],[UID]]</f>
        <v>0</v>
      </c>
      <c r="CK275" s="82" t="str">
        <f>IF(FUR[[#This Row],[Status]]=0,"",FUR[[#This Row],[Status]])</f>
        <v/>
      </c>
    </row>
    <row r="276" spans="79:89">
      <c r="CA276" s="1" t="s">
        <v>71</v>
      </c>
      <c r="CB276" s="1" t="s">
        <v>18</v>
      </c>
      <c r="CC276" s="1" t="s">
        <v>132</v>
      </c>
      <c r="CE276" s="122">
        <f>FUR[[#This Row],[Part Type]]</f>
        <v>0</v>
      </c>
      <c r="CF276" s="122">
        <f>FUR[[#This Row],[Chemicals]]</f>
        <v>0</v>
      </c>
      <c r="CG276" s="122">
        <f>FUR[[#This Row],[UID]]</f>
        <v>0</v>
      </c>
      <c r="CK276" s="82" t="str">
        <f>IF(FUR[[#This Row],[Status]]=0,"",FUR[[#This Row],[Status]])</f>
        <v/>
      </c>
    </row>
    <row r="277" spans="79:89">
      <c r="CA277" s="1" t="s">
        <v>71</v>
      </c>
      <c r="CB277" s="1" t="s">
        <v>18</v>
      </c>
      <c r="CC277" s="1" t="s">
        <v>132</v>
      </c>
      <c r="CE277" s="122">
        <f>FUR[[#This Row],[Part Type]]</f>
        <v>0</v>
      </c>
      <c r="CF277" s="122">
        <f>FUR[[#This Row],[Chemicals]]</f>
        <v>0</v>
      </c>
      <c r="CG277" s="122">
        <f>FUR[[#This Row],[UID]]</f>
        <v>0</v>
      </c>
      <c r="CK277" s="82" t="str">
        <f>IF(FUR[[#This Row],[Status]]=0,"",FUR[[#This Row],[Status]])</f>
        <v/>
      </c>
    </row>
    <row r="278" spans="79:89">
      <c r="CA278" s="1" t="s">
        <v>71</v>
      </c>
      <c r="CB278" s="1" t="s">
        <v>18</v>
      </c>
      <c r="CC278" s="1" t="s">
        <v>132</v>
      </c>
      <c r="CE278" s="122">
        <f>FUR[[#This Row],[Part Type]]</f>
        <v>0</v>
      </c>
      <c r="CF278" s="122">
        <f>FUR[[#This Row],[Chemicals]]</f>
        <v>0</v>
      </c>
      <c r="CG278" s="122">
        <f>FUR[[#This Row],[UID]]</f>
        <v>0</v>
      </c>
      <c r="CK278" s="82" t="str">
        <f>IF(FUR[[#This Row],[Status]]=0,"",FUR[[#This Row],[Status]])</f>
        <v/>
      </c>
    </row>
    <row r="279" spans="79:89">
      <c r="CA279" s="1" t="s">
        <v>71</v>
      </c>
      <c r="CB279" s="1" t="s">
        <v>18</v>
      </c>
      <c r="CC279" s="1" t="s">
        <v>132</v>
      </c>
      <c r="CE279" s="122">
        <f>FUR[[#This Row],[Part Type]]</f>
        <v>0</v>
      </c>
      <c r="CF279" s="122">
        <f>FUR[[#This Row],[Chemicals]]</f>
        <v>0</v>
      </c>
      <c r="CG279" s="122">
        <f>FUR[[#This Row],[UID]]</f>
        <v>0</v>
      </c>
      <c r="CK279" s="82" t="str">
        <f>IF(FUR[[#This Row],[Status]]=0,"",FUR[[#This Row],[Status]])</f>
        <v/>
      </c>
    </row>
    <row r="280" spans="79:89">
      <c r="CA280" s="1" t="s">
        <v>71</v>
      </c>
      <c r="CB280" s="1" t="s">
        <v>18</v>
      </c>
      <c r="CC280" s="1" t="s">
        <v>132</v>
      </c>
      <c r="CE280" s="122">
        <f>FUR[[#This Row],[Part Type]]</f>
        <v>0</v>
      </c>
      <c r="CF280" s="122">
        <f>FUR[[#This Row],[Chemicals]]</f>
        <v>0</v>
      </c>
      <c r="CG280" s="122">
        <f>FUR[[#This Row],[UID]]</f>
        <v>0</v>
      </c>
      <c r="CK280" s="82" t="str">
        <f>IF(FUR[[#This Row],[Status]]=0,"",FUR[[#This Row],[Status]])</f>
        <v/>
      </c>
    </row>
    <row r="281" spans="79:89">
      <c r="CA281" s="1" t="s">
        <v>71</v>
      </c>
      <c r="CB281" s="1" t="s">
        <v>18</v>
      </c>
      <c r="CC281" s="1" t="s">
        <v>132</v>
      </c>
      <c r="CE281" s="122">
        <f>FUR[[#This Row],[Part Type]]</f>
        <v>0</v>
      </c>
      <c r="CF281" s="122">
        <f>FUR[[#This Row],[Chemicals]]</f>
        <v>0</v>
      </c>
      <c r="CG281" s="122">
        <f>FUR[[#This Row],[UID]]</f>
        <v>0</v>
      </c>
      <c r="CK281" s="82" t="str">
        <f>IF(FUR[[#This Row],[Status]]=0,"",FUR[[#This Row],[Status]])</f>
        <v/>
      </c>
    </row>
    <row r="282" spans="79:89">
      <c r="CA282" s="1" t="s">
        <v>71</v>
      </c>
      <c r="CB282" s="1" t="s">
        <v>18</v>
      </c>
      <c r="CC282" s="1" t="s">
        <v>132</v>
      </c>
      <c r="CE282" s="122">
        <f>FUR[[#This Row],[Part Type]]</f>
        <v>0</v>
      </c>
      <c r="CF282" s="122">
        <f>FUR[[#This Row],[Chemicals]]</f>
        <v>0</v>
      </c>
      <c r="CG282" s="122">
        <f>FUR[[#This Row],[UID]]</f>
        <v>0</v>
      </c>
      <c r="CK282" s="82" t="str">
        <f>IF(FUR[[#This Row],[Status]]=0,"",FUR[[#This Row],[Status]])</f>
        <v/>
      </c>
    </row>
    <row r="283" spans="79:89">
      <c r="CA283" s="1" t="s">
        <v>71</v>
      </c>
      <c r="CB283" s="1" t="s">
        <v>18</v>
      </c>
      <c r="CC283" s="1" t="s">
        <v>132</v>
      </c>
      <c r="CE283" s="122">
        <f>FUR[[#This Row],[Part Type]]</f>
        <v>0</v>
      </c>
      <c r="CF283" s="122">
        <f>FUR[[#This Row],[Chemicals]]</f>
        <v>0</v>
      </c>
      <c r="CG283" s="122">
        <f>FUR[[#This Row],[UID]]</f>
        <v>0</v>
      </c>
      <c r="CK283" s="82" t="str">
        <f>IF(FUR[[#This Row],[Status]]=0,"",FUR[[#This Row],[Status]])</f>
        <v/>
      </c>
    </row>
    <row r="284" spans="79:89">
      <c r="CA284" s="1" t="s">
        <v>71</v>
      </c>
      <c r="CB284" s="1" t="s">
        <v>18</v>
      </c>
      <c r="CC284" s="1" t="s">
        <v>132</v>
      </c>
      <c r="CE284" s="122">
        <f>FUR[[#This Row],[Part Type]]</f>
        <v>0</v>
      </c>
      <c r="CF284" s="122">
        <f>FUR[[#This Row],[Chemicals]]</f>
        <v>0</v>
      </c>
      <c r="CG284" s="122">
        <f>FUR[[#This Row],[UID]]</f>
        <v>0</v>
      </c>
      <c r="CK284" s="82" t="str">
        <f>IF(FUR[[#This Row],[Status]]=0,"",FUR[[#This Row],[Status]])</f>
        <v/>
      </c>
    </row>
    <row r="285" spans="79:89">
      <c r="CA285" s="1" t="s">
        <v>71</v>
      </c>
      <c r="CB285" s="1" t="s">
        <v>18</v>
      </c>
      <c r="CC285" s="1" t="s">
        <v>132</v>
      </c>
      <c r="CE285" s="122">
        <f>FUR[[#This Row],[Part Type]]</f>
        <v>0</v>
      </c>
      <c r="CF285" s="122">
        <f>FUR[[#This Row],[Chemicals]]</f>
        <v>0</v>
      </c>
      <c r="CG285" s="122">
        <f>FUR[[#This Row],[UID]]</f>
        <v>0</v>
      </c>
      <c r="CK285" s="82" t="str">
        <f>IF(FUR[[#This Row],[Status]]=0,"",FUR[[#This Row],[Status]])</f>
        <v/>
      </c>
    </row>
    <row r="286" spans="79:89">
      <c r="CA286" s="1" t="s">
        <v>71</v>
      </c>
      <c r="CB286" s="1" t="s">
        <v>18</v>
      </c>
      <c r="CC286" s="1" t="s">
        <v>132</v>
      </c>
      <c r="CE286" s="122">
        <f>FUR[[#This Row],[Part Type]]</f>
        <v>0</v>
      </c>
      <c r="CF286" s="122">
        <f>FUR[[#This Row],[Chemicals]]</f>
        <v>0</v>
      </c>
      <c r="CG286" s="122">
        <f>FUR[[#This Row],[UID]]</f>
        <v>0</v>
      </c>
      <c r="CK286" s="82" t="str">
        <f>IF(FUR[[#This Row],[Status]]=0,"",FUR[[#This Row],[Status]])</f>
        <v/>
      </c>
    </row>
    <row r="287" spans="79:89">
      <c r="CA287" s="1" t="s">
        <v>71</v>
      </c>
      <c r="CB287" s="1" t="s">
        <v>18</v>
      </c>
      <c r="CC287" s="1" t="s">
        <v>132</v>
      </c>
      <c r="CE287" s="122">
        <f>FUR[[#This Row],[Part Type]]</f>
        <v>0</v>
      </c>
      <c r="CF287" s="122">
        <f>FUR[[#This Row],[Chemicals]]</f>
        <v>0</v>
      </c>
      <c r="CG287" s="122">
        <f>FUR[[#This Row],[UID]]</f>
        <v>0</v>
      </c>
      <c r="CK287" s="82" t="str">
        <f>IF(FUR[[#This Row],[Status]]=0,"",FUR[[#This Row],[Status]])</f>
        <v/>
      </c>
    </row>
    <row r="288" spans="79:89">
      <c r="CA288" s="1" t="s">
        <v>71</v>
      </c>
      <c r="CB288" s="1" t="s">
        <v>18</v>
      </c>
      <c r="CC288" s="1" t="s">
        <v>132</v>
      </c>
      <c r="CE288" s="122">
        <f>FUR[[#This Row],[Part Type]]</f>
        <v>0</v>
      </c>
      <c r="CF288" s="122">
        <f>FUR[[#This Row],[Chemicals]]</f>
        <v>0</v>
      </c>
      <c r="CG288" s="122">
        <f>FUR[[#This Row],[UID]]</f>
        <v>0</v>
      </c>
      <c r="CK288" s="82" t="str">
        <f>IF(FUR[[#This Row],[Status]]=0,"",FUR[[#This Row],[Status]])</f>
        <v/>
      </c>
    </row>
    <row r="289" spans="79:89">
      <c r="CA289" s="1" t="s">
        <v>71</v>
      </c>
      <c r="CB289" s="1" t="s">
        <v>18</v>
      </c>
      <c r="CC289" s="1" t="s">
        <v>132</v>
      </c>
      <c r="CE289" s="122">
        <f>FUR[[#This Row],[Part Type]]</f>
        <v>0</v>
      </c>
      <c r="CF289" s="122">
        <f>FUR[[#This Row],[Chemicals]]</f>
        <v>0</v>
      </c>
      <c r="CG289" s="122">
        <f>FUR[[#This Row],[UID]]</f>
        <v>0</v>
      </c>
      <c r="CK289" s="82" t="str">
        <f>IF(FUR[[#This Row],[Status]]=0,"",FUR[[#This Row],[Status]])</f>
        <v/>
      </c>
    </row>
    <row r="290" spans="79:89">
      <c r="CA290" s="1" t="s">
        <v>71</v>
      </c>
      <c r="CB290" s="1" t="s">
        <v>18</v>
      </c>
      <c r="CC290" s="1" t="s">
        <v>132</v>
      </c>
      <c r="CE290" s="122">
        <f>FUR[[#This Row],[Part Type]]</f>
        <v>0</v>
      </c>
      <c r="CF290" s="122">
        <f>FUR[[#This Row],[Chemicals]]</f>
        <v>0</v>
      </c>
      <c r="CG290" s="122">
        <f>FUR[[#This Row],[UID]]</f>
        <v>0</v>
      </c>
      <c r="CK290" s="82" t="str">
        <f>IF(FUR[[#This Row],[Status]]=0,"",FUR[[#This Row],[Status]])</f>
        <v/>
      </c>
    </row>
    <row r="291" spans="79:89">
      <c r="CA291" s="1" t="s">
        <v>71</v>
      </c>
      <c r="CB291" s="1" t="s">
        <v>18</v>
      </c>
      <c r="CC291" s="1" t="s">
        <v>132</v>
      </c>
      <c r="CE291" s="122">
        <f>FUR[[#This Row],[Part Type]]</f>
        <v>0</v>
      </c>
      <c r="CF291" s="122">
        <f>FUR[[#This Row],[Chemicals]]</f>
        <v>0</v>
      </c>
      <c r="CG291" s="122">
        <f>FUR[[#This Row],[UID]]</f>
        <v>0</v>
      </c>
      <c r="CK291" s="82" t="str">
        <f>IF(FUR[[#This Row],[Status]]=0,"",FUR[[#This Row],[Status]])</f>
        <v/>
      </c>
    </row>
    <row r="292" spans="79:89">
      <c r="CA292" s="1" t="s">
        <v>71</v>
      </c>
      <c r="CB292" s="1" t="s">
        <v>18</v>
      </c>
      <c r="CC292" s="1" t="s">
        <v>132</v>
      </c>
      <c r="CE292" s="122">
        <f>FUR[[#This Row],[Part Type]]</f>
        <v>0</v>
      </c>
      <c r="CF292" s="122">
        <f>FUR[[#This Row],[Chemicals]]</f>
        <v>0</v>
      </c>
      <c r="CG292" s="122">
        <f>FUR[[#This Row],[UID]]</f>
        <v>0</v>
      </c>
      <c r="CK292" s="82" t="str">
        <f>IF(FUR[[#This Row],[Status]]=0,"",FUR[[#This Row],[Status]])</f>
        <v/>
      </c>
    </row>
    <row r="293" spans="79:89">
      <c r="CA293" s="1" t="s">
        <v>71</v>
      </c>
      <c r="CB293" s="1" t="s">
        <v>18</v>
      </c>
      <c r="CC293" s="1" t="s">
        <v>132</v>
      </c>
      <c r="CE293" s="122">
        <f>FUR[[#This Row],[Part Type]]</f>
        <v>0</v>
      </c>
      <c r="CF293" s="122">
        <f>FUR[[#This Row],[Chemicals]]</f>
        <v>0</v>
      </c>
      <c r="CG293" s="122">
        <f>FUR[[#This Row],[UID]]</f>
        <v>0</v>
      </c>
      <c r="CK293" s="82" t="str">
        <f>IF(FUR[[#This Row],[Status]]=0,"",FUR[[#This Row],[Status]])</f>
        <v/>
      </c>
    </row>
    <row r="294" spans="79:89">
      <c r="CA294" s="1" t="s">
        <v>71</v>
      </c>
      <c r="CB294" s="1" t="s">
        <v>18</v>
      </c>
      <c r="CC294" s="1" t="s">
        <v>132</v>
      </c>
      <c r="CE294" s="122">
        <f>FUR[[#This Row],[Part Type]]</f>
        <v>0</v>
      </c>
      <c r="CF294" s="122">
        <f>FUR[[#This Row],[Chemicals]]</f>
        <v>0</v>
      </c>
      <c r="CG294" s="122">
        <f>FUR[[#This Row],[UID]]</f>
        <v>0</v>
      </c>
      <c r="CK294" s="82" t="str">
        <f>IF(FUR[[#This Row],[Status]]=0,"",FUR[[#This Row],[Status]])</f>
        <v/>
      </c>
    </row>
    <row r="295" spans="79:89">
      <c r="CA295" s="1" t="s">
        <v>71</v>
      </c>
      <c r="CB295" s="1" t="s">
        <v>18</v>
      </c>
      <c r="CC295" s="1" t="s">
        <v>132</v>
      </c>
      <c r="CE295" s="122">
        <f>FUR[[#This Row],[Part Type]]</f>
        <v>0</v>
      </c>
      <c r="CF295" s="122">
        <f>FUR[[#This Row],[Chemicals]]</f>
        <v>0</v>
      </c>
      <c r="CG295" s="122">
        <f>FUR[[#This Row],[UID]]</f>
        <v>0</v>
      </c>
      <c r="CK295" s="82" t="str">
        <f>IF(FUR[[#This Row],[Status]]=0,"",FUR[[#This Row],[Status]])</f>
        <v/>
      </c>
    </row>
    <row r="296" spans="79:89">
      <c r="CA296" s="1" t="s">
        <v>71</v>
      </c>
      <c r="CB296" s="1" t="s">
        <v>18</v>
      </c>
      <c r="CC296" s="1" t="s">
        <v>132</v>
      </c>
      <c r="CE296" s="122">
        <f>FUR[[#This Row],[Part Type]]</f>
        <v>0</v>
      </c>
      <c r="CF296" s="122">
        <f>FUR[[#This Row],[Chemicals]]</f>
        <v>0</v>
      </c>
      <c r="CG296" s="122">
        <f>FUR[[#This Row],[UID]]</f>
        <v>0</v>
      </c>
      <c r="CK296" s="82" t="str">
        <f>IF(FUR[[#This Row],[Status]]=0,"",FUR[[#This Row],[Status]])</f>
        <v/>
      </c>
    </row>
    <row r="297" spans="79:89">
      <c r="CA297" s="1" t="s">
        <v>71</v>
      </c>
      <c r="CB297" s="1" t="s">
        <v>18</v>
      </c>
      <c r="CC297" s="1" t="s">
        <v>132</v>
      </c>
      <c r="CE297" s="122">
        <f>FUR[[#This Row],[Part Type]]</f>
        <v>0</v>
      </c>
      <c r="CF297" s="122">
        <f>FUR[[#This Row],[Chemicals]]</f>
        <v>0</v>
      </c>
      <c r="CG297" s="122">
        <f>FUR[[#This Row],[UID]]</f>
        <v>0</v>
      </c>
      <c r="CK297" s="82" t="str">
        <f>IF(FUR[[#This Row],[Status]]=0,"",FUR[[#This Row],[Status]])</f>
        <v/>
      </c>
    </row>
    <row r="298" spans="79:89">
      <c r="CA298" s="1" t="s">
        <v>71</v>
      </c>
      <c r="CB298" s="1" t="s">
        <v>18</v>
      </c>
      <c r="CC298" s="1" t="s">
        <v>132</v>
      </c>
      <c r="CE298" s="122">
        <f>FUR[[#This Row],[Part Type]]</f>
        <v>0</v>
      </c>
      <c r="CF298" s="122">
        <f>FUR[[#This Row],[Chemicals]]</f>
        <v>0</v>
      </c>
      <c r="CG298" s="122">
        <f>FUR[[#This Row],[UID]]</f>
        <v>0</v>
      </c>
      <c r="CK298" s="82" t="str">
        <f>IF(FUR[[#This Row],[Status]]=0,"",FUR[[#This Row],[Status]])</f>
        <v/>
      </c>
    </row>
    <row r="299" spans="79:89">
      <c r="CA299" s="1" t="s">
        <v>71</v>
      </c>
      <c r="CB299" s="1" t="s">
        <v>18</v>
      </c>
      <c r="CC299" s="1" t="s">
        <v>132</v>
      </c>
      <c r="CE299" s="122">
        <f>FUR[[#This Row],[Part Type]]</f>
        <v>0</v>
      </c>
      <c r="CF299" s="122">
        <f>FUR[[#This Row],[Chemicals]]</f>
        <v>0</v>
      </c>
      <c r="CG299" s="122">
        <f>FUR[[#This Row],[UID]]</f>
        <v>0</v>
      </c>
      <c r="CK299" s="82" t="str">
        <f>IF(FUR[[#This Row],[Status]]=0,"",FUR[[#This Row],[Status]])</f>
        <v/>
      </c>
    </row>
    <row r="300" spans="79:89">
      <c r="CA300" s="1" t="s">
        <v>71</v>
      </c>
      <c r="CB300" s="1" t="s">
        <v>18</v>
      </c>
      <c r="CC300" s="1" t="s">
        <v>132</v>
      </c>
      <c r="CE300" s="122">
        <f>FUR[[#This Row],[Part Type]]</f>
        <v>0</v>
      </c>
      <c r="CF300" s="122">
        <f>FUR[[#This Row],[Chemicals]]</f>
        <v>0</v>
      </c>
      <c r="CG300" s="122">
        <f>FUR[[#This Row],[UID]]</f>
        <v>0</v>
      </c>
      <c r="CK300" s="82" t="str">
        <f>IF(FUR[[#This Row],[Status]]=0,"",FUR[[#This Row],[Status]])</f>
        <v/>
      </c>
    </row>
    <row r="301" spans="79:89">
      <c r="CA301" s="1" t="s">
        <v>71</v>
      </c>
      <c r="CB301" s="1" t="s">
        <v>18</v>
      </c>
      <c r="CC301" s="1" t="s">
        <v>132</v>
      </c>
      <c r="CE301" s="122">
        <f>FUR[[#This Row],[Part Type]]</f>
        <v>0</v>
      </c>
      <c r="CF301" s="122">
        <f>FUR[[#This Row],[Chemicals]]</f>
        <v>0</v>
      </c>
      <c r="CG301" s="122">
        <f>FUR[[#This Row],[UID]]</f>
        <v>0</v>
      </c>
      <c r="CK301" s="82" t="str">
        <f>IF(FUR[[#This Row],[Status]]=0,"",FUR[[#This Row],[Status]])</f>
        <v/>
      </c>
    </row>
    <row r="302" spans="79:89">
      <c r="CA302" s="1" t="s">
        <v>71</v>
      </c>
      <c r="CB302" s="1" t="s">
        <v>18</v>
      </c>
      <c r="CC302" s="1" t="s">
        <v>132</v>
      </c>
      <c r="CE302" s="122">
        <f>FUR[[#This Row],[Part Type]]</f>
        <v>0</v>
      </c>
      <c r="CF302" s="122">
        <f>FUR[[#This Row],[Chemicals]]</f>
        <v>0</v>
      </c>
      <c r="CG302" s="122">
        <f>FUR[[#This Row],[UID]]</f>
        <v>0</v>
      </c>
      <c r="CK302" s="82" t="str">
        <f>IF(FUR[[#This Row],[Status]]=0,"",FUR[[#This Row],[Status]])</f>
        <v/>
      </c>
    </row>
    <row r="303" spans="79:89">
      <c r="CA303" s="1" t="s">
        <v>71</v>
      </c>
      <c r="CB303" s="1" t="s">
        <v>18</v>
      </c>
      <c r="CC303" s="1" t="s">
        <v>132</v>
      </c>
      <c r="CE303" s="122">
        <f>FUR[[#This Row],[Part Type]]</f>
        <v>0</v>
      </c>
      <c r="CF303" s="122">
        <f>FUR[[#This Row],[Chemicals]]</f>
        <v>0</v>
      </c>
      <c r="CG303" s="122">
        <f>FUR[[#This Row],[UID]]</f>
        <v>0</v>
      </c>
      <c r="CK303" s="82" t="str">
        <f>IF(FUR[[#This Row],[Status]]=0,"",FUR[[#This Row],[Status]])</f>
        <v/>
      </c>
    </row>
    <row r="304" spans="79:89">
      <c r="CA304" s="1" t="s">
        <v>71</v>
      </c>
      <c r="CB304" s="1" t="s">
        <v>18</v>
      </c>
      <c r="CC304" s="1" t="s">
        <v>132</v>
      </c>
      <c r="CE304" s="122">
        <f>FUR[[#This Row],[Part Type]]</f>
        <v>0</v>
      </c>
      <c r="CF304" s="122">
        <f>FUR[[#This Row],[Chemicals]]</f>
        <v>0</v>
      </c>
      <c r="CG304" s="122">
        <f>FUR[[#This Row],[UID]]</f>
        <v>0</v>
      </c>
      <c r="CK304" s="82" t="str">
        <f>IF(FUR[[#This Row],[Status]]=0,"",FUR[[#This Row],[Status]])</f>
        <v/>
      </c>
    </row>
    <row r="305" spans="79:89">
      <c r="CA305" s="1" t="s">
        <v>71</v>
      </c>
      <c r="CB305" s="1" t="s">
        <v>18</v>
      </c>
      <c r="CC305" s="1" t="s">
        <v>132</v>
      </c>
      <c r="CE305" s="122">
        <f>FUR[[#This Row],[Part Type]]</f>
        <v>0</v>
      </c>
      <c r="CF305" s="122">
        <f>FUR[[#This Row],[Chemicals]]</f>
        <v>0</v>
      </c>
      <c r="CG305" s="122">
        <f>FUR[[#This Row],[UID]]</f>
        <v>0</v>
      </c>
      <c r="CK305" s="82" t="str">
        <f>IF(FUR[[#This Row],[Status]]=0,"",FUR[[#This Row],[Status]])</f>
        <v/>
      </c>
    </row>
    <row r="306" spans="79:89">
      <c r="CA306" s="1" t="s">
        <v>71</v>
      </c>
      <c r="CB306" s="1" t="s">
        <v>18</v>
      </c>
      <c r="CC306" s="1" t="s">
        <v>132</v>
      </c>
      <c r="CE306" s="122">
        <f>FUR[[#This Row],[Part Type]]</f>
        <v>0</v>
      </c>
      <c r="CF306" s="122">
        <f>FUR[[#This Row],[Chemicals]]</f>
        <v>0</v>
      </c>
      <c r="CG306" s="122">
        <f>FUR[[#This Row],[UID]]</f>
        <v>0</v>
      </c>
      <c r="CK306" s="82" t="str">
        <f>IF(FUR[[#This Row],[Status]]=0,"",FUR[[#This Row],[Status]])</f>
        <v/>
      </c>
    </row>
    <row r="307" spans="79:89">
      <c r="CA307" s="1" t="s">
        <v>71</v>
      </c>
      <c r="CB307" s="1" t="s">
        <v>18</v>
      </c>
      <c r="CC307" s="1" t="s">
        <v>132</v>
      </c>
      <c r="CE307" s="122">
        <f>FUR[[#This Row],[Part Type]]</f>
        <v>0</v>
      </c>
      <c r="CF307" s="122">
        <f>FUR[[#This Row],[Chemicals]]</f>
        <v>0</v>
      </c>
      <c r="CG307" s="122">
        <f>FUR[[#This Row],[UID]]</f>
        <v>0</v>
      </c>
      <c r="CK307" s="82" t="str">
        <f>IF(FUR[[#This Row],[Status]]=0,"",FUR[[#This Row],[Status]])</f>
        <v/>
      </c>
    </row>
    <row r="308" spans="79:89">
      <c r="CA308" s="1" t="s">
        <v>71</v>
      </c>
      <c r="CB308" s="1" t="s">
        <v>18</v>
      </c>
      <c r="CC308" s="1" t="s">
        <v>132</v>
      </c>
      <c r="CE308" s="122">
        <f>FUR[[#This Row],[Part Type]]</f>
        <v>0</v>
      </c>
      <c r="CF308" s="122">
        <f>FUR[[#This Row],[Chemicals]]</f>
        <v>0</v>
      </c>
      <c r="CG308" s="122">
        <f>FUR[[#This Row],[UID]]</f>
        <v>0</v>
      </c>
      <c r="CK308" s="82" t="str">
        <f>IF(FUR[[#This Row],[Status]]=0,"",FUR[[#This Row],[Status]])</f>
        <v/>
      </c>
    </row>
    <row r="309" spans="79:89">
      <c r="CA309" s="1" t="s">
        <v>71</v>
      </c>
      <c r="CB309" s="1" t="s">
        <v>18</v>
      </c>
      <c r="CC309" s="1" t="s">
        <v>132</v>
      </c>
      <c r="CE309" s="122">
        <f>FUR[[#This Row],[Part Type]]</f>
        <v>0</v>
      </c>
      <c r="CF309" s="122">
        <f>FUR[[#This Row],[Chemicals]]</f>
        <v>0</v>
      </c>
      <c r="CG309" s="122">
        <f>FUR[[#This Row],[UID]]</f>
        <v>0</v>
      </c>
      <c r="CK309" s="82" t="str">
        <f>IF(FUR[[#This Row],[Status]]=0,"",FUR[[#This Row],[Status]])</f>
        <v/>
      </c>
    </row>
    <row r="310" spans="79:89">
      <c r="CA310" s="1" t="s">
        <v>71</v>
      </c>
      <c r="CB310" s="1" t="s">
        <v>18</v>
      </c>
      <c r="CC310" s="1" t="s">
        <v>132</v>
      </c>
      <c r="CE310" s="122">
        <f>FUR[[#This Row],[Part Type]]</f>
        <v>0</v>
      </c>
      <c r="CF310" s="122">
        <f>FUR[[#This Row],[Chemicals]]</f>
        <v>0</v>
      </c>
      <c r="CG310" s="122">
        <f>FUR[[#This Row],[UID]]</f>
        <v>0</v>
      </c>
      <c r="CK310" s="82" t="str">
        <f>IF(FUR[[#This Row],[Status]]=0,"",FUR[[#This Row],[Status]])</f>
        <v/>
      </c>
    </row>
    <row r="311" spans="79:89">
      <c r="CA311" s="1" t="s">
        <v>71</v>
      </c>
      <c r="CB311" s="1" t="s">
        <v>18</v>
      </c>
      <c r="CC311" s="1" t="s">
        <v>132</v>
      </c>
      <c r="CE311" s="122">
        <f>FUR[[#This Row],[Part Type]]</f>
        <v>0</v>
      </c>
      <c r="CF311" s="122">
        <f>FUR[[#This Row],[Chemicals]]</f>
        <v>0</v>
      </c>
      <c r="CG311" s="122">
        <f>FUR[[#This Row],[UID]]</f>
        <v>0</v>
      </c>
      <c r="CK311" s="82" t="str">
        <f>IF(FUR[[#This Row],[Status]]=0,"",FUR[[#This Row],[Status]])</f>
        <v/>
      </c>
    </row>
    <row r="312" spans="79:89">
      <c r="CA312" s="1" t="s">
        <v>71</v>
      </c>
      <c r="CB312" s="1" t="s">
        <v>18</v>
      </c>
      <c r="CC312" s="1" t="s">
        <v>132</v>
      </c>
      <c r="CE312" s="122">
        <f>FUR[[#This Row],[Part Type]]</f>
        <v>0</v>
      </c>
      <c r="CF312" s="122">
        <f>FUR[[#This Row],[Chemicals]]</f>
        <v>0</v>
      </c>
      <c r="CG312" s="122">
        <f>FUR[[#This Row],[UID]]</f>
        <v>0</v>
      </c>
      <c r="CK312" s="82" t="str">
        <f>IF(FUR[[#This Row],[Status]]=0,"",FUR[[#This Row],[Status]])</f>
        <v/>
      </c>
    </row>
    <row r="313" spans="79:89">
      <c r="CA313" s="1" t="s">
        <v>71</v>
      </c>
      <c r="CB313" s="1" t="s">
        <v>18</v>
      </c>
      <c r="CC313" s="1" t="s">
        <v>132</v>
      </c>
      <c r="CE313" s="122">
        <f>FUR[[#This Row],[Part Type]]</f>
        <v>0</v>
      </c>
      <c r="CF313" s="122">
        <f>FUR[[#This Row],[Chemicals]]</f>
        <v>0</v>
      </c>
      <c r="CG313" s="122">
        <f>FUR[[#This Row],[UID]]</f>
        <v>0</v>
      </c>
      <c r="CK313" s="82" t="str">
        <f>IF(FUR[[#This Row],[Status]]=0,"",FUR[[#This Row],[Status]])</f>
        <v/>
      </c>
    </row>
    <row r="314" spans="79:89">
      <c r="CA314" s="1" t="s">
        <v>71</v>
      </c>
      <c r="CB314" s="1" t="s">
        <v>18</v>
      </c>
      <c r="CC314" s="1" t="s">
        <v>132</v>
      </c>
      <c r="CE314" s="122">
        <f>FUR[[#This Row],[Part Type]]</f>
        <v>0</v>
      </c>
      <c r="CF314" s="122">
        <f>FUR[[#This Row],[Chemicals]]</f>
        <v>0</v>
      </c>
      <c r="CG314" s="122">
        <f>FUR[[#This Row],[UID]]</f>
        <v>0</v>
      </c>
      <c r="CK314" s="82" t="str">
        <f>IF(FUR[[#This Row],[Status]]=0,"",FUR[[#This Row],[Status]])</f>
        <v/>
      </c>
    </row>
    <row r="315" spans="79:89">
      <c r="CA315" s="1" t="s">
        <v>71</v>
      </c>
      <c r="CB315" s="1" t="s">
        <v>18</v>
      </c>
      <c r="CC315" s="1" t="s">
        <v>132</v>
      </c>
      <c r="CE315" s="122">
        <f>FUR[[#This Row],[Part Type]]</f>
        <v>0</v>
      </c>
      <c r="CF315" s="122">
        <f>FUR[[#This Row],[Chemicals]]</f>
        <v>0</v>
      </c>
      <c r="CG315" s="122">
        <f>FUR[[#This Row],[UID]]</f>
        <v>0</v>
      </c>
      <c r="CK315" s="82" t="str">
        <f>IF(FUR[[#This Row],[Status]]=0,"",FUR[[#This Row],[Status]])</f>
        <v/>
      </c>
    </row>
    <row r="316" spans="79:89">
      <c r="CA316" s="1" t="s">
        <v>71</v>
      </c>
      <c r="CB316" s="1" t="s">
        <v>18</v>
      </c>
      <c r="CC316" s="1" t="s">
        <v>132</v>
      </c>
      <c r="CE316" s="122">
        <f>FUR[[#This Row],[Part Type]]</f>
        <v>0</v>
      </c>
      <c r="CF316" s="122">
        <f>FUR[[#This Row],[Chemicals]]</f>
        <v>0</v>
      </c>
      <c r="CG316" s="122">
        <f>FUR[[#This Row],[UID]]</f>
        <v>0</v>
      </c>
      <c r="CK316" s="82" t="str">
        <f>IF(FUR[[#This Row],[Status]]=0,"",FUR[[#This Row],[Status]])</f>
        <v/>
      </c>
    </row>
    <row r="317" spans="79:89">
      <c r="CA317" s="1" t="s">
        <v>71</v>
      </c>
      <c r="CB317" s="1" t="s">
        <v>18</v>
      </c>
      <c r="CC317" s="1" t="s">
        <v>132</v>
      </c>
      <c r="CE317" s="122">
        <f>FUR[[#This Row],[Part Type]]</f>
        <v>0</v>
      </c>
      <c r="CF317" s="122">
        <f>FUR[[#This Row],[Chemicals]]</f>
        <v>0</v>
      </c>
      <c r="CG317" s="122">
        <f>FUR[[#This Row],[UID]]</f>
        <v>0</v>
      </c>
      <c r="CK317" s="82" t="str">
        <f>IF(FUR[[#This Row],[Status]]=0,"",FUR[[#This Row],[Status]])</f>
        <v/>
      </c>
    </row>
    <row r="318" spans="79:89">
      <c r="CA318" s="1" t="s">
        <v>71</v>
      </c>
      <c r="CB318" s="1" t="s">
        <v>18</v>
      </c>
      <c r="CC318" s="1" t="s">
        <v>132</v>
      </c>
      <c r="CE318" s="122">
        <f>FUR[[#This Row],[Part Type]]</f>
        <v>0</v>
      </c>
      <c r="CF318" s="122">
        <f>FUR[[#This Row],[Chemicals]]</f>
        <v>0</v>
      </c>
      <c r="CG318" s="122">
        <f>FUR[[#This Row],[UID]]</f>
        <v>0</v>
      </c>
      <c r="CK318" s="82" t="str">
        <f>IF(FUR[[#This Row],[Status]]=0,"",FUR[[#This Row],[Status]])</f>
        <v/>
      </c>
    </row>
    <row r="319" spans="79:89">
      <c r="CA319" s="1" t="s">
        <v>71</v>
      </c>
      <c r="CB319" s="1" t="s">
        <v>18</v>
      </c>
      <c r="CC319" s="1" t="s">
        <v>132</v>
      </c>
      <c r="CE319" s="122">
        <f>FUR[[#This Row],[Part Type]]</f>
        <v>0</v>
      </c>
      <c r="CF319" s="122">
        <f>FUR[[#This Row],[Chemicals]]</f>
        <v>0</v>
      </c>
      <c r="CG319" s="122">
        <f>FUR[[#This Row],[UID]]</f>
        <v>0</v>
      </c>
      <c r="CK319" s="82" t="str">
        <f>IF(FUR[[#This Row],[Status]]=0,"",FUR[[#This Row],[Status]])</f>
        <v/>
      </c>
    </row>
    <row r="320" spans="79:89">
      <c r="CA320" s="1" t="s">
        <v>71</v>
      </c>
      <c r="CB320" s="1" t="s">
        <v>18</v>
      </c>
      <c r="CC320" s="1" t="s">
        <v>132</v>
      </c>
      <c r="CE320" s="122">
        <f>FUR[[#This Row],[Part Type]]</f>
        <v>0</v>
      </c>
      <c r="CF320" s="122">
        <f>FUR[[#This Row],[Chemicals]]</f>
        <v>0</v>
      </c>
      <c r="CG320" s="122">
        <f>FUR[[#This Row],[UID]]</f>
        <v>0</v>
      </c>
      <c r="CK320" s="82" t="str">
        <f>IF(FUR[[#This Row],[Status]]=0,"",FUR[[#This Row],[Status]])</f>
        <v/>
      </c>
    </row>
    <row r="321" spans="79:89">
      <c r="CA321" s="1" t="s">
        <v>71</v>
      </c>
      <c r="CB321" s="1" t="s">
        <v>18</v>
      </c>
      <c r="CC321" s="1" t="s">
        <v>132</v>
      </c>
      <c r="CE321" s="122">
        <f>FUR[[#This Row],[Part Type]]</f>
        <v>0</v>
      </c>
      <c r="CF321" s="122">
        <f>FUR[[#This Row],[Chemicals]]</f>
        <v>0</v>
      </c>
      <c r="CG321" s="122">
        <f>FUR[[#This Row],[UID]]</f>
        <v>0</v>
      </c>
      <c r="CK321" s="82" t="str">
        <f>IF(FUR[[#This Row],[Status]]=0,"",FUR[[#This Row],[Status]])</f>
        <v/>
      </c>
    </row>
    <row r="322" spans="79:89">
      <c r="CA322" s="1" t="s">
        <v>71</v>
      </c>
      <c r="CB322" s="1" t="s">
        <v>18</v>
      </c>
      <c r="CC322" s="1" t="s">
        <v>132</v>
      </c>
      <c r="CE322" s="122">
        <f>FUR[[#This Row],[Part Type]]</f>
        <v>0</v>
      </c>
      <c r="CF322" s="122">
        <f>FUR[[#This Row],[Chemicals]]</f>
        <v>0</v>
      </c>
      <c r="CG322" s="122">
        <f>FUR[[#This Row],[UID]]</f>
        <v>0</v>
      </c>
      <c r="CK322" s="82" t="str">
        <f>IF(FUR[[#This Row],[Status]]=0,"",FUR[[#This Row],[Status]])</f>
        <v/>
      </c>
    </row>
    <row r="323" spans="79:89">
      <c r="CA323" s="1" t="s">
        <v>71</v>
      </c>
      <c r="CB323" s="1" t="s">
        <v>18</v>
      </c>
      <c r="CC323" s="1" t="s">
        <v>132</v>
      </c>
      <c r="CE323" s="122">
        <f>FUR[[#This Row],[Part Type]]</f>
        <v>0</v>
      </c>
      <c r="CF323" s="122">
        <f>FUR[[#This Row],[Chemicals]]</f>
        <v>0</v>
      </c>
      <c r="CG323" s="122">
        <f>FUR[[#This Row],[UID]]</f>
        <v>0</v>
      </c>
      <c r="CK323" s="82" t="str">
        <f>IF(FUR[[#This Row],[Status]]=0,"",FUR[[#This Row],[Status]])</f>
        <v/>
      </c>
    </row>
    <row r="324" spans="79:89">
      <c r="CA324" s="1" t="s">
        <v>71</v>
      </c>
      <c r="CB324" s="1" t="s">
        <v>18</v>
      </c>
      <c r="CC324" s="1" t="s">
        <v>132</v>
      </c>
      <c r="CE324" s="122">
        <f>FUR[[#This Row],[Part Type]]</f>
        <v>0</v>
      </c>
      <c r="CF324" s="122">
        <f>FUR[[#This Row],[Chemicals]]</f>
        <v>0</v>
      </c>
      <c r="CG324" s="122">
        <f>FUR[[#This Row],[UID]]</f>
        <v>0</v>
      </c>
      <c r="CK324" s="82" t="str">
        <f>IF(FUR[[#This Row],[Status]]=0,"",FUR[[#This Row],[Status]])</f>
        <v/>
      </c>
    </row>
    <row r="325" spans="79:89">
      <c r="CA325" s="1" t="s">
        <v>71</v>
      </c>
      <c r="CB325" s="1" t="s">
        <v>18</v>
      </c>
      <c r="CC325" s="1" t="s">
        <v>132</v>
      </c>
      <c r="CE325" s="122">
        <f>FUR[[#This Row],[Part Type]]</f>
        <v>0</v>
      </c>
      <c r="CF325" s="122">
        <f>FUR[[#This Row],[Chemicals]]</f>
        <v>0</v>
      </c>
      <c r="CG325" s="122">
        <f>FUR[[#This Row],[UID]]</f>
        <v>0</v>
      </c>
      <c r="CK325" s="82" t="str">
        <f>IF(FUR[[#This Row],[Status]]=0,"",FUR[[#This Row],[Status]])</f>
        <v/>
      </c>
    </row>
    <row r="326" spans="79:89">
      <c r="CA326" s="1" t="s">
        <v>71</v>
      </c>
      <c r="CB326" s="1" t="s">
        <v>18</v>
      </c>
      <c r="CC326" s="1" t="s">
        <v>132</v>
      </c>
      <c r="CE326" s="122">
        <f>FUR[[#This Row],[Part Type]]</f>
        <v>0</v>
      </c>
      <c r="CF326" s="122">
        <f>FUR[[#This Row],[Chemicals]]</f>
        <v>0</v>
      </c>
      <c r="CG326" s="122">
        <f>FUR[[#This Row],[UID]]</f>
        <v>0</v>
      </c>
      <c r="CK326" s="82" t="str">
        <f>IF(FUR[[#This Row],[Status]]=0,"",FUR[[#This Row],[Status]])</f>
        <v/>
      </c>
    </row>
    <row r="327" spans="79:89">
      <c r="CA327" s="1" t="s">
        <v>71</v>
      </c>
      <c r="CB327" s="1" t="s">
        <v>18</v>
      </c>
      <c r="CC327" s="1" t="s">
        <v>132</v>
      </c>
      <c r="CE327" s="122">
        <f>FUR[[#This Row],[Part Type]]</f>
        <v>0</v>
      </c>
      <c r="CF327" s="122">
        <f>FUR[[#This Row],[Chemicals]]</f>
        <v>0</v>
      </c>
      <c r="CG327" s="122">
        <f>FUR[[#This Row],[UID]]</f>
        <v>0</v>
      </c>
      <c r="CK327" s="82" t="str">
        <f>IF(FUR[[#This Row],[Status]]=0,"",FUR[[#This Row],[Status]])</f>
        <v/>
      </c>
    </row>
    <row r="328" spans="79:89">
      <c r="CA328" s="1" t="s">
        <v>71</v>
      </c>
      <c r="CB328" s="1" t="s">
        <v>18</v>
      </c>
      <c r="CC328" s="1" t="s">
        <v>132</v>
      </c>
      <c r="CE328" s="122">
        <f>FUR[[#This Row],[Part Type]]</f>
        <v>0</v>
      </c>
      <c r="CF328" s="122">
        <f>FUR[[#This Row],[Chemicals]]</f>
        <v>0</v>
      </c>
      <c r="CG328" s="122">
        <f>FUR[[#This Row],[UID]]</f>
        <v>0</v>
      </c>
      <c r="CK328" s="82" t="str">
        <f>IF(FUR[[#This Row],[Status]]=0,"",FUR[[#This Row],[Status]])</f>
        <v/>
      </c>
    </row>
    <row r="329" spans="79:89">
      <c r="CA329" s="1" t="s">
        <v>71</v>
      </c>
      <c r="CB329" s="1" t="s">
        <v>18</v>
      </c>
      <c r="CC329" s="1" t="s">
        <v>132</v>
      </c>
      <c r="CE329" s="122">
        <f>FUR[[#This Row],[Part Type]]</f>
        <v>0</v>
      </c>
      <c r="CF329" s="122">
        <f>FUR[[#This Row],[Chemicals]]</f>
        <v>0</v>
      </c>
      <c r="CG329" s="122">
        <f>FUR[[#This Row],[UID]]</f>
        <v>0</v>
      </c>
      <c r="CK329" s="82" t="str">
        <f>IF(FUR[[#This Row],[Status]]=0,"",FUR[[#This Row],[Status]])</f>
        <v/>
      </c>
    </row>
    <row r="330" spans="79:89">
      <c r="CA330" s="1" t="s">
        <v>71</v>
      </c>
      <c r="CB330" s="1" t="s">
        <v>18</v>
      </c>
      <c r="CC330" s="1" t="s">
        <v>132</v>
      </c>
      <c r="CE330" s="122">
        <f>FUR[[#This Row],[Part Type]]</f>
        <v>0</v>
      </c>
      <c r="CF330" s="122">
        <f>FUR[[#This Row],[Chemicals]]</f>
        <v>0</v>
      </c>
      <c r="CG330" s="122">
        <f>FUR[[#This Row],[UID]]</f>
        <v>0</v>
      </c>
      <c r="CK330" s="82" t="str">
        <f>IF(FUR[[#This Row],[Status]]=0,"",FUR[[#This Row],[Status]])</f>
        <v/>
      </c>
    </row>
    <row r="331" spans="79:89">
      <c r="CA331" s="1" t="s">
        <v>71</v>
      </c>
      <c r="CB331" s="1" t="s">
        <v>18</v>
      </c>
      <c r="CC331" s="1" t="s">
        <v>132</v>
      </c>
      <c r="CE331" s="122">
        <f>FUR[[#This Row],[Part Type]]</f>
        <v>0</v>
      </c>
      <c r="CF331" s="122">
        <f>FUR[[#This Row],[Chemicals]]</f>
        <v>0</v>
      </c>
      <c r="CG331" s="122">
        <f>FUR[[#This Row],[UID]]</f>
        <v>0</v>
      </c>
      <c r="CK331" s="82" t="str">
        <f>IF(FUR[[#This Row],[Status]]=0,"",FUR[[#This Row],[Status]])</f>
        <v/>
      </c>
    </row>
    <row r="332" spans="79:89">
      <c r="CA332" s="1" t="s">
        <v>71</v>
      </c>
      <c r="CB332" s="1" t="s">
        <v>18</v>
      </c>
      <c r="CC332" s="1" t="s">
        <v>132</v>
      </c>
      <c r="CE332" s="122">
        <f>FUR[[#This Row],[Part Type]]</f>
        <v>0</v>
      </c>
      <c r="CF332" s="122">
        <f>FUR[[#This Row],[Chemicals]]</f>
        <v>0</v>
      </c>
      <c r="CG332" s="122">
        <f>FUR[[#This Row],[UID]]</f>
        <v>0</v>
      </c>
      <c r="CK332" s="82" t="str">
        <f>IF(FUR[[#This Row],[Status]]=0,"",FUR[[#This Row],[Status]])</f>
        <v/>
      </c>
    </row>
    <row r="333" spans="79:89">
      <c r="CA333" s="1" t="s">
        <v>71</v>
      </c>
      <c r="CB333" s="1" t="s">
        <v>18</v>
      </c>
      <c r="CC333" s="1" t="s">
        <v>132</v>
      </c>
      <c r="CE333" s="122">
        <f>FUR[[#This Row],[Part Type]]</f>
        <v>0</v>
      </c>
      <c r="CF333" s="122">
        <f>FUR[[#This Row],[Chemicals]]</f>
        <v>0</v>
      </c>
      <c r="CG333" s="122">
        <f>FUR[[#This Row],[UID]]</f>
        <v>0</v>
      </c>
      <c r="CK333" s="82" t="str">
        <f>IF(FUR[[#This Row],[Status]]=0,"",FUR[[#This Row],[Status]])</f>
        <v/>
      </c>
    </row>
    <row r="334" spans="79:89">
      <c r="CA334" s="1" t="s">
        <v>71</v>
      </c>
      <c r="CB334" s="1" t="s">
        <v>18</v>
      </c>
      <c r="CC334" s="1" t="s">
        <v>132</v>
      </c>
      <c r="CE334" s="122">
        <f>FUR[[#This Row],[Part Type]]</f>
        <v>0</v>
      </c>
      <c r="CF334" s="122">
        <f>FUR[[#This Row],[Chemicals]]</f>
        <v>0</v>
      </c>
      <c r="CG334" s="122">
        <f>FUR[[#This Row],[UID]]</f>
        <v>0</v>
      </c>
      <c r="CK334" s="82" t="str">
        <f>IF(FUR[[#This Row],[Status]]=0,"",FUR[[#This Row],[Status]])</f>
        <v/>
      </c>
    </row>
    <row r="335" spans="79:89">
      <c r="CA335" s="1" t="s">
        <v>71</v>
      </c>
      <c r="CB335" s="1" t="s">
        <v>18</v>
      </c>
      <c r="CC335" s="1" t="s">
        <v>132</v>
      </c>
      <c r="CE335" s="122">
        <f>FUR[[#This Row],[Part Type]]</f>
        <v>0</v>
      </c>
      <c r="CF335" s="122">
        <f>FUR[[#This Row],[Chemicals]]</f>
        <v>0</v>
      </c>
      <c r="CG335" s="122">
        <f>FUR[[#This Row],[UID]]</f>
        <v>0</v>
      </c>
      <c r="CK335" s="82" t="str">
        <f>IF(FUR[[#This Row],[Status]]=0,"",FUR[[#This Row],[Status]])</f>
        <v/>
      </c>
    </row>
    <row r="336" spans="79:89">
      <c r="CA336" s="1" t="s">
        <v>71</v>
      </c>
      <c r="CB336" s="1" t="s">
        <v>18</v>
      </c>
      <c r="CC336" s="1" t="s">
        <v>132</v>
      </c>
      <c r="CE336" s="122">
        <f>FUR[[#This Row],[Part Type]]</f>
        <v>0</v>
      </c>
      <c r="CF336" s="122">
        <f>FUR[[#This Row],[Chemicals]]</f>
        <v>0</v>
      </c>
      <c r="CG336" s="122">
        <f>FUR[[#This Row],[UID]]</f>
        <v>0</v>
      </c>
      <c r="CK336" s="82" t="str">
        <f>IF(FUR[[#This Row],[Status]]=0,"",FUR[[#This Row],[Status]])</f>
        <v/>
      </c>
    </row>
    <row r="337" spans="79:89">
      <c r="CA337" s="1" t="s">
        <v>71</v>
      </c>
      <c r="CB337" s="1" t="s">
        <v>18</v>
      </c>
      <c r="CC337" s="1" t="s">
        <v>132</v>
      </c>
      <c r="CE337" s="122">
        <f>FUR[[#This Row],[Part Type]]</f>
        <v>0</v>
      </c>
      <c r="CF337" s="122">
        <f>FUR[[#This Row],[Chemicals]]</f>
        <v>0</v>
      </c>
      <c r="CG337" s="122">
        <f>FUR[[#This Row],[UID]]</f>
        <v>0</v>
      </c>
      <c r="CK337" s="82" t="str">
        <f>IF(FUR[[#This Row],[Status]]=0,"",FUR[[#This Row],[Status]])</f>
        <v/>
      </c>
    </row>
    <row r="338" spans="79:89">
      <c r="CA338" s="1" t="s">
        <v>71</v>
      </c>
      <c r="CB338" s="1" t="s">
        <v>18</v>
      </c>
      <c r="CC338" s="1" t="s">
        <v>132</v>
      </c>
      <c r="CE338" s="122">
        <f>FUR[[#This Row],[Part Type]]</f>
        <v>0</v>
      </c>
      <c r="CF338" s="122">
        <f>FUR[[#This Row],[Chemicals]]</f>
        <v>0</v>
      </c>
      <c r="CG338" s="122">
        <f>FUR[[#This Row],[UID]]</f>
        <v>0</v>
      </c>
      <c r="CK338" s="82" t="str">
        <f>IF(FUR[[#This Row],[Status]]=0,"",FUR[[#This Row],[Status]])</f>
        <v/>
      </c>
    </row>
    <row r="339" spans="79:89">
      <c r="CA339" s="1" t="s">
        <v>71</v>
      </c>
      <c r="CB339" s="1" t="s">
        <v>18</v>
      </c>
      <c r="CC339" s="1" t="s">
        <v>132</v>
      </c>
      <c r="CE339" s="122">
        <f>FUR[[#This Row],[Part Type]]</f>
        <v>0</v>
      </c>
      <c r="CF339" s="122">
        <f>FUR[[#This Row],[Chemicals]]</f>
        <v>0</v>
      </c>
      <c r="CG339" s="122">
        <f>FUR[[#This Row],[UID]]</f>
        <v>0</v>
      </c>
      <c r="CK339" s="82" t="str">
        <f>IF(FUR[[#This Row],[Status]]=0,"",FUR[[#This Row],[Status]])</f>
        <v/>
      </c>
    </row>
    <row r="340" spans="79:89">
      <c r="CA340" s="1" t="s">
        <v>71</v>
      </c>
      <c r="CB340" s="1" t="s">
        <v>18</v>
      </c>
      <c r="CC340" s="1" t="s">
        <v>132</v>
      </c>
      <c r="CE340" s="122">
        <f>FUR[[#This Row],[Part Type]]</f>
        <v>0</v>
      </c>
      <c r="CF340" s="122">
        <f>FUR[[#This Row],[Chemicals]]</f>
        <v>0</v>
      </c>
      <c r="CG340" s="122">
        <f>FUR[[#This Row],[UID]]</f>
        <v>0</v>
      </c>
      <c r="CK340" s="82" t="str">
        <f>IF(FUR[[#This Row],[Status]]=0,"",FUR[[#This Row],[Status]])</f>
        <v/>
      </c>
    </row>
    <row r="341" spans="79:89">
      <c r="CA341" s="1" t="s">
        <v>71</v>
      </c>
      <c r="CB341" s="1" t="s">
        <v>18</v>
      </c>
      <c r="CC341" s="1" t="s">
        <v>132</v>
      </c>
      <c r="CE341" s="122">
        <f>FUR[[#This Row],[Part Type]]</f>
        <v>0</v>
      </c>
      <c r="CF341" s="122">
        <f>FUR[[#This Row],[Chemicals]]</f>
        <v>0</v>
      </c>
      <c r="CG341" s="122">
        <f>FUR[[#This Row],[UID]]</f>
        <v>0</v>
      </c>
      <c r="CK341" s="82" t="str">
        <f>IF(FUR[[#This Row],[Status]]=0,"",FUR[[#This Row],[Status]])</f>
        <v/>
      </c>
    </row>
    <row r="342" spans="79:89">
      <c r="CA342" s="1" t="s">
        <v>71</v>
      </c>
      <c r="CB342" s="1" t="s">
        <v>18</v>
      </c>
      <c r="CC342" s="1" t="s">
        <v>132</v>
      </c>
      <c r="CE342" s="122">
        <f>FUR[[#This Row],[Part Type]]</f>
        <v>0</v>
      </c>
      <c r="CF342" s="122">
        <f>FUR[[#This Row],[Chemicals]]</f>
        <v>0</v>
      </c>
      <c r="CG342" s="122">
        <f>FUR[[#This Row],[UID]]</f>
        <v>0</v>
      </c>
      <c r="CK342" s="82" t="str">
        <f>IF(FUR[[#This Row],[Status]]=0,"",FUR[[#This Row],[Status]])</f>
        <v/>
      </c>
    </row>
    <row r="343" spans="79:89">
      <c r="CA343" s="1" t="s">
        <v>71</v>
      </c>
      <c r="CB343" s="1" t="s">
        <v>18</v>
      </c>
      <c r="CC343" s="1" t="s">
        <v>132</v>
      </c>
      <c r="CE343" s="122">
        <f>FUR[[#This Row],[Part Type]]</f>
        <v>0</v>
      </c>
      <c r="CF343" s="122">
        <f>FUR[[#This Row],[Chemicals]]</f>
        <v>0</v>
      </c>
      <c r="CG343" s="122">
        <f>FUR[[#This Row],[UID]]</f>
        <v>0</v>
      </c>
      <c r="CK343" s="82" t="str">
        <f>IF(FUR[[#This Row],[Status]]=0,"",FUR[[#This Row],[Status]])</f>
        <v/>
      </c>
    </row>
    <row r="344" spans="79:89">
      <c r="CA344" s="1" t="s">
        <v>71</v>
      </c>
      <c r="CB344" s="1" t="s">
        <v>18</v>
      </c>
      <c r="CC344" s="1" t="s">
        <v>132</v>
      </c>
      <c r="CE344" s="122">
        <f>FUR[[#This Row],[Part Type]]</f>
        <v>0</v>
      </c>
      <c r="CF344" s="122">
        <f>FUR[[#This Row],[Chemicals]]</f>
        <v>0</v>
      </c>
      <c r="CG344" s="122">
        <f>FUR[[#This Row],[UID]]</f>
        <v>0</v>
      </c>
      <c r="CK344" s="82" t="str">
        <f>IF(FUR[[#This Row],[Status]]=0,"",FUR[[#This Row],[Status]])</f>
        <v/>
      </c>
    </row>
    <row r="345" spans="79:89">
      <c r="CA345" s="1" t="s">
        <v>71</v>
      </c>
      <c r="CB345" s="1" t="s">
        <v>18</v>
      </c>
      <c r="CC345" s="1" t="s">
        <v>132</v>
      </c>
      <c r="CE345" s="122">
        <f>FUR[[#This Row],[Part Type]]</f>
        <v>0</v>
      </c>
      <c r="CF345" s="122">
        <f>FUR[[#This Row],[Chemicals]]</f>
        <v>0</v>
      </c>
      <c r="CG345" s="122">
        <f>FUR[[#This Row],[UID]]</f>
        <v>0</v>
      </c>
      <c r="CK345" s="82" t="str">
        <f>IF(FUR[[#This Row],[Status]]=0,"",FUR[[#This Row],[Status]])</f>
        <v/>
      </c>
    </row>
    <row r="346" spans="79:89">
      <c r="CA346" s="1" t="s">
        <v>71</v>
      </c>
      <c r="CB346" s="1" t="s">
        <v>18</v>
      </c>
      <c r="CC346" s="1" t="s">
        <v>132</v>
      </c>
      <c r="CE346" s="122">
        <f>FUR[[#This Row],[Part Type]]</f>
        <v>0</v>
      </c>
      <c r="CF346" s="122">
        <f>FUR[[#This Row],[Chemicals]]</f>
        <v>0</v>
      </c>
      <c r="CG346" s="122">
        <f>FUR[[#This Row],[UID]]</f>
        <v>0</v>
      </c>
      <c r="CK346" s="82" t="str">
        <f>IF(FUR[[#This Row],[Status]]=0,"",FUR[[#This Row],[Status]])</f>
        <v/>
      </c>
    </row>
    <row r="347" spans="79:89">
      <c r="CA347" s="1" t="s">
        <v>71</v>
      </c>
      <c r="CB347" s="1" t="s">
        <v>18</v>
      </c>
      <c r="CC347" s="1" t="s">
        <v>132</v>
      </c>
      <c r="CE347" s="122">
        <f>FUR[[#This Row],[Part Type]]</f>
        <v>0</v>
      </c>
      <c r="CF347" s="122">
        <f>FUR[[#This Row],[Chemicals]]</f>
        <v>0</v>
      </c>
      <c r="CG347" s="122">
        <f>FUR[[#This Row],[UID]]</f>
        <v>0</v>
      </c>
      <c r="CK347" s="82" t="str">
        <f>IF(FUR[[#This Row],[Status]]=0,"",FUR[[#This Row],[Status]])</f>
        <v/>
      </c>
    </row>
    <row r="348" spans="79:89">
      <c r="CA348" s="1" t="s">
        <v>71</v>
      </c>
      <c r="CB348" s="1" t="s">
        <v>18</v>
      </c>
      <c r="CC348" s="1" t="s">
        <v>132</v>
      </c>
      <c r="CE348" s="122">
        <f>FUR[[#This Row],[Part Type]]</f>
        <v>0</v>
      </c>
      <c r="CF348" s="122">
        <f>FUR[[#This Row],[Chemicals]]</f>
        <v>0</v>
      </c>
      <c r="CG348" s="122">
        <f>FUR[[#This Row],[UID]]</f>
        <v>0</v>
      </c>
      <c r="CK348" s="82" t="str">
        <f>IF(FUR[[#This Row],[Status]]=0,"",FUR[[#This Row],[Status]])</f>
        <v/>
      </c>
    </row>
    <row r="349" spans="79:89">
      <c r="CA349" s="1" t="s">
        <v>71</v>
      </c>
      <c r="CB349" s="1" t="s">
        <v>18</v>
      </c>
      <c r="CC349" s="1" t="s">
        <v>132</v>
      </c>
      <c r="CE349" s="122">
        <f>FUR[[#This Row],[Part Type]]</f>
        <v>0</v>
      </c>
      <c r="CF349" s="122">
        <f>FUR[[#This Row],[Chemicals]]</f>
        <v>0</v>
      </c>
      <c r="CG349" s="122">
        <f>FUR[[#This Row],[UID]]</f>
        <v>0</v>
      </c>
      <c r="CK349" s="82" t="str">
        <f>IF(FUR[[#This Row],[Status]]=0,"",FUR[[#This Row],[Status]])</f>
        <v/>
      </c>
    </row>
    <row r="350" spans="79:89">
      <c r="CA350" s="1" t="s">
        <v>71</v>
      </c>
      <c r="CB350" s="1" t="s">
        <v>18</v>
      </c>
      <c r="CC350" s="1" t="s">
        <v>132</v>
      </c>
      <c r="CE350" s="122">
        <f>FUR[[#This Row],[Part Type]]</f>
        <v>0</v>
      </c>
      <c r="CF350" s="122">
        <f>FUR[[#This Row],[Chemicals]]</f>
        <v>0</v>
      </c>
      <c r="CG350" s="122">
        <f>FUR[[#This Row],[UID]]</f>
        <v>0</v>
      </c>
      <c r="CK350" s="82" t="str">
        <f>IF(FUR[[#This Row],[Status]]=0,"",FUR[[#This Row],[Status]])</f>
        <v/>
      </c>
    </row>
    <row r="351" spans="79:89">
      <c r="CA351" s="1" t="s">
        <v>71</v>
      </c>
      <c r="CB351" s="1" t="s">
        <v>18</v>
      </c>
      <c r="CC351" s="1" t="s">
        <v>132</v>
      </c>
      <c r="CE351" s="122">
        <f>FUR[[#This Row],[Part Type]]</f>
        <v>0</v>
      </c>
      <c r="CF351" s="122">
        <f>FUR[[#This Row],[Chemicals]]</f>
        <v>0</v>
      </c>
      <c r="CG351" s="122">
        <f>FUR[[#This Row],[UID]]</f>
        <v>0</v>
      </c>
      <c r="CK351" s="82" t="str">
        <f>IF(FUR[[#This Row],[Status]]=0,"",FUR[[#This Row],[Status]])</f>
        <v/>
      </c>
    </row>
    <row r="352" spans="79:89">
      <c r="CA352" s="1" t="s">
        <v>71</v>
      </c>
      <c r="CB352" s="1" t="s">
        <v>18</v>
      </c>
      <c r="CC352" s="1" t="s">
        <v>132</v>
      </c>
      <c r="CE352" s="122">
        <f>FUR[[#This Row],[Part Type]]</f>
        <v>0</v>
      </c>
      <c r="CF352" s="122">
        <f>FUR[[#This Row],[Chemicals]]</f>
        <v>0</v>
      </c>
      <c r="CG352" s="122">
        <f>FUR[[#This Row],[UID]]</f>
        <v>0</v>
      </c>
      <c r="CK352" s="82" t="str">
        <f>IF(FUR[[#This Row],[Status]]=0,"",FUR[[#This Row],[Status]])</f>
        <v/>
      </c>
    </row>
    <row r="353" spans="79:89">
      <c r="CA353" s="1" t="s">
        <v>71</v>
      </c>
      <c r="CB353" s="1" t="s">
        <v>18</v>
      </c>
      <c r="CC353" s="1" t="s">
        <v>132</v>
      </c>
      <c r="CE353" s="122">
        <f>FUR[[#This Row],[Part Type]]</f>
        <v>0</v>
      </c>
      <c r="CF353" s="122">
        <f>FUR[[#This Row],[Chemicals]]</f>
        <v>0</v>
      </c>
      <c r="CG353" s="122">
        <f>FUR[[#This Row],[UID]]</f>
        <v>0</v>
      </c>
      <c r="CK353" s="82" t="str">
        <f>IF(FUR[[#This Row],[Status]]=0,"",FUR[[#This Row],[Status]])</f>
        <v/>
      </c>
    </row>
    <row r="354" spans="79:89">
      <c r="CA354" s="1" t="s">
        <v>71</v>
      </c>
      <c r="CB354" s="1" t="s">
        <v>18</v>
      </c>
      <c r="CC354" s="1" t="s">
        <v>132</v>
      </c>
      <c r="CE354" s="122">
        <f>FUR[[#This Row],[Part Type]]</f>
        <v>0</v>
      </c>
      <c r="CF354" s="122">
        <f>FUR[[#This Row],[Chemicals]]</f>
        <v>0</v>
      </c>
      <c r="CG354" s="122">
        <f>FUR[[#This Row],[UID]]</f>
        <v>0</v>
      </c>
      <c r="CK354" s="82" t="str">
        <f>IF(FUR[[#This Row],[Status]]=0,"",FUR[[#This Row],[Status]])</f>
        <v/>
      </c>
    </row>
    <row r="355" spans="79:89">
      <c r="CA355" s="1" t="s">
        <v>71</v>
      </c>
      <c r="CB355" s="1" t="s">
        <v>18</v>
      </c>
      <c r="CC355" s="1" t="s">
        <v>132</v>
      </c>
      <c r="CE355" s="122">
        <f>FUR[[#This Row],[Part Type]]</f>
        <v>0</v>
      </c>
      <c r="CF355" s="122">
        <f>FUR[[#This Row],[Chemicals]]</f>
        <v>0</v>
      </c>
      <c r="CG355" s="122">
        <f>FUR[[#This Row],[UID]]</f>
        <v>0</v>
      </c>
      <c r="CK355" s="82" t="str">
        <f>IF(FUR[[#This Row],[Status]]=0,"",FUR[[#This Row],[Status]])</f>
        <v/>
      </c>
    </row>
    <row r="356" spans="79:89">
      <c r="CA356" s="1" t="s">
        <v>71</v>
      </c>
      <c r="CB356" s="1" t="s">
        <v>18</v>
      </c>
      <c r="CC356" s="1" t="s">
        <v>132</v>
      </c>
      <c r="CE356" s="122">
        <f>FUR[[#This Row],[Part Type]]</f>
        <v>0</v>
      </c>
      <c r="CF356" s="122">
        <f>FUR[[#This Row],[Chemicals]]</f>
        <v>0</v>
      </c>
      <c r="CG356" s="122">
        <f>FUR[[#This Row],[UID]]</f>
        <v>0</v>
      </c>
      <c r="CK356" s="82" t="str">
        <f>IF(FUR[[#This Row],[Status]]=0,"",FUR[[#This Row],[Status]])</f>
        <v/>
      </c>
    </row>
    <row r="357" spans="79:89">
      <c r="CA357" s="1" t="s">
        <v>71</v>
      </c>
      <c r="CB357" s="1" t="s">
        <v>18</v>
      </c>
      <c r="CC357" s="1" t="s">
        <v>132</v>
      </c>
      <c r="CE357" s="122">
        <f>FUR[[#This Row],[Part Type]]</f>
        <v>0</v>
      </c>
      <c r="CF357" s="122">
        <f>FUR[[#This Row],[Chemicals]]</f>
        <v>0</v>
      </c>
      <c r="CG357" s="122">
        <f>FUR[[#This Row],[UID]]</f>
        <v>0</v>
      </c>
      <c r="CK357" s="82" t="str">
        <f>IF(FUR[[#This Row],[Status]]=0,"",FUR[[#This Row],[Status]])</f>
        <v/>
      </c>
    </row>
    <row r="358" spans="79:89">
      <c r="CA358" s="1" t="s">
        <v>71</v>
      </c>
      <c r="CB358" s="1" t="s">
        <v>18</v>
      </c>
      <c r="CC358" s="1" t="s">
        <v>132</v>
      </c>
      <c r="CE358" s="122">
        <f>FUR[[#This Row],[Part Type]]</f>
        <v>0</v>
      </c>
      <c r="CF358" s="122">
        <f>FUR[[#This Row],[Chemicals]]</f>
        <v>0</v>
      </c>
      <c r="CG358" s="122">
        <f>FUR[[#This Row],[UID]]</f>
        <v>0</v>
      </c>
      <c r="CK358" s="82" t="str">
        <f>IF(FUR[[#This Row],[Status]]=0,"",FUR[[#This Row],[Status]])</f>
        <v/>
      </c>
    </row>
    <row r="359" spans="79:89">
      <c r="CA359" s="1" t="s">
        <v>71</v>
      </c>
      <c r="CB359" s="1" t="s">
        <v>18</v>
      </c>
      <c r="CC359" s="1" t="s">
        <v>132</v>
      </c>
      <c r="CE359" s="122">
        <f>FUR[[#This Row],[Part Type]]</f>
        <v>0</v>
      </c>
      <c r="CF359" s="122">
        <f>FUR[[#This Row],[Chemicals]]</f>
        <v>0</v>
      </c>
      <c r="CG359" s="122">
        <f>FUR[[#This Row],[UID]]</f>
        <v>0</v>
      </c>
      <c r="CK359" s="82" t="str">
        <f>IF(FUR[[#This Row],[Status]]=0,"",FUR[[#This Row],[Status]])</f>
        <v/>
      </c>
    </row>
    <row r="360" spans="79:89">
      <c r="CA360" s="1" t="s">
        <v>71</v>
      </c>
      <c r="CB360" s="1" t="s">
        <v>18</v>
      </c>
      <c r="CC360" s="1" t="s">
        <v>132</v>
      </c>
      <c r="CE360" s="122">
        <f>FUR[[#This Row],[Part Type]]</f>
        <v>0</v>
      </c>
      <c r="CF360" s="122">
        <f>FUR[[#This Row],[Chemicals]]</f>
        <v>0</v>
      </c>
      <c r="CG360" s="122">
        <f>FUR[[#This Row],[UID]]</f>
        <v>0</v>
      </c>
      <c r="CK360" s="82" t="str">
        <f>IF(FUR[[#This Row],[Status]]=0,"",FUR[[#This Row],[Status]])</f>
        <v/>
      </c>
    </row>
    <row r="361" spans="79:89">
      <c r="CA361" s="1" t="s">
        <v>71</v>
      </c>
      <c r="CB361" s="1" t="s">
        <v>18</v>
      </c>
      <c r="CC361" s="1" t="s">
        <v>132</v>
      </c>
      <c r="CE361" s="122">
        <f>FUR[[#This Row],[Part Type]]</f>
        <v>0</v>
      </c>
      <c r="CF361" s="122">
        <f>FUR[[#This Row],[Chemicals]]</f>
        <v>0</v>
      </c>
      <c r="CG361" s="122">
        <f>FUR[[#This Row],[UID]]</f>
        <v>0</v>
      </c>
      <c r="CK361" s="82" t="str">
        <f>IF(FUR[[#This Row],[Status]]=0,"",FUR[[#This Row],[Status]])</f>
        <v/>
      </c>
    </row>
    <row r="362" spans="79:89">
      <c r="CA362" s="1" t="s">
        <v>71</v>
      </c>
      <c r="CB362" s="1" t="s">
        <v>18</v>
      </c>
      <c r="CC362" s="1" t="s">
        <v>132</v>
      </c>
      <c r="CE362" s="122">
        <f>FUR[[#This Row],[Part Type]]</f>
        <v>0</v>
      </c>
      <c r="CF362" s="122">
        <f>FUR[[#This Row],[Chemicals]]</f>
        <v>0</v>
      </c>
      <c r="CG362" s="122">
        <f>FUR[[#This Row],[UID]]</f>
        <v>0</v>
      </c>
      <c r="CK362" s="82" t="str">
        <f>IF(FUR[[#This Row],[Status]]=0,"",FUR[[#This Row],[Status]])</f>
        <v/>
      </c>
    </row>
    <row r="363" spans="79:89">
      <c r="CA363" s="1" t="s">
        <v>71</v>
      </c>
      <c r="CB363" s="1" t="s">
        <v>18</v>
      </c>
      <c r="CC363" s="1" t="s">
        <v>132</v>
      </c>
      <c r="CE363" s="122">
        <f>FUR[[#This Row],[Part Type]]</f>
        <v>0</v>
      </c>
      <c r="CF363" s="122">
        <f>FUR[[#This Row],[Chemicals]]</f>
        <v>0</v>
      </c>
      <c r="CG363" s="122">
        <f>FUR[[#This Row],[UID]]</f>
        <v>0</v>
      </c>
      <c r="CK363" s="82" t="str">
        <f>IF(FUR[[#This Row],[Status]]=0,"",FUR[[#This Row],[Status]])</f>
        <v/>
      </c>
    </row>
    <row r="364" spans="79:89">
      <c r="CA364" s="1" t="s">
        <v>71</v>
      </c>
      <c r="CB364" s="1" t="s">
        <v>18</v>
      </c>
      <c r="CC364" s="1" t="s">
        <v>132</v>
      </c>
      <c r="CE364" s="122">
        <f>FUR[[#This Row],[Part Type]]</f>
        <v>0</v>
      </c>
      <c r="CF364" s="122">
        <f>FUR[[#This Row],[Chemicals]]</f>
        <v>0</v>
      </c>
      <c r="CG364" s="122">
        <f>FUR[[#This Row],[UID]]</f>
        <v>0</v>
      </c>
      <c r="CK364" s="82" t="str">
        <f>IF(FUR[[#This Row],[Status]]=0,"",FUR[[#This Row],[Status]])</f>
        <v/>
      </c>
    </row>
    <row r="365" spans="79:89">
      <c r="CA365" s="1" t="s">
        <v>71</v>
      </c>
      <c r="CB365" s="1" t="s">
        <v>18</v>
      </c>
      <c r="CC365" s="1" t="s">
        <v>132</v>
      </c>
      <c r="CE365" s="122">
        <f>FUR[[#This Row],[Part Type]]</f>
        <v>0</v>
      </c>
      <c r="CF365" s="122">
        <f>FUR[[#This Row],[Chemicals]]</f>
        <v>0</v>
      </c>
      <c r="CG365" s="122">
        <f>FUR[[#This Row],[UID]]</f>
        <v>0</v>
      </c>
      <c r="CK365" s="82" t="str">
        <f>IF(FUR[[#This Row],[Status]]=0,"",FUR[[#This Row],[Status]])</f>
        <v/>
      </c>
    </row>
    <row r="366" spans="79:89">
      <c r="CA366" s="1" t="s">
        <v>71</v>
      </c>
      <c r="CB366" s="1" t="s">
        <v>18</v>
      </c>
      <c r="CC366" s="1" t="s">
        <v>132</v>
      </c>
      <c r="CE366" s="122">
        <f>FUR[[#This Row],[Part Type]]</f>
        <v>0</v>
      </c>
      <c r="CF366" s="122">
        <f>FUR[[#This Row],[Chemicals]]</f>
        <v>0</v>
      </c>
      <c r="CG366" s="122">
        <f>FUR[[#This Row],[UID]]</f>
        <v>0</v>
      </c>
      <c r="CK366" s="82" t="str">
        <f>IF(FUR[[#This Row],[Status]]=0,"",FUR[[#This Row],[Status]])</f>
        <v/>
      </c>
    </row>
    <row r="367" spans="79:89">
      <c r="CA367" s="1" t="s">
        <v>71</v>
      </c>
      <c r="CB367" s="1" t="s">
        <v>18</v>
      </c>
      <c r="CC367" s="1" t="s">
        <v>132</v>
      </c>
      <c r="CE367" s="122">
        <f>FUR[[#This Row],[Part Type]]</f>
        <v>0</v>
      </c>
      <c r="CF367" s="122">
        <f>FUR[[#This Row],[Chemicals]]</f>
        <v>0</v>
      </c>
      <c r="CG367" s="122">
        <f>FUR[[#This Row],[UID]]</f>
        <v>0</v>
      </c>
      <c r="CK367" s="82" t="str">
        <f>IF(FUR[[#This Row],[Status]]=0,"",FUR[[#This Row],[Status]])</f>
        <v/>
      </c>
    </row>
    <row r="368" spans="79:89">
      <c r="CA368" s="1" t="s">
        <v>71</v>
      </c>
      <c r="CB368" s="1" t="s">
        <v>18</v>
      </c>
      <c r="CC368" s="1" t="s">
        <v>132</v>
      </c>
      <c r="CE368" s="122">
        <f>FUR[[#This Row],[Part Type]]</f>
        <v>0</v>
      </c>
      <c r="CF368" s="122">
        <f>FUR[[#This Row],[Chemicals]]</f>
        <v>0</v>
      </c>
      <c r="CG368" s="122">
        <f>FUR[[#This Row],[UID]]</f>
        <v>0</v>
      </c>
      <c r="CK368" s="82" t="str">
        <f>IF(FUR[[#This Row],[Status]]=0,"",FUR[[#This Row],[Status]])</f>
        <v/>
      </c>
    </row>
    <row r="369" spans="79:89">
      <c r="CA369" s="1" t="s">
        <v>71</v>
      </c>
      <c r="CB369" s="1" t="s">
        <v>18</v>
      </c>
      <c r="CC369" s="1" t="s">
        <v>132</v>
      </c>
      <c r="CE369" s="122">
        <f>FUR[[#This Row],[Part Type]]</f>
        <v>0</v>
      </c>
      <c r="CF369" s="122">
        <f>FUR[[#This Row],[Chemicals]]</f>
        <v>0</v>
      </c>
      <c r="CG369" s="122">
        <f>FUR[[#This Row],[UID]]</f>
        <v>0</v>
      </c>
      <c r="CK369" s="82" t="str">
        <f>IF(FUR[[#This Row],[Status]]=0,"",FUR[[#This Row],[Status]])</f>
        <v/>
      </c>
    </row>
    <row r="370" spans="79:89">
      <c r="CA370" s="1" t="s">
        <v>71</v>
      </c>
      <c r="CB370" s="1" t="s">
        <v>18</v>
      </c>
      <c r="CC370" s="1" t="s">
        <v>132</v>
      </c>
      <c r="CE370" s="122">
        <f>FUR[[#This Row],[Part Type]]</f>
        <v>0</v>
      </c>
      <c r="CF370" s="122">
        <f>FUR[[#This Row],[Chemicals]]</f>
        <v>0</v>
      </c>
      <c r="CG370" s="122">
        <f>FUR[[#This Row],[UID]]</f>
        <v>0</v>
      </c>
      <c r="CK370" s="82" t="str">
        <f>IF(FUR[[#This Row],[Status]]=0,"",FUR[[#This Row],[Status]])</f>
        <v/>
      </c>
    </row>
    <row r="371" spans="79:89">
      <c r="CA371" s="1" t="s">
        <v>71</v>
      </c>
      <c r="CB371" s="1" t="s">
        <v>18</v>
      </c>
      <c r="CC371" s="1" t="s">
        <v>132</v>
      </c>
      <c r="CE371" s="122">
        <f>FUR[[#This Row],[Part Type]]</f>
        <v>0</v>
      </c>
      <c r="CF371" s="122">
        <f>FUR[[#This Row],[Chemicals]]</f>
        <v>0</v>
      </c>
      <c r="CG371" s="122">
        <f>FUR[[#This Row],[UID]]</f>
        <v>0</v>
      </c>
      <c r="CK371" s="82" t="str">
        <f>IF(FUR[[#This Row],[Status]]=0,"",FUR[[#This Row],[Status]])</f>
        <v/>
      </c>
    </row>
    <row r="372" spans="79:89">
      <c r="CA372" s="1" t="s">
        <v>71</v>
      </c>
      <c r="CB372" s="1" t="s">
        <v>18</v>
      </c>
      <c r="CC372" s="1" t="s">
        <v>132</v>
      </c>
      <c r="CE372" s="122">
        <f>FUR[[#This Row],[Part Type]]</f>
        <v>0</v>
      </c>
      <c r="CF372" s="122">
        <f>FUR[[#This Row],[Chemicals]]</f>
        <v>0</v>
      </c>
      <c r="CG372" s="122">
        <f>FUR[[#This Row],[UID]]</f>
        <v>0</v>
      </c>
      <c r="CK372" s="82" t="str">
        <f>IF(FUR[[#This Row],[Status]]=0,"",FUR[[#This Row],[Status]])</f>
        <v/>
      </c>
    </row>
    <row r="373" spans="79:89">
      <c r="CA373" s="1" t="s">
        <v>71</v>
      </c>
      <c r="CB373" s="1" t="s">
        <v>18</v>
      </c>
      <c r="CC373" s="1" t="s">
        <v>132</v>
      </c>
      <c r="CE373" s="122">
        <f>FUR[[#This Row],[Part Type]]</f>
        <v>0</v>
      </c>
      <c r="CF373" s="122">
        <f>FUR[[#This Row],[Chemicals]]</f>
        <v>0</v>
      </c>
      <c r="CG373" s="122">
        <f>FUR[[#This Row],[UID]]</f>
        <v>0</v>
      </c>
      <c r="CK373" s="82" t="str">
        <f>IF(FUR[[#This Row],[Status]]=0,"",FUR[[#This Row],[Status]])</f>
        <v/>
      </c>
    </row>
    <row r="374" spans="79:89">
      <c r="CA374" s="1" t="s">
        <v>71</v>
      </c>
      <c r="CB374" s="1" t="s">
        <v>18</v>
      </c>
      <c r="CC374" s="1" t="s">
        <v>132</v>
      </c>
      <c r="CE374" s="122">
        <f>FUR[[#This Row],[Part Type]]</f>
        <v>0</v>
      </c>
      <c r="CF374" s="122">
        <f>FUR[[#This Row],[Chemicals]]</f>
        <v>0</v>
      </c>
      <c r="CG374" s="122">
        <f>FUR[[#This Row],[UID]]</f>
        <v>0</v>
      </c>
      <c r="CK374" s="82" t="str">
        <f>IF(FUR[[#This Row],[Status]]=0,"",FUR[[#This Row],[Status]])</f>
        <v/>
      </c>
    </row>
    <row r="375" spans="79:89">
      <c r="CA375" s="1" t="s">
        <v>71</v>
      </c>
      <c r="CB375" s="1" t="s">
        <v>18</v>
      </c>
      <c r="CC375" s="1" t="s">
        <v>132</v>
      </c>
      <c r="CE375" s="122">
        <f>FUR[[#This Row],[Part Type]]</f>
        <v>0</v>
      </c>
      <c r="CF375" s="122">
        <f>FUR[[#This Row],[Chemicals]]</f>
        <v>0</v>
      </c>
      <c r="CG375" s="122">
        <f>FUR[[#This Row],[UID]]</f>
        <v>0</v>
      </c>
      <c r="CK375" s="82" t="str">
        <f>IF(FUR[[#This Row],[Status]]=0,"",FUR[[#This Row],[Status]])</f>
        <v/>
      </c>
    </row>
    <row r="376" spans="79:89">
      <c r="CA376" s="1" t="s">
        <v>71</v>
      </c>
      <c r="CB376" s="1" t="s">
        <v>18</v>
      </c>
      <c r="CC376" s="1" t="s">
        <v>132</v>
      </c>
      <c r="CE376" s="122">
        <f>FUR[[#This Row],[Part Type]]</f>
        <v>0</v>
      </c>
      <c r="CF376" s="122">
        <f>FUR[[#This Row],[Chemicals]]</f>
        <v>0</v>
      </c>
      <c r="CG376" s="122">
        <f>FUR[[#This Row],[UID]]</f>
        <v>0</v>
      </c>
      <c r="CK376" s="82" t="str">
        <f>IF(FUR[[#This Row],[Status]]=0,"",FUR[[#This Row],[Status]])</f>
        <v/>
      </c>
    </row>
    <row r="377" spans="79:89">
      <c r="CA377" s="1" t="s">
        <v>71</v>
      </c>
      <c r="CB377" s="1" t="s">
        <v>18</v>
      </c>
      <c r="CC377" s="1" t="s">
        <v>132</v>
      </c>
      <c r="CE377" s="122">
        <f>FUR[[#This Row],[Part Type]]</f>
        <v>0</v>
      </c>
      <c r="CF377" s="122">
        <f>FUR[[#This Row],[Chemicals]]</f>
        <v>0</v>
      </c>
      <c r="CG377" s="122">
        <f>FUR[[#This Row],[UID]]</f>
        <v>0</v>
      </c>
      <c r="CK377" s="82" t="str">
        <f>IF(FUR[[#This Row],[Status]]=0,"",FUR[[#This Row],[Status]])</f>
        <v/>
      </c>
    </row>
    <row r="378" spans="79:89">
      <c r="CA378" s="1" t="s">
        <v>71</v>
      </c>
      <c r="CB378" s="1" t="s">
        <v>18</v>
      </c>
      <c r="CC378" s="1" t="s">
        <v>132</v>
      </c>
      <c r="CE378" s="122">
        <f>FUR[[#This Row],[Part Type]]</f>
        <v>0</v>
      </c>
      <c r="CF378" s="122">
        <f>FUR[[#This Row],[Chemicals]]</f>
        <v>0</v>
      </c>
      <c r="CG378" s="122">
        <f>FUR[[#This Row],[UID]]</f>
        <v>0</v>
      </c>
      <c r="CK378" s="82" t="str">
        <f>IF(FUR[[#This Row],[Status]]=0,"",FUR[[#This Row],[Status]])</f>
        <v/>
      </c>
    </row>
    <row r="379" spans="79:89">
      <c r="CA379" s="1" t="s">
        <v>71</v>
      </c>
      <c r="CB379" s="1" t="s">
        <v>18</v>
      </c>
      <c r="CC379" s="1" t="s">
        <v>132</v>
      </c>
      <c r="CE379" s="122">
        <f>FUR[[#This Row],[Part Type]]</f>
        <v>0</v>
      </c>
      <c r="CF379" s="122">
        <f>FUR[[#This Row],[Chemicals]]</f>
        <v>0</v>
      </c>
      <c r="CG379" s="122">
        <f>FUR[[#This Row],[UID]]</f>
        <v>0</v>
      </c>
      <c r="CK379" s="82" t="str">
        <f>IF(FUR[[#This Row],[Status]]=0,"",FUR[[#This Row],[Status]])</f>
        <v/>
      </c>
    </row>
    <row r="380" spans="79:89">
      <c r="CA380" s="1" t="s">
        <v>71</v>
      </c>
      <c r="CB380" s="1" t="s">
        <v>18</v>
      </c>
      <c r="CC380" s="1" t="s">
        <v>132</v>
      </c>
      <c r="CE380" s="122">
        <f>FUR[[#This Row],[Part Type]]</f>
        <v>0</v>
      </c>
      <c r="CF380" s="122">
        <f>FUR[[#This Row],[Chemicals]]</f>
        <v>0</v>
      </c>
      <c r="CG380" s="122">
        <f>FUR[[#This Row],[UID]]</f>
        <v>0</v>
      </c>
      <c r="CK380" s="82" t="str">
        <f>IF(FUR[[#This Row],[Status]]=0,"",FUR[[#This Row],[Status]])</f>
        <v/>
      </c>
    </row>
    <row r="381" spans="79:89">
      <c r="CA381" s="1" t="s">
        <v>71</v>
      </c>
      <c r="CB381" s="1" t="s">
        <v>18</v>
      </c>
      <c r="CC381" s="1" t="s">
        <v>132</v>
      </c>
      <c r="CE381" s="122">
        <f>FUR[[#This Row],[Part Type]]</f>
        <v>0</v>
      </c>
      <c r="CF381" s="122">
        <f>FUR[[#This Row],[Chemicals]]</f>
        <v>0</v>
      </c>
      <c r="CG381" s="122">
        <f>FUR[[#This Row],[UID]]</f>
        <v>0</v>
      </c>
      <c r="CK381" s="82" t="str">
        <f>IF(FUR[[#This Row],[Status]]=0,"",FUR[[#This Row],[Status]])</f>
        <v/>
      </c>
    </row>
    <row r="382" spans="79:89">
      <c r="CA382" s="1" t="s">
        <v>71</v>
      </c>
      <c r="CB382" s="1" t="s">
        <v>18</v>
      </c>
      <c r="CC382" s="1" t="s">
        <v>132</v>
      </c>
      <c r="CE382" s="122">
        <f>FUR[[#This Row],[Part Type]]</f>
        <v>0</v>
      </c>
      <c r="CF382" s="122">
        <f>FUR[[#This Row],[Chemicals]]</f>
        <v>0</v>
      </c>
      <c r="CG382" s="122">
        <f>FUR[[#This Row],[UID]]</f>
        <v>0</v>
      </c>
      <c r="CK382" s="82" t="str">
        <f>IF(FUR[[#This Row],[Status]]=0,"",FUR[[#This Row],[Status]])</f>
        <v/>
      </c>
    </row>
    <row r="383" spans="79:89">
      <c r="CA383" s="1" t="s">
        <v>71</v>
      </c>
      <c r="CB383" s="1" t="s">
        <v>18</v>
      </c>
      <c r="CC383" s="1" t="s">
        <v>132</v>
      </c>
      <c r="CE383" s="122">
        <f>FUR[[#This Row],[Part Type]]</f>
        <v>0</v>
      </c>
      <c r="CF383" s="122">
        <f>FUR[[#This Row],[Chemicals]]</f>
        <v>0</v>
      </c>
      <c r="CG383" s="122">
        <f>FUR[[#This Row],[UID]]</f>
        <v>0</v>
      </c>
      <c r="CK383" s="82" t="str">
        <f>IF(FUR[[#This Row],[Status]]=0,"",FUR[[#This Row],[Status]])</f>
        <v/>
      </c>
    </row>
    <row r="384" spans="79:89">
      <c r="CA384" s="1" t="s">
        <v>71</v>
      </c>
      <c r="CB384" s="1" t="s">
        <v>18</v>
      </c>
      <c r="CC384" s="1" t="s">
        <v>132</v>
      </c>
      <c r="CE384" s="122">
        <f>FUR[[#This Row],[Part Type]]</f>
        <v>0</v>
      </c>
      <c r="CF384" s="122">
        <f>FUR[[#This Row],[Chemicals]]</f>
        <v>0</v>
      </c>
      <c r="CG384" s="122">
        <f>FUR[[#This Row],[UID]]</f>
        <v>0</v>
      </c>
      <c r="CK384" s="82" t="str">
        <f>IF(FUR[[#This Row],[Status]]=0,"",FUR[[#This Row],[Status]])</f>
        <v/>
      </c>
    </row>
    <row r="385" spans="79:89">
      <c r="CA385" s="1" t="s">
        <v>71</v>
      </c>
      <c r="CB385" s="1" t="s">
        <v>18</v>
      </c>
      <c r="CC385" s="1" t="s">
        <v>132</v>
      </c>
      <c r="CE385" s="122">
        <f>FUR[[#This Row],[Part Type]]</f>
        <v>0</v>
      </c>
      <c r="CF385" s="122">
        <f>FUR[[#This Row],[Chemicals]]</f>
        <v>0</v>
      </c>
      <c r="CG385" s="122">
        <f>FUR[[#This Row],[UID]]</f>
        <v>0</v>
      </c>
      <c r="CK385" s="82" t="str">
        <f>IF(FUR[[#This Row],[Status]]=0,"",FUR[[#This Row],[Status]])</f>
        <v/>
      </c>
    </row>
    <row r="386" spans="79:89">
      <c r="CA386" s="1" t="s">
        <v>71</v>
      </c>
      <c r="CB386" s="1" t="s">
        <v>18</v>
      </c>
      <c r="CC386" s="1" t="s">
        <v>132</v>
      </c>
      <c r="CE386" s="122">
        <f>FUR[[#This Row],[Part Type]]</f>
        <v>0</v>
      </c>
      <c r="CF386" s="122">
        <f>FUR[[#This Row],[Chemicals]]</f>
        <v>0</v>
      </c>
      <c r="CG386" s="122">
        <f>FUR[[#This Row],[UID]]</f>
        <v>0</v>
      </c>
      <c r="CK386" s="82" t="str">
        <f>IF(FUR[[#This Row],[Status]]=0,"",FUR[[#This Row],[Status]])</f>
        <v/>
      </c>
    </row>
    <row r="387" spans="79:89">
      <c r="CA387" s="1" t="s">
        <v>71</v>
      </c>
      <c r="CB387" s="1" t="s">
        <v>18</v>
      </c>
      <c r="CC387" s="1" t="s">
        <v>132</v>
      </c>
      <c r="CE387" s="122">
        <f>FUR[[#This Row],[Part Type]]</f>
        <v>0</v>
      </c>
      <c r="CF387" s="122">
        <f>FUR[[#This Row],[Chemicals]]</f>
        <v>0</v>
      </c>
      <c r="CG387" s="122">
        <f>FUR[[#This Row],[UID]]</f>
        <v>0</v>
      </c>
      <c r="CK387" s="82" t="str">
        <f>IF(FUR[[#This Row],[Status]]=0,"",FUR[[#This Row],[Status]])</f>
        <v/>
      </c>
    </row>
    <row r="388" spans="79:89">
      <c r="CA388" s="1" t="s">
        <v>71</v>
      </c>
      <c r="CB388" s="1" t="s">
        <v>18</v>
      </c>
      <c r="CC388" s="1" t="s">
        <v>132</v>
      </c>
      <c r="CE388" s="122">
        <f>FUR[[#This Row],[Part Type]]</f>
        <v>0</v>
      </c>
      <c r="CF388" s="122">
        <f>FUR[[#This Row],[Chemicals]]</f>
        <v>0</v>
      </c>
      <c r="CG388" s="122">
        <f>FUR[[#This Row],[UID]]</f>
        <v>0</v>
      </c>
      <c r="CK388" s="82" t="str">
        <f>IF(FUR[[#This Row],[Status]]=0,"",FUR[[#This Row],[Status]])</f>
        <v/>
      </c>
    </row>
    <row r="389" spans="79:89">
      <c r="CA389" s="1" t="s">
        <v>71</v>
      </c>
      <c r="CB389" s="1" t="s">
        <v>18</v>
      </c>
      <c r="CC389" s="1" t="s">
        <v>132</v>
      </c>
      <c r="CE389" s="122">
        <f>FUR[[#This Row],[Part Type]]</f>
        <v>0</v>
      </c>
      <c r="CF389" s="122">
        <f>FUR[[#This Row],[Chemicals]]</f>
        <v>0</v>
      </c>
      <c r="CG389" s="122">
        <f>FUR[[#This Row],[UID]]</f>
        <v>0</v>
      </c>
      <c r="CK389" s="82" t="str">
        <f>IF(FUR[[#This Row],[Status]]=0,"",FUR[[#This Row],[Status]])</f>
        <v/>
      </c>
    </row>
    <row r="390" spans="79:89">
      <c r="CA390" s="1" t="s">
        <v>71</v>
      </c>
      <c r="CB390" s="1" t="s">
        <v>18</v>
      </c>
      <c r="CC390" s="1" t="s">
        <v>132</v>
      </c>
      <c r="CE390" s="122">
        <f>FUR[[#This Row],[Part Type]]</f>
        <v>0</v>
      </c>
      <c r="CF390" s="122">
        <f>FUR[[#This Row],[Chemicals]]</f>
        <v>0</v>
      </c>
      <c r="CG390" s="122">
        <f>FUR[[#This Row],[UID]]</f>
        <v>0</v>
      </c>
      <c r="CK390" s="82" t="str">
        <f>IF(FUR[[#This Row],[Status]]=0,"",FUR[[#This Row],[Status]])</f>
        <v/>
      </c>
    </row>
    <row r="391" spans="79:89">
      <c r="CA391" s="1" t="s">
        <v>71</v>
      </c>
      <c r="CB391" s="1" t="s">
        <v>18</v>
      </c>
      <c r="CC391" s="1" t="s">
        <v>132</v>
      </c>
      <c r="CE391" s="122">
        <f>FUR[[#This Row],[Part Type]]</f>
        <v>0</v>
      </c>
      <c r="CF391" s="122">
        <f>FUR[[#This Row],[Chemicals]]</f>
        <v>0</v>
      </c>
      <c r="CG391" s="122">
        <f>FUR[[#This Row],[UID]]</f>
        <v>0</v>
      </c>
      <c r="CK391" s="82" t="str">
        <f>IF(FUR[[#This Row],[Status]]=0,"",FUR[[#This Row],[Status]])</f>
        <v/>
      </c>
    </row>
    <row r="392" spans="79:89">
      <c r="CA392" s="1" t="s">
        <v>71</v>
      </c>
      <c r="CB392" s="1" t="s">
        <v>18</v>
      </c>
      <c r="CC392" s="1" t="s">
        <v>132</v>
      </c>
      <c r="CE392" s="122">
        <f>FUR[[#This Row],[Part Type]]</f>
        <v>0</v>
      </c>
      <c r="CF392" s="122">
        <f>FUR[[#This Row],[Chemicals]]</f>
        <v>0</v>
      </c>
      <c r="CG392" s="122">
        <f>FUR[[#This Row],[UID]]</f>
        <v>0</v>
      </c>
      <c r="CK392" s="82" t="str">
        <f>IF(FUR[[#This Row],[Status]]=0,"",FUR[[#This Row],[Status]])</f>
        <v/>
      </c>
    </row>
    <row r="393" spans="79:89">
      <c r="CA393" s="1" t="s">
        <v>71</v>
      </c>
      <c r="CB393" s="1" t="s">
        <v>18</v>
      </c>
      <c r="CC393" s="1" t="s">
        <v>132</v>
      </c>
      <c r="CE393" s="122">
        <f>FUR[[#This Row],[Part Type]]</f>
        <v>0</v>
      </c>
      <c r="CF393" s="122">
        <f>FUR[[#This Row],[Chemicals]]</f>
        <v>0</v>
      </c>
      <c r="CG393" s="122">
        <f>FUR[[#This Row],[UID]]</f>
        <v>0</v>
      </c>
      <c r="CK393" s="82" t="str">
        <f>IF(FUR[[#This Row],[Status]]=0,"",FUR[[#This Row],[Status]])</f>
        <v/>
      </c>
    </row>
    <row r="394" spans="79:89">
      <c r="CA394" s="1" t="s">
        <v>71</v>
      </c>
      <c r="CB394" s="1" t="s">
        <v>18</v>
      </c>
      <c r="CC394" s="1" t="s">
        <v>132</v>
      </c>
      <c r="CE394" s="122">
        <f>FUR[[#This Row],[Part Type]]</f>
        <v>0</v>
      </c>
      <c r="CF394" s="122">
        <f>FUR[[#This Row],[Chemicals]]</f>
        <v>0</v>
      </c>
      <c r="CG394" s="122">
        <f>FUR[[#This Row],[UID]]</f>
        <v>0</v>
      </c>
      <c r="CK394" s="82" t="str">
        <f>IF(FUR[[#This Row],[Status]]=0,"",FUR[[#This Row],[Status]])</f>
        <v/>
      </c>
    </row>
    <row r="395" spans="79:89">
      <c r="CA395" s="1" t="s">
        <v>71</v>
      </c>
      <c r="CB395" s="1" t="s">
        <v>18</v>
      </c>
      <c r="CC395" s="1" t="s">
        <v>132</v>
      </c>
      <c r="CE395" s="122">
        <f>FUR[[#This Row],[Part Type]]</f>
        <v>0</v>
      </c>
      <c r="CF395" s="122">
        <f>FUR[[#This Row],[Chemicals]]</f>
        <v>0</v>
      </c>
      <c r="CG395" s="122">
        <f>FUR[[#This Row],[UID]]</f>
        <v>0</v>
      </c>
      <c r="CK395" s="82" t="str">
        <f>IF(FUR[[#This Row],[Status]]=0,"",FUR[[#This Row],[Status]])</f>
        <v/>
      </c>
    </row>
    <row r="396" spans="79:89">
      <c r="CA396" s="1" t="s">
        <v>71</v>
      </c>
      <c r="CB396" s="1" t="s">
        <v>18</v>
      </c>
      <c r="CC396" s="1" t="s">
        <v>132</v>
      </c>
      <c r="CE396" s="122">
        <f>FUR[[#This Row],[Part Type]]</f>
        <v>0</v>
      </c>
      <c r="CF396" s="122">
        <f>FUR[[#This Row],[Chemicals]]</f>
        <v>0</v>
      </c>
      <c r="CG396" s="122">
        <f>FUR[[#This Row],[UID]]</f>
        <v>0</v>
      </c>
      <c r="CK396" s="82" t="str">
        <f>IF(FUR[[#This Row],[Status]]=0,"",FUR[[#This Row],[Status]])</f>
        <v/>
      </c>
    </row>
    <row r="397" spans="79:89">
      <c r="CA397" s="1" t="s">
        <v>71</v>
      </c>
      <c r="CB397" s="1" t="s">
        <v>18</v>
      </c>
      <c r="CC397" s="1" t="s">
        <v>132</v>
      </c>
      <c r="CE397" s="122">
        <f>FUR[[#This Row],[Part Type]]</f>
        <v>0</v>
      </c>
      <c r="CF397" s="122">
        <f>FUR[[#This Row],[Chemicals]]</f>
        <v>0</v>
      </c>
      <c r="CG397" s="122">
        <f>FUR[[#This Row],[UID]]</f>
        <v>0</v>
      </c>
      <c r="CK397" s="82" t="str">
        <f>IF(FUR[[#This Row],[Status]]=0,"",FUR[[#This Row],[Status]])</f>
        <v/>
      </c>
    </row>
    <row r="398" spans="79:89">
      <c r="CA398" s="1" t="s">
        <v>71</v>
      </c>
      <c r="CB398" s="1" t="s">
        <v>18</v>
      </c>
      <c r="CC398" s="1" t="s">
        <v>132</v>
      </c>
      <c r="CE398" s="122">
        <f>FUR[[#This Row],[Part Type]]</f>
        <v>0</v>
      </c>
      <c r="CF398" s="122">
        <f>FUR[[#This Row],[Chemicals]]</f>
        <v>0</v>
      </c>
      <c r="CG398" s="122">
        <f>FUR[[#This Row],[UID]]</f>
        <v>0</v>
      </c>
      <c r="CK398" s="82" t="str">
        <f>IF(FUR[[#This Row],[Status]]=0,"",FUR[[#This Row],[Status]])</f>
        <v/>
      </c>
    </row>
    <row r="399" spans="79:89">
      <c r="CA399" s="1" t="s">
        <v>71</v>
      </c>
      <c r="CB399" s="1" t="s">
        <v>18</v>
      </c>
      <c r="CC399" s="1" t="s">
        <v>132</v>
      </c>
      <c r="CE399" s="122">
        <f>FUR[[#This Row],[Part Type]]</f>
        <v>0</v>
      </c>
      <c r="CF399" s="122">
        <f>FUR[[#This Row],[Chemicals]]</f>
        <v>0</v>
      </c>
      <c r="CG399" s="122">
        <f>FUR[[#This Row],[UID]]</f>
        <v>0</v>
      </c>
      <c r="CK399" s="82" t="str">
        <f>IF(FUR[[#This Row],[Status]]=0,"",FUR[[#This Row],[Status]])</f>
        <v/>
      </c>
    </row>
    <row r="400" spans="79:89">
      <c r="CA400" s="1" t="s">
        <v>71</v>
      </c>
      <c r="CB400" s="1" t="s">
        <v>18</v>
      </c>
      <c r="CC400" s="1" t="s">
        <v>132</v>
      </c>
      <c r="CE400" s="122">
        <f>FUR[[#This Row],[Part Type]]</f>
        <v>0</v>
      </c>
      <c r="CF400" s="122">
        <f>FUR[[#This Row],[Chemicals]]</f>
        <v>0</v>
      </c>
      <c r="CG400" s="122">
        <f>FUR[[#This Row],[UID]]</f>
        <v>0</v>
      </c>
      <c r="CK400" s="82" t="str">
        <f>IF(FUR[[#This Row],[Status]]=0,"",FUR[[#This Row],[Status]])</f>
        <v/>
      </c>
    </row>
    <row r="401" spans="79:89">
      <c r="CA401" s="1" t="s">
        <v>71</v>
      </c>
      <c r="CB401" s="1" t="s">
        <v>18</v>
      </c>
      <c r="CC401" s="1" t="s">
        <v>132</v>
      </c>
      <c r="CE401" s="122">
        <f>FUR[[#This Row],[Part Type]]</f>
        <v>0</v>
      </c>
      <c r="CF401" s="122">
        <f>FUR[[#This Row],[Chemicals]]</f>
        <v>0</v>
      </c>
      <c r="CG401" s="122">
        <f>FUR[[#This Row],[UID]]</f>
        <v>0</v>
      </c>
      <c r="CK401" s="82" t="str">
        <f>IF(FUR[[#This Row],[Status]]=0,"",FUR[[#This Row],[Status]])</f>
        <v/>
      </c>
    </row>
    <row r="402" spans="79:89">
      <c r="CA402" s="1" t="s">
        <v>71</v>
      </c>
      <c r="CB402" s="1" t="s">
        <v>18</v>
      </c>
      <c r="CC402" s="1" t="s">
        <v>132</v>
      </c>
      <c r="CE402" s="122">
        <f>FUR[[#This Row],[Part Type]]</f>
        <v>0</v>
      </c>
      <c r="CF402" s="122">
        <f>FUR[[#This Row],[Chemicals]]</f>
        <v>0</v>
      </c>
      <c r="CG402" s="122">
        <f>FUR[[#This Row],[UID]]</f>
        <v>0</v>
      </c>
      <c r="CK402" s="82" t="str">
        <f>IF(FUR[[#This Row],[Status]]=0,"",FUR[[#This Row],[Status]])</f>
        <v/>
      </c>
    </row>
    <row r="403" spans="79:89">
      <c r="CA403" s="1" t="s">
        <v>71</v>
      </c>
      <c r="CB403" s="1" t="s">
        <v>18</v>
      </c>
      <c r="CC403" s="1" t="s">
        <v>132</v>
      </c>
      <c r="CE403" s="122">
        <f>FUR[[#This Row],[Part Type]]</f>
        <v>0</v>
      </c>
      <c r="CF403" s="122">
        <f>FUR[[#This Row],[Chemicals]]</f>
        <v>0</v>
      </c>
      <c r="CG403" s="122">
        <f>FUR[[#This Row],[UID]]</f>
        <v>0</v>
      </c>
      <c r="CK403" s="82" t="str">
        <f>IF(FUR[[#This Row],[Status]]=0,"",FUR[[#This Row],[Status]])</f>
        <v/>
      </c>
    </row>
    <row r="404" spans="79:89">
      <c r="CA404" s="1" t="s">
        <v>71</v>
      </c>
      <c r="CB404" s="1" t="s">
        <v>18</v>
      </c>
      <c r="CC404" s="1" t="s">
        <v>132</v>
      </c>
      <c r="CE404" s="122">
        <f>FUR[[#This Row],[Part Type]]</f>
        <v>0</v>
      </c>
      <c r="CF404" s="122">
        <f>FUR[[#This Row],[Chemicals]]</f>
        <v>0</v>
      </c>
      <c r="CG404" s="122">
        <f>FUR[[#This Row],[UID]]</f>
        <v>0</v>
      </c>
      <c r="CK404" s="82" t="str">
        <f>IF(FUR[[#This Row],[Status]]=0,"",FUR[[#This Row],[Status]])</f>
        <v/>
      </c>
    </row>
    <row r="405" spans="79:89">
      <c r="CA405" s="1" t="s">
        <v>71</v>
      </c>
      <c r="CB405" s="1" t="s">
        <v>18</v>
      </c>
      <c r="CC405" s="1" t="s">
        <v>132</v>
      </c>
      <c r="CE405" s="122">
        <f>FUR[[#This Row],[Part Type]]</f>
        <v>0</v>
      </c>
      <c r="CF405" s="122">
        <f>FUR[[#This Row],[Chemicals]]</f>
        <v>0</v>
      </c>
      <c r="CG405" s="122">
        <f>FUR[[#This Row],[UID]]</f>
        <v>0</v>
      </c>
      <c r="CK405" s="82" t="str">
        <f>IF(FUR[[#This Row],[Status]]=0,"",FUR[[#This Row],[Status]])</f>
        <v/>
      </c>
    </row>
    <row r="406" spans="79:89">
      <c r="CA406" s="1" t="s">
        <v>71</v>
      </c>
      <c r="CB406" s="1" t="s">
        <v>18</v>
      </c>
      <c r="CC406" s="1" t="s">
        <v>132</v>
      </c>
      <c r="CE406" s="122">
        <f>FUR[[#This Row],[Part Type]]</f>
        <v>0</v>
      </c>
      <c r="CF406" s="122">
        <f>FUR[[#This Row],[Chemicals]]</f>
        <v>0</v>
      </c>
      <c r="CG406" s="122">
        <f>FUR[[#This Row],[UID]]</f>
        <v>0</v>
      </c>
      <c r="CK406" s="82" t="str">
        <f>IF(FUR[[#This Row],[Status]]=0,"",FUR[[#This Row],[Status]])</f>
        <v/>
      </c>
    </row>
    <row r="407" spans="79:89">
      <c r="CA407" s="1" t="s">
        <v>71</v>
      </c>
      <c r="CB407" s="1" t="s">
        <v>18</v>
      </c>
      <c r="CC407" s="1" t="s">
        <v>132</v>
      </c>
      <c r="CE407" s="122">
        <f>FUR[[#This Row],[Part Type]]</f>
        <v>0</v>
      </c>
      <c r="CF407" s="122">
        <f>FUR[[#This Row],[Chemicals]]</f>
        <v>0</v>
      </c>
      <c r="CG407" s="122">
        <f>FUR[[#This Row],[UID]]</f>
        <v>0</v>
      </c>
      <c r="CK407" s="82" t="str">
        <f>IF(FUR[[#This Row],[Status]]=0,"",FUR[[#This Row],[Status]])</f>
        <v/>
      </c>
    </row>
    <row r="408" spans="79:89">
      <c r="CA408" s="1" t="s">
        <v>71</v>
      </c>
      <c r="CB408" s="1" t="s">
        <v>18</v>
      </c>
      <c r="CC408" s="1" t="s">
        <v>132</v>
      </c>
      <c r="CE408" s="122">
        <f>FUR[[#This Row],[Part Type]]</f>
        <v>0</v>
      </c>
      <c r="CF408" s="122">
        <f>FUR[[#This Row],[Chemicals]]</f>
        <v>0</v>
      </c>
      <c r="CG408" s="122">
        <f>FUR[[#This Row],[UID]]</f>
        <v>0</v>
      </c>
      <c r="CK408" s="82" t="str">
        <f>IF(FUR[[#This Row],[Status]]=0,"",FUR[[#This Row],[Status]])</f>
        <v/>
      </c>
    </row>
    <row r="409" spans="79:89">
      <c r="CA409" s="1" t="s">
        <v>71</v>
      </c>
      <c r="CB409" s="1" t="s">
        <v>18</v>
      </c>
      <c r="CC409" s="1" t="s">
        <v>132</v>
      </c>
      <c r="CE409" s="122">
        <f>FUR[[#This Row],[Part Type]]</f>
        <v>0</v>
      </c>
      <c r="CF409" s="122">
        <f>FUR[[#This Row],[Chemicals]]</f>
        <v>0</v>
      </c>
      <c r="CG409" s="122">
        <f>FUR[[#This Row],[UID]]</f>
        <v>0</v>
      </c>
      <c r="CK409" s="82" t="str">
        <f>IF(FUR[[#This Row],[Status]]=0,"",FUR[[#This Row],[Status]])</f>
        <v/>
      </c>
    </row>
    <row r="410" spans="79:89">
      <c r="CA410" s="1" t="s">
        <v>71</v>
      </c>
      <c r="CB410" s="1" t="s">
        <v>18</v>
      </c>
      <c r="CC410" s="1" t="s">
        <v>132</v>
      </c>
      <c r="CE410" s="122">
        <f>FUR[[#This Row],[Part Type]]</f>
        <v>0</v>
      </c>
      <c r="CF410" s="122">
        <f>FUR[[#This Row],[Chemicals]]</f>
        <v>0</v>
      </c>
      <c r="CG410" s="122">
        <f>FUR[[#This Row],[UID]]</f>
        <v>0</v>
      </c>
      <c r="CK410" s="82" t="str">
        <f>IF(FUR[[#This Row],[Status]]=0,"",FUR[[#This Row],[Status]])</f>
        <v/>
      </c>
    </row>
    <row r="411" spans="79:89">
      <c r="CA411" s="1" t="s">
        <v>71</v>
      </c>
      <c r="CB411" s="1" t="s">
        <v>18</v>
      </c>
      <c r="CC411" s="1" t="s">
        <v>132</v>
      </c>
      <c r="CE411" s="122">
        <f>FUR[[#This Row],[Part Type]]</f>
        <v>0</v>
      </c>
      <c r="CF411" s="122">
        <f>FUR[[#This Row],[Chemicals]]</f>
        <v>0</v>
      </c>
      <c r="CG411" s="122">
        <f>FUR[[#This Row],[UID]]</f>
        <v>0</v>
      </c>
      <c r="CK411" s="82" t="str">
        <f>IF(FUR[[#This Row],[Status]]=0,"",FUR[[#This Row],[Status]])</f>
        <v/>
      </c>
    </row>
    <row r="412" spans="79:89">
      <c r="CA412" s="1" t="s">
        <v>71</v>
      </c>
      <c r="CB412" s="1" t="s">
        <v>18</v>
      </c>
      <c r="CC412" s="1" t="s">
        <v>132</v>
      </c>
      <c r="CE412" s="122">
        <f>FUR[[#This Row],[Part Type]]</f>
        <v>0</v>
      </c>
      <c r="CF412" s="122">
        <f>FUR[[#This Row],[Chemicals]]</f>
        <v>0</v>
      </c>
      <c r="CG412" s="122">
        <f>FUR[[#This Row],[UID]]</f>
        <v>0</v>
      </c>
      <c r="CK412" s="82" t="str">
        <f>IF(FUR[[#This Row],[Status]]=0,"",FUR[[#This Row],[Status]])</f>
        <v/>
      </c>
    </row>
    <row r="413" spans="79:89">
      <c r="CA413" s="1" t="s">
        <v>71</v>
      </c>
      <c r="CB413" s="1" t="s">
        <v>18</v>
      </c>
      <c r="CC413" s="1" t="s">
        <v>132</v>
      </c>
      <c r="CE413" s="122">
        <f>FUR[[#This Row],[Part Type]]</f>
        <v>0</v>
      </c>
      <c r="CF413" s="122">
        <f>FUR[[#This Row],[Chemicals]]</f>
        <v>0</v>
      </c>
      <c r="CG413" s="122">
        <f>FUR[[#This Row],[UID]]</f>
        <v>0</v>
      </c>
      <c r="CK413" s="82" t="str">
        <f>IF(FUR[[#This Row],[Status]]=0,"",FUR[[#This Row],[Status]])</f>
        <v/>
      </c>
    </row>
    <row r="414" spans="79:89">
      <c r="CA414" s="1" t="s">
        <v>71</v>
      </c>
      <c r="CB414" s="1" t="s">
        <v>18</v>
      </c>
      <c r="CC414" s="1" t="s">
        <v>132</v>
      </c>
      <c r="CE414" s="122">
        <f>FUR[[#This Row],[Part Type]]</f>
        <v>0</v>
      </c>
      <c r="CF414" s="122">
        <f>FUR[[#This Row],[Chemicals]]</f>
        <v>0</v>
      </c>
      <c r="CG414" s="122">
        <f>FUR[[#This Row],[UID]]</f>
        <v>0</v>
      </c>
      <c r="CK414" s="82" t="str">
        <f>IF(FUR[[#This Row],[Status]]=0,"",FUR[[#This Row],[Status]])</f>
        <v/>
      </c>
    </row>
    <row r="415" spans="79:89">
      <c r="CA415" s="1" t="s">
        <v>71</v>
      </c>
      <c r="CB415" s="1" t="s">
        <v>18</v>
      </c>
      <c r="CC415" s="1" t="s">
        <v>132</v>
      </c>
      <c r="CE415" s="122">
        <f>FUR[[#This Row],[Part Type]]</f>
        <v>0</v>
      </c>
      <c r="CF415" s="122">
        <f>FUR[[#This Row],[Chemicals]]</f>
        <v>0</v>
      </c>
      <c r="CG415" s="122">
        <f>FUR[[#This Row],[UID]]</f>
        <v>0</v>
      </c>
      <c r="CK415" s="82" t="str">
        <f>IF(FUR[[#This Row],[Status]]=0,"",FUR[[#This Row],[Status]])</f>
        <v/>
      </c>
    </row>
    <row r="416" spans="79:89">
      <c r="CA416" s="1" t="s">
        <v>71</v>
      </c>
      <c r="CB416" s="1" t="s">
        <v>18</v>
      </c>
      <c r="CC416" s="1" t="s">
        <v>132</v>
      </c>
      <c r="CE416" s="122">
        <f>FUR[[#This Row],[Part Type]]</f>
        <v>0</v>
      </c>
      <c r="CF416" s="122">
        <f>FUR[[#This Row],[Chemicals]]</f>
        <v>0</v>
      </c>
      <c r="CG416" s="122">
        <f>FUR[[#This Row],[UID]]</f>
        <v>0</v>
      </c>
      <c r="CK416" s="82" t="str">
        <f>IF(FUR[[#This Row],[Status]]=0,"",FUR[[#This Row],[Status]])</f>
        <v/>
      </c>
    </row>
    <row r="417" spans="79:89">
      <c r="CA417" s="1" t="s">
        <v>71</v>
      </c>
      <c r="CB417" s="1" t="s">
        <v>18</v>
      </c>
      <c r="CC417" s="1" t="s">
        <v>132</v>
      </c>
      <c r="CE417" s="122">
        <f>FUR[[#This Row],[Part Type]]</f>
        <v>0</v>
      </c>
      <c r="CF417" s="122">
        <f>FUR[[#This Row],[Chemicals]]</f>
        <v>0</v>
      </c>
      <c r="CG417" s="122">
        <f>FUR[[#This Row],[UID]]</f>
        <v>0</v>
      </c>
      <c r="CK417" s="82" t="str">
        <f>IF(FUR[[#This Row],[Status]]=0,"",FUR[[#This Row],[Status]])</f>
        <v/>
      </c>
    </row>
    <row r="418" spans="79:89">
      <c r="CA418" s="1" t="s">
        <v>71</v>
      </c>
      <c r="CB418" s="1" t="s">
        <v>18</v>
      </c>
      <c r="CC418" s="1" t="s">
        <v>132</v>
      </c>
      <c r="CE418" s="122">
        <f>FUR[[#This Row],[Part Type]]</f>
        <v>0</v>
      </c>
      <c r="CF418" s="122">
        <f>FUR[[#This Row],[Chemicals]]</f>
        <v>0</v>
      </c>
      <c r="CG418" s="122">
        <f>FUR[[#This Row],[UID]]</f>
        <v>0</v>
      </c>
      <c r="CK418" s="82" t="str">
        <f>IF(FUR[[#This Row],[Status]]=0,"",FUR[[#This Row],[Status]])</f>
        <v/>
      </c>
    </row>
    <row r="419" spans="79:89">
      <c r="CA419" s="1" t="s">
        <v>71</v>
      </c>
      <c r="CB419" s="1" t="s">
        <v>18</v>
      </c>
      <c r="CC419" s="1" t="s">
        <v>132</v>
      </c>
      <c r="CE419" s="122">
        <f>FUR[[#This Row],[Part Type]]</f>
        <v>0</v>
      </c>
      <c r="CF419" s="122">
        <f>FUR[[#This Row],[Chemicals]]</f>
        <v>0</v>
      </c>
      <c r="CG419" s="122">
        <f>FUR[[#This Row],[UID]]</f>
        <v>0</v>
      </c>
      <c r="CK419" s="82" t="str">
        <f>IF(FUR[[#This Row],[Status]]=0,"",FUR[[#This Row],[Status]])</f>
        <v/>
      </c>
    </row>
    <row r="420" spans="79:89">
      <c r="CA420" s="1" t="s">
        <v>71</v>
      </c>
      <c r="CB420" s="1" t="s">
        <v>18</v>
      </c>
      <c r="CC420" s="1" t="s">
        <v>132</v>
      </c>
      <c r="CE420" s="122">
        <f>FUR[[#This Row],[Part Type]]</f>
        <v>0</v>
      </c>
      <c r="CF420" s="122">
        <f>FUR[[#This Row],[Chemicals]]</f>
        <v>0</v>
      </c>
      <c r="CG420" s="122">
        <f>FUR[[#This Row],[UID]]</f>
        <v>0</v>
      </c>
      <c r="CK420" s="82" t="str">
        <f>IF(FUR[[#This Row],[Status]]=0,"",FUR[[#This Row],[Status]])</f>
        <v/>
      </c>
    </row>
    <row r="421" spans="79:89">
      <c r="CA421" s="1" t="s">
        <v>71</v>
      </c>
      <c r="CB421" s="1" t="s">
        <v>18</v>
      </c>
      <c r="CC421" s="1" t="s">
        <v>132</v>
      </c>
      <c r="CE421" s="122">
        <f>FUR[[#This Row],[Part Type]]</f>
        <v>0</v>
      </c>
      <c r="CF421" s="122">
        <f>FUR[[#This Row],[Chemicals]]</f>
        <v>0</v>
      </c>
      <c r="CG421" s="122">
        <f>FUR[[#This Row],[UID]]</f>
        <v>0</v>
      </c>
      <c r="CK421" s="82" t="str">
        <f>IF(FUR[[#This Row],[Status]]=0,"",FUR[[#This Row],[Status]])</f>
        <v/>
      </c>
    </row>
    <row r="422" spans="79:89">
      <c r="CA422" s="1" t="s">
        <v>71</v>
      </c>
      <c r="CB422" s="1" t="s">
        <v>18</v>
      </c>
      <c r="CC422" s="1" t="s">
        <v>132</v>
      </c>
      <c r="CE422" s="122">
        <f>FUR[[#This Row],[Part Type]]</f>
        <v>0</v>
      </c>
      <c r="CF422" s="122">
        <f>FUR[[#This Row],[Chemicals]]</f>
        <v>0</v>
      </c>
      <c r="CG422" s="122">
        <f>FUR[[#This Row],[UID]]</f>
        <v>0</v>
      </c>
      <c r="CK422" s="82" t="str">
        <f>IF(FUR[[#This Row],[Status]]=0,"",FUR[[#This Row],[Status]])</f>
        <v/>
      </c>
    </row>
    <row r="423" spans="79:89">
      <c r="CA423" s="1" t="s">
        <v>71</v>
      </c>
      <c r="CB423" s="1" t="s">
        <v>18</v>
      </c>
      <c r="CC423" s="1" t="s">
        <v>132</v>
      </c>
      <c r="CE423" s="122">
        <f>FUR[[#This Row],[Part Type]]</f>
        <v>0</v>
      </c>
      <c r="CF423" s="122">
        <f>FUR[[#This Row],[Chemicals]]</f>
        <v>0</v>
      </c>
      <c r="CG423" s="122">
        <f>FUR[[#This Row],[UID]]</f>
        <v>0</v>
      </c>
      <c r="CK423" s="82" t="str">
        <f>IF(FUR[[#This Row],[Status]]=0,"",FUR[[#This Row],[Status]])</f>
        <v/>
      </c>
    </row>
    <row r="424" spans="79:89">
      <c r="CA424" s="1" t="s">
        <v>71</v>
      </c>
      <c r="CB424" s="1" t="s">
        <v>18</v>
      </c>
      <c r="CC424" s="1" t="s">
        <v>132</v>
      </c>
      <c r="CE424" s="122">
        <f>FUR[[#This Row],[Part Type]]</f>
        <v>0</v>
      </c>
      <c r="CF424" s="122">
        <f>FUR[[#This Row],[Chemicals]]</f>
        <v>0</v>
      </c>
      <c r="CG424" s="122">
        <f>FUR[[#This Row],[UID]]</f>
        <v>0</v>
      </c>
      <c r="CK424" s="82" t="str">
        <f>IF(FUR[[#This Row],[Status]]=0,"",FUR[[#This Row],[Status]])</f>
        <v/>
      </c>
    </row>
    <row r="425" spans="79:89">
      <c r="CA425" s="1" t="s">
        <v>71</v>
      </c>
      <c r="CB425" s="1" t="s">
        <v>18</v>
      </c>
      <c r="CC425" s="1" t="s">
        <v>132</v>
      </c>
      <c r="CE425" s="122">
        <f>FUR[[#This Row],[Part Type]]</f>
        <v>0</v>
      </c>
      <c r="CF425" s="122">
        <f>FUR[[#This Row],[Chemicals]]</f>
        <v>0</v>
      </c>
      <c r="CG425" s="122">
        <f>FUR[[#This Row],[UID]]</f>
        <v>0</v>
      </c>
      <c r="CK425" s="82" t="str">
        <f>IF(FUR[[#This Row],[Status]]=0,"",FUR[[#This Row],[Status]])</f>
        <v/>
      </c>
    </row>
    <row r="426" spans="79:89">
      <c r="CA426" s="1" t="s">
        <v>71</v>
      </c>
      <c r="CB426" s="1" t="s">
        <v>18</v>
      </c>
      <c r="CC426" s="1" t="s">
        <v>132</v>
      </c>
      <c r="CE426" s="122">
        <f>FUR[[#This Row],[Part Type]]</f>
        <v>0</v>
      </c>
      <c r="CF426" s="122">
        <f>FUR[[#This Row],[Chemicals]]</f>
        <v>0</v>
      </c>
      <c r="CG426" s="122">
        <f>FUR[[#This Row],[UID]]</f>
        <v>0</v>
      </c>
      <c r="CK426" s="82" t="str">
        <f>IF(FUR[[#This Row],[Status]]=0,"",FUR[[#This Row],[Status]])</f>
        <v/>
      </c>
    </row>
    <row r="427" spans="79:89">
      <c r="CA427" s="1" t="s">
        <v>71</v>
      </c>
      <c r="CB427" s="1" t="s">
        <v>18</v>
      </c>
      <c r="CC427" s="1" t="s">
        <v>132</v>
      </c>
      <c r="CE427" s="122">
        <f>FUR[[#This Row],[Part Type]]</f>
        <v>0</v>
      </c>
      <c r="CF427" s="122">
        <f>FUR[[#This Row],[Chemicals]]</f>
        <v>0</v>
      </c>
      <c r="CG427" s="122">
        <f>FUR[[#This Row],[UID]]</f>
        <v>0</v>
      </c>
      <c r="CK427" s="82" t="str">
        <f>IF(FUR[[#This Row],[Status]]=0,"",FUR[[#This Row],[Status]])</f>
        <v/>
      </c>
    </row>
    <row r="428" spans="79:89">
      <c r="CA428" s="1" t="s">
        <v>71</v>
      </c>
      <c r="CB428" s="1" t="s">
        <v>18</v>
      </c>
      <c r="CC428" s="1" t="s">
        <v>132</v>
      </c>
      <c r="CE428" s="122">
        <f>FUR[[#This Row],[Part Type]]</f>
        <v>0</v>
      </c>
      <c r="CF428" s="122">
        <f>FUR[[#This Row],[Chemicals]]</f>
        <v>0</v>
      </c>
      <c r="CG428" s="122">
        <f>FUR[[#This Row],[UID]]</f>
        <v>0</v>
      </c>
      <c r="CK428" s="82" t="str">
        <f>IF(FUR[[#This Row],[Status]]=0,"",FUR[[#This Row],[Status]])</f>
        <v/>
      </c>
    </row>
    <row r="429" spans="79:89">
      <c r="CA429" s="1" t="s">
        <v>71</v>
      </c>
      <c r="CB429" s="1" t="s">
        <v>18</v>
      </c>
      <c r="CC429" s="1" t="s">
        <v>132</v>
      </c>
      <c r="CE429" s="122">
        <f>FUR[[#This Row],[Part Type]]</f>
        <v>0</v>
      </c>
      <c r="CF429" s="122">
        <f>FUR[[#This Row],[Chemicals]]</f>
        <v>0</v>
      </c>
      <c r="CG429" s="122">
        <f>FUR[[#This Row],[UID]]</f>
        <v>0</v>
      </c>
      <c r="CK429" s="82" t="str">
        <f>IF(FUR[[#This Row],[Status]]=0,"",FUR[[#This Row],[Status]])</f>
        <v/>
      </c>
    </row>
    <row r="430" spans="79:89">
      <c r="CA430" s="1" t="s">
        <v>71</v>
      </c>
      <c r="CB430" s="1" t="s">
        <v>18</v>
      </c>
      <c r="CC430" s="1" t="s">
        <v>132</v>
      </c>
      <c r="CE430" s="122">
        <f>FUR[[#This Row],[Part Type]]</f>
        <v>0</v>
      </c>
      <c r="CF430" s="122">
        <f>FUR[[#This Row],[Chemicals]]</f>
        <v>0</v>
      </c>
      <c r="CG430" s="122">
        <f>FUR[[#This Row],[UID]]</f>
        <v>0</v>
      </c>
      <c r="CK430" s="82" t="str">
        <f>IF(FUR[[#This Row],[Status]]=0,"",FUR[[#This Row],[Status]])</f>
        <v/>
      </c>
    </row>
    <row r="431" spans="79:89">
      <c r="CA431" s="1" t="s">
        <v>71</v>
      </c>
      <c r="CB431" s="1" t="s">
        <v>18</v>
      </c>
      <c r="CC431" s="1" t="s">
        <v>132</v>
      </c>
      <c r="CE431" s="122">
        <f>FUR[[#This Row],[Part Type]]</f>
        <v>0</v>
      </c>
      <c r="CF431" s="122">
        <f>FUR[[#This Row],[Chemicals]]</f>
        <v>0</v>
      </c>
      <c r="CG431" s="122">
        <f>FUR[[#This Row],[UID]]</f>
        <v>0</v>
      </c>
      <c r="CK431" s="82" t="str">
        <f>IF(FUR[[#This Row],[Status]]=0,"",FUR[[#This Row],[Status]])</f>
        <v/>
      </c>
    </row>
    <row r="432" spans="79:89">
      <c r="CA432" s="1" t="s">
        <v>71</v>
      </c>
      <c r="CB432" s="1" t="s">
        <v>18</v>
      </c>
      <c r="CC432" s="1" t="s">
        <v>132</v>
      </c>
      <c r="CE432" s="122">
        <f>FUR[[#This Row],[Part Type]]</f>
        <v>0</v>
      </c>
      <c r="CF432" s="122">
        <f>FUR[[#This Row],[Chemicals]]</f>
        <v>0</v>
      </c>
      <c r="CG432" s="122">
        <f>FUR[[#This Row],[UID]]</f>
        <v>0</v>
      </c>
      <c r="CK432" s="82" t="str">
        <f>IF(FUR[[#This Row],[Status]]=0,"",FUR[[#This Row],[Status]])</f>
        <v/>
      </c>
    </row>
    <row r="433" spans="79:89">
      <c r="CA433" s="1" t="s">
        <v>71</v>
      </c>
      <c r="CB433" s="1" t="s">
        <v>18</v>
      </c>
      <c r="CC433" s="1" t="s">
        <v>132</v>
      </c>
      <c r="CE433" s="122">
        <f>FUR[[#This Row],[Part Type]]</f>
        <v>0</v>
      </c>
      <c r="CF433" s="122">
        <f>FUR[[#This Row],[Chemicals]]</f>
        <v>0</v>
      </c>
      <c r="CG433" s="122">
        <f>FUR[[#This Row],[UID]]</f>
        <v>0</v>
      </c>
      <c r="CK433" s="82" t="str">
        <f>IF(FUR[[#This Row],[Status]]=0,"",FUR[[#This Row],[Status]])</f>
        <v/>
      </c>
    </row>
    <row r="434" spans="79:89">
      <c r="CA434" s="1" t="s">
        <v>71</v>
      </c>
      <c r="CB434" s="1" t="s">
        <v>18</v>
      </c>
      <c r="CC434" s="1" t="s">
        <v>132</v>
      </c>
      <c r="CE434" s="122">
        <f>FUR[[#This Row],[Part Type]]</f>
        <v>0</v>
      </c>
      <c r="CF434" s="122">
        <f>FUR[[#This Row],[Chemicals]]</f>
        <v>0</v>
      </c>
      <c r="CG434" s="122">
        <f>FUR[[#This Row],[UID]]</f>
        <v>0</v>
      </c>
      <c r="CK434" s="82" t="str">
        <f>IF(FUR[[#This Row],[Status]]=0,"",FUR[[#This Row],[Status]])</f>
        <v/>
      </c>
    </row>
    <row r="435" spans="79:89">
      <c r="CA435" s="1" t="s">
        <v>71</v>
      </c>
      <c r="CB435" s="1" t="s">
        <v>18</v>
      </c>
      <c r="CC435" s="1" t="s">
        <v>132</v>
      </c>
      <c r="CE435" s="122">
        <f>FUR[[#This Row],[Part Type]]</f>
        <v>0</v>
      </c>
      <c r="CF435" s="122">
        <f>FUR[[#This Row],[Chemicals]]</f>
        <v>0</v>
      </c>
      <c r="CG435" s="122">
        <f>FUR[[#This Row],[UID]]</f>
        <v>0</v>
      </c>
      <c r="CK435" s="82" t="str">
        <f>IF(FUR[[#This Row],[Status]]=0,"",FUR[[#This Row],[Status]])</f>
        <v/>
      </c>
    </row>
    <row r="436" spans="79:89">
      <c r="CA436" s="1" t="s">
        <v>71</v>
      </c>
      <c r="CB436" s="1" t="s">
        <v>18</v>
      </c>
      <c r="CC436" s="1" t="s">
        <v>132</v>
      </c>
      <c r="CE436" s="122">
        <f>FUR[[#This Row],[Part Type]]</f>
        <v>0</v>
      </c>
      <c r="CF436" s="122">
        <f>FUR[[#This Row],[Chemicals]]</f>
        <v>0</v>
      </c>
      <c r="CG436" s="122">
        <f>FUR[[#This Row],[UID]]</f>
        <v>0</v>
      </c>
      <c r="CK436" s="82" t="str">
        <f>IF(FUR[[#This Row],[Status]]=0,"",FUR[[#This Row],[Status]])</f>
        <v/>
      </c>
    </row>
    <row r="437" spans="79:89">
      <c r="CA437" s="1" t="s">
        <v>71</v>
      </c>
      <c r="CB437" s="1" t="s">
        <v>18</v>
      </c>
      <c r="CC437" s="1" t="s">
        <v>132</v>
      </c>
      <c r="CE437" s="122">
        <f>FUR[[#This Row],[Part Type]]</f>
        <v>0</v>
      </c>
      <c r="CF437" s="122">
        <f>FUR[[#This Row],[Chemicals]]</f>
        <v>0</v>
      </c>
      <c r="CG437" s="122">
        <f>FUR[[#This Row],[UID]]</f>
        <v>0</v>
      </c>
      <c r="CK437" s="82" t="str">
        <f>IF(FUR[[#This Row],[Status]]=0,"",FUR[[#This Row],[Status]])</f>
        <v/>
      </c>
    </row>
    <row r="438" spans="79:89">
      <c r="CA438" s="1" t="s">
        <v>71</v>
      </c>
      <c r="CB438" s="1" t="s">
        <v>18</v>
      </c>
      <c r="CC438" s="1" t="s">
        <v>132</v>
      </c>
      <c r="CE438" s="122">
        <f>FUR[[#This Row],[Part Type]]</f>
        <v>0</v>
      </c>
      <c r="CF438" s="122">
        <f>FUR[[#This Row],[Chemicals]]</f>
        <v>0</v>
      </c>
      <c r="CG438" s="122">
        <f>FUR[[#This Row],[UID]]</f>
        <v>0</v>
      </c>
      <c r="CK438" s="82" t="str">
        <f>IF(FUR[[#This Row],[Status]]=0,"",FUR[[#This Row],[Status]])</f>
        <v/>
      </c>
    </row>
    <row r="439" spans="79:89">
      <c r="CA439" s="1" t="s">
        <v>71</v>
      </c>
      <c r="CB439" s="1" t="s">
        <v>18</v>
      </c>
      <c r="CC439" s="1" t="s">
        <v>132</v>
      </c>
      <c r="CE439" s="122">
        <f>FUR[[#This Row],[Part Type]]</f>
        <v>0</v>
      </c>
      <c r="CF439" s="122">
        <f>FUR[[#This Row],[Chemicals]]</f>
        <v>0</v>
      </c>
      <c r="CG439" s="122">
        <f>FUR[[#This Row],[UID]]</f>
        <v>0</v>
      </c>
      <c r="CK439" s="82" t="str">
        <f>IF(FUR[[#This Row],[Status]]=0,"",FUR[[#This Row],[Status]])</f>
        <v/>
      </c>
    </row>
    <row r="440" spans="79:89">
      <c r="CA440" s="1" t="s">
        <v>71</v>
      </c>
      <c r="CB440" s="1" t="s">
        <v>18</v>
      </c>
      <c r="CC440" s="1" t="s">
        <v>132</v>
      </c>
      <c r="CE440" s="122">
        <f>FUR[[#This Row],[Part Type]]</f>
        <v>0</v>
      </c>
      <c r="CF440" s="122">
        <f>FUR[[#This Row],[Chemicals]]</f>
        <v>0</v>
      </c>
      <c r="CG440" s="122">
        <f>FUR[[#This Row],[UID]]</f>
        <v>0</v>
      </c>
      <c r="CK440" s="82" t="str">
        <f>IF(FUR[[#This Row],[Status]]=0,"",FUR[[#This Row],[Status]])</f>
        <v/>
      </c>
    </row>
    <row r="441" spans="79:89">
      <c r="CA441" s="1" t="s">
        <v>71</v>
      </c>
      <c r="CB441" s="1" t="s">
        <v>18</v>
      </c>
      <c r="CC441" s="1" t="s">
        <v>132</v>
      </c>
      <c r="CE441" s="122">
        <f>FUR[[#This Row],[Part Type]]</f>
        <v>0</v>
      </c>
      <c r="CF441" s="122">
        <f>FUR[[#This Row],[Chemicals]]</f>
        <v>0</v>
      </c>
      <c r="CG441" s="122">
        <f>FUR[[#This Row],[UID]]</f>
        <v>0</v>
      </c>
      <c r="CK441" s="82" t="str">
        <f>IF(FUR[[#This Row],[Status]]=0,"",FUR[[#This Row],[Status]])</f>
        <v/>
      </c>
    </row>
    <row r="442" spans="79:89">
      <c r="CA442" s="1" t="s">
        <v>71</v>
      </c>
      <c r="CB442" s="1" t="s">
        <v>18</v>
      </c>
      <c r="CC442" s="1" t="s">
        <v>132</v>
      </c>
      <c r="CE442" s="122">
        <f>FUR[[#This Row],[Part Type]]</f>
        <v>0</v>
      </c>
      <c r="CF442" s="122">
        <f>FUR[[#This Row],[Chemicals]]</f>
        <v>0</v>
      </c>
      <c r="CG442" s="122">
        <f>FUR[[#This Row],[UID]]</f>
        <v>0</v>
      </c>
      <c r="CK442" s="82" t="str">
        <f>IF(FUR[[#This Row],[Status]]=0,"",FUR[[#This Row],[Status]])</f>
        <v/>
      </c>
    </row>
    <row r="443" spans="79:89">
      <c r="CA443" s="1" t="s">
        <v>71</v>
      </c>
      <c r="CB443" s="1" t="s">
        <v>18</v>
      </c>
      <c r="CC443" s="1" t="s">
        <v>132</v>
      </c>
      <c r="CE443" s="122">
        <f>FUR[[#This Row],[Part Type]]</f>
        <v>0</v>
      </c>
      <c r="CF443" s="122">
        <f>FUR[[#This Row],[Chemicals]]</f>
        <v>0</v>
      </c>
      <c r="CG443" s="122">
        <f>FUR[[#This Row],[UID]]</f>
        <v>0</v>
      </c>
      <c r="CK443" s="82" t="str">
        <f>IF(FUR[[#This Row],[Status]]=0,"",FUR[[#This Row],[Status]])</f>
        <v/>
      </c>
    </row>
    <row r="444" spans="79:89">
      <c r="CA444" s="1" t="s">
        <v>71</v>
      </c>
      <c r="CB444" s="1" t="s">
        <v>18</v>
      </c>
      <c r="CC444" s="1" t="s">
        <v>132</v>
      </c>
      <c r="CE444" s="122">
        <f>FUR[[#This Row],[Part Type]]</f>
        <v>0</v>
      </c>
      <c r="CF444" s="122">
        <f>FUR[[#This Row],[Chemicals]]</f>
        <v>0</v>
      </c>
      <c r="CG444" s="122">
        <f>FUR[[#This Row],[UID]]</f>
        <v>0</v>
      </c>
      <c r="CK444" s="82" t="str">
        <f>IF(FUR[[#This Row],[Status]]=0,"",FUR[[#This Row],[Status]])</f>
        <v/>
      </c>
    </row>
    <row r="445" spans="79:89">
      <c r="CA445" s="1" t="s">
        <v>71</v>
      </c>
      <c r="CB445" s="1" t="s">
        <v>18</v>
      </c>
      <c r="CC445" s="1" t="s">
        <v>132</v>
      </c>
      <c r="CE445" s="122">
        <f>FUR[[#This Row],[Part Type]]</f>
        <v>0</v>
      </c>
      <c r="CF445" s="122">
        <f>FUR[[#This Row],[Chemicals]]</f>
        <v>0</v>
      </c>
      <c r="CG445" s="122">
        <f>FUR[[#This Row],[UID]]</f>
        <v>0</v>
      </c>
      <c r="CK445" s="82" t="str">
        <f>IF(FUR[[#This Row],[Status]]=0,"",FUR[[#This Row],[Status]])</f>
        <v/>
      </c>
    </row>
    <row r="446" spans="79:89">
      <c r="CA446" s="1" t="s">
        <v>71</v>
      </c>
      <c r="CB446" s="1" t="s">
        <v>18</v>
      </c>
      <c r="CC446" s="1" t="s">
        <v>132</v>
      </c>
      <c r="CE446" s="122">
        <f>FUR[[#This Row],[Part Type]]</f>
        <v>0</v>
      </c>
      <c r="CF446" s="122">
        <f>FUR[[#This Row],[Chemicals]]</f>
        <v>0</v>
      </c>
      <c r="CG446" s="122">
        <f>FUR[[#This Row],[UID]]</f>
        <v>0</v>
      </c>
      <c r="CK446" s="82" t="str">
        <f>IF(FUR[[#This Row],[Status]]=0,"",FUR[[#This Row],[Status]])</f>
        <v/>
      </c>
    </row>
    <row r="447" spans="79:89">
      <c r="CA447" s="1" t="s">
        <v>71</v>
      </c>
      <c r="CB447" s="1" t="s">
        <v>18</v>
      </c>
      <c r="CC447" s="1" t="s">
        <v>132</v>
      </c>
      <c r="CE447" s="122">
        <f>FUR[[#This Row],[Part Type]]</f>
        <v>0</v>
      </c>
      <c r="CF447" s="122">
        <f>FUR[[#This Row],[Chemicals]]</f>
        <v>0</v>
      </c>
      <c r="CG447" s="122">
        <f>FUR[[#This Row],[UID]]</f>
        <v>0</v>
      </c>
      <c r="CK447" s="82" t="str">
        <f>IF(FUR[[#This Row],[Status]]=0,"",FUR[[#This Row],[Status]])</f>
        <v/>
      </c>
    </row>
    <row r="448" spans="79:89">
      <c r="CA448" s="1" t="s">
        <v>71</v>
      </c>
      <c r="CB448" s="1" t="s">
        <v>18</v>
      </c>
      <c r="CC448" s="1" t="s">
        <v>132</v>
      </c>
      <c r="CE448" s="122">
        <f>FUR[[#This Row],[Part Type]]</f>
        <v>0</v>
      </c>
      <c r="CF448" s="122">
        <f>FUR[[#This Row],[Chemicals]]</f>
        <v>0</v>
      </c>
      <c r="CG448" s="122">
        <f>FUR[[#This Row],[UID]]</f>
        <v>0</v>
      </c>
      <c r="CK448" s="82" t="str">
        <f>IF(FUR[[#This Row],[Status]]=0,"",FUR[[#This Row],[Status]])</f>
        <v/>
      </c>
    </row>
    <row r="449" spans="79:89">
      <c r="CA449" s="1" t="s">
        <v>71</v>
      </c>
      <c r="CB449" s="1" t="s">
        <v>18</v>
      </c>
      <c r="CC449" s="1" t="s">
        <v>132</v>
      </c>
      <c r="CE449" s="122">
        <f>FUR[[#This Row],[Part Type]]</f>
        <v>0</v>
      </c>
      <c r="CF449" s="122">
        <f>FUR[[#This Row],[Chemicals]]</f>
        <v>0</v>
      </c>
      <c r="CG449" s="122">
        <f>FUR[[#This Row],[UID]]</f>
        <v>0</v>
      </c>
      <c r="CK449" s="82" t="str">
        <f>IF(FUR[[#This Row],[Status]]=0,"",FUR[[#This Row],[Status]])</f>
        <v/>
      </c>
    </row>
    <row r="450" spans="79:89">
      <c r="CA450" s="1" t="s">
        <v>71</v>
      </c>
      <c r="CB450" s="1" t="s">
        <v>18</v>
      </c>
      <c r="CC450" s="1" t="s">
        <v>132</v>
      </c>
      <c r="CE450" s="122">
        <f>FUR[[#This Row],[Part Type]]</f>
        <v>0</v>
      </c>
      <c r="CF450" s="122">
        <f>FUR[[#This Row],[Chemicals]]</f>
        <v>0</v>
      </c>
      <c r="CG450" s="122">
        <f>FUR[[#This Row],[UID]]</f>
        <v>0</v>
      </c>
      <c r="CK450" s="82" t="str">
        <f>IF(FUR[[#This Row],[Status]]=0,"",FUR[[#This Row],[Status]])</f>
        <v/>
      </c>
    </row>
    <row r="451" spans="79:89">
      <c r="CA451" s="1" t="s">
        <v>71</v>
      </c>
      <c r="CB451" s="1" t="s">
        <v>18</v>
      </c>
      <c r="CC451" s="1" t="s">
        <v>132</v>
      </c>
      <c r="CE451" s="122">
        <f>FUR[[#This Row],[Part Type]]</f>
        <v>0</v>
      </c>
      <c r="CF451" s="122">
        <f>FUR[[#This Row],[Chemicals]]</f>
        <v>0</v>
      </c>
      <c r="CG451" s="122">
        <f>FUR[[#This Row],[UID]]</f>
        <v>0</v>
      </c>
      <c r="CK451" s="82" t="str">
        <f>IF(FUR[[#This Row],[Status]]=0,"",FUR[[#This Row],[Status]])</f>
        <v/>
      </c>
    </row>
    <row r="452" spans="79:89">
      <c r="CA452" s="1" t="s">
        <v>71</v>
      </c>
      <c r="CB452" s="1" t="s">
        <v>18</v>
      </c>
      <c r="CC452" s="1" t="s">
        <v>132</v>
      </c>
      <c r="CE452" s="122">
        <f>FUR[[#This Row],[Part Type]]</f>
        <v>0</v>
      </c>
      <c r="CF452" s="122">
        <f>FUR[[#This Row],[Chemicals]]</f>
        <v>0</v>
      </c>
      <c r="CG452" s="122">
        <f>FUR[[#This Row],[UID]]</f>
        <v>0</v>
      </c>
      <c r="CK452" s="82" t="str">
        <f>IF(FUR[[#This Row],[Status]]=0,"",FUR[[#This Row],[Status]])</f>
        <v/>
      </c>
    </row>
    <row r="453" spans="79:89">
      <c r="CA453" s="1" t="s">
        <v>71</v>
      </c>
      <c r="CB453" s="1" t="s">
        <v>18</v>
      </c>
      <c r="CC453" s="1" t="s">
        <v>132</v>
      </c>
      <c r="CE453" s="122">
        <f>FUR[[#This Row],[Part Type]]</f>
        <v>0</v>
      </c>
      <c r="CF453" s="122">
        <f>FUR[[#This Row],[Chemicals]]</f>
        <v>0</v>
      </c>
      <c r="CG453" s="122">
        <f>FUR[[#This Row],[UID]]</f>
        <v>0</v>
      </c>
      <c r="CK453" s="82" t="str">
        <f>IF(FUR[[#This Row],[Status]]=0,"",FUR[[#This Row],[Status]])</f>
        <v/>
      </c>
    </row>
    <row r="454" spans="79:89">
      <c r="CA454" s="1" t="s">
        <v>71</v>
      </c>
      <c r="CB454" s="1" t="s">
        <v>18</v>
      </c>
      <c r="CC454" s="1" t="s">
        <v>132</v>
      </c>
      <c r="CE454" s="122">
        <f>FUR[[#This Row],[Part Type]]</f>
        <v>0</v>
      </c>
      <c r="CF454" s="122">
        <f>FUR[[#This Row],[Chemicals]]</f>
        <v>0</v>
      </c>
      <c r="CG454" s="122">
        <f>FUR[[#This Row],[UID]]</f>
        <v>0</v>
      </c>
      <c r="CK454" s="82" t="str">
        <f>IF(FUR[[#This Row],[Status]]=0,"",FUR[[#This Row],[Status]])</f>
        <v/>
      </c>
    </row>
    <row r="455" spans="79:89">
      <c r="CA455" s="1" t="s">
        <v>71</v>
      </c>
      <c r="CB455" s="1" t="s">
        <v>18</v>
      </c>
      <c r="CC455" s="1" t="s">
        <v>132</v>
      </c>
      <c r="CE455" s="122">
        <f>FUR[[#This Row],[Part Type]]</f>
        <v>0</v>
      </c>
      <c r="CF455" s="122">
        <f>FUR[[#This Row],[Chemicals]]</f>
        <v>0</v>
      </c>
      <c r="CG455" s="122">
        <f>FUR[[#This Row],[UID]]</f>
        <v>0</v>
      </c>
      <c r="CK455" s="82" t="str">
        <f>IF(FUR[[#This Row],[Status]]=0,"",FUR[[#This Row],[Status]])</f>
        <v/>
      </c>
    </row>
    <row r="456" spans="79:89">
      <c r="CA456" s="1" t="s">
        <v>71</v>
      </c>
      <c r="CB456" s="1" t="s">
        <v>18</v>
      </c>
      <c r="CC456" s="1" t="s">
        <v>132</v>
      </c>
      <c r="CE456" s="122">
        <f>FUR[[#This Row],[Part Type]]</f>
        <v>0</v>
      </c>
      <c r="CF456" s="122">
        <f>FUR[[#This Row],[Chemicals]]</f>
        <v>0</v>
      </c>
      <c r="CG456" s="122">
        <f>FUR[[#This Row],[UID]]</f>
        <v>0</v>
      </c>
      <c r="CK456" s="82" t="str">
        <f>IF(FUR[[#This Row],[Status]]=0,"",FUR[[#This Row],[Status]])</f>
        <v/>
      </c>
    </row>
    <row r="457" spans="79:89">
      <c r="CA457" s="1" t="s">
        <v>71</v>
      </c>
      <c r="CB457" s="1" t="s">
        <v>18</v>
      </c>
      <c r="CC457" s="1" t="s">
        <v>132</v>
      </c>
      <c r="CE457" s="122">
        <f>FUR[[#This Row],[Part Type]]</f>
        <v>0</v>
      </c>
      <c r="CF457" s="122">
        <f>FUR[[#This Row],[Chemicals]]</f>
        <v>0</v>
      </c>
      <c r="CG457" s="122">
        <f>FUR[[#This Row],[UID]]</f>
        <v>0</v>
      </c>
      <c r="CK457" s="82" t="str">
        <f>IF(FUR[[#This Row],[Status]]=0,"",FUR[[#This Row],[Status]])</f>
        <v/>
      </c>
    </row>
    <row r="458" spans="79:89">
      <c r="CA458" s="1" t="s">
        <v>71</v>
      </c>
      <c r="CB458" s="1" t="s">
        <v>18</v>
      </c>
      <c r="CC458" s="1" t="s">
        <v>132</v>
      </c>
      <c r="CE458" s="122">
        <f>FUR[[#This Row],[Part Type]]</f>
        <v>0</v>
      </c>
      <c r="CF458" s="122">
        <f>FUR[[#This Row],[Chemicals]]</f>
        <v>0</v>
      </c>
      <c r="CG458" s="122">
        <f>FUR[[#This Row],[UID]]</f>
        <v>0</v>
      </c>
      <c r="CK458" s="82" t="str">
        <f>IF(FUR[[#This Row],[Status]]=0,"",FUR[[#This Row],[Status]])</f>
        <v/>
      </c>
    </row>
    <row r="459" spans="79:89">
      <c r="CA459" s="1" t="s">
        <v>71</v>
      </c>
      <c r="CB459" s="1" t="s">
        <v>18</v>
      </c>
      <c r="CC459" s="1" t="s">
        <v>132</v>
      </c>
      <c r="CE459" s="122">
        <f>FUR[[#This Row],[Part Type]]</f>
        <v>0</v>
      </c>
      <c r="CF459" s="122">
        <f>FUR[[#This Row],[Chemicals]]</f>
        <v>0</v>
      </c>
      <c r="CG459" s="122">
        <f>FUR[[#This Row],[UID]]</f>
        <v>0</v>
      </c>
      <c r="CK459" s="82" t="str">
        <f>IF(FUR[[#This Row],[Status]]=0,"",FUR[[#This Row],[Status]])</f>
        <v/>
      </c>
    </row>
    <row r="460" spans="79:89">
      <c r="CA460" s="1" t="s">
        <v>71</v>
      </c>
      <c r="CB460" s="1" t="s">
        <v>18</v>
      </c>
      <c r="CC460" s="1" t="s">
        <v>132</v>
      </c>
      <c r="CE460" s="122">
        <f>FUR[[#This Row],[Part Type]]</f>
        <v>0</v>
      </c>
      <c r="CF460" s="122">
        <f>FUR[[#This Row],[Chemicals]]</f>
        <v>0</v>
      </c>
      <c r="CG460" s="122">
        <f>FUR[[#This Row],[UID]]</f>
        <v>0</v>
      </c>
      <c r="CK460" s="82" t="str">
        <f>IF(FUR[[#This Row],[Status]]=0,"",FUR[[#This Row],[Status]])</f>
        <v/>
      </c>
    </row>
    <row r="461" spans="79:89">
      <c r="CA461" s="1" t="s">
        <v>71</v>
      </c>
      <c r="CB461" s="1" t="s">
        <v>18</v>
      </c>
      <c r="CC461" s="1" t="s">
        <v>132</v>
      </c>
      <c r="CE461" s="122">
        <f>FUR[[#This Row],[Part Type]]</f>
        <v>0</v>
      </c>
      <c r="CF461" s="122">
        <f>FUR[[#This Row],[Chemicals]]</f>
        <v>0</v>
      </c>
      <c r="CG461" s="122">
        <f>FUR[[#This Row],[UID]]</f>
        <v>0</v>
      </c>
      <c r="CK461" s="82" t="str">
        <f>IF(FUR[[#This Row],[Status]]=0,"",FUR[[#This Row],[Status]])</f>
        <v/>
      </c>
    </row>
    <row r="462" spans="79:89">
      <c r="CA462" s="1" t="s">
        <v>71</v>
      </c>
      <c r="CB462" s="1" t="s">
        <v>18</v>
      </c>
      <c r="CC462" s="1" t="s">
        <v>132</v>
      </c>
      <c r="CE462" s="122">
        <f>FUR[[#This Row],[Part Type]]</f>
        <v>0</v>
      </c>
      <c r="CF462" s="122">
        <f>FUR[[#This Row],[Chemicals]]</f>
        <v>0</v>
      </c>
      <c r="CG462" s="122">
        <f>FUR[[#This Row],[UID]]</f>
        <v>0</v>
      </c>
      <c r="CK462" s="82" t="str">
        <f>IF(FUR[[#This Row],[Status]]=0,"",FUR[[#This Row],[Status]])</f>
        <v/>
      </c>
    </row>
    <row r="463" spans="79:89">
      <c r="CA463" s="1" t="s">
        <v>71</v>
      </c>
      <c r="CB463" s="1" t="s">
        <v>18</v>
      </c>
      <c r="CC463" s="1" t="s">
        <v>132</v>
      </c>
      <c r="CE463" s="122">
        <f>FUR[[#This Row],[Part Type]]</f>
        <v>0</v>
      </c>
      <c r="CF463" s="122">
        <f>FUR[[#This Row],[Chemicals]]</f>
        <v>0</v>
      </c>
      <c r="CG463" s="122">
        <f>FUR[[#This Row],[UID]]</f>
        <v>0</v>
      </c>
      <c r="CK463" s="82" t="str">
        <f>IF(FUR[[#This Row],[Status]]=0,"",FUR[[#This Row],[Status]])</f>
        <v/>
      </c>
    </row>
    <row r="464" spans="79:89">
      <c r="CA464" s="1" t="s">
        <v>71</v>
      </c>
      <c r="CB464" s="1" t="s">
        <v>18</v>
      </c>
      <c r="CC464" s="1" t="s">
        <v>132</v>
      </c>
      <c r="CE464" s="122">
        <f>FUR[[#This Row],[Part Type]]</f>
        <v>0</v>
      </c>
      <c r="CF464" s="122">
        <f>FUR[[#This Row],[Chemicals]]</f>
        <v>0</v>
      </c>
      <c r="CG464" s="122">
        <f>FUR[[#This Row],[UID]]</f>
        <v>0</v>
      </c>
      <c r="CK464" s="82" t="str">
        <f>IF(FUR[[#This Row],[Status]]=0,"",FUR[[#This Row],[Status]])</f>
        <v/>
      </c>
    </row>
    <row r="465" spans="79:89">
      <c r="CA465" s="1" t="s">
        <v>71</v>
      </c>
      <c r="CB465" s="1" t="s">
        <v>18</v>
      </c>
      <c r="CC465" s="1" t="s">
        <v>132</v>
      </c>
      <c r="CE465" s="122">
        <f>FUR[[#This Row],[Part Type]]</f>
        <v>0</v>
      </c>
      <c r="CF465" s="122">
        <f>FUR[[#This Row],[Chemicals]]</f>
        <v>0</v>
      </c>
      <c r="CG465" s="122">
        <f>FUR[[#This Row],[UID]]</f>
        <v>0</v>
      </c>
      <c r="CK465" s="82" t="str">
        <f>IF(FUR[[#This Row],[Status]]=0,"",FUR[[#This Row],[Status]])</f>
        <v/>
      </c>
    </row>
    <row r="466" spans="79:89">
      <c r="CA466" s="1" t="s">
        <v>71</v>
      </c>
      <c r="CB466" s="1" t="s">
        <v>18</v>
      </c>
      <c r="CC466" s="1" t="s">
        <v>132</v>
      </c>
      <c r="CE466" s="122">
        <f>FUR[[#This Row],[Part Type]]</f>
        <v>0</v>
      </c>
      <c r="CF466" s="122">
        <f>FUR[[#This Row],[Chemicals]]</f>
        <v>0</v>
      </c>
      <c r="CG466" s="122">
        <f>FUR[[#This Row],[UID]]</f>
        <v>0</v>
      </c>
      <c r="CK466" s="82" t="str">
        <f>IF(FUR[[#This Row],[Status]]=0,"",FUR[[#This Row],[Status]])</f>
        <v/>
      </c>
    </row>
    <row r="467" spans="79:89">
      <c r="CA467" s="1" t="s">
        <v>71</v>
      </c>
      <c r="CB467" s="1" t="s">
        <v>18</v>
      </c>
      <c r="CC467" s="1" t="s">
        <v>132</v>
      </c>
      <c r="CE467" s="122">
        <f>FUR[[#This Row],[Part Type]]</f>
        <v>0</v>
      </c>
      <c r="CF467" s="122">
        <f>FUR[[#This Row],[Chemicals]]</f>
        <v>0</v>
      </c>
      <c r="CG467" s="122">
        <f>FUR[[#This Row],[UID]]</f>
        <v>0</v>
      </c>
      <c r="CK467" s="82" t="str">
        <f>IF(FUR[[#This Row],[Status]]=0,"",FUR[[#This Row],[Status]])</f>
        <v/>
      </c>
    </row>
    <row r="468" spans="79:89">
      <c r="CA468" s="1" t="s">
        <v>71</v>
      </c>
      <c r="CB468" s="1" t="s">
        <v>18</v>
      </c>
      <c r="CC468" s="1" t="s">
        <v>132</v>
      </c>
      <c r="CE468" s="122">
        <f>FUR[[#This Row],[Part Type]]</f>
        <v>0</v>
      </c>
      <c r="CF468" s="122">
        <f>FUR[[#This Row],[Chemicals]]</f>
        <v>0</v>
      </c>
      <c r="CG468" s="122">
        <f>FUR[[#This Row],[UID]]</f>
        <v>0</v>
      </c>
      <c r="CK468" s="82" t="str">
        <f>IF(FUR[[#This Row],[Status]]=0,"",FUR[[#This Row],[Status]])</f>
        <v/>
      </c>
    </row>
    <row r="469" spans="79:89">
      <c r="CA469" s="1" t="s">
        <v>71</v>
      </c>
      <c r="CB469" s="1" t="s">
        <v>18</v>
      </c>
      <c r="CC469" s="1" t="s">
        <v>132</v>
      </c>
      <c r="CE469" s="122">
        <f>FUR[[#This Row],[Part Type]]</f>
        <v>0</v>
      </c>
      <c r="CF469" s="122">
        <f>FUR[[#This Row],[Chemicals]]</f>
        <v>0</v>
      </c>
      <c r="CG469" s="122">
        <f>FUR[[#This Row],[UID]]</f>
        <v>0</v>
      </c>
      <c r="CK469" s="82" t="str">
        <f>IF(FUR[[#This Row],[Status]]=0,"",FUR[[#This Row],[Status]])</f>
        <v/>
      </c>
    </row>
    <row r="470" spans="79:89">
      <c r="CA470" s="1" t="s">
        <v>71</v>
      </c>
      <c r="CB470" s="1" t="s">
        <v>18</v>
      </c>
      <c r="CC470" s="1" t="s">
        <v>132</v>
      </c>
      <c r="CE470" s="122">
        <f>FUR[[#This Row],[Part Type]]</f>
        <v>0</v>
      </c>
      <c r="CF470" s="122">
        <f>FUR[[#This Row],[Chemicals]]</f>
        <v>0</v>
      </c>
      <c r="CG470" s="122">
        <f>FUR[[#This Row],[UID]]</f>
        <v>0</v>
      </c>
      <c r="CK470" s="82" t="str">
        <f>IF(FUR[[#This Row],[Status]]=0,"",FUR[[#This Row],[Status]])</f>
        <v/>
      </c>
    </row>
    <row r="471" spans="79:89">
      <c r="CA471" s="1" t="s">
        <v>71</v>
      </c>
      <c r="CB471" s="1" t="s">
        <v>18</v>
      </c>
      <c r="CC471" s="1" t="s">
        <v>132</v>
      </c>
      <c r="CE471" s="122">
        <f>FUR[[#This Row],[Part Type]]</f>
        <v>0</v>
      </c>
      <c r="CF471" s="122">
        <f>FUR[[#This Row],[Chemicals]]</f>
        <v>0</v>
      </c>
      <c r="CG471" s="122">
        <f>FUR[[#This Row],[UID]]</f>
        <v>0</v>
      </c>
      <c r="CK471" s="82" t="str">
        <f>IF(FUR[[#This Row],[Status]]=0,"",FUR[[#This Row],[Status]])</f>
        <v/>
      </c>
    </row>
    <row r="472" spans="79:89">
      <c r="CA472" s="1" t="s">
        <v>71</v>
      </c>
      <c r="CB472" s="1" t="s">
        <v>18</v>
      </c>
      <c r="CC472" s="1" t="s">
        <v>132</v>
      </c>
      <c r="CE472" s="122">
        <f>FUR[[#This Row],[Part Type]]</f>
        <v>0</v>
      </c>
      <c r="CF472" s="122">
        <f>FUR[[#This Row],[Chemicals]]</f>
        <v>0</v>
      </c>
      <c r="CG472" s="122">
        <f>FUR[[#This Row],[UID]]</f>
        <v>0</v>
      </c>
      <c r="CK472" s="82" t="str">
        <f>IF(FUR[[#This Row],[Status]]=0,"",FUR[[#This Row],[Status]])</f>
        <v/>
      </c>
    </row>
    <row r="473" spans="79:89">
      <c r="CA473" s="1" t="s">
        <v>71</v>
      </c>
      <c r="CB473" s="1" t="s">
        <v>18</v>
      </c>
      <c r="CC473" s="1" t="s">
        <v>132</v>
      </c>
      <c r="CE473" s="122">
        <f>FUR[[#This Row],[Part Type]]</f>
        <v>0</v>
      </c>
      <c r="CF473" s="122">
        <f>FUR[[#This Row],[Chemicals]]</f>
        <v>0</v>
      </c>
      <c r="CG473" s="122">
        <f>FUR[[#This Row],[UID]]</f>
        <v>0</v>
      </c>
      <c r="CK473" s="82" t="str">
        <f>IF(FUR[[#This Row],[Status]]=0,"",FUR[[#This Row],[Status]])</f>
        <v/>
      </c>
    </row>
    <row r="474" spans="79:89">
      <c r="CA474" s="1" t="s">
        <v>71</v>
      </c>
      <c r="CB474" s="1" t="s">
        <v>18</v>
      </c>
      <c r="CC474" s="1" t="s">
        <v>132</v>
      </c>
      <c r="CE474" s="122">
        <f>FUR[[#This Row],[Part Type]]</f>
        <v>0</v>
      </c>
      <c r="CF474" s="122">
        <f>FUR[[#This Row],[Chemicals]]</f>
        <v>0</v>
      </c>
      <c r="CG474" s="122">
        <f>FUR[[#This Row],[UID]]</f>
        <v>0</v>
      </c>
      <c r="CK474" s="82" t="str">
        <f>IF(FUR[[#This Row],[Status]]=0,"",FUR[[#This Row],[Status]])</f>
        <v/>
      </c>
    </row>
    <row r="475" spans="79:89">
      <c r="CA475" s="1" t="s">
        <v>71</v>
      </c>
      <c r="CB475" s="1" t="s">
        <v>18</v>
      </c>
      <c r="CC475" s="1" t="s">
        <v>132</v>
      </c>
      <c r="CE475" s="122">
        <f>FUR[[#This Row],[Part Type]]</f>
        <v>0</v>
      </c>
      <c r="CF475" s="122">
        <f>FUR[[#This Row],[Chemicals]]</f>
        <v>0</v>
      </c>
      <c r="CG475" s="122">
        <f>FUR[[#This Row],[UID]]</f>
        <v>0</v>
      </c>
      <c r="CK475" s="82" t="str">
        <f>IF(FUR[[#This Row],[Status]]=0,"",FUR[[#This Row],[Status]])</f>
        <v/>
      </c>
    </row>
    <row r="476" spans="79:89">
      <c r="CA476" s="1" t="s">
        <v>71</v>
      </c>
      <c r="CB476" s="1" t="s">
        <v>18</v>
      </c>
      <c r="CC476" s="1" t="s">
        <v>132</v>
      </c>
      <c r="CE476" s="122">
        <f>FUR[[#This Row],[Part Type]]</f>
        <v>0</v>
      </c>
      <c r="CF476" s="122">
        <f>FUR[[#This Row],[Chemicals]]</f>
        <v>0</v>
      </c>
      <c r="CG476" s="122">
        <f>FUR[[#This Row],[UID]]</f>
        <v>0</v>
      </c>
      <c r="CK476" s="82" t="str">
        <f>IF(FUR[[#This Row],[Status]]=0,"",FUR[[#This Row],[Status]])</f>
        <v/>
      </c>
    </row>
    <row r="477" spans="79:89">
      <c r="CA477" s="1" t="s">
        <v>71</v>
      </c>
      <c r="CB477" s="1" t="s">
        <v>18</v>
      </c>
      <c r="CC477" s="1" t="s">
        <v>132</v>
      </c>
      <c r="CE477" s="122">
        <f>FUR[[#This Row],[Part Type]]</f>
        <v>0</v>
      </c>
      <c r="CF477" s="122">
        <f>FUR[[#This Row],[Chemicals]]</f>
        <v>0</v>
      </c>
      <c r="CG477" s="122">
        <f>FUR[[#This Row],[UID]]</f>
        <v>0</v>
      </c>
      <c r="CK477" s="82" t="str">
        <f>IF(FUR[[#This Row],[Status]]=0,"",FUR[[#This Row],[Status]])</f>
        <v/>
      </c>
    </row>
    <row r="478" spans="79:89">
      <c r="CA478" s="1" t="s">
        <v>71</v>
      </c>
      <c r="CB478" s="1" t="s">
        <v>18</v>
      </c>
      <c r="CC478" s="1" t="s">
        <v>132</v>
      </c>
      <c r="CE478" s="122">
        <f>FUR[[#This Row],[Part Type]]</f>
        <v>0</v>
      </c>
      <c r="CF478" s="122">
        <f>FUR[[#This Row],[Chemicals]]</f>
        <v>0</v>
      </c>
      <c r="CG478" s="122">
        <f>FUR[[#This Row],[UID]]</f>
        <v>0</v>
      </c>
      <c r="CK478" s="82" t="str">
        <f>IF(FUR[[#This Row],[Status]]=0,"",FUR[[#This Row],[Status]])</f>
        <v/>
      </c>
    </row>
    <row r="479" spans="79:89">
      <c r="CA479" s="1" t="s">
        <v>71</v>
      </c>
      <c r="CB479" s="1" t="s">
        <v>18</v>
      </c>
      <c r="CC479" s="1" t="s">
        <v>132</v>
      </c>
      <c r="CE479" s="122">
        <f>FUR[[#This Row],[Part Type]]</f>
        <v>0</v>
      </c>
      <c r="CF479" s="122">
        <f>FUR[[#This Row],[Chemicals]]</f>
        <v>0</v>
      </c>
      <c r="CG479" s="122">
        <f>FUR[[#This Row],[UID]]</f>
        <v>0</v>
      </c>
      <c r="CK479" s="82" t="str">
        <f>IF(FUR[[#This Row],[Status]]=0,"",FUR[[#This Row],[Status]])</f>
        <v/>
      </c>
    </row>
    <row r="480" spans="79:89">
      <c r="CA480" s="1" t="s">
        <v>71</v>
      </c>
      <c r="CB480" s="1" t="s">
        <v>18</v>
      </c>
      <c r="CC480" s="1" t="s">
        <v>132</v>
      </c>
      <c r="CE480" s="122">
        <f>FUR[[#This Row],[Part Type]]</f>
        <v>0</v>
      </c>
      <c r="CF480" s="122">
        <f>FUR[[#This Row],[Chemicals]]</f>
        <v>0</v>
      </c>
      <c r="CG480" s="122">
        <f>FUR[[#This Row],[UID]]</f>
        <v>0</v>
      </c>
      <c r="CK480" s="82" t="str">
        <f>IF(FUR[[#This Row],[Status]]=0,"",FUR[[#This Row],[Status]])</f>
        <v/>
      </c>
    </row>
    <row r="481" spans="79:89">
      <c r="CA481" s="1" t="s">
        <v>71</v>
      </c>
      <c r="CB481" s="1" t="s">
        <v>18</v>
      </c>
      <c r="CC481" s="1" t="s">
        <v>132</v>
      </c>
      <c r="CE481" s="122">
        <f>FUR[[#This Row],[Part Type]]</f>
        <v>0</v>
      </c>
      <c r="CF481" s="122">
        <f>FUR[[#This Row],[Chemicals]]</f>
        <v>0</v>
      </c>
      <c r="CG481" s="122">
        <f>FUR[[#This Row],[UID]]</f>
        <v>0</v>
      </c>
      <c r="CK481" s="82" t="str">
        <f>IF(FUR[[#This Row],[Status]]=0,"",FUR[[#This Row],[Status]])</f>
        <v/>
      </c>
    </row>
    <row r="482" spans="79:89">
      <c r="CA482" s="1" t="s">
        <v>71</v>
      </c>
      <c r="CB482" s="1" t="s">
        <v>18</v>
      </c>
      <c r="CC482" s="1" t="s">
        <v>132</v>
      </c>
      <c r="CE482" s="122">
        <f>FUR[[#This Row],[Part Type]]</f>
        <v>0</v>
      </c>
      <c r="CF482" s="122">
        <f>FUR[[#This Row],[Chemicals]]</f>
        <v>0</v>
      </c>
      <c r="CG482" s="122">
        <f>FUR[[#This Row],[UID]]</f>
        <v>0</v>
      </c>
      <c r="CK482" s="82" t="str">
        <f>IF(FUR[[#This Row],[Status]]=0,"",FUR[[#This Row],[Status]])</f>
        <v/>
      </c>
    </row>
    <row r="483" spans="79:89">
      <c r="CA483" s="1" t="s">
        <v>71</v>
      </c>
      <c r="CB483" s="1" t="s">
        <v>18</v>
      </c>
      <c r="CC483" s="1" t="s">
        <v>132</v>
      </c>
      <c r="CE483" s="122">
        <f>FUR[[#This Row],[Part Type]]</f>
        <v>0</v>
      </c>
      <c r="CF483" s="122">
        <f>FUR[[#This Row],[Chemicals]]</f>
        <v>0</v>
      </c>
      <c r="CG483" s="122">
        <f>FUR[[#This Row],[UID]]</f>
        <v>0</v>
      </c>
      <c r="CK483" s="82" t="str">
        <f>IF(FUR[[#This Row],[Status]]=0,"",FUR[[#This Row],[Status]])</f>
        <v/>
      </c>
    </row>
    <row r="484" spans="79:89">
      <c r="CA484" s="1" t="s">
        <v>71</v>
      </c>
      <c r="CB484" s="1" t="s">
        <v>18</v>
      </c>
      <c r="CC484" s="1" t="s">
        <v>132</v>
      </c>
      <c r="CE484" s="122">
        <f>FUR[[#This Row],[Part Type]]</f>
        <v>0</v>
      </c>
      <c r="CF484" s="122">
        <f>FUR[[#This Row],[Chemicals]]</f>
        <v>0</v>
      </c>
      <c r="CG484" s="122">
        <f>FUR[[#This Row],[UID]]</f>
        <v>0</v>
      </c>
      <c r="CK484" s="82" t="str">
        <f>IF(FUR[[#This Row],[Status]]=0,"",FUR[[#This Row],[Status]])</f>
        <v/>
      </c>
    </row>
    <row r="485" spans="79:89">
      <c r="CA485" s="1" t="s">
        <v>71</v>
      </c>
      <c r="CB485" s="1" t="s">
        <v>18</v>
      </c>
      <c r="CC485" s="1" t="s">
        <v>132</v>
      </c>
      <c r="CE485" s="122">
        <f>FUR[[#This Row],[Part Type]]</f>
        <v>0</v>
      </c>
      <c r="CF485" s="122">
        <f>FUR[[#This Row],[Chemicals]]</f>
        <v>0</v>
      </c>
      <c r="CG485" s="122">
        <f>FUR[[#This Row],[UID]]</f>
        <v>0</v>
      </c>
      <c r="CK485" s="82" t="str">
        <f>IF(FUR[[#This Row],[Status]]=0,"",FUR[[#This Row],[Status]])</f>
        <v/>
      </c>
    </row>
    <row r="486" spans="79:89">
      <c r="CA486" s="1" t="s">
        <v>71</v>
      </c>
      <c r="CB486" s="1" t="s">
        <v>18</v>
      </c>
      <c r="CC486" s="1" t="s">
        <v>132</v>
      </c>
      <c r="CE486" s="122">
        <f>FUR[[#This Row],[Part Type]]</f>
        <v>0</v>
      </c>
      <c r="CF486" s="122">
        <f>FUR[[#This Row],[Chemicals]]</f>
        <v>0</v>
      </c>
      <c r="CG486" s="122">
        <f>FUR[[#This Row],[UID]]</f>
        <v>0</v>
      </c>
      <c r="CK486" s="82" t="str">
        <f>IF(FUR[[#This Row],[Status]]=0,"",FUR[[#This Row],[Status]])</f>
        <v/>
      </c>
    </row>
    <row r="487" spans="79:89">
      <c r="CA487" s="1" t="s">
        <v>71</v>
      </c>
      <c r="CB487" s="1" t="s">
        <v>18</v>
      </c>
      <c r="CC487" s="1" t="s">
        <v>132</v>
      </c>
      <c r="CE487" s="122">
        <f>FUR[[#This Row],[Part Type]]</f>
        <v>0</v>
      </c>
      <c r="CF487" s="122">
        <f>FUR[[#This Row],[Chemicals]]</f>
        <v>0</v>
      </c>
      <c r="CG487" s="122">
        <f>FUR[[#This Row],[UID]]</f>
        <v>0</v>
      </c>
      <c r="CK487" s="82" t="str">
        <f>IF(FUR[[#This Row],[Status]]=0,"",FUR[[#This Row],[Status]])</f>
        <v/>
      </c>
    </row>
    <row r="488" spans="79:89">
      <c r="CA488" s="1" t="s">
        <v>71</v>
      </c>
      <c r="CB488" s="1" t="s">
        <v>18</v>
      </c>
      <c r="CC488" s="1" t="s">
        <v>132</v>
      </c>
      <c r="CE488" s="122">
        <f>FUR[[#This Row],[Part Type]]</f>
        <v>0</v>
      </c>
      <c r="CF488" s="122">
        <f>FUR[[#This Row],[Chemicals]]</f>
        <v>0</v>
      </c>
      <c r="CG488" s="122">
        <f>FUR[[#This Row],[UID]]</f>
        <v>0</v>
      </c>
      <c r="CK488" s="82" t="str">
        <f>IF(FUR[[#This Row],[Status]]=0,"",FUR[[#This Row],[Status]])</f>
        <v/>
      </c>
    </row>
    <row r="489" spans="79:89">
      <c r="CA489" s="1" t="s">
        <v>71</v>
      </c>
      <c r="CB489" s="1" t="s">
        <v>18</v>
      </c>
      <c r="CC489" s="1" t="s">
        <v>132</v>
      </c>
      <c r="CE489" s="122">
        <f>FUR[[#This Row],[Part Type]]</f>
        <v>0</v>
      </c>
      <c r="CF489" s="122">
        <f>FUR[[#This Row],[Chemicals]]</f>
        <v>0</v>
      </c>
      <c r="CG489" s="122">
        <f>FUR[[#This Row],[UID]]</f>
        <v>0</v>
      </c>
      <c r="CK489" s="82" t="str">
        <f>IF(FUR[[#This Row],[Status]]=0,"",FUR[[#This Row],[Status]])</f>
        <v/>
      </c>
    </row>
    <row r="490" spans="79:89">
      <c r="CA490" s="1" t="s">
        <v>71</v>
      </c>
      <c r="CB490" s="1" t="s">
        <v>18</v>
      </c>
      <c r="CC490" s="1" t="s">
        <v>132</v>
      </c>
      <c r="CE490" s="122">
        <f>FUR[[#This Row],[Part Type]]</f>
        <v>0</v>
      </c>
      <c r="CF490" s="122">
        <f>FUR[[#This Row],[Chemicals]]</f>
        <v>0</v>
      </c>
      <c r="CG490" s="122">
        <f>FUR[[#This Row],[UID]]</f>
        <v>0</v>
      </c>
      <c r="CK490" s="82" t="str">
        <f>IF(FUR[[#This Row],[Status]]=0,"",FUR[[#This Row],[Status]])</f>
        <v/>
      </c>
    </row>
    <row r="491" spans="79:89">
      <c r="CA491" s="1" t="s">
        <v>71</v>
      </c>
      <c r="CB491" s="1" t="s">
        <v>18</v>
      </c>
      <c r="CC491" s="1" t="s">
        <v>132</v>
      </c>
      <c r="CE491" s="122">
        <f>FUR[[#This Row],[Part Type]]</f>
        <v>0</v>
      </c>
      <c r="CF491" s="122">
        <f>FUR[[#This Row],[Chemicals]]</f>
        <v>0</v>
      </c>
      <c r="CG491" s="122">
        <f>FUR[[#This Row],[UID]]</f>
        <v>0</v>
      </c>
      <c r="CK491" s="82" t="str">
        <f>IF(FUR[[#This Row],[Status]]=0,"",FUR[[#This Row],[Status]])</f>
        <v/>
      </c>
    </row>
    <row r="492" spans="79:89">
      <c r="CA492" s="1" t="s">
        <v>71</v>
      </c>
      <c r="CB492" s="1" t="s">
        <v>18</v>
      </c>
      <c r="CC492" s="1" t="s">
        <v>132</v>
      </c>
      <c r="CE492" s="122">
        <f>FUR[[#This Row],[Part Type]]</f>
        <v>0</v>
      </c>
      <c r="CF492" s="122">
        <f>FUR[[#This Row],[Chemicals]]</f>
        <v>0</v>
      </c>
      <c r="CG492" s="122">
        <f>FUR[[#This Row],[UID]]</f>
        <v>0</v>
      </c>
      <c r="CK492" s="82" t="str">
        <f>IF(FUR[[#This Row],[Status]]=0,"",FUR[[#This Row],[Status]])</f>
        <v/>
      </c>
    </row>
    <row r="493" spans="79:89">
      <c r="CA493" s="1" t="s">
        <v>71</v>
      </c>
      <c r="CB493" s="1" t="s">
        <v>18</v>
      </c>
      <c r="CC493" s="1" t="s">
        <v>132</v>
      </c>
      <c r="CE493" s="122">
        <f>FUR[[#This Row],[Part Type]]</f>
        <v>0</v>
      </c>
      <c r="CF493" s="122">
        <f>FUR[[#This Row],[Chemicals]]</f>
        <v>0</v>
      </c>
      <c r="CG493" s="122">
        <f>FUR[[#This Row],[UID]]</f>
        <v>0</v>
      </c>
      <c r="CK493" s="82" t="str">
        <f>IF(FUR[[#This Row],[Status]]=0,"",FUR[[#This Row],[Status]])</f>
        <v/>
      </c>
    </row>
    <row r="494" spans="79:89">
      <c r="CA494" s="1" t="s">
        <v>71</v>
      </c>
      <c r="CB494" s="1" t="s">
        <v>18</v>
      </c>
      <c r="CC494" s="1" t="s">
        <v>132</v>
      </c>
      <c r="CE494" s="122">
        <f>FUR[[#This Row],[Part Type]]</f>
        <v>0</v>
      </c>
      <c r="CF494" s="122">
        <f>FUR[[#This Row],[Chemicals]]</f>
        <v>0</v>
      </c>
      <c r="CG494" s="122">
        <f>FUR[[#This Row],[UID]]</f>
        <v>0</v>
      </c>
      <c r="CK494" s="82" t="str">
        <f>IF(FUR[[#This Row],[Status]]=0,"",FUR[[#This Row],[Status]])</f>
        <v/>
      </c>
    </row>
    <row r="495" spans="79:89">
      <c r="CA495" s="1" t="s">
        <v>71</v>
      </c>
      <c r="CB495" s="1" t="s">
        <v>18</v>
      </c>
      <c r="CC495" s="1" t="s">
        <v>132</v>
      </c>
      <c r="CE495" s="122">
        <f>FUR[[#This Row],[Part Type]]</f>
        <v>0</v>
      </c>
      <c r="CF495" s="122">
        <f>FUR[[#This Row],[Chemicals]]</f>
        <v>0</v>
      </c>
      <c r="CG495" s="122">
        <f>FUR[[#This Row],[UID]]</f>
        <v>0</v>
      </c>
      <c r="CK495" s="82" t="str">
        <f>IF(FUR[[#This Row],[Status]]=0,"",FUR[[#This Row],[Status]])</f>
        <v/>
      </c>
    </row>
    <row r="496" spans="79:89">
      <c r="CA496" s="1" t="s">
        <v>71</v>
      </c>
      <c r="CB496" s="1" t="s">
        <v>18</v>
      </c>
      <c r="CC496" s="1" t="s">
        <v>132</v>
      </c>
      <c r="CE496" s="122">
        <f>FUR[[#This Row],[Part Type]]</f>
        <v>0</v>
      </c>
      <c r="CF496" s="122">
        <f>FUR[[#This Row],[Chemicals]]</f>
        <v>0</v>
      </c>
      <c r="CG496" s="122">
        <f>FUR[[#This Row],[UID]]</f>
        <v>0</v>
      </c>
      <c r="CK496" s="82" t="str">
        <f>IF(FUR[[#This Row],[Status]]=0,"",FUR[[#This Row],[Status]])</f>
        <v/>
      </c>
    </row>
    <row r="497" spans="79:89">
      <c r="CA497" s="1" t="s">
        <v>71</v>
      </c>
      <c r="CB497" s="1" t="s">
        <v>18</v>
      </c>
      <c r="CC497" s="1" t="s">
        <v>132</v>
      </c>
      <c r="CE497" s="122">
        <f>FUR[[#This Row],[Part Type]]</f>
        <v>0</v>
      </c>
      <c r="CF497" s="122">
        <f>FUR[[#This Row],[Chemicals]]</f>
        <v>0</v>
      </c>
      <c r="CG497" s="122">
        <f>FUR[[#This Row],[UID]]</f>
        <v>0</v>
      </c>
      <c r="CK497" s="82" t="str">
        <f>IF(FUR[[#This Row],[Status]]=0,"",FUR[[#This Row],[Status]])</f>
        <v/>
      </c>
    </row>
    <row r="498" spans="79:89">
      <c r="CA498" s="1" t="s">
        <v>71</v>
      </c>
      <c r="CB498" s="1" t="s">
        <v>18</v>
      </c>
      <c r="CC498" s="1" t="s">
        <v>132</v>
      </c>
      <c r="CE498" s="122">
        <f>FUR[[#This Row],[Part Type]]</f>
        <v>0</v>
      </c>
      <c r="CF498" s="122">
        <f>FUR[[#This Row],[Chemicals]]</f>
        <v>0</v>
      </c>
      <c r="CG498" s="122">
        <f>FUR[[#This Row],[UID]]</f>
        <v>0</v>
      </c>
      <c r="CK498" s="82" t="str">
        <f>IF(FUR[[#This Row],[Status]]=0,"",FUR[[#This Row],[Status]])</f>
        <v/>
      </c>
    </row>
    <row r="499" spans="79:89">
      <c r="CA499" s="1" t="s">
        <v>71</v>
      </c>
      <c r="CB499" s="1" t="s">
        <v>18</v>
      </c>
      <c r="CC499" s="1" t="s">
        <v>132</v>
      </c>
      <c r="CE499" s="122">
        <f>FUR[[#This Row],[Part Type]]</f>
        <v>0</v>
      </c>
      <c r="CF499" s="122">
        <f>FUR[[#This Row],[Chemicals]]</f>
        <v>0</v>
      </c>
      <c r="CG499" s="122">
        <f>FUR[[#This Row],[UID]]</f>
        <v>0</v>
      </c>
      <c r="CK499" s="82" t="str">
        <f>IF(FUR[[#This Row],[Status]]=0,"",FUR[[#This Row],[Status]])</f>
        <v/>
      </c>
    </row>
    <row r="500" spans="79:89">
      <c r="CA500" s="1" t="s">
        <v>71</v>
      </c>
      <c r="CB500" s="1" t="s">
        <v>18</v>
      </c>
      <c r="CC500" s="1" t="s">
        <v>132</v>
      </c>
      <c r="CE500" s="122">
        <f>FUR[[#This Row],[Part Type]]</f>
        <v>0</v>
      </c>
      <c r="CF500" s="122">
        <f>FUR[[#This Row],[Chemicals]]</f>
        <v>0</v>
      </c>
      <c r="CG500" s="122">
        <f>FUR[[#This Row],[UID]]</f>
        <v>0</v>
      </c>
      <c r="CK500" s="82" t="str">
        <f>IF(FUR[[#This Row],[Status]]=0,"",FUR[[#This Row],[Status]])</f>
        <v/>
      </c>
    </row>
    <row r="501" spans="79:89">
      <c r="CA501" s="1" t="s">
        <v>71</v>
      </c>
      <c r="CB501" s="1" t="s">
        <v>18</v>
      </c>
      <c r="CC501" s="1" t="s">
        <v>132</v>
      </c>
      <c r="CE501" s="122">
        <f>FUR[[#This Row],[Part Type]]</f>
        <v>0</v>
      </c>
      <c r="CF501" s="122">
        <f>FUR[[#This Row],[Chemicals]]</f>
        <v>0</v>
      </c>
      <c r="CG501" s="122">
        <f>FUR[[#This Row],[UID]]</f>
        <v>0</v>
      </c>
      <c r="CK501" s="82" t="str">
        <f>IF(FUR[[#This Row],[Status]]=0,"",FUR[[#This Row],[Status]])</f>
        <v/>
      </c>
    </row>
    <row r="502" spans="79:89">
      <c r="CA502" s="1" t="s">
        <v>71</v>
      </c>
      <c r="CB502" s="1" t="s">
        <v>18</v>
      </c>
      <c r="CC502" s="1" t="s">
        <v>132</v>
      </c>
      <c r="CE502" s="122">
        <f>FUR[[#This Row],[Part Type]]</f>
        <v>0</v>
      </c>
      <c r="CF502" s="122">
        <f>FUR[[#This Row],[Chemicals]]</f>
        <v>0</v>
      </c>
      <c r="CG502" s="122">
        <f>FUR[[#This Row],[UID]]</f>
        <v>0</v>
      </c>
      <c r="CK502" s="82" t="str">
        <f>IF(FUR[[#This Row],[Status]]=0,"",FUR[[#This Row],[Status]])</f>
        <v/>
      </c>
    </row>
    <row r="503" spans="79:89">
      <c r="CA503" s="1" t="s">
        <v>71</v>
      </c>
      <c r="CB503" s="1" t="s">
        <v>18</v>
      </c>
      <c r="CC503" s="1" t="s">
        <v>132</v>
      </c>
      <c r="CE503" s="122">
        <f>FUR[[#This Row],[Part Type]]</f>
        <v>0</v>
      </c>
      <c r="CF503" s="122">
        <f>FUR[[#This Row],[Chemicals]]</f>
        <v>0</v>
      </c>
      <c r="CG503" s="122">
        <f>FUR[[#This Row],[UID]]</f>
        <v>0</v>
      </c>
      <c r="CK503" s="82" t="str">
        <f>IF(FUR[[#This Row],[Status]]=0,"",FUR[[#This Row],[Status]])</f>
        <v/>
      </c>
    </row>
    <row r="504" spans="79:89">
      <c r="CA504" s="1" t="s">
        <v>71</v>
      </c>
      <c r="CB504" s="1" t="s">
        <v>18</v>
      </c>
      <c r="CC504" s="1" t="s">
        <v>132</v>
      </c>
      <c r="CE504" s="122">
        <f>FUR[[#This Row],[Part Type]]</f>
        <v>0</v>
      </c>
      <c r="CF504" s="122">
        <f>FUR[[#This Row],[Chemicals]]</f>
        <v>0</v>
      </c>
      <c r="CG504" s="122">
        <f>FUR[[#This Row],[UID]]</f>
        <v>0</v>
      </c>
      <c r="CK504" s="82" t="str">
        <f>IF(FUR[[#This Row],[Status]]=0,"",FUR[[#This Row],[Status]])</f>
        <v/>
      </c>
    </row>
    <row r="505" spans="79:89">
      <c r="CA505" s="1" t="s">
        <v>71</v>
      </c>
      <c r="CB505" s="1" t="s">
        <v>18</v>
      </c>
      <c r="CC505" s="1" t="s">
        <v>132</v>
      </c>
      <c r="CE505" s="122">
        <f>FUR[[#This Row],[Part Type]]</f>
        <v>0</v>
      </c>
      <c r="CF505" s="122">
        <f>FUR[[#This Row],[Chemicals]]</f>
        <v>0</v>
      </c>
      <c r="CG505" s="122">
        <f>FUR[[#This Row],[UID]]</f>
        <v>0</v>
      </c>
      <c r="CK505" s="82" t="str">
        <f>IF(FUR[[#This Row],[Status]]=0,"",FUR[[#This Row],[Status]])</f>
        <v/>
      </c>
    </row>
    <row r="506" spans="79:89">
      <c r="CA506" s="1" t="s">
        <v>71</v>
      </c>
      <c r="CB506" s="1" t="s">
        <v>18</v>
      </c>
      <c r="CC506" s="1" t="s">
        <v>132</v>
      </c>
      <c r="CE506" s="122">
        <f>FUR[[#This Row],[Part Type]]</f>
        <v>0</v>
      </c>
      <c r="CF506" s="122">
        <f>FUR[[#This Row],[Chemicals]]</f>
        <v>0</v>
      </c>
      <c r="CG506" s="122">
        <f>FUR[[#This Row],[UID]]</f>
        <v>0</v>
      </c>
      <c r="CK506" s="82" t="str">
        <f>IF(FUR[[#This Row],[Status]]=0,"",FUR[[#This Row],[Status]])</f>
        <v/>
      </c>
    </row>
    <row r="507" spans="79:89">
      <c r="CA507" s="1" t="s">
        <v>71</v>
      </c>
      <c r="CB507" s="1" t="s">
        <v>18</v>
      </c>
      <c r="CC507" s="1" t="s">
        <v>132</v>
      </c>
      <c r="CE507" s="122">
        <f>FUR[[#This Row],[Part Type]]</f>
        <v>0</v>
      </c>
      <c r="CF507" s="122">
        <f>FUR[[#This Row],[Chemicals]]</f>
        <v>0</v>
      </c>
      <c r="CG507" s="122">
        <f>FUR[[#This Row],[UID]]</f>
        <v>0</v>
      </c>
      <c r="CK507" s="82" t="str">
        <f>IF(FUR[[#This Row],[Status]]=0,"",FUR[[#This Row],[Status]])</f>
        <v/>
      </c>
    </row>
    <row r="508" spans="79:89">
      <c r="CA508" s="1" t="s">
        <v>71</v>
      </c>
      <c r="CB508" s="1" t="s">
        <v>18</v>
      </c>
      <c r="CC508" s="1" t="s">
        <v>132</v>
      </c>
      <c r="CE508" s="122">
        <f>FUR[[#This Row],[Part Type]]</f>
        <v>0</v>
      </c>
      <c r="CF508" s="122">
        <f>FUR[[#This Row],[Chemicals]]</f>
        <v>0</v>
      </c>
      <c r="CG508" s="122">
        <f>FUR[[#This Row],[UID]]</f>
        <v>0</v>
      </c>
      <c r="CK508" s="82" t="str">
        <f>IF(FUR[[#This Row],[Status]]=0,"",FUR[[#This Row],[Status]])</f>
        <v/>
      </c>
    </row>
    <row r="509" spans="79:89">
      <c r="CA509" s="1" t="s">
        <v>71</v>
      </c>
      <c r="CB509" s="1" t="s">
        <v>18</v>
      </c>
      <c r="CC509" s="1" t="s">
        <v>132</v>
      </c>
      <c r="CE509" s="122">
        <f>FUR[[#This Row],[Part Type]]</f>
        <v>0</v>
      </c>
      <c r="CF509" s="122">
        <f>FUR[[#This Row],[Chemicals]]</f>
        <v>0</v>
      </c>
      <c r="CG509" s="122">
        <f>FUR[[#This Row],[UID]]</f>
        <v>0</v>
      </c>
      <c r="CK509" s="82" t="str">
        <f>IF(FUR[[#This Row],[Status]]=0,"",FUR[[#This Row],[Status]])</f>
        <v/>
      </c>
    </row>
    <row r="510" spans="79:89">
      <c r="CA510" s="1" t="s">
        <v>71</v>
      </c>
      <c r="CB510" s="1" t="s">
        <v>18</v>
      </c>
      <c r="CC510" s="1" t="s">
        <v>132</v>
      </c>
      <c r="CE510" s="122">
        <f>FUR[[#This Row],[Part Type]]</f>
        <v>0</v>
      </c>
      <c r="CF510" s="122">
        <f>FUR[[#This Row],[Chemicals]]</f>
        <v>0</v>
      </c>
      <c r="CG510" s="122">
        <f>FUR[[#This Row],[UID]]</f>
        <v>0</v>
      </c>
      <c r="CK510" s="82" t="str">
        <f>IF(FUR[[#This Row],[Status]]=0,"",FUR[[#This Row],[Status]])</f>
        <v/>
      </c>
    </row>
    <row r="511" spans="79:89">
      <c r="CA511" s="1" t="s">
        <v>71</v>
      </c>
      <c r="CB511" s="1" t="s">
        <v>18</v>
      </c>
      <c r="CC511" s="1" t="s">
        <v>132</v>
      </c>
      <c r="CE511" s="122">
        <f>FUR[[#This Row],[Part Type]]</f>
        <v>0</v>
      </c>
      <c r="CF511" s="122">
        <f>FUR[[#This Row],[Chemicals]]</f>
        <v>0</v>
      </c>
      <c r="CG511" s="122">
        <f>FUR[[#This Row],[UID]]</f>
        <v>0</v>
      </c>
      <c r="CK511" s="82" t="str">
        <f>IF(FUR[[#This Row],[Status]]=0,"",FUR[[#This Row],[Status]])</f>
        <v/>
      </c>
    </row>
    <row r="512" spans="79:89">
      <c r="CA512" s="1" t="s">
        <v>71</v>
      </c>
      <c r="CB512" s="1" t="s">
        <v>18</v>
      </c>
      <c r="CC512" s="1" t="s">
        <v>132</v>
      </c>
      <c r="CE512" s="122">
        <f>FUR[[#This Row],[Part Type]]</f>
        <v>0</v>
      </c>
      <c r="CF512" s="122">
        <f>FUR[[#This Row],[Chemicals]]</f>
        <v>0</v>
      </c>
      <c r="CG512" s="122">
        <f>FUR[[#This Row],[UID]]</f>
        <v>0</v>
      </c>
      <c r="CK512" s="82" t="str">
        <f>IF(FUR[[#This Row],[Status]]=0,"",FUR[[#This Row],[Status]])</f>
        <v/>
      </c>
    </row>
    <row r="513" spans="79:89">
      <c r="CA513" s="1" t="s">
        <v>71</v>
      </c>
      <c r="CB513" s="1" t="s">
        <v>18</v>
      </c>
      <c r="CC513" s="1" t="s">
        <v>132</v>
      </c>
      <c r="CE513" s="122">
        <f>FUR[[#This Row],[Part Type]]</f>
        <v>0</v>
      </c>
      <c r="CF513" s="122">
        <f>FUR[[#This Row],[Chemicals]]</f>
        <v>0</v>
      </c>
      <c r="CG513" s="122">
        <f>FUR[[#This Row],[UID]]</f>
        <v>0</v>
      </c>
      <c r="CK513" s="82" t="str">
        <f>IF(FUR[[#This Row],[Status]]=0,"",FUR[[#This Row],[Status]])</f>
        <v/>
      </c>
    </row>
    <row r="514" spans="79:89">
      <c r="CA514" s="1" t="s">
        <v>71</v>
      </c>
      <c r="CB514" s="1" t="s">
        <v>18</v>
      </c>
      <c r="CC514" s="1" t="s">
        <v>132</v>
      </c>
      <c r="CE514" s="122">
        <f>FUR[[#This Row],[Part Type]]</f>
        <v>0</v>
      </c>
      <c r="CF514" s="122">
        <f>FUR[[#This Row],[Chemicals]]</f>
        <v>0</v>
      </c>
      <c r="CG514" s="122">
        <f>FUR[[#This Row],[UID]]</f>
        <v>0</v>
      </c>
      <c r="CK514" s="82" t="str">
        <f>IF(FUR[[#This Row],[Status]]=0,"",FUR[[#This Row],[Status]])</f>
        <v/>
      </c>
    </row>
    <row r="515" spans="79:89">
      <c r="CA515" s="1" t="s">
        <v>71</v>
      </c>
      <c r="CB515" s="1" t="s">
        <v>18</v>
      </c>
      <c r="CC515" s="1" t="s">
        <v>132</v>
      </c>
      <c r="CE515" s="122">
        <f>FUR[[#This Row],[Part Type]]</f>
        <v>0</v>
      </c>
      <c r="CF515" s="122">
        <f>FUR[[#This Row],[Chemicals]]</f>
        <v>0</v>
      </c>
      <c r="CG515" s="122">
        <f>FUR[[#This Row],[UID]]</f>
        <v>0</v>
      </c>
      <c r="CK515" s="82" t="str">
        <f>IF(FUR[[#This Row],[Status]]=0,"",FUR[[#This Row],[Status]])</f>
        <v/>
      </c>
    </row>
    <row r="516" spans="79:89">
      <c r="CA516" s="1" t="s">
        <v>71</v>
      </c>
      <c r="CB516" s="1" t="s">
        <v>18</v>
      </c>
      <c r="CC516" s="1" t="s">
        <v>132</v>
      </c>
      <c r="CE516" s="122">
        <f>FUR[[#This Row],[Part Type]]</f>
        <v>0</v>
      </c>
      <c r="CF516" s="122">
        <f>FUR[[#This Row],[Chemicals]]</f>
        <v>0</v>
      </c>
      <c r="CG516" s="122">
        <f>FUR[[#This Row],[UID]]</f>
        <v>0</v>
      </c>
      <c r="CK516" s="82" t="str">
        <f>IF(FUR[[#This Row],[Status]]=0,"",FUR[[#This Row],[Status]])</f>
        <v/>
      </c>
    </row>
    <row r="517" spans="79:89">
      <c r="CA517" s="1" t="s">
        <v>71</v>
      </c>
      <c r="CB517" s="1" t="s">
        <v>18</v>
      </c>
      <c r="CC517" s="1" t="s">
        <v>132</v>
      </c>
      <c r="CE517" s="122">
        <f>FUR[[#This Row],[Part Type]]</f>
        <v>0</v>
      </c>
      <c r="CF517" s="122">
        <f>FUR[[#This Row],[Chemicals]]</f>
        <v>0</v>
      </c>
      <c r="CG517" s="122">
        <f>FUR[[#This Row],[UID]]</f>
        <v>0</v>
      </c>
      <c r="CK517" s="82" t="str">
        <f>IF(FUR[[#This Row],[Status]]=0,"",FUR[[#This Row],[Status]])</f>
        <v/>
      </c>
    </row>
    <row r="518" spans="79:89">
      <c r="CA518" s="1" t="s">
        <v>71</v>
      </c>
      <c r="CB518" s="1" t="s">
        <v>18</v>
      </c>
      <c r="CC518" s="1" t="s">
        <v>132</v>
      </c>
      <c r="CE518" s="122">
        <f>FUR[[#This Row],[Part Type]]</f>
        <v>0</v>
      </c>
      <c r="CF518" s="122">
        <f>FUR[[#This Row],[Chemicals]]</f>
        <v>0</v>
      </c>
      <c r="CG518" s="122">
        <f>FUR[[#This Row],[UID]]</f>
        <v>0</v>
      </c>
      <c r="CK518" s="82" t="str">
        <f>IF(FUR[[#This Row],[Status]]=0,"",FUR[[#This Row],[Status]])</f>
        <v/>
      </c>
    </row>
    <row r="519" spans="79:89">
      <c r="CA519" s="1" t="s">
        <v>71</v>
      </c>
      <c r="CB519" s="1" t="s">
        <v>18</v>
      </c>
      <c r="CC519" s="1" t="s">
        <v>132</v>
      </c>
      <c r="CE519" s="122">
        <f>FUR[[#This Row],[Part Type]]</f>
        <v>0</v>
      </c>
      <c r="CF519" s="122">
        <f>FUR[[#This Row],[Chemicals]]</f>
        <v>0</v>
      </c>
      <c r="CG519" s="122">
        <f>FUR[[#This Row],[UID]]</f>
        <v>0</v>
      </c>
      <c r="CK519" s="82" t="str">
        <f>IF(FUR[[#This Row],[Status]]=0,"",FUR[[#This Row],[Status]])</f>
        <v/>
      </c>
    </row>
    <row r="520" spans="79:89">
      <c r="CA520" s="1" t="s">
        <v>71</v>
      </c>
      <c r="CB520" s="1" t="s">
        <v>18</v>
      </c>
      <c r="CC520" s="1" t="s">
        <v>132</v>
      </c>
      <c r="CE520" s="122">
        <f>FUR[[#This Row],[Part Type]]</f>
        <v>0</v>
      </c>
      <c r="CF520" s="122">
        <f>FUR[[#This Row],[Chemicals]]</f>
        <v>0</v>
      </c>
      <c r="CG520" s="122">
        <f>FUR[[#This Row],[UID]]</f>
        <v>0</v>
      </c>
      <c r="CK520" s="82" t="str">
        <f>IF(FUR[[#This Row],[Status]]=0,"",FUR[[#This Row],[Status]])</f>
        <v/>
      </c>
    </row>
    <row r="521" spans="79:89">
      <c r="CA521" s="1" t="s">
        <v>71</v>
      </c>
      <c r="CB521" s="1" t="s">
        <v>18</v>
      </c>
      <c r="CC521" s="1" t="s">
        <v>132</v>
      </c>
      <c r="CE521" s="122">
        <f>FUR[[#This Row],[Part Type]]</f>
        <v>0</v>
      </c>
      <c r="CF521" s="122">
        <f>FUR[[#This Row],[Chemicals]]</f>
        <v>0</v>
      </c>
      <c r="CG521" s="122">
        <f>FUR[[#This Row],[UID]]</f>
        <v>0</v>
      </c>
      <c r="CK521" s="82" t="str">
        <f>IF(FUR[[#This Row],[Status]]=0,"",FUR[[#This Row],[Status]])</f>
        <v/>
      </c>
    </row>
    <row r="522" spans="79:89">
      <c r="CA522" s="1" t="s">
        <v>71</v>
      </c>
      <c r="CB522" s="1" t="s">
        <v>18</v>
      </c>
      <c r="CC522" s="1" t="s">
        <v>132</v>
      </c>
      <c r="CE522" s="122">
        <f>FUR[[#This Row],[Part Type]]</f>
        <v>0</v>
      </c>
      <c r="CF522" s="122">
        <f>FUR[[#This Row],[Chemicals]]</f>
        <v>0</v>
      </c>
      <c r="CG522" s="122">
        <f>FUR[[#This Row],[UID]]</f>
        <v>0</v>
      </c>
      <c r="CK522" s="82" t="str">
        <f>IF(FUR[[#This Row],[Status]]=0,"",FUR[[#This Row],[Status]])</f>
        <v/>
      </c>
    </row>
    <row r="523" spans="79:89">
      <c r="CA523" s="1" t="s">
        <v>71</v>
      </c>
      <c r="CB523" s="1" t="s">
        <v>18</v>
      </c>
      <c r="CC523" s="1" t="s">
        <v>132</v>
      </c>
      <c r="CE523" s="122">
        <f>FUR[[#This Row],[Part Type]]</f>
        <v>0</v>
      </c>
      <c r="CF523" s="122">
        <f>FUR[[#This Row],[Chemicals]]</f>
        <v>0</v>
      </c>
      <c r="CG523" s="122">
        <f>FUR[[#This Row],[UID]]</f>
        <v>0</v>
      </c>
      <c r="CK523" s="82" t="str">
        <f>IF(FUR[[#This Row],[Status]]=0,"",FUR[[#This Row],[Status]])</f>
        <v/>
      </c>
    </row>
    <row r="524" spans="79:89">
      <c r="CA524" s="1" t="s">
        <v>71</v>
      </c>
      <c r="CB524" s="1" t="s">
        <v>18</v>
      </c>
      <c r="CC524" s="1" t="s">
        <v>132</v>
      </c>
      <c r="CE524" s="122">
        <f>FUR[[#This Row],[Part Type]]</f>
        <v>0</v>
      </c>
      <c r="CF524" s="122">
        <f>FUR[[#This Row],[Chemicals]]</f>
        <v>0</v>
      </c>
      <c r="CG524" s="122">
        <f>FUR[[#This Row],[UID]]</f>
        <v>0</v>
      </c>
      <c r="CK524" s="82" t="str">
        <f>IF(FUR[[#This Row],[Status]]=0,"",FUR[[#This Row],[Status]])</f>
        <v/>
      </c>
    </row>
    <row r="525" spans="79:89">
      <c r="CA525" s="1" t="s">
        <v>71</v>
      </c>
      <c r="CB525" s="1" t="s">
        <v>18</v>
      </c>
      <c r="CC525" s="1" t="s">
        <v>132</v>
      </c>
      <c r="CE525" s="122">
        <f>FUR[[#This Row],[Part Type]]</f>
        <v>0</v>
      </c>
      <c r="CF525" s="122">
        <f>FUR[[#This Row],[Chemicals]]</f>
        <v>0</v>
      </c>
      <c r="CG525" s="122">
        <f>FUR[[#This Row],[UID]]</f>
        <v>0</v>
      </c>
      <c r="CK525" s="82" t="str">
        <f>IF(FUR[[#This Row],[Status]]=0,"",FUR[[#This Row],[Status]])</f>
        <v/>
      </c>
    </row>
    <row r="526" spans="79:89">
      <c r="CA526" s="1" t="s">
        <v>71</v>
      </c>
      <c r="CB526" s="1" t="s">
        <v>18</v>
      </c>
      <c r="CC526" s="1" t="s">
        <v>132</v>
      </c>
      <c r="CE526" s="122">
        <f>FUR[[#This Row],[Part Type]]</f>
        <v>0</v>
      </c>
      <c r="CF526" s="122">
        <f>FUR[[#This Row],[Chemicals]]</f>
        <v>0</v>
      </c>
      <c r="CG526" s="122">
        <f>FUR[[#This Row],[UID]]</f>
        <v>0</v>
      </c>
      <c r="CK526" s="82" t="str">
        <f>IF(FUR[[#This Row],[Status]]=0,"",FUR[[#This Row],[Status]])</f>
        <v/>
      </c>
    </row>
    <row r="527" spans="79:89">
      <c r="CA527" s="1" t="s">
        <v>71</v>
      </c>
      <c r="CB527" s="1" t="s">
        <v>18</v>
      </c>
      <c r="CC527" s="1" t="s">
        <v>132</v>
      </c>
      <c r="CE527" s="122">
        <f>FUR[[#This Row],[Part Type]]</f>
        <v>0</v>
      </c>
      <c r="CF527" s="122">
        <f>FUR[[#This Row],[Chemicals]]</f>
        <v>0</v>
      </c>
      <c r="CG527" s="122">
        <f>FUR[[#This Row],[UID]]</f>
        <v>0</v>
      </c>
      <c r="CK527" s="82" t="str">
        <f>IF(FUR[[#This Row],[Status]]=0,"",FUR[[#This Row],[Status]])</f>
        <v/>
      </c>
    </row>
    <row r="528" spans="79:89">
      <c r="CA528" s="1" t="s">
        <v>71</v>
      </c>
      <c r="CB528" s="1" t="s">
        <v>18</v>
      </c>
      <c r="CC528" s="1" t="s">
        <v>132</v>
      </c>
      <c r="CE528" s="122">
        <f>FUR[[#This Row],[Part Type]]</f>
        <v>0</v>
      </c>
      <c r="CF528" s="122">
        <f>FUR[[#This Row],[Chemicals]]</f>
        <v>0</v>
      </c>
      <c r="CG528" s="122">
        <f>FUR[[#This Row],[UID]]</f>
        <v>0</v>
      </c>
      <c r="CK528" s="82" t="str">
        <f>IF(FUR[[#This Row],[Status]]=0,"",FUR[[#This Row],[Status]])</f>
        <v/>
      </c>
    </row>
    <row r="529" spans="79:89">
      <c r="CA529" s="1" t="s">
        <v>71</v>
      </c>
      <c r="CB529" s="1" t="s">
        <v>18</v>
      </c>
      <c r="CC529" s="1" t="s">
        <v>132</v>
      </c>
      <c r="CE529" s="122">
        <f>FUR[[#This Row],[Part Type]]</f>
        <v>0</v>
      </c>
      <c r="CF529" s="122">
        <f>FUR[[#This Row],[Chemicals]]</f>
        <v>0</v>
      </c>
      <c r="CG529" s="122">
        <f>FUR[[#This Row],[UID]]</f>
        <v>0</v>
      </c>
      <c r="CK529" s="82" t="str">
        <f>IF(FUR[[#This Row],[Status]]=0,"",FUR[[#This Row],[Status]])</f>
        <v/>
      </c>
    </row>
    <row r="530" spans="79:89">
      <c r="CA530" s="1" t="s">
        <v>71</v>
      </c>
      <c r="CB530" s="1" t="s">
        <v>18</v>
      </c>
      <c r="CC530" s="1" t="s">
        <v>132</v>
      </c>
      <c r="CE530" s="122">
        <f>FUR[[#This Row],[Part Type]]</f>
        <v>0</v>
      </c>
      <c r="CF530" s="122">
        <f>FUR[[#This Row],[Chemicals]]</f>
        <v>0</v>
      </c>
      <c r="CG530" s="122">
        <f>FUR[[#This Row],[UID]]</f>
        <v>0</v>
      </c>
      <c r="CK530" s="82" t="str">
        <f>IF(FUR[[#This Row],[Status]]=0,"",FUR[[#This Row],[Status]])</f>
        <v/>
      </c>
    </row>
    <row r="531" spans="79:89">
      <c r="CA531" s="1" t="s">
        <v>71</v>
      </c>
      <c r="CB531" s="1" t="s">
        <v>18</v>
      </c>
      <c r="CC531" s="1" t="s">
        <v>132</v>
      </c>
      <c r="CE531" s="122">
        <f>FUR[[#This Row],[Part Type]]</f>
        <v>0</v>
      </c>
      <c r="CF531" s="122">
        <f>FUR[[#This Row],[Chemicals]]</f>
        <v>0</v>
      </c>
      <c r="CG531" s="122">
        <f>FUR[[#This Row],[UID]]</f>
        <v>0</v>
      </c>
      <c r="CK531" s="82" t="str">
        <f>IF(FUR[[#This Row],[Status]]=0,"",FUR[[#This Row],[Status]])</f>
        <v/>
      </c>
    </row>
    <row r="532" spans="79:89">
      <c r="CA532" s="1" t="s">
        <v>71</v>
      </c>
      <c r="CB532" s="1" t="s">
        <v>18</v>
      </c>
      <c r="CC532" s="1" t="s">
        <v>132</v>
      </c>
      <c r="CE532" s="122">
        <f>FUR[[#This Row],[Part Type]]</f>
        <v>0</v>
      </c>
      <c r="CF532" s="122">
        <f>FUR[[#This Row],[Chemicals]]</f>
        <v>0</v>
      </c>
      <c r="CG532" s="122">
        <f>FUR[[#This Row],[UID]]</f>
        <v>0</v>
      </c>
      <c r="CK532" s="82" t="str">
        <f>IF(FUR[[#This Row],[Status]]=0,"",FUR[[#This Row],[Status]])</f>
        <v/>
      </c>
    </row>
    <row r="533" spans="79:89">
      <c r="CA533" s="1" t="s">
        <v>71</v>
      </c>
      <c r="CB533" s="1" t="s">
        <v>18</v>
      </c>
      <c r="CC533" s="1" t="s">
        <v>132</v>
      </c>
      <c r="CE533" s="122">
        <f>FUR[[#This Row],[Part Type]]</f>
        <v>0</v>
      </c>
      <c r="CF533" s="122">
        <f>FUR[[#This Row],[Chemicals]]</f>
        <v>0</v>
      </c>
      <c r="CG533" s="122">
        <f>FUR[[#This Row],[UID]]</f>
        <v>0</v>
      </c>
      <c r="CK533" s="82" t="str">
        <f>IF(FUR[[#This Row],[Status]]=0,"",FUR[[#This Row],[Status]])</f>
        <v/>
      </c>
    </row>
    <row r="534" spans="79:89">
      <c r="CA534" s="1" t="s">
        <v>71</v>
      </c>
      <c r="CB534" s="1" t="s">
        <v>18</v>
      </c>
      <c r="CC534" s="1" t="s">
        <v>132</v>
      </c>
      <c r="CE534" s="122">
        <f>FUR[[#This Row],[Part Type]]</f>
        <v>0</v>
      </c>
      <c r="CF534" s="122">
        <f>FUR[[#This Row],[Chemicals]]</f>
        <v>0</v>
      </c>
      <c r="CG534" s="122">
        <f>FUR[[#This Row],[UID]]</f>
        <v>0</v>
      </c>
      <c r="CK534" s="82" t="str">
        <f>IF(FUR[[#This Row],[Status]]=0,"",FUR[[#This Row],[Status]])</f>
        <v/>
      </c>
    </row>
    <row r="535" spans="79:89">
      <c r="CA535" s="1" t="s">
        <v>71</v>
      </c>
      <c r="CB535" s="1" t="s">
        <v>18</v>
      </c>
      <c r="CC535" s="1" t="s">
        <v>132</v>
      </c>
      <c r="CE535" s="122">
        <f>FUR[[#This Row],[Part Type]]</f>
        <v>0</v>
      </c>
      <c r="CF535" s="122">
        <f>FUR[[#This Row],[Chemicals]]</f>
        <v>0</v>
      </c>
      <c r="CG535" s="122">
        <f>FUR[[#This Row],[UID]]</f>
        <v>0</v>
      </c>
      <c r="CK535" s="82" t="str">
        <f>IF(FUR[[#This Row],[Status]]=0,"",FUR[[#This Row],[Status]])</f>
        <v/>
      </c>
    </row>
    <row r="536" spans="79:89">
      <c r="CA536" s="1" t="s">
        <v>71</v>
      </c>
      <c r="CB536" s="1" t="s">
        <v>18</v>
      </c>
      <c r="CC536" s="1" t="s">
        <v>132</v>
      </c>
      <c r="CE536" s="122">
        <f>FUR[[#This Row],[Part Type]]</f>
        <v>0</v>
      </c>
      <c r="CF536" s="122">
        <f>FUR[[#This Row],[Chemicals]]</f>
        <v>0</v>
      </c>
      <c r="CG536" s="122">
        <f>FUR[[#This Row],[UID]]</f>
        <v>0</v>
      </c>
      <c r="CK536" s="82" t="str">
        <f>IF(FUR[[#This Row],[Status]]=0,"",FUR[[#This Row],[Status]])</f>
        <v/>
      </c>
    </row>
    <row r="537" spans="79:89">
      <c r="CA537" s="1" t="s">
        <v>71</v>
      </c>
      <c r="CB537" s="1" t="s">
        <v>18</v>
      </c>
      <c r="CC537" s="1" t="s">
        <v>132</v>
      </c>
      <c r="CE537" s="122">
        <f>FUR[[#This Row],[Part Type]]</f>
        <v>0</v>
      </c>
      <c r="CF537" s="122">
        <f>FUR[[#This Row],[Chemicals]]</f>
        <v>0</v>
      </c>
      <c r="CG537" s="122">
        <f>FUR[[#This Row],[UID]]</f>
        <v>0</v>
      </c>
      <c r="CK537" s="82" t="str">
        <f>IF(FUR[[#This Row],[Status]]=0,"",FUR[[#This Row],[Status]])</f>
        <v/>
      </c>
    </row>
    <row r="538" spans="79:89">
      <c r="CA538" s="1" t="s">
        <v>71</v>
      </c>
      <c r="CB538" s="1" t="s">
        <v>18</v>
      </c>
      <c r="CC538" s="1" t="s">
        <v>132</v>
      </c>
      <c r="CE538" s="122">
        <f>FUR[[#This Row],[Part Type]]</f>
        <v>0</v>
      </c>
      <c r="CF538" s="122">
        <f>FUR[[#This Row],[Chemicals]]</f>
        <v>0</v>
      </c>
      <c r="CG538" s="122">
        <f>FUR[[#This Row],[UID]]</f>
        <v>0</v>
      </c>
      <c r="CK538" s="82" t="str">
        <f>IF(FUR[[#This Row],[Status]]=0,"",FUR[[#This Row],[Status]])</f>
        <v/>
      </c>
    </row>
    <row r="539" spans="79:89">
      <c r="CA539" s="1" t="s">
        <v>71</v>
      </c>
      <c r="CB539" s="1" t="s">
        <v>18</v>
      </c>
      <c r="CC539" s="1" t="s">
        <v>132</v>
      </c>
      <c r="CE539" s="122">
        <f>FUR[[#This Row],[Part Type]]</f>
        <v>0</v>
      </c>
      <c r="CF539" s="122">
        <f>FUR[[#This Row],[Chemicals]]</f>
        <v>0</v>
      </c>
      <c r="CG539" s="122">
        <f>FUR[[#This Row],[UID]]</f>
        <v>0</v>
      </c>
      <c r="CK539" s="82" t="str">
        <f>IF(FUR[[#This Row],[Status]]=0,"",FUR[[#This Row],[Status]])</f>
        <v/>
      </c>
    </row>
    <row r="540" spans="79:89">
      <c r="CA540" s="1" t="s">
        <v>71</v>
      </c>
      <c r="CB540" s="1" t="s">
        <v>18</v>
      </c>
      <c r="CC540" s="1" t="s">
        <v>132</v>
      </c>
      <c r="CE540" s="122">
        <f>FUR[[#This Row],[Part Type]]</f>
        <v>0</v>
      </c>
      <c r="CF540" s="122">
        <f>FUR[[#This Row],[Chemicals]]</f>
        <v>0</v>
      </c>
      <c r="CG540" s="122">
        <f>FUR[[#This Row],[UID]]</f>
        <v>0</v>
      </c>
      <c r="CK540" s="82" t="str">
        <f>IF(FUR[[#This Row],[Status]]=0,"",FUR[[#This Row],[Status]])</f>
        <v/>
      </c>
    </row>
    <row r="541" spans="79:89">
      <c r="CA541" s="1" t="s">
        <v>71</v>
      </c>
      <c r="CB541" s="1" t="s">
        <v>18</v>
      </c>
      <c r="CC541" s="1" t="s">
        <v>132</v>
      </c>
      <c r="CE541" s="122">
        <f>FUR[[#This Row],[Part Type]]</f>
        <v>0</v>
      </c>
      <c r="CF541" s="122">
        <f>FUR[[#This Row],[Chemicals]]</f>
        <v>0</v>
      </c>
      <c r="CG541" s="122">
        <f>FUR[[#This Row],[UID]]</f>
        <v>0</v>
      </c>
      <c r="CK541" s="82" t="str">
        <f>IF(FUR[[#This Row],[Status]]=0,"",FUR[[#This Row],[Status]])</f>
        <v/>
      </c>
    </row>
    <row r="542" spans="79:89">
      <c r="CA542" s="1" t="s">
        <v>71</v>
      </c>
      <c r="CB542" s="1" t="s">
        <v>18</v>
      </c>
      <c r="CC542" s="1" t="s">
        <v>132</v>
      </c>
      <c r="CE542" s="122">
        <f>FUR[[#This Row],[Part Type]]</f>
        <v>0</v>
      </c>
      <c r="CF542" s="122">
        <f>FUR[[#This Row],[Chemicals]]</f>
        <v>0</v>
      </c>
      <c r="CG542" s="122">
        <f>FUR[[#This Row],[UID]]</f>
        <v>0</v>
      </c>
      <c r="CK542" s="82" t="str">
        <f>IF(FUR[[#This Row],[Status]]=0,"",FUR[[#This Row],[Status]])</f>
        <v/>
      </c>
    </row>
    <row r="543" spans="79:89">
      <c r="CA543" s="1" t="s">
        <v>71</v>
      </c>
      <c r="CB543" s="1" t="s">
        <v>18</v>
      </c>
      <c r="CC543" s="1" t="s">
        <v>132</v>
      </c>
      <c r="CE543" s="122">
        <f>FUR[[#This Row],[Part Type]]</f>
        <v>0</v>
      </c>
      <c r="CF543" s="122">
        <f>FUR[[#This Row],[Chemicals]]</f>
        <v>0</v>
      </c>
      <c r="CG543" s="122">
        <f>FUR[[#This Row],[UID]]</f>
        <v>0</v>
      </c>
      <c r="CK543" s="82" t="str">
        <f>IF(FUR[[#This Row],[Status]]=0,"",FUR[[#This Row],[Status]])</f>
        <v/>
      </c>
    </row>
    <row r="544" spans="79:89">
      <c r="CA544" s="1" t="s">
        <v>71</v>
      </c>
      <c r="CB544" s="1" t="s">
        <v>18</v>
      </c>
      <c r="CC544" s="1" t="s">
        <v>132</v>
      </c>
      <c r="CE544" s="122">
        <f>FUR[[#This Row],[Part Type]]</f>
        <v>0</v>
      </c>
      <c r="CF544" s="122">
        <f>FUR[[#This Row],[Chemicals]]</f>
        <v>0</v>
      </c>
      <c r="CG544" s="122">
        <f>FUR[[#This Row],[UID]]</f>
        <v>0</v>
      </c>
      <c r="CK544" s="82" t="str">
        <f>IF(FUR[[#This Row],[Status]]=0,"",FUR[[#This Row],[Status]])</f>
        <v/>
      </c>
    </row>
    <row r="545" spans="79:89">
      <c r="CA545" s="1" t="s">
        <v>71</v>
      </c>
      <c r="CB545" s="1" t="s">
        <v>18</v>
      </c>
      <c r="CC545" s="1" t="s">
        <v>132</v>
      </c>
      <c r="CE545" s="122">
        <f>FUR[[#This Row],[Part Type]]</f>
        <v>0</v>
      </c>
      <c r="CF545" s="122">
        <f>FUR[[#This Row],[Chemicals]]</f>
        <v>0</v>
      </c>
      <c r="CG545" s="122">
        <f>FUR[[#This Row],[UID]]</f>
        <v>0</v>
      </c>
      <c r="CK545" s="82" t="str">
        <f>IF(FUR[[#This Row],[Status]]=0,"",FUR[[#This Row],[Status]])</f>
        <v/>
      </c>
    </row>
    <row r="546" spans="79:89">
      <c r="CA546" s="1" t="s">
        <v>71</v>
      </c>
      <c r="CB546" s="1" t="s">
        <v>18</v>
      </c>
      <c r="CC546" s="1" t="s">
        <v>132</v>
      </c>
      <c r="CE546" s="122">
        <f>FUR[[#This Row],[Part Type]]</f>
        <v>0</v>
      </c>
      <c r="CF546" s="122">
        <f>FUR[[#This Row],[Chemicals]]</f>
        <v>0</v>
      </c>
      <c r="CG546" s="122">
        <f>FUR[[#This Row],[UID]]</f>
        <v>0</v>
      </c>
      <c r="CK546" s="82" t="str">
        <f>IF(FUR[[#This Row],[Status]]=0,"",FUR[[#This Row],[Status]])</f>
        <v/>
      </c>
    </row>
    <row r="547" spans="79:89">
      <c r="CA547" s="1" t="s">
        <v>71</v>
      </c>
      <c r="CB547" s="1" t="s">
        <v>18</v>
      </c>
      <c r="CC547" s="1" t="s">
        <v>132</v>
      </c>
      <c r="CE547" s="122">
        <f>FUR[[#This Row],[Part Type]]</f>
        <v>0</v>
      </c>
      <c r="CF547" s="122">
        <f>FUR[[#This Row],[Chemicals]]</f>
        <v>0</v>
      </c>
      <c r="CG547" s="122">
        <f>FUR[[#This Row],[UID]]</f>
        <v>0</v>
      </c>
      <c r="CK547" s="82" t="str">
        <f>IF(FUR[[#This Row],[Status]]=0,"",FUR[[#This Row],[Status]])</f>
        <v/>
      </c>
    </row>
    <row r="548" spans="79:89">
      <c r="CA548" s="1" t="s">
        <v>71</v>
      </c>
      <c r="CB548" s="1" t="s">
        <v>18</v>
      </c>
      <c r="CC548" s="1" t="s">
        <v>132</v>
      </c>
      <c r="CE548" s="122">
        <f>FUR[[#This Row],[Part Type]]</f>
        <v>0</v>
      </c>
      <c r="CF548" s="122">
        <f>FUR[[#This Row],[Chemicals]]</f>
        <v>0</v>
      </c>
      <c r="CG548" s="122">
        <f>FUR[[#This Row],[UID]]</f>
        <v>0</v>
      </c>
      <c r="CK548" s="82" t="str">
        <f>IF(FUR[[#This Row],[Status]]=0,"",FUR[[#This Row],[Status]])</f>
        <v/>
      </c>
    </row>
    <row r="549" spans="79:89">
      <c r="CA549" s="1" t="s">
        <v>71</v>
      </c>
      <c r="CB549" s="1" t="s">
        <v>18</v>
      </c>
      <c r="CC549" s="1" t="s">
        <v>132</v>
      </c>
      <c r="CE549" s="122">
        <f>FUR[[#This Row],[Part Type]]</f>
        <v>0</v>
      </c>
      <c r="CF549" s="122">
        <f>FUR[[#This Row],[Chemicals]]</f>
        <v>0</v>
      </c>
      <c r="CG549" s="122">
        <f>FUR[[#This Row],[UID]]</f>
        <v>0</v>
      </c>
      <c r="CK549" s="82" t="str">
        <f>IF(FUR[[#This Row],[Status]]=0,"",FUR[[#This Row],[Status]])</f>
        <v/>
      </c>
    </row>
    <row r="550" spans="79:89">
      <c r="CA550" s="1" t="s">
        <v>71</v>
      </c>
      <c r="CB550" s="1" t="s">
        <v>18</v>
      </c>
      <c r="CC550" s="1" t="s">
        <v>132</v>
      </c>
      <c r="CE550" s="122">
        <f>FUR[[#This Row],[Part Type]]</f>
        <v>0</v>
      </c>
      <c r="CF550" s="122">
        <f>FUR[[#This Row],[Chemicals]]</f>
        <v>0</v>
      </c>
      <c r="CG550" s="122">
        <f>FUR[[#This Row],[UID]]</f>
        <v>0</v>
      </c>
      <c r="CK550" s="82" t="str">
        <f>IF(FUR[[#This Row],[Status]]=0,"",FUR[[#This Row],[Status]])</f>
        <v/>
      </c>
    </row>
    <row r="551" spans="79:89">
      <c r="CA551" s="1" t="s">
        <v>71</v>
      </c>
      <c r="CB551" s="1" t="s">
        <v>18</v>
      </c>
      <c r="CC551" s="1" t="s">
        <v>132</v>
      </c>
      <c r="CE551" s="122">
        <f>FUR[[#This Row],[Part Type]]</f>
        <v>0</v>
      </c>
      <c r="CF551" s="122">
        <f>FUR[[#This Row],[Chemicals]]</f>
        <v>0</v>
      </c>
      <c r="CG551" s="122">
        <f>FUR[[#This Row],[UID]]</f>
        <v>0</v>
      </c>
      <c r="CK551" s="82" t="str">
        <f>IF(FUR[[#This Row],[Status]]=0,"",FUR[[#This Row],[Status]])</f>
        <v/>
      </c>
    </row>
    <row r="552" spans="79:89">
      <c r="CA552" s="1" t="s">
        <v>71</v>
      </c>
      <c r="CB552" s="1" t="s">
        <v>18</v>
      </c>
      <c r="CC552" s="1" t="s">
        <v>132</v>
      </c>
      <c r="CE552" s="122">
        <f>FUR[[#This Row],[Part Type]]</f>
        <v>0</v>
      </c>
      <c r="CF552" s="122">
        <f>FUR[[#This Row],[Chemicals]]</f>
        <v>0</v>
      </c>
      <c r="CG552" s="122">
        <f>FUR[[#This Row],[UID]]</f>
        <v>0</v>
      </c>
      <c r="CK552" s="82" t="str">
        <f>IF(FUR[[#This Row],[Status]]=0,"",FUR[[#This Row],[Status]])</f>
        <v/>
      </c>
    </row>
    <row r="553" spans="79:89">
      <c r="CA553" s="1" t="s">
        <v>71</v>
      </c>
      <c r="CB553" s="1" t="s">
        <v>18</v>
      </c>
      <c r="CC553" s="1" t="s">
        <v>132</v>
      </c>
      <c r="CE553" s="122">
        <f>FUR[[#This Row],[Part Type]]</f>
        <v>0</v>
      </c>
      <c r="CF553" s="122">
        <f>FUR[[#This Row],[Chemicals]]</f>
        <v>0</v>
      </c>
      <c r="CG553" s="122">
        <f>FUR[[#This Row],[UID]]</f>
        <v>0</v>
      </c>
      <c r="CK553" s="82" t="str">
        <f>IF(FUR[[#This Row],[Status]]=0,"",FUR[[#This Row],[Status]])</f>
        <v/>
      </c>
    </row>
    <row r="554" spans="79:89">
      <c r="CA554" s="1" t="s">
        <v>71</v>
      </c>
      <c r="CB554" s="1" t="s">
        <v>18</v>
      </c>
      <c r="CC554" s="1" t="s">
        <v>132</v>
      </c>
      <c r="CE554" s="122">
        <f>FUR[[#This Row],[Part Type]]</f>
        <v>0</v>
      </c>
      <c r="CF554" s="122">
        <f>FUR[[#This Row],[Chemicals]]</f>
        <v>0</v>
      </c>
      <c r="CG554" s="122">
        <f>FUR[[#This Row],[UID]]</f>
        <v>0</v>
      </c>
      <c r="CK554" s="82" t="str">
        <f>IF(FUR[[#This Row],[Status]]=0,"",FUR[[#This Row],[Status]])</f>
        <v/>
      </c>
    </row>
    <row r="555" spans="79:89">
      <c r="CA555" s="1" t="s">
        <v>71</v>
      </c>
      <c r="CB555" s="1" t="s">
        <v>18</v>
      </c>
      <c r="CC555" s="1" t="s">
        <v>132</v>
      </c>
      <c r="CE555" s="122">
        <f>FUR[[#This Row],[Part Type]]</f>
        <v>0</v>
      </c>
      <c r="CF555" s="122">
        <f>FUR[[#This Row],[Chemicals]]</f>
        <v>0</v>
      </c>
      <c r="CG555" s="122">
        <f>FUR[[#This Row],[UID]]</f>
        <v>0</v>
      </c>
      <c r="CK555" s="82" t="str">
        <f>IF(FUR[[#This Row],[Status]]=0,"",FUR[[#This Row],[Status]])</f>
        <v/>
      </c>
    </row>
    <row r="556" spans="79:89">
      <c r="CA556" s="1" t="s">
        <v>71</v>
      </c>
      <c r="CB556" s="1" t="s">
        <v>18</v>
      </c>
      <c r="CC556" s="1" t="s">
        <v>132</v>
      </c>
      <c r="CE556" s="122">
        <f>FUR[[#This Row],[Part Type]]</f>
        <v>0</v>
      </c>
      <c r="CF556" s="122">
        <f>FUR[[#This Row],[Chemicals]]</f>
        <v>0</v>
      </c>
      <c r="CG556" s="122">
        <f>FUR[[#This Row],[UID]]</f>
        <v>0</v>
      </c>
      <c r="CK556" s="82" t="str">
        <f>IF(FUR[[#This Row],[Status]]=0,"",FUR[[#This Row],[Status]])</f>
        <v/>
      </c>
    </row>
    <row r="557" spans="79:89">
      <c r="CA557" s="1" t="s">
        <v>71</v>
      </c>
      <c r="CB557" s="1" t="s">
        <v>18</v>
      </c>
      <c r="CC557" s="1" t="s">
        <v>132</v>
      </c>
      <c r="CE557" s="122">
        <f>FUR[[#This Row],[Part Type]]</f>
        <v>0</v>
      </c>
      <c r="CF557" s="122">
        <f>FUR[[#This Row],[Chemicals]]</f>
        <v>0</v>
      </c>
      <c r="CG557" s="122">
        <f>FUR[[#This Row],[UID]]</f>
        <v>0</v>
      </c>
      <c r="CK557" s="82" t="str">
        <f>IF(FUR[[#This Row],[Status]]=0,"",FUR[[#This Row],[Status]])</f>
        <v/>
      </c>
    </row>
    <row r="558" spans="79:89">
      <c r="CA558" s="1" t="s">
        <v>71</v>
      </c>
      <c r="CB558" s="1" t="s">
        <v>18</v>
      </c>
      <c r="CC558" s="1" t="s">
        <v>132</v>
      </c>
      <c r="CE558" s="122">
        <f>FUR[[#This Row],[Part Type]]</f>
        <v>0</v>
      </c>
      <c r="CF558" s="122">
        <f>FUR[[#This Row],[Chemicals]]</f>
        <v>0</v>
      </c>
      <c r="CG558" s="122">
        <f>FUR[[#This Row],[UID]]</f>
        <v>0</v>
      </c>
      <c r="CK558" s="82" t="str">
        <f>IF(FUR[[#This Row],[Status]]=0,"",FUR[[#This Row],[Status]])</f>
        <v/>
      </c>
    </row>
    <row r="559" spans="79:89">
      <c r="CA559" s="1" t="s">
        <v>71</v>
      </c>
      <c r="CB559" s="1" t="s">
        <v>18</v>
      </c>
      <c r="CC559" s="1" t="s">
        <v>132</v>
      </c>
      <c r="CE559" s="122">
        <f>FUR[[#This Row],[Part Type]]</f>
        <v>0</v>
      </c>
      <c r="CF559" s="122">
        <f>FUR[[#This Row],[Chemicals]]</f>
        <v>0</v>
      </c>
      <c r="CG559" s="122">
        <f>FUR[[#This Row],[UID]]</f>
        <v>0</v>
      </c>
      <c r="CK559" s="82" t="str">
        <f>IF(FUR[[#This Row],[Status]]=0,"",FUR[[#This Row],[Status]])</f>
        <v/>
      </c>
    </row>
    <row r="560" spans="79:89">
      <c r="CA560" s="1" t="s">
        <v>71</v>
      </c>
      <c r="CB560" s="1" t="s">
        <v>18</v>
      </c>
      <c r="CC560" s="1" t="s">
        <v>132</v>
      </c>
      <c r="CE560" s="122">
        <f>FUR[[#This Row],[Part Type]]</f>
        <v>0</v>
      </c>
      <c r="CF560" s="122">
        <f>FUR[[#This Row],[Chemicals]]</f>
        <v>0</v>
      </c>
      <c r="CG560" s="122">
        <f>FUR[[#This Row],[UID]]</f>
        <v>0</v>
      </c>
      <c r="CK560" s="82" t="str">
        <f>IF(FUR[[#This Row],[Status]]=0,"",FUR[[#This Row],[Status]])</f>
        <v/>
      </c>
    </row>
    <row r="561" spans="79:89">
      <c r="CA561" s="1" t="s">
        <v>71</v>
      </c>
      <c r="CB561" s="1" t="s">
        <v>18</v>
      </c>
      <c r="CC561" s="1" t="s">
        <v>132</v>
      </c>
      <c r="CE561" s="122">
        <f>FUR[[#This Row],[Part Type]]</f>
        <v>0</v>
      </c>
      <c r="CF561" s="122">
        <f>FUR[[#This Row],[Chemicals]]</f>
        <v>0</v>
      </c>
      <c r="CG561" s="122">
        <f>FUR[[#This Row],[UID]]</f>
        <v>0</v>
      </c>
      <c r="CK561" s="82" t="str">
        <f>IF(FUR[[#This Row],[Status]]=0,"",FUR[[#This Row],[Status]])</f>
        <v/>
      </c>
    </row>
    <row r="562" spans="79:89">
      <c r="CA562" s="1" t="s">
        <v>71</v>
      </c>
      <c r="CB562" s="1" t="s">
        <v>18</v>
      </c>
      <c r="CC562" s="1" t="s">
        <v>132</v>
      </c>
      <c r="CE562" s="122">
        <f>FUR[[#This Row],[Part Type]]</f>
        <v>0</v>
      </c>
      <c r="CF562" s="122">
        <f>FUR[[#This Row],[Chemicals]]</f>
        <v>0</v>
      </c>
      <c r="CG562" s="122">
        <f>FUR[[#This Row],[UID]]</f>
        <v>0</v>
      </c>
      <c r="CK562" s="82" t="str">
        <f>IF(FUR[[#This Row],[Status]]=0,"",FUR[[#This Row],[Status]])</f>
        <v/>
      </c>
    </row>
    <row r="563" spans="79:89">
      <c r="CA563" s="1" t="s">
        <v>71</v>
      </c>
      <c r="CB563" s="1" t="s">
        <v>18</v>
      </c>
      <c r="CC563" s="1" t="s">
        <v>132</v>
      </c>
      <c r="CE563" s="122">
        <f>FUR[[#This Row],[Part Type]]</f>
        <v>0</v>
      </c>
      <c r="CF563" s="122">
        <f>FUR[[#This Row],[Chemicals]]</f>
        <v>0</v>
      </c>
      <c r="CG563" s="122">
        <f>FUR[[#This Row],[UID]]</f>
        <v>0</v>
      </c>
      <c r="CK563" s="82" t="str">
        <f>IF(FUR[[#This Row],[Status]]=0,"",FUR[[#This Row],[Status]])</f>
        <v/>
      </c>
    </row>
    <row r="564" spans="79:89">
      <c r="CA564" s="1" t="s">
        <v>71</v>
      </c>
      <c r="CB564" s="1" t="s">
        <v>18</v>
      </c>
      <c r="CC564" s="1" t="s">
        <v>132</v>
      </c>
      <c r="CE564" s="122">
        <f>FUR[[#This Row],[Part Type]]</f>
        <v>0</v>
      </c>
      <c r="CF564" s="122">
        <f>FUR[[#This Row],[Chemicals]]</f>
        <v>0</v>
      </c>
      <c r="CG564" s="122">
        <f>FUR[[#This Row],[UID]]</f>
        <v>0</v>
      </c>
      <c r="CK564" s="82" t="str">
        <f>IF(FUR[[#This Row],[Status]]=0,"",FUR[[#This Row],[Status]])</f>
        <v/>
      </c>
    </row>
    <row r="565" spans="79:89">
      <c r="CA565" s="1" t="s">
        <v>71</v>
      </c>
      <c r="CB565" s="1" t="s">
        <v>18</v>
      </c>
      <c r="CC565" s="1" t="s">
        <v>132</v>
      </c>
      <c r="CE565" s="122">
        <f>FUR[[#This Row],[Part Type]]</f>
        <v>0</v>
      </c>
      <c r="CF565" s="122">
        <f>FUR[[#This Row],[Chemicals]]</f>
        <v>0</v>
      </c>
      <c r="CG565" s="122">
        <f>FUR[[#This Row],[UID]]</f>
        <v>0</v>
      </c>
      <c r="CK565" s="82" t="str">
        <f>IF(FUR[[#This Row],[Status]]=0,"",FUR[[#This Row],[Status]])</f>
        <v/>
      </c>
    </row>
    <row r="566" spans="79:89">
      <c r="CA566" s="1" t="s">
        <v>71</v>
      </c>
      <c r="CB566" s="1" t="s">
        <v>18</v>
      </c>
      <c r="CC566" s="1" t="s">
        <v>132</v>
      </c>
      <c r="CE566" s="122">
        <f>FUR[[#This Row],[Part Type]]</f>
        <v>0</v>
      </c>
      <c r="CF566" s="122">
        <f>FUR[[#This Row],[Chemicals]]</f>
        <v>0</v>
      </c>
      <c r="CG566" s="122">
        <f>FUR[[#This Row],[UID]]</f>
        <v>0</v>
      </c>
      <c r="CK566" s="82" t="str">
        <f>IF(FUR[[#This Row],[Status]]=0,"",FUR[[#This Row],[Status]])</f>
        <v/>
      </c>
    </row>
    <row r="567" spans="79:89">
      <c r="CA567" s="1" t="s">
        <v>71</v>
      </c>
      <c r="CB567" s="1" t="s">
        <v>18</v>
      </c>
      <c r="CC567" s="1" t="s">
        <v>132</v>
      </c>
      <c r="CE567" s="122">
        <f>FUR[[#This Row],[Part Type]]</f>
        <v>0</v>
      </c>
      <c r="CF567" s="122">
        <f>FUR[[#This Row],[Chemicals]]</f>
        <v>0</v>
      </c>
      <c r="CG567" s="122">
        <f>FUR[[#This Row],[UID]]</f>
        <v>0</v>
      </c>
      <c r="CK567" s="82" t="str">
        <f>IF(FUR[[#This Row],[Status]]=0,"",FUR[[#This Row],[Status]])</f>
        <v/>
      </c>
    </row>
    <row r="568" spans="79:89">
      <c r="CA568" s="1" t="s">
        <v>71</v>
      </c>
      <c r="CB568" s="1" t="s">
        <v>18</v>
      </c>
      <c r="CC568" s="1" t="s">
        <v>132</v>
      </c>
      <c r="CE568" s="122">
        <f>FUR[[#This Row],[Part Type]]</f>
        <v>0</v>
      </c>
      <c r="CF568" s="122">
        <f>FUR[[#This Row],[Chemicals]]</f>
        <v>0</v>
      </c>
      <c r="CG568" s="122">
        <f>FUR[[#This Row],[UID]]</f>
        <v>0</v>
      </c>
      <c r="CK568" s="82" t="str">
        <f>IF(FUR[[#This Row],[Status]]=0,"",FUR[[#This Row],[Status]])</f>
        <v/>
      </c>
    </row>
    <row r="569" spans="79:89">
      <c r="CA569" s="1" t="s">
        <v>71</v>
      </c>
      <c r="CB569" s="1" t="s">
        <v>18</v>
      </c>
      <c r="CC569" s="1" t="s">
        <v>132</v>
      </c>
      <c r="CE569" s="122">
        <f>FUR[[#This Row],[Part Type]]</f>
        <v>0</v>
      </c>
      <c r="CF569" s="122">
        <f>FUR[[#This Row],[Chemicals]]</f>
        <v>0</v>
      </c>
      <c r="CG569" s="122">
        <f>FUR[[#This Row],[UID]]</f>
        <v>0</v>
      </c>
      <c r="CK569" s="82" t="str">
        <f>IF(FUR[[#This Row],[Status]]=0,"",FUR[[#This Row],[Status]])</f>
        <v/>
      </c>
    </row>
    <row r="570" spans="79:89">
      <c r="CA570" s="1" t="s">
        <v>71</v>
      </c>
      <c r="CB570" s="1" t="s">
        <v>18</v>
      </c>
      <c r="CC570" s="1" t="s">
        <v>132</v>
      </c>
      <c r="CE570" s="122">
        <f>FUR[[#This Row],[Part Type]]</f>
        <v>0</v>
      </c>
      <c r="CF570" s="122">
        <f>FUR[[#This Row],[Chemicals]]</f>
        <v>0</v>
      </c>
      <c r="CG570" s="122">
        <f>FUR[[#This Row],[UID]]</f>
        <v>0</v>
      </c>
      <c r="CK570" s="82" t="str">
        <f>IF(FUR[[#This Row],[Status]]=0,"",FUR[[#This Row],[Status]])</f>
        <v/>
      </c>
    </row>
    <row r="571" spans="79:89">
      <c r="CA571" s="1" t="s">
        <v>71</v>
      </c>
      <c r="CB571" s="1" t="s">
        <v>18</v>
      </c>
      <c r="CC571" s="1" t="s">
        <v>132</v>
      </c>
      <c r="CE571" s="122">
        <f>FUR[[#This Row],[Part Type]]</f>
        <v>0</v>
      </c>
      <c r="CF571" s="122">
        <f>FUR[[#This Row],[Chemicals]]</f>
        <v>0</v>
      </c>
      <c r="CG571" s="122">
        <f>FUR[[#This Row],[UID]]</f>
        <v>0</v>
      </c>
      <c r="CK571" s="82" t="str">
        <f>IF(FUR[[#This Row],[Status]]=0,"",FUR[[#This Row],[Status]])</f>
        <v/>
      </c>
    </row>
    <row r="572" spans="79:89">
      <c r="CA572" s="1" t="s">
        <v>71</v>
      </c>
      <c r="CB572" s="1" t="s">
        <v>18</v>
      </c>
      <c r="CC572" s="1" t="s">
        <v>132</v>
      </c>
      <c r="CE572" s="122">
        <f>FUR[[#This Row],[Part Type]]</f>
        <v>0</v>
      </c>
      <c r="CF572" s="122">
        <f>FUR[[#This Row],[Chemicals]]</f>
        <v>0</v>
      </c>
      <c r="CG572" s="122">
        <f>FUR[[#This Row],[UID]]</f>
        <v>0</v>
      </c>
      <c r="CK572" s="82" t="str">
        <f>IF(FUR[[#This Row],[Status]]=0,"",FUR[[#This Row],[Status]])</f>
        <v/>
      </c>
    </row>
    <row r="573" spans="79:89">
      <c r="CA573" s="1" t="s">
        <v>71</v>
      </c>
      <c r="CB573" s="1" t="s">
        <v>18</v>
      </c>
      <c r="CC573" s="1" t="s">
        <v>132</v>
      </c>
      <c r="CE573" s="122">
        <f>FUR[[#This Row],[Part Type]]</f>
        <v>0</v>
      </c>
      <c r="CF573" s="122">
        <f>FUR[[#This Row],[Chemicals]]</f>
        <v>0</v>
      </c>
      <c r="CG573" s="122">
        <f>FUR[[#This Row],[UID]]</f>
        <v>0</v>
      </c>
      <c r="CK573" s="82" t="str">
        <f>IF(FUR[[#This Row],[Status]]=0,"",FUR[[#This Row],[Status]])</f>
        <v/>
      </c>
    </row>
    <row r="574" spans="79:89">
      <c r="CA574" s="1" t="s">
        <v>71</v>
      </c>
      <c r="CB574" s="1" t="s">
        <v>18</v>
      </c>
      <c r="CC574" s="1" t="s">
        <v>132</v>
      </c>
      <c r="CE574" s="122">
        <f>FUR[[#This Row],[Part Type]]</f>
        <v>0</v>
      </c>
      <c r="CF574" s="122">
        <f>FUR[[#This Row],[Chemicals]]</f>
        <v>0</v>
      </c>
      <c r="CG574" s="122">
        <f>FUR[[#This Row],[UID]]</f>
        <v>0</v>
      </c>
      <c r="CK574" s="82" t="str">
        <f>IF(FUR[[#This Row],[Status]]=0,"",FUR[[#This Row],[Status]])</f>
        <v/>
      </c>
    </row>
    <row r="575" spans="79:89">
      <c r="CA575" s="1" t="s">
        <v>71</v>
      </c>
      <c r="CB575" s="1" t="s">
        <v>18</v>
      </c>
      <c r="CC575" s="1" t="s">
        <v>132</v>
      </c>
      <c r="CE575" s="122">
        <f>FUR[[#This Row],[Part Type]]</f>
        <v>0</v>
      </c>
      <c r="CF575" s="122">
        <f>FUR[[#This Row],[Chemicals]]</f>
        <v>0</v>
      </c>
      <c r="CG575" s="122">
        <f>FUR[[#This Row],[UID]]</f>
        <v>0</v>
      </c>
      <c r="CK575" s="82" t="str">
        <f>IF(FUR[[#This Row],[Status]]=0,"",FUR[[#This Row],[Status]])</f>
        <v/>
      </c>
    </row>
    <row r="576" spans="79:89">
      <c r="CA576" s="1" t="s">
        <v>71</v>
      </c>
      <c r="CB576" s="1" t="s">
        <v>18</v>
      </c>
      <c r="CC576" s="1" t="s">
        <v>132</v>
      </c>
      <c r="CE576" s="122">
        <f>FUR[[#This Row],[Part Type]]</f>
        <v>0</v>
      </c>
      <c r="CF576" s="122">
        <f>FUR[[#This Row],[Chemicals]]</f>
        <v>0</v>
      </c>
      <c r="CG576" s="122">
        <f>FUR[[#This Row],[UID]]</f>
        <v>0</v>
      </c>
      <c r="CK576" s="82" t="str">
        <f>IF(FUR[[#This Row],[Status]]=0,"",FUR[[#This Row],[Status]])</f>
        <v/>
      </c>
    </row>
    <row r="577" spans="79:89">
      <c r="CA577" s="1" t="s">
        <v>71</v>
      </c>
      <c r="CB577" s="1" t="s">
        <v>18</v>
      </c>
      <c r="CC577" s="1" t="s">
        <v>132</v>
      </c>
      <c r="CE577" s="122">
        <f>FUR[[#This Row],[Part Type]]</f>
        <v>0</v>
      </c>
      <c r="CF577" s="122">
        <f>FUR[[#This Row],[Chemicals]]</f>
        <v>0</v>
      </c>
      <c r="CG577" s="122">
        <f>FUR[[#This Row],[UID]]</f>
        <v>0</v>
      </c>
      <c r="CK577" s="82" t="str">
        <f>IF(FUR[[#This Row],[Status]]=0,"",FUR[[#This Row],[Status]])</f>
        <v/>
      </c>
    </row>
    <row r="578" spans="79:89">
      <c r="CA578" s="1" t="s">
        <v>71</v>
      </c>
      <c r="CB578" s="1" t="s">
        <v>18</v>
      </c>
      <c r="CC578" s="1" t="s">
        <v>132</v>
      </c>
      <c r="CE578" s="122">
        <f>FUR[[#This Row],[Part Type]]</f>
        <v>0</v>
      </c>
      <c r="CF578" s="122">
        <f>FUR[[#This Row],[Chemicals]]</f>
        <v>0</v>
      </c>
      <c r="CG578" s="122">
        <f>FUR[[#This Row],[UID]]</f>
        <v>0</v>
      </c>
      <c r="CK578" s="82" t="str">
        <f>IF(FUR[[#This Row],[Status]]=0,"",FUR[[#This Row],[Status]])</f>
        <v/>
      </c>
    </row>
    <row r="579" spans="79:89">
      <c r="CA579" s="1" t="s">
        <v>71</v>
      </c>
      <c r="CB579" s="1" t="s">
        <v>18</v>
      </c>
      <c r="CC579" s="1" t="s">
        <v>132</v>
      </c>
      <c r="CE579" s="122">
        <f>FUR[[#This Row],[Part Type]]</f>
        <v>0</v>
      </c>
      <c r="CF579" s="122">
        <f>FUR[[#This Row],[Chemicals]]</f>
        <v>0</v>
      </c>
      <c r="CG579" s="122">
        <f>FUR[[#This Row],[UID]]</f>
        <v>0</v>
      </c>
      <c r="CK579" s="82" t="str">
        <f>IF(FUR[[#This Row],[Status]]=0,"",FUR[[#This Row],[Status]])</f>
        <v/>
      </c>
    </row>
    <row r="580" spans="79:89">
      <c r="CA580" s="1" t="s">
        <v>71</v>
      </c>
      <c r="CB580" s="1" t="s">
        <v>18</v>
      </c>
      <c r="CC580" s="1" t="s">
        <v>132</v>
      </c>
      <c r="CE580" s="122">
        <f>FUR[[#This Row],[Part Type]]</f>
        <v>0</v>
      </c>
      <c r="CF580" s="122">
        <f>FUR[[#This Row],[Chemicals]]</f>
        <v>0</v>
      </c>
      <c r="CG580" s="122">
        <f>FUR[[#This Row],[UID]]</f>
        <v>0</v>
      </c>
      <c r="CK580" s="82" t="str">
        <f>IF(FUR[[#This Row],[Status]]=0,"",FUR[[#This Row],[Status]])</f>
        <v/>
      </c>
    </row>
    <row r="581" spans="79:89">
      <c r="CA581" s="1" t="s">
        <v>71</v>
      </c>
      <c r="CB581" s="1" t="s">
        <v>18</v>
      </c>
      <c r="CC581" s="1" t="s">
        <v>132</v>
      </c>
      <c r="CE581" s="122">
        <f>FUR[[#This Row],[Part Type]]</f>
        <v>0</v>
      </c>
      <c r="CF581" s="122">
        <f>FUR[[#This Row],[Chemicals]]</f>
        <v>0</v>
      </c>
      <c r="CG581" s="122">
        <f>FUR[[#This Row],[UID]]</f>
        <v>0</v>
      </c>
      <c r="CK581" s="82" t="str">
        <f>IF(FUR[[#This Row],[Status]]=0,"",FUR[[#This Row],[Status]])</f>
        <v/>
      </c>
    </row>
    <row r="582" spans="79:89">
      <c r="CA582" s="1" t="s">
        <v>71</v>
      </c>
      <c r="CB582" s="1" t="s">
        <v>18</v>
      </c>
      <c r="CC582" s="1" t="s">
        <v>132</v>
      </c>
      <c r="CE582" s="122">
        <f>FUR[[#This Row],[Part Type]]</f>
        <v>0</v>
      </c>
      <c r="CF582" s="122">
        <f>FUR[[#This Row],[Chemicals]]</f>
        <v>0</v>
      </c>
      <c r="CG582" s="122">
        <f>FUR[[#This Row],[UID]]</f>
        <v>0</v>
      </c>
      <c r="CK582" s="82" t="str">
        <f>IF(FUR[[#This Row],[Status]]=0,"",FUR[[#This Row],[Status]])</f>
        <v/>
      </c>
    </row>
    <row r="583" spans="79:89">
      <c r="CA583" s="1" t="s">
        <v>71</v>
      </c>
      <c r="CB583" s="1" t="s">
        <v>18</v>
      </c>
      <c r="CC583" s="1" t="s">
        <v>132</v>
      </c>
      <c r="CE583" s="122">
        <f>FUR[[#This Row],[Part Type]]</f>
        <v>0</v>
      </c>
      <c r="CF583" s="122">
        <f>FUR[[#This Row],[Chemicals]]</f>
        <v>0</v>
      </c>
      <c r="CG583" s="122">
        <f>FUR[[#This Row],[UID]]</f>
        <v>0</v>
      </c>
      <c r="CK583" s="82" t="str">
        <f>IF(FUR[[#This Row],[Status]]=0,"",FUR[[#This Row],[Status]])</f>
        <v/>
      </c>
    </row>
    <row r="584" spans="79:89">
      <c r="CA584" s="1" t="s">
        <v>71</v>
      </c>
      <c r="CB584" s="1" t="s">
        <v>18</v>
      </c>
      <c r="CC584" s="1" t="s">
        <v>132</v>
      </c>
      <c r="CE584" s="122">
        <f>FUR[[#This Row],[Part Type]]</f>
        <v>0</v>
      </c>
      <c r="CF584" s="122">
        <f>FUR[[#This Row],[Chemicals]]</f>
        <v>0</v>
      </c>
      <c r="CG584" s="122">
        <f>FUR[[#This Row],[UID]]</f>
        <v>0</v>
      </c>
      <c r="CK584" s="82" t="str">
        <f>IF(FUR[[#This Row],[Status]]=0,"",FUR[[#This Row],[Status]])</f>
        <v/>
      </c>
    </row>
    <row r="585" spans="79:89">
      <c r="CA585" s="1" t="s">
        <v>71</v>
      </c>
      <c r="CB585" s="1" t="s">
        <v>18</v>
      </c>
      <c r="CC585" s="1" t="s">
        <v>132</v>
      </c>
      <c r="CE585" s="122">
        <f>FUR[[#This Row],[Part Type]]</f>
        <v>0</v>
      </c>
      <c r="CF585" s="122">
        <f>FUR[[#This Row],[Chemicals]]</f>
        <v>0</v>
      </c>
      <c r="CG585" s="122">
        <f>FUR[[#This Row],[UID]]</f>
        <v>0</v>
      </c>
      <c r="CK585" s="82" t="str">
        <f>IF(FUR[[#This Row],[Status]]=0,"",FUR[[#This Row],[Status]])</f>
        <v/>
      </c>
    </row>
    <row r="586" spans="79:89">
      <c r="CA586" s="1" t="s">
        <v>71</v>
      </c>
      <c r="CB586" s="1" t="s">
        <v>18</v>
      </c>
      <c r="CC586" s="1" t="s">
        <v>132</v>
      </c>
      <c r="CE586" s="122">
        <f>FUR[[#This Row],[Part Type]]</f>
        <v>0</v>
      </c>
      <c r="CF586" s="122">
        <f>FUR[[#This Row],[Chemicals]]</f>
        <v>0</v>
      </c>
      <c r="CG586" s="122">
        <f>FUR[[#This Row],[UID]]</f>
        <v>0</v>
      </c>
      <c r="CK586" s="82" t="str">
        <f>IF(FUR[[#This Row],[Status]]=0,"",FUR[[#This Row],[Status]])</f>
        <v/>
      </c>
    </row>
    <row r="587" spans="79:89">
      <c r="CA587" s="1" t="s">
        <v>71</v>
      </c>
      <c r="CB587" s="1" t="s">
        <v>18</v>
      </c>
      <c r="CC587" s="1" t="s">
        <v>132</v>
      </c>
      <c r="CE587" s="122">
        <f>FUR[[#This Row],[Part Type]]</f>
        <v>0</v>
      </c>
      <c r="CF587" s="122">
        <f>FUR[[#This Row],[Chemicals]]</f>
        <v>0</v>
      </c>
      <c r="CG587" s="122">
        <f>FUR[[#This Row],[UID]]</f>
        <v>0</v>
      </c>
      <c r="CK587" s="82" t="str">
        <f>IF(FUR[[#This Row],[Status]]=0,"",FUR[[#This Row],[Status]])</f>
        <v/>
      </c>
    </row>
    <row r="588" spans="79:89">
      <c r="CA588" s="1" t="s">
        <v>71</v>
      </c>
      <c r="CB588" s="1" t="s">
        <v>18</v>
      </c>
      <c r="CC588" s="1" t="s">
        <v>132</v>
      </c>
      <c r="CE588" s="122">
        <f>FUR[[#This Row],[Part Type]]</f>
        <v>0</v>
      </c>
      <c r="CF588" s="122">
        <f>FUR[[#This Row],[Chemicals]]</f>
        <v>0</v>
      </c>
      <c r="CG588" s="122">
        <f>FUR[[#This Row],[UID]]</f>
        <v>0</v>
      </c>
      <c r="CK588" s="82" t="str">
        <f>IF(FUR[[#This Row],[Status]]=0,"",FUR[[#This Row],[Status]])</f>
        <v/>
      </c>
    </row>
    <row r="589" spans="79:89">
      <c r="CA589" s="1" t="s">
        <v>71</v>
      </c>
      <c r="CB589" s="1" t="s">
        <v>18</v>
      </c>
      <c r="CC589" s="1" t="s">
        <v>132</v>
      </c>
      <c r="CE589" s="122">
        <f>FUR[[#This Row],[Part Type]]</f>
        <v>0</v>
      </c>
      <c r="CF589" s="122">
        <f>FUR[[#This Row],[Chemicals]]</f>
        <v>0</v>
      </c>
      <c r="CG589" s="122">
        <f>FUR[[#This Row],[UID]]</f>
        <v>0</v>
      </c>
      <c r="CK589" s="82" t="str">
        <f>IF(FUR[[#This Row],[Status]]=0,"",FUR[[#This Row],[Status]])</f>
        <v/>
      </c>
    </row>
    <row r="590" spans="79:89">
      <c r="CA590" s="1" t="s">
        <v>71</v>
      </c>
      <c r="CB590" s="1" t="s">
        <v>18</v>
      </c>
      <c r="CC590" s="1" t="s">
        <v>132</v>
      </c>
      <c r="CE590" s="122">
        <f>FUR[[#This Row],[Part Type]]</f>
        <v>0</v>
      </c>
      <c r="CF590" s="122">
        <f>FUR[[#This Row],[Chemicals]]</f>
        <v>0</v>
      </c>
      <c r="CG590" s="122">
        <f>FUR[[#This Row],[UID]]</f>
        <v>0</v>
      </c>
      <c r="CK590" s="82" t="str">
        <f>IF(FUR[[#This Row],[Status]]=0,"",FUR[[#This Row],[Status]])</f>
        <v/>
      </c>
    </row>
    <row r="591" spans="79:89">
      <c r="CA591" s="1" t="s">
        <v>71</v>
      </c>
      <c r="CB591" s="1" t="s">
        <v>18</v>
      </c>
      <c r="CC591" s="1" t="s">
        <v>132</v>
      </c>
      <c r="CE591" s="122">
        <f>FUR[[#This Row],[Part Type]]</f>
        <v>0</v>
      </c>
      <c r="CF591" s="122">
        <f>FUR[[#This Row],[Chemicals]]</f>
        <v>0</v>
      </c>
      <c r="CG591" s="122">
        <f>FUR[[#This Row],[UID]]</f>
        <v>0</v>
      </c>
      <c r="CK591" s="82" t="str">
        <f>IF(FUR[[#This Row],[Status]]=0,"",FUR[[#This Row],[Status]])</f>
        <v/>
      </c>
    </row>
    <row r="592" spans="79:89">
      <c r="CA592" s="1" t="s">
        <v>71</v>
      </c>
      <c r="CB592" s="1" t="s">
        <v>18</v>
      </c>
      <c r="CC592" s="1" t="s">
        <v>132</v>
      </c>
      <c r="CE592" s="122">
        <f>FUR[[#This Row],[Part Type]]</f>
        <v>0</v>
      </c>
      <c r="CF592" s="122">
        <f>FUR[[#This Row],[Chemicals]]</f>
        <v>0</v>
      </c>
      <c r="CG592" s="122">
        <f>FUR[[#This Row],[UID]]</f>
        <v>0</v>
      </c>
      <c r="CK592" s="82" t="str">
        <f>IF(FUR[[#This Row],[Status]]=0,"",FUR[[#This Row],[Status]])</f>
        <v/>
      </c>
    </row>
    <row r="593" spans="79:89">
      <c r="CA593" s="1" t="s">
        <v>71</v>
      </c>
      <c r="CB593" s="1" t="s">
        <v>18</v>
      </c>
      <c r="CC593" s="1" t="s">
        <v>132</v>
      </c>
      <c r="CE593" s="122">
        <f>FUR[[#This Row],[Part Type]]</f>
        <v>0</v>
      </c>
      <c r="CF593" s="122">
        <f>FUR[[#This Row],[Chemicals]]</f>
        <v>0</v>
      </c>
      <c r="CG593" s="122">
        <f>FUR[[#This Row],[UID]]</f>
        <v>0</v>
      </c>
      <c r="CK593" s="82" t="str">
        <f>IF(FUR[[#This Row],[Status]]=0,"",FUR[[#This Row],[Status]])</f>
        <v/>
      </c>
    </row>
    <row r="594" spans="79:89">
      <c r="CA594" s="1" t="s">
        <v>71</v>
      </c>
      <c r="CB594" s="1" t="s">
        <v>18</v>
      </c>
      <c r="CC594" s="1" t="s">
        <v>132</v>
      </c>
      <c r="CE594" s="122">
        <f>FUR[[#This Row],[Part Type]]</f>
        <v>0</v>
      </c>
      <c r="CF594" s="122">
        <f>FUR[[#This Row],[Chemicals]]</f>
        <v>0</v>
      </c>
      <c r="CG594" s="122">
        <f>FUR[[#This Row],[UID]]</f>
        <v>0</v>
      </c>
      <c r="CK594" s="82" t="str">
        <f>IF(FUR[[#This Row],[Status]]=0,"",FUR[[#This Row],[Status]])</f>
        <v/>
      </c>
    </row>
    <row r="595" spans="79:89">
      <c r="CA595" s="1" t="s">
        <v>71</v>
      </c>
      <c r="CB595" s="1" t="s">
        <v>18</v>
      </c>
      <c r="CC595" s="1" t="s">
        <v>132</v>
      </c>
      <c r="CE595" s="122">
        <f>FUR[[#This Row],[Part Type]]</f>
        <v>0</v>
      </c>
      <c r="CF595" s="122">
        <f>FUR[[#This Row],[Chemicals]]</f>
        <v>0</v>
      </c>
      <c r="CG595" s="122">
        <f>FUR[[#This Row],[UID]]</f>
        <v>0</v>
      </c>
      <c r="CK595" s="82" t="str">
        <f>IF(FUR[[#This Row],[Status]]=0,"",FUR[[#This Row],[Status]])</f>
        <v/>
      </c>
    </row>
    <row r="596" spans="79:89">
      <c r="CA596" s="1" t="s">
        <v>71</v>
      </c>
      <c r="CB596" s="1" t="s">
        <v>18</v>
      </c>
      <c r="CC596" s="1" t="s">
        <v>132</v>
      </c>
      <c r="CE596" s="122">
        <f>FUR[[#This Row],[Part Type]]</f>
        <v>0</v>
      </c>
      <c r="CF596" s="122">
        <f>FUR[[#This Row],[Chemicals]]</f>
        <v>0</v>
      </c>
      <c r="CG596" s="122">
        <f>FUR[[#This Row],[UID]]</f>
        <v>0</v>
      </c>
      <c r="CK596" s="82" t="str">
        <f>IF(FUR[[#This Row],[Status]]=0,"",FUR[[#This Row],[Status]])</f>
        <v/>
      </c>
    </row>
    <row r="597" spans="79:89">
      <c r="CA597" s="1" t="s">
        <v>71</v>
      </c>
      <c r="CB597" s="1" t="s">
        <v>18</v>
      </c>
      <c r="CC597" s="1" t="s">
        <v>132</v>
      </c>
      <c r="CE597" s="122">
        <f>FUR[[#This Row],[Part Type]]</f>
        <v>0</v>
      </c>
      <c r="CF597" s="122">
        <f>FUR[[#This Row],[Chemicals]]</f>
        <v>0</v>
      </c>
      <c r="CG597" s="122">
        <f>FUR[[#This Row],[UID]]</f>
        <v>0</v>
      </c>
      <c r="CK597" s="82" t="str">
        <f>IF(FUR[[#This Row],[Status]]=0,"",FUR[[#This Row],[Status]])</f>
        <v/>
      </c>
    </row>
    <row r="598" spans="79:89">
      <c r="CA598" s="1" t="s">
        <v>71</v>
      </c>
      <c r="CB598" s="1" t="s">
        <v>18</v>
      </c>
      <c r="CC598" s="1" t="s">
        <v>132</v>
      </c>
      <c r="CE598" s="122">
        <f>FUR[[#This Row],[Part Type]]</f>
        <v>0</v>
      </c>
      <c r="CF598" s="122">
        <f>FUR[[#This Row],[Chemicals]]</f>
        <v>0</v>
      </c>
      <c r="CG598" s="122">
        <f>FUR[[#This Row],[UID]]</f>
        <v>0</v>
      </c>
      <c r="CK598" s="82" t="str">
        <f>IF(FUR[[#This Row],[Status]]=0,"",FUR[[#This Row],[Status]])</f>
        <v/>
      </c>
    </row>
    <row r="599" spans="79:89">
      <c r="CA599" s="1" t="s">
        <v>71</v>
      </c>
      <c r="CB599" s="1" t="s">
        <v>18</v>
      </c>
      <c r="CC599" s="1" t="s">
        <v>132</v>
      </c>
      <c r="CE599" s="122">
        <f>FUR[[#This Row],[Part Type]]</f>
        <v>0</v>
      </c>
      <c r="CF599" s="122">
        <f>FUR[[#This Row],[Chemicals]]</f>
        <v>0</v>
      </c>
      <c r="CG599" s="122">
        <f>FUR[[#This Row],[UID]]</f>
        <v>0</v>
      </c>
      <c r="CK599" s="82" t="str">
        <f>IF(FUR[[#This Row],[Status]]=0,"",FUR[[#This Row],[Status]])</f>
        <v/>
      </c>
    </row>
    <row r="600" spans="79:89">
      <c r="CA600" s="1" t="s">
        <v>71</v>
      </c>
      <c r="CB600" s="1" t="s">
        <v>18</v>
      </c>
      <c r="CC600" s="1" t="s">
        <v>132</v>
      </c>
      <c r="CE600" s="122">
        <f>FUR[[#This Row],[Part Type]]</f>
        <v>0</v>
      </c>
      <c r="CF600" s="122">
        <f>FUR[[#This Row],[Chemicals]]</f>
        <v>0</v>
      </c>
      <c r="CG600" s="122">
        <f>FUR[[#This Row],[UID]]</f>
        <v>0</v>
      </c>
      <c r="CK600" s="82" t="str">
        <f>IF(FUR[[#This Row],[Status]]=0,"",FUR[[#This Row],[Status]])</f>
        <v/>
      </c>
    </row>
    <row r="601" spans="79:89">
      <c r="CA601" s="1" t="s">
        <v>71</v>
      </c>
      <c r="CB601" s="1" t="s">
        <v>18</v>
      </c>
      <c r="CC601" s="1" t="s">
        <v>132</v>
      </c>
      <c r="CE601" s="122">
        <f>FUR[[#This Row],[Part Type]]</f>
        <v>0</v>
      </c>
      <c r="CF601" s="122">
        <f>FUR[[#This Row],[Chemicals]]</f>
        <v>0</v>
      </c>
      <c r="CG601" s="122">
        <f>FUR[[#This Row],[UID]]</f>
        <v>0</v>
      </c>
      <c r="CK601" s="82" t="str">
        <f>IF(FUR[[#This Row],[Status]]=0,"",FUR[[#This Row],[Status]])</f>
        <v/>
      </c>
    </row>
    <row r="602" spans="79:89">
      <c r="CA602" s="1" t="s">
        <v>71</v>
      </c>
      <c r="CB602" s="1" t="s">
        <v>18</v>
      </c>
      <c r="CC602" s="1" t="s">
        <v>132</v>
      </c>
      <c r="CE602" s="122">
        <f>FUR[[#This Row],[Part Type]]</f>
        <v>0</v>
      </c>
      <c r="CF602" s="122">
        <f>FUR[[#This Row],[Chemicals]]</f>
        <v>0</v>
      </c>
      <c r="CG602" s="122">
        <f>FUR[[#This Row],[UID]]</f>
        <v>0</v>
      </c>
      <c r="CK602" s="82" t="str">
        <f>IF(FUR[[#This Row],[Status]]=0,"",FUR[[#This Row],[Status]])</f>
        <v/>
      </c>
    </row>
    <row r="603" spans="79:89">
      <c r="CA603" s="1" t="s">
        <v>71</v>
      </c>
      <c r="CB603" s="1" t="s">
        <v>18</v>
      </c>
      <c r="CC603" s="1" t="s">
        <v>132</v>
      </c>
      <c r="CE603" s="122">
        <f>FUR[[#This Row],[Part Type]]</f>
        <v>0</v>
      </c>
      <c r="CF603" s="122">
        <f>FUR[[#This Row],[Chemicals]]</f>
        <v>0</v>
      </c>
      <c r="CG603" s="122">
        <f>FUR[[#This Row],[UID]]</f>
        <v>0</v>
      </c>
      <c r="CK603" s="82" t="str">
        <f>IF(FUR[[#This Row],[Status]]=0,"",FUR[[#This Row],[Status]])</f>
        <v/>
      </c>
    </row>
    <row r="604" spans="79:89">
      <c r="CA604" s="1" t="s">
        <v>71</v>
      </c>
      <c r="CB604" s="1" t="s">
        <v>18</v>
      </c>
      <c r="CC604" s="1" t="s">
        <v>132</v>
      </c>
      <c r="CE604" s="122">
        <f>FUR[[#This Row],[Part Type]]</f>
        <v>0</v>
      </c>
      <c r="CF604" s="122">
        <f>FUR[[#This Row],[Chemicals]]</f>
        <v>0</v>
      </c>
      <c r="CG604" s="122">
        <f>FUR[[#This Row],[UID]]</f>
        <v>0</v>
      </c>
      <c r="CK604" s="82" t="str">
        <f>IF(FUR[[#This Row],[Status]]=0,"",FUR[[#This Row],[Status]])</f>
        <v/>
      </c>
    </row>
    <row r="605" spans="79:89">
      <c r="CA605" s="1" t="s">
        <v>71</v>
      </c>
      <c r="CB605" s="1" t="s">
        <v>18</v>
      </c>
      <c r="CC605" s="1" t="s">
        <v>132</v>
      </c>
      <c r="CE605" s="122">
        <f>FUR[[#This Row],[Part Type]]</f>
        <v>0</v>
      </c>
      <c r="CF605" s="122">
        <f>FUR[[#This Row],[Chemicals]]</f>
        <v>0</v>
      </c>
      <c r="CG605" s="122">
        <f>FUR[[#This Row],[UID]]</f>
        <v>0</v>
      </c>
      <c r="CK605" s="82" t="str">
        <f>IF(FUR[[#This Row],[Status]]=0,"",FUR[[#This Row],[Status]])</f>
        <v/>
      </c>
    </row>
    <row r="606" spans="79:89">
      <c r="CA606" s="1" t="s">
        <v>71</v>
      </c>
      <c r="CB606" s="1" t="s">
        <v>18</v>
      </c>
      <c r="CC606" s="1" t="s">
        <v>132</v>
      </c>
      <c r="CE606" s="122">
        <f>FUR[[#This Row],[Part Type]]</f>
        <v>0</v>
      </c>
      <c r="CF606" s="122">
        <f>FUR[[#This Row],[Chemicals]]</f>
        <v>0</v>
      </c>
      <c r="CG606" s="122">
        <f>FUR[[#This Row],[UID]]</f>
        <v>0</v>
      </c>
      <c r="CK606" s="82" t="str">
        <f>IF(FUR[[#This Row],[Status]]=0,"",FUR[[#This Row],[Status]])</f>
        <v/>
      </c>
    </row>
    <row r="607" spans="79:89">
      <c r="CA607" s="1" t="s">
        <v>71</v>
      </c>
      <c r="CB607" s="1" t="s">
        <v>18</v>
      </c>
      <c r="CC607" s="1" t="s">
        <v>132</v>
      </c>
      <c r="CE607" s="122">
        <f>FUR[[#This Row],[Part Type]]</f>
        <v>0</v>
      </c>
      <c r="CF607" s="122">
        <f>FUR[[#This Row],[Chemicals]]</f>
        <v>0</v>
      </c>
      <c r="CG607" s="122">
        <f>FUR[[#This Row],[UID]]</f>
        <v>0</v>
      </c>
      <c r="CK607" s="82" t="str">
        <f>IF(FUR[[#This Row],[Status]]=0,"",FUR[[#This Row],[Status]])</f>
        <v/>
      </c>
    </row>
    <row r="608" spans="79:89">
      <c r="CA608" s="1" t="s">
        <v>71</v>
      </c>
      <c r="CB608" s="1" t="s">
        <v>18</v>
      </c>
      <c r="CC608" s="1" t="s">
        <v>132</v>
      </c>
      <c r="CE608" s="122">
        <f>FUR[[#This Row],[Part Type]]</f>
        <v>0</v>
      </c>
      <c r="CF608" s="122">
        <f>FUR[[#This Row],[Chemicals]]</f>
        <v>0</v>
      </c>
      <c r="CG608" s="122">
        <f>FUR[[#This Row],[UID]]</f>
        <v>0</v>
      </c>
      <c r="CK608" s="82" t="str">
        <f>IF(FUR[[#This Row],[Status]]=0,"",FUR[[#This Row],[Status]])</f>
        <v/>
      </c>
    </row>
    <row r="609" spans="79:89">
      <c r="CA609" s="1" t="s">
        <v>71</v>
      </c>
      <c r="CB609" s="1" t="s">
        <v>18</v>
      </c>
      <c r="CC609" s="1" t="s">
        <v>132</v>
      </c>
      <c r="CE609" s="122">
        <f>FUR[[#This Row],[Part Type]]</f>
        <v>0</v>
      </c>
      <c r="CF609" s="122">
        <f>FUR[[#This Row],[Chemicals]]</f>
        <v>0</v>
      </c>
      <c r="CG609" s="122">
        <f>FUR[[#This Row],[UID]]</f>
        <v>0</v>
      </c>
      <c r="CK609" s="82" t="str">
        <f>IF(FUR[[#This Row],[Status]]=0,"",FUR[[#This Row],[Status]])</f>
        <v/>
      </c>
    </row>
    <row r="610" spans="79:89">
      <c r="CA610" s="1" t="s">
        <v>71</v>
      </c>
      <c r="CB610" s="1" t="s">
        <v>18</v>
      </c>
      <c r="CC610" s="1" t="s">
        <v>132</v>
      </c>
      <c r="CE610" s="122">
        <f>FUR[[#This Row],[Part Type]]</f>
        <v>0</v>
      </c>
      <c r="CF610" s="122">
        <f>FUR[[#This Row],[Chemicals]]</f>
        <v>0</v>
      </c>
      <c r="CG610" s="122">
        <f>FUR[[#This Row],[UID]]</f>
        <v>0</v>
      </c>
      <c r="CK610" s="82" t="str">
        <f>IF(FUR[[#This Row],[Status]]=0,"",FUR[[#This Row],[Status]])</f>
        <v/>
      </c>
    </row>
    <row r="611" spans="79:89">
      <c r="CA611" s="1" t="s">
        <v>71</v>
      </c>
      <c r="CB611" s="1" t="s">
        <v>18</v>
      </c>
      <c r="CC611" s="1" t="s">
        <v>132</v>
      </c>
      <c r="CE611" s="122">
        <f>FUR[[#This Row],[Part Type]]</f>
        <v>0</v>
      </c>
      <c r="CF611" s="122">
        <f>FUR[[#This Row],[Chemicals]]</f>
        <v>0</v>
      </c>
      <c r="CG611" s="122">
        <f>FUR[[#This Row],[UID]]</f>
        <v>0</v>
      </c>
      <c r="CK611" s="82" t="str">
        <f>IF(FUR[[#This Row],[Status]]=0,"",FUR[[#This Row],[Status]])</f>
        <v/>
      </c>
    </row>
    <row r="612" spans="79:89">
      <c r="CA612" s="1" t="s">
        <v>71</v>
      </c>
      <c r="CB612" s="1" t="s">
        <v>18</v>
      </c>
      <c r="CC612" s="1" t="s">
        <v>132</v>
      </c>
      <c r="CE612" s="122">
        <f>FUR[[#This Row],[Part Type]]</f>
        <v>0</v>
      </c>
      <c r="CF612" s="122">
        <f>FUR[[#This Row],[Chemicals]]</f>
        <v>0</v>
      </c>
      <c r="CG612" s="122">
        <f>FUR[[#This Row],[UID]]</f>
        <v>0</v>
      </c>
      <c r="CK612" s="82" t="str">
        <f>IF(FUR[[#This Row],[Status]]=0,"",FUR[[#This Row],[Status]])</f>
        <v/>
      </c>
    </row>
    <row r="613" spans="79:89">
      <c r="CA613" s="1" t="s">
        <v>71</v>
      </c>
      <c r="CB613" s="1" t="s">
        <v>18</v>
      </c>
      <c r="CC613" s="1" t="s">
        <v>132</v>
      </c>
      <c r="CE613" s="122">
        <f>FUR[[#This Row],[Part Type]]</f>
        <v>0</v>
      </c>
      <c r="CF613" s="122">
        <f>FUR[[#This Row],[Chemicals]]</f>
        <v>0</v>
      </c>
      <c r="CG613" s="122">
        <f>FUR[[#This Row],[UID]]</f>
        <v>0</v>
      </c>
      <c r="CK613" s="82" t="str">
        <f>IF(FUR[[#This Row],[Status]]=0,"",FUR[[#This Row],[Status]])</f>
        <v/>
      </c>
    </row>
    <row r="614" spans="79:89">
      <c r="CA614" s="1" t="s">
        <v>71</v>
      </c>
      <c r="CB614" s="1" t="s">
        <v>18</v>
      </c>
      <c r="CC614" s="1" t="s">
        <v>132</v>
      </c>
      <c r="CE614" s="122">
        <f>FUR[[#This Row],[Part Type]]</f>
        <v>0</v>
      </c>
      <c r="CF614" s="122">
        <f>FUR[[#This Row],[Chemicals]]</f>
        <v>0</v>
      </c>
      <c r="CG614" s="122">
        <f>FUR[[#This Row],[UID]]</f>
        <v>0</v>
      </c>
      <c r="CK614" s="82" t="str">
        <f>IF(FUR[[#This Row],[Status]]=0,"",FUR[[#This Row],[Status]])</f>
        <v/>
      </c>
    </row>
    <row r="615" spans="79:89">
      <c r="CA615" s="1" t="s">
        <v>71</v>
      </c>
      <c r="CB615" s="1" t="s">
        <v>18</v>
      </c>
      <c r="CC615" s="1" t="s">
        <v>132</v>
      </c>
      <c r="CE615" s="122">
        <f>FUR[[#This Row],[Part Type]]</f>
        <v>0</v>
      </c>
      <c r="CF615" s="122">
        <f>FUR[[#This Row],[Chemicals]]</f>
        <v>0</v>
      </c>
      <c r="CG615" s="122">
        <f>FUR[[#This Row],[UID]]</f>
        <v>0</v>
      </c>
      <c r="CK615" s="82" t="str">
        <f>IF(FUR[[#This Row],[Status]]=0,"",FUR[[#This Row],[Status]])</f>
        <v/>
      </c>
    </row>
    <row r="616" spans="79:89">
      <c r="CA616" s="1" t="s">
        <v>71</v>
      </c>
      <c r="CB616" s="1" t="s">
        <v>18</v>
      </c>
      <c r="CC616" s="1" t="s">
        <v>132</v>
      </c>
      <c r="CE616" s="122">
        <f>FUR[[#This Row],[Part Type]]</f>
        <v>0</v>
      </c>
      <c r="CF616" s="122">
        <f>FUR[[#This Row],[Chemicals]]</f>
        <v>0</v>
      </c>
      <c r="CG616" s="122">
        <f>FUR[[#This Row],[UID]]</f>
        <v>0</v>
      </c>
      <c r="CK616" s="82" t="str">
        <f>IF(FUR[[#This Row],[Status]]=0,"",FUR[[#This Row],[Status]])</f>
        <v/>
      </c>
    </row>
    <row r="617" spans="79:89">
      <c r="CA617" s="1" t="s">
        <v>71</v>
      </c>
      <c r="CB617" s="1" t="s">
        <v>18</v>
      </c>
      <c r="CC617" s="1" t="s">
        <v>132</v>
      </c>
      <c r="CE617" s="122">
        <f>FUR[[#This Row],[Part Type]]</f>
        <v>0</v>
      </c>
      <c r="CF617" s="122">
        <f>FUR[[#This Row],[Chemicals]]</f>
        <v>0</v>
      </c>
      <c r="CG617" s="122">
        <f>FUR[[#This Row],[UID]]</f>
        <v>0</v>
      </c>
      <c r="CK617" s="82" t="str">
        <f>IF(FUR[[#This Row],[Status]]=0,"",FUR[[#This Row],[Status]])</f>
        <v/>
      </c>
    </row>
    <row r="618" spans="79:89">
      <c r="CA618" s="1" t="s">
        <v>71</v>
      </c>
      <c r="CB618" s="1" t="s">
        <v>18</v>
      </c>
      <c r="CC618" s="1" t="s">
        <v>132</v>
      </c>
      <c r="CE618" s="122">
        <f>FUR[[#This Row],[Part Type]]</f>
        <v>0</v>
      </c>
      <c r="CF618" s="122">
        <f>FUR[[#This Row],[Chemicals]]</f>
        <v>0</v>
      </c>
      <c r="CG618" s="122">
        <f>FUR[[#This Row],[UID]]</f>
        <v>0</v>
      </c>
      <c r="CK618" s="82" t="str">
        <f>IF(FUR[[#This Row],[Status]]=0,"",FUR[[#This Row],[Status]])</f>
        <v/>
      </c>
    </row>
    <row r="619" spans="79:89">
      <c r="CA619" s="1" t="s">
        <v>71</v>
      </c>
      <c r="CB619" s="1" t="s">
        <v>18</v>
      </c>
      <c r="CC619" s="1" t="s">
        <v>132</v>
      </c>
      <c r="CE619" s="122">
        <f>FUR[[#This Row],[Part Type]]</f>
        <v>0</v>
      </c>
      <c r="CF619" s="122">
        <f>FUR[[#This Row],[Chemicals]]</f>
        <v>0</v>
      </c>
      <c r="CG619" s="122">
        <f>FUR[[#This Row],[UID]]</f>
        <v>0</v>
      </c>
      <c r="CK619" s="82" t="str">
        <f>IF(FUR[[#This Row],[Status]]=0,"",FUR[[#This Row],[Status]])</f>
        <v/>
      </c>
    </row>
    <row r="620" spans="79:89">
      <c r="CA620" s="1" t="s">
        <v>71</v>
      </c>
      <c r="CB620" s="1" t="s">
        <v>18</v>
      </c>
      <c r="CC620" s="1" t="s">
        <v>132</v>
      </c>
      <c r="CE620" s="122">
        <f>FUR[[#This Row],[Part Type]]</f>
        <v>0</v>
      </c>
      <c r="CF620" s="122">
        <f>FUR[[#This Row],[Chemicals]]</f>
        <v>0</v>
      </c>
      <c r="CG620" s="122">
        <f>FUR[[#This Row],[UID]]</f>
        <v>0</v>
      </c>
      <c r="CK620" s="82" t="str">
        <f>IF(FUR[[#This Row],[Status]]=0,"",FUR[[#This Row],[Status]])</f>
        <v/>
      </c>
    </row>
    <row r="621" spans="79:89">
      <c r="CA621" s="1" t="s">
        <v>71</v>
      </c>
      <c r="CB621" s="1" t="s">
        <v>18</v>
      </c>
      <c r="CC621" s="1" t="s">
        <v>132</v>
      </c>
      <c r="CE621" s="122">
        <f>FUR[[#This Row],[Part Type]]</f>
        <v>0</v>
      </c>
      <c r="CF621" s="122">
        <f>FUR[[#This Row],[Chemicals]]</f>
        <v>0</v>
      </c>
      <c r="CG621" s="122">
        <f>FUR[[#This Row],[UID]]</f>
        <v>0</v>
      </c>
      <c r="CK621" s="82" t="str">
        <f>IF(FUR[[#This Row],[Status]]=0,"",FUR[[#This Row],[Status]])</f>
        <v/>
      </c>
    </row>
    <row r="622" spans="79:89">
      <c r="CA622" s="1" t="s">
        <v>71</v>
      </c>
      <c r="CB622" s="1" t="s">
        <v>18</v>
      </c>
      <c r="CC622" s="1" t="s">
        <v>132</v>
      </c>
      <c r="CE622" s="122">
        <f>FUR[[#This Row],[Part Type]]</f>
        <v>0</v>
      </c>
      <c r="CF622" s="122">
        <f>FUR[[#This Row],[Chemicals]]</f>
        <v>0</v>
      </c>
      <c r="CG622" s="122">
        <f>FUR[[#This Row],[UID]]</f>
        <v>0</v>
      </c>
      <c r="CK622" s="82" t="str">
        <f>IF(FUR[[#This Row],[Status]]=0,"",FUR[[#This Row],[Status]])</f>
        <v/>
      </c>
    </row>
    <row r="623" spans="79:89">
      <c r="CA623" s="1" t="s">
        <v>71</v>
      </c>
      <c r="CB623" s="1" t="s">
        <v>18</v>
      </c>
      <c r="CC623" s="1" t="s">
        <v>132</v>
      </c>
      <c r="CE623" s="122">
        <f>FUR[[#This Row],[Part Type]]</f>
        <v>0</v>
      </c>
      <c r="CF623" s="122">
        <f>FUR[[#This Row],[Chemicals]]</f>
        <v>0</v>
      </c>
      <c r="CG623" s="122">
        <f>FUR[[#This Row],[UID]]</f>
        <v>0</v>
      </c>
      <c r="CK623" s="82" t="str">
        <f>IF(FUR[[#This Row],[Status]]=0,"",FUR[[#This Row],[Status]])</f>
        <v/>
      </c>
    </row>
    <row r="624" spans="79:89">
      <c r="CA624" s="1" t="s">
        <v>71</v>
      </c>
      <c r="CB624" s="1" t="s">
        <v>18</v>
      </c>
      <c r="CC624" s="1" t="s">
        <v>132</v>
      </c>
      <c r="CE624" s="122">
        <f>FUR[[#This Row],[Part Type]]</f>
        <v>0</v>
      </c>
      <c r="CF624" s="122">
        <f>FUR[[#This Row],[Chemicals]]</f>
        <v>0</v>
      </c>
      <c r="CG624" s="122">
        <f>FUR[[#This Row],[UID]]</f>
        <v>0</v>
      </c>
      <c r="CK624" s="82" t="str">
        <f>IF(FUR[[#This Row],[Status]]=0,"",FUR[[#This Row],[Status]])</f>
        <v/>
      </c>
    </row>
    <row r="625" spans="79:89">
      <c r="CA625" s="1" t="s">
        <v>71</v>
      </c>
      <c r="CB625" s="1" t="s">
        <v>18</v>
      </c>
      <c r="CC625" s="1" t="s">
        <v>132</v>
      </c>
      <c r="CE625" s="122">
        <f>FUR[[#This Row],[Part Type]]</f>
        <v>0</v>
      </c>
      <c r="CF625" s="122">
        <f>FUR[[#This Row],[Chemicals]]</f>
        <v>0</v>
      </c>
      <c r="CG625" s="122">
        <f>FUR[[#This Row],[UID]]</f>
        <v>0</v>
      </c>
      <c r="CK625" s="82" t="str">
        <f>IF(FUR[[#This Row],[Status]]=0,"",FUR[[#This Row],[Status]])</f>
        <v/>
      </c>
    </row>
    <row r="626" spans="79:89">
      <c r="CA626" s="1" t="s">
        <v>71</v>
      </c>
      <c r="CB626" s="1" t="s">
        <v>18</v>
      </c>
      <c r="CC626" s="1" t="s">
        <v>132</v>
      </c>
      <c r="CE626" s="122">
        <f>FUR[[#This Row],[Part Type]]</f>
        <v>0</v>
      </c>
      <c r="CF626" s="122">
        <f>FUR[[#This Row],[Chemicals]]</f>
        <v>0</v>
      </c>
      <c r="CG626" s="122">
        <f>FUR[[#This Row],[UID]]</f>
        <v>0</v>
      </c>
      <c r="CK626" s="82" t="str">
        <f>IF(FUR[[#This Row],[Status]]=0,"",FUR[[#This Row],[Status]])</f>
        <v/>
      </c>
    </row>
    <row r="627" spans="79:89">
      <c r="CA627" s="1" t="s">
        <v>71</v>
      </c>
      <c r="CB627" s="1" t="s">
        <v>18</v>
      </c>
      <c r="CC627" s="1" t="s">
        <v>132</v>
      </c>
      <c r="CE627" s="122">
        <f>FUR[[#This Row],[Part Type]]</f>
        <v>0</v>
      </c>
      <c r="CF627" s="122">
        <f>FUR[[#This Row],[Chemicals]]</f>
        <v>0</v>
      </c>
      <c r="CG627" s="122">
        <f>FUR[[#This Row],[UID]]</f>
        <v>0</v>
      </c>
      <c r="CK627" s="82" t="str">
        <f>IF(FUR[[#This Row],[Status]]=0,"",FUR[[#This Row],[Status]])</f>
        <v/>
      </c>
    </row>
    <row r="628" spans="79:89">
      <c r="CA628" s="1" t="s">
        <v>71</v>
      </c>
      <c r="CB628" s="1" t="s">
        <v>18</v>
      </c>
      <c r="CC628" s="1" t="s">
        <v>132</v>
      </c>
      <c r="CE628" s="122">
        <f>FUR[[#This Row],[Part Type]]</f>
        <v>0</v>
      </c>
      <c r="CF628" s="122">
        <f>FUR[[#This Row],[Chemicals]]</f>
        <v>0</v>
      </c>
      <c r="CG628" s="122">
        <f>FUR[[#This Row],[UID]]</f>
        <v>0</v>
      </c>
      <c r="CK628" s="82" t="str">
        <f>IF(FUR[[#This Row],[Status]]=0,"",FUR[[#This Row],[Status]])</f>
        <v/>
      </c>
    </row>
    <row r="629" spans="79:89">
      <c r="CA629" s="1" t="s">
        <v>71</v>
      </c>
      <c r="CB629" s="1" t="s">
        <v>18</v>
      </c>
      <c r="CC629" s="1" t="s">
        <v>132</v>
      </c>
      <c r="CE629" s="122">
        <f>FUR[[#This Row],[Part Type]]</f>
        <v>0</v>
      </c>
      <c r="CF629" s="122">
        <f>FUR[[#This Row],[Chemicals]]</f>
        <v>0</v>
      </c>
      <c r="CG629" s="122">
        <f>FUR[[#This Row],[UID]]</f>
        <v>0</v>
      </c>
      <c r="CK629" s="82" t="str">
        <f>IF(FUR[[#This Row],[Status]]=0,"",FUR[[#This Row],[Status]])</f>
        <v/>
      </c>
    </row>
    <row r="630" spans="79:89">
      <c r="CA630" s="1" t="s">
        <v>71</v>
      </c>
      <c r="CB630" s="1" t="s">
        <v>18</v>
      </c>
      <c r="CC630" s="1" t="s">
        <v>132</v>
      </c>
      <c r="CE630" s="122">
        <f>FUR[[#This Row],[Part Type]]</f>
        <v>0</v>
      </c>
      <c r="CF630" s="122">
        <f>FUR[[#This Row],[Chemicals]]</f>
        <v>0</v>
      </c>
      <c r="CG630" s="122">
        <f>FUR[[#This Row],[UID]]</f>
        <v>0</v>
      </c>
      <c r="CK630" s="82" t="str">
        <f>IF(FUR[[#This Row],[Status]]=0,"",FUR[[#This Row],[Status]])</f>
        <v/>
      </c>
    </row>
    <row r="631" spans="79:89">
      <c r="CA631" s="1" t="s">
        <v>71</v>
      </c>
      <c r="CB631" s="1" t="s">
        <v>18</v>
      </c>
      <c r="CC631" s="1" t="s">
        <v>132</v>
      </c>
      <c r="CE631" s="122">
        <f>FUR[[#This Row],[Part Type]]</f>
        <v>0</v>
      </c>
      <c r="CF631" s="122">
        <f>FUR[[#This Row],[Chemicals]]</f>
        <v>0</v>
      </c>
      <c r="CG631" s="122">
        <f>FUR[[#This Row],[UID]]</f>
        <v>0</v>
      </c>
      <c r="CK631" s="82" t="str">
        <f>IF(FUR[[#This Row],[Status]]=0,"",FUR[[#This Row],[Status]])</f>
        <v/>
      </c>
    </row>
    <row r="632" spans="79:89">
      <c r="CA632" s="1" t="s">
        <v>71</v>
      </c>
      <c r="CB632" s="1" t="s">
        <v>18</v>
      </c>
      <c r="CC632" s="1" t="s">
        <v>132</v>
      </c>
      <c r="CE632" s="122">
        <f>FUR[[#This Row],[Part Type]]</f>
        <v>0</v>
      </c>
      <c r="CF632" s="122">
        <f>FUR[[#This Row],[Chemicals]]</f>
        <v>0</v>
      </c>
      <c r="CG632" s="122">
        <f>FUR[[#This Row],[UID]]</f>
        <v>0</v>
      </c>
      <c r="CK632" s="82" t="str">
        <f>IF(FUR[[#This Row],[Status]]=0,"",FUR[[#This Row],[Status]])</f>
        <v/>
      </c>
    </row>
    <row r="633" spans="79:89">
      <c r="CA633" s="1" t="s">
        <v>71</v>
      </c>
      <c r="CB633" s="1" t="s">
        <v>18</v>
      </c>
      <c r="CC633" s="1" t="s">
        <v>132</v>
      </c>
      <c r="CE633" s="122">
        <f>FUR[[#This Row],[Part Type]]</f>
        <v>0</v>
      </c>
      <c r="CF633" s="122">
        <f>FUR[[#This Row],[Chemicals]]</f>
        <v>0</v>
      </c>
      <c r="CG633" s="122">
        <f>FUR[[#This Row],[UID]]</f>
        <v>0</v>
      </c>
      <c r="CK633" s="82" t="str">
        <f>IF(FUR[[#This Row],[Status]]=0,"",FUR[[#This Row],[Status]])</f>
        <v/>
      </c>
    </row>
    <row r="634" spans="79:89">
      <c r="CA634" s="1" t="s">
        <v>71</v>
      </c>
      <c r="CB634" s="1" t="s">
        <v>18</v>
      </c>
      <c r="CC634" s="1" t="s">
        <v>132</v>
      </c>
      <c r="CE634" s="122">
        <f>FUR[[#This Row],[Part Type]]</f>
        <v>0</v>
      </c>
      <c r="CF634" s="122">
        <f>FUR[[#This Row],[Chemicals]]</f>
        <v>0</v>
      </c>
      <c r="CG634" s="122">
        <f>FUR[[#This Row],[UID]]</f>
        <v>0</v>
      </c>
      <c r="CK634" s="82" t="str">
        <f>IF(FUR[[#This Row],[Status]]=0,"",FUR[[#This Row],[Status]])</f>
        <v/>
      </c>
    </row>
    <row r="635" spans="79:89">
      <c r="CA635" s="1" t="s">
        <v>71</v>
      </c>
      <c r="CB635" s="1" t="s">
        <v>18</v>
      </c>
      <c r="CC635" s="1" t="s">
        <v>132</v>
      </c>
      <c r="CE635" s="122">
        <f>FUR[[#This Row],[Part Type]]</f>
        <v>0</v>
      </c>
      <c r="CF635" s="122">
        <f>FUR[[#This Row],[Chemicals]]</f>
        <v>0</v>
      </c>
      <c r="CG635" s="122">
        <f>FUR[[#This Row],[UID]]</f>
        <v>0</v>
      </c>
      <c r="CK635" s="82" t="str">
        <f>IF(FUR[[#This Row],[Status]]=0,"",FUR[[#This Row],[Status]])</f>
        <v/>
      </c>
    </row>
    <row r="636" spans="79:89">
      <c r="CA636" s="1" t="s">
        <v>71</v>
      </c>
      <c r="CB636" s="1" t="s">
        <v>18</v>
      </c>
      <c r="CC636" s="1" t="s">
        <v>132</v>
      </c>
      <c r="CE636" s="122">
        <f>FUR[[#This Row],[Part Type]]</f>
        <v>0</v>
      </c>
      <c r="CF636" s="122">
        <f>FUR[[#This Row],[Chemicals]]</f>
        <v>0</v>
      </c>
      <c r="CG636" s="122">
        <f>FUR[[#This Row],[UID]]</f>
        <v>0</v>
      </c>
      <c r="CK636" s="82" t="str">
        <f>IF(FUR[[#This Row],[Status]]=0,"",FUR[[#This Row],[Status]])</f>
        <v/>
      </c>
    </row>
    <row r="637" spans="79:89">
      <c r="CA637" s="1" t="s">
        <v>71</v>
      </c>
      <c r="CB637" s="1" t="s">
        <v>18</v>
      </c>
      <c r="CC637" s="1" t="s">
        <v>132</v>
      </c>
      <c r="CE637" s="122">
        <f>FUR[[#This Row],[Part Type]]</f>
        <v>0</v>
      </c>
      <c r="CF637" s="122">
        <f>FUR[[#This Row],[Chemicals]]</f>
        <v>0</v>
      </c>
      <c r="CG637" s="122">
        <f>FUR[[#This Row],[UID]]</f>
        <v>0</v>
      </c>
      <c r="CK637" s="82" t="str">
        <f>IF(FUR[[#This Row],[Status]]=0,"",FUR[[#This Row],[Status]])</f>
        <v/>
      </c>
    </row>
    <row r="638" spans="79:89">
      <c r="CA638" s="1" t="s">
        <v>71</v>
      </c>
      <c r="CB638" s="1" t="s">
        <v>18</v>
      </c>
      <c r="CC638" s="1" t="s">
        <v>132</v>
      </c>
      <c r="CE638" s="122">
        <f>FUR[[#This Row],[Part Type]]</f>
        <v>0</v>
      </c>
      <c r="CF638" s="122">
        <f>FUR[[#This Row],[Chemicals]]</f>
        <v>0</v>
      </c>
      <c r="CG638" s="122">
        <f>FUR[[#This Row],[UID]]</f>
        <v>0</v>
      </c>
      <c r="CK638" s="82" t="str">
        <f>IF(FUR[[#This Row],[Status]]=0,"",FUR[[#This Row],[Status]])</f>
        <v/>
      </c>
    </row>
    <row r="639" spans="79:89">
      <c r="CA639" s="1" t="s">
        <v>71</v>
      </c>
      <c r="CB639" s="1" t="s">
        <v>18</v>
      </c>
      <c r="CC639" s="1" t="s">
        <v>132</v>
      </c>
      <c r="CE639" s="122">
        <f>FUR[[#This Row],[Part Type]]</f>
        <v>0</v>
      </c>
      <c r="CF639" s="122">
        <f>FUR[[#This Row],[Chemicals]]</f>
        <v>0</v>
      </c>
      <c r="CG639" s="122">
        <f>FUR[[#This Row],[UID]]</f>
        <v>0</v>
      </c>
      <c r="CK639" s="82" t="str">
        <f>IF(FUR[[#This Row],[Status]]=0,"",FUR[[#This Row],[Status]])</f>
        <v/>
      </c>
    </row>
    <row r="640" spans="79:89">
      <c r="CA640" s="1" t="s">
        <v>71</v>
      </c>
      <c r="CB640" s="1" t="s">
        <v>18</v>
      </c>
      <c r="CC640" s="1" t="s">
        <v>132</v>
      </c>
      <c r="CE640" s="122">
        <f>FUR[[#This Row],[Part Type]]</f>
        <v>0</v>
      </c>
      <c r="CF640" s="122">
        <f>FUR[[#This Row],[Chemicals]]</f>
        <v>0</v>
      </c>
      <c r="CG640" s="122">
        <f>FUR[[#This Row],[UID]]</f>
        <v>0</v>
      </c>
      <c r="CK640" s="82" t="str">
        <f>IF(FUR[[#This Row],[Status]]=0,"",FUR[[#This Row],[Status]])</f>
        <v/>
      </c>
    </row>
    <row r="641" spans="79:89">
      <c r="CA641" s="1" t="s">
        <v>71</v>
      </c>
      <c r="CB641" s="1" t="s">
        <v>18</v>
      </c>
      <c r="CC641" s="1" t="s">
        <v>132</v>
      </c>
      <c r="CE641" s="122">
        <f>FUR[[#This Row],[Part Type]]</f>
        <v>0</v>
      </c>
      <c r="CF641" s="122">
        <f>FUR[[#This Row],[Chemicals]]</f>
        <v>0</v>
      </c>
      <c r="CG641" s="122">
        <f>FUR[[#This Row],[UID]]</f>
        <v>0</v>
      </c>
      <c r="CK641" s="82" t="str">
        <f>IF(FUR[[#This Row],[Status]]=0,"",FUR[[#This Row],[Status]])</f>
        <v/>
      </c>
    </row>
    <row r="642" spans="79:89">
      <c r="CA642" s="1" t="s">
        <v>71</v>
      </c>
      <c r="CB642" s="1" t="s">
        <v>18</v>
      </c>
      <c r="CC642" s="1" t="s">
        <v>132</v>
      </c>
      <c r="CE642" s="122">
        <f>FUR[[#This Row],[Part Type]]</f>
        <v>0</v>
      </c>
      <c r="CF642" s="122">
        <f>FUR[[#This Row],[Chemicals]]</f>
        <v>0</v>
      </c>
      <c r="CG642" s="122">
        <f>FUR[[#This Row],[UID]]</f>
        <v>0</v>
      </c>
      <c r="CK642" s="82" t="str">
        <f>IF(FUR[[#This Row],[Status]]=0,"",FUR[[#This Row],[Status]])</f>
        <v/>
      </c>
    </row>
    <row r="643" spans="79:89">
      <c r="CA643" s="1" t="s">
        <v>71</v>
      </c>
      <c r="CB643" s="1" t="s">
        <v>18</v>
      </c>
      <c r="CC643" s="1" t="s">
        <v>132</v>
      </c>
      <c r="CE643" s="122">
        <f>FUR[[#This Row],[Part Type]]</f>
        <v>0</v>
      </c>
      <c r="CF643" s="122">
        <f>FUR[[#This Row],[Chemicals]]</f>
        <v>0</v>
      </c>
      <c r="CG643" s="122">
        <f>FUR[[#This Row],[UID]]</f>
        <v>0</v>
      </c>
      <c r="CK643" s="82" t="str">
        <f>IF(FUR[[#This Row],[Status]]=0,"",FUR[[#This Row],[Status]])</f>
        <v/>
      </c>
    </row>
    <row r="644" spans="79:89">
      <c r="CA644" s="1" t="s">
        <v>71</v>
      </c>
      <c r="CB644" s="1" t="s">
        <v>18</v>
      </c>
      <c r="CC644" s="1" t="s">
        <v>132</v>
      </c>
      <c r="CE644" s="122">
        <f>FUR[[#This Row],[Part Type]]</f>
        <v>0</v>
      </c>
      <c r="CF644" s="122">
        <f>FUR[[#This Row],[Chemicals]]</f>
        <v>0</v>
      </c>
      <c r="CG644" s="122">
        <f>FUR[[#This Row],[UID]]</f>
        <v>0</v>
      </c>
      <c r="CK644" s="82" t="str">
        <f>IF(FUR[[#This Row],[Status]]=0,"",FUR[[#This Row],[Status]])</f>
        <v/>
      </c>
    </row>
    <row r="645" spans="79:89">
      <c r="CA645" s="1" t="s">
        <v>71</v>
      </c>
      <c r="CB645" s="1" t="s">
        <v>18</v>
      </c>
      <c r="CC645" s="1" t="s">
        <v>132</v>
      </c>
      <c r="CE645" s="122">
        <f>FUR[[#This Row],[Part Type]]</f>
        <v>0</v>
      </c>
      <c r="CF645" s="122">
        <f>FUR[[#This Row],[Chemicals]]</f>
        <v>0</v>
      </c>
      <c r="CG645" s="122">
        <f>FUR[[#This Row],[UID]]</f>
        <v>0</v>
      </c>
      <c r="CK645" s="82" t="str">
        <f>IF(FUR[[#This Row],[Status]]=0,"",FUR[[#This Row],[Status]])</f>
        <v/>
      </c>
    </row>
    <row r="646" spans="79:89">
      <c r="CA646" s="1" t="s">
        <v>71</v>
      </c>
      <c r="CB646" s="1" t="s">
        <v>18</v>
      </c>
      <c r="CC646" s="1" t="s">
        <v>132</v>
      </c>
      <c r="CE646" s="122">
        <f>FUR[[#This Row],[Part Type]]</f>
        <v>0</v>
      </c>
      <c r="CF646" s="122">
        <f>FUR[[#This Row],[Chemicals]]</f>
        <v>0</v>
      </c>
      <c r="CG646" s="122">
        <f>FUR[[#This Row],[UID]]</f>
        <v>0</v>
      </c>
      <c r="CK646" s="82" t="str">
        <f>IF(FUR[[#This Row],[Status]]=0,"",FUR[[#This Row],[Status]])</f>
        <v/>
      </c>
    </row>
    <row r="647" spans="79:89">
      <c r="CA647" s="1" t="s">
        <v>71</v>
      </c>
      <c r="CB647" s="1" t="s">
        <v>18</v>
      </c>
      <c r="CC647" s="1" t="s">
        <v>132</v>
      </c>
      <c r="CE647" s="122">
        <f>FUR[[#This Row],[Part Type]]</f>
        <v>0</v>
      </c>
      <c r="CF647" s="122">
        <f>FUR[[#This Row],[Chemicals]]</f>
        <v>0</v>
      </c>
      <c r="CG647" s="122">
        <f>FUR[[#This Row],[UID]]</f>
        <v>0</v>
      </c>
      <c r="CK647" s="82" t="str">
        <f>IF(FUR[[#This Row],[Status]]=0,"",FUR[[#This Row],[Status]])</f>
        <v/>
      </c>
    </row>
    <row r="648" spans="79:89">
      <c r="CA648" s="1" t="s">
        <v>71</v>
      </c>
      <c r="CB648" s="1" t="s">
        <v>18</v>
      </c>
      <c r="CC648" s="1" t="s">
        <v>132</v>
      </c>
      <c r="CE648" s="122">
        <f>FUR[[#This Row],[Part Type]]</f>
        <v>0</v>
      </c>
      <c r="CF648" s="122">
        <f>FUR[[#This Row],[Chemicals]]</f>
        <v>0</v>
      </c>
      <c r="CG648" s="122">
        <f>FUR[[#This Row],[UID]]</f>
        <v>0</v>
      </c>
      <c r="CK648" s="82" t="str">
        <f>IF(FUR[[#This Row],[Status]]=0,"",FUR[[#This Row],[Status]])</f>
        <v/>
      </c>
    </row>
    <row r="649" spans="79:89">
      <c r="CA649" s="1" t="s">
        <v>71</v>
      </c>
      <c r="CB649" s="1" t="s">
        <v>18</v>
      </c>
      <c r="CC649" s="1" t="s">
        <v>132</v>
      </c>
      <c r="CE649" s="122">
        <f>FUR[[#This Row],[Part Type]]</f>
        <v>0</v>
      </c>
      <c r="CF649" s="122">
        <f>FUR[[#This Row],[Chemicals]]</f>
        <v>0</v>
      </c>
      <c r="CG649" s="122">
        <f>FUR[[#This Row],[UID]]</f>
        <v>0</v>
      </c>
      <c r="CK649" s="82" t="str">
        <f>IF(FUR[[#This Row],[Status]]=0,"",FUR[[#This Row],[Status]])</f>
        <v/>
      </c>
    </row>
    <row r="650" spans="79:89">
      <c r="CA650" s="1" t="s">
        <v>71</v>
      </c>
      <c r="CB650" s="1" t="s">
        <v>18</v>
      </c>
      <c r="CC650" s="1" t="s">
        <v>132</v>
      </c>
      <c r="CE650" s="122">
        <f>FUR[[#This Row],[Part Type]]</f>
        <v>0</v>
      </c>
      <c r="CF650" s="122">
        <f>FUR[[#This Row],[Chemicals]]</f>
        <v>0</v>
      </c>
      <c r="CG650" s="122">
        <f>FUR[[#This Row],[UID]]</f>
        <v>0</v>
      </c>
      <c r="CK650" s="82" t="str">
        <f>IF(FUR[[#This Row],[Status]]=0,"",FUR[[#This Row],[Status]])</f>
        <v/>
      </c>
    </row>
    <row r="651" spans="79:89">
      <c r="CA651" s="1" t="s">
        <v>71</v>
      </c>
      <c r="CB651" s="1" t="s">
        <v>18</v>
      </c>
      <c r="CC651" s="1" t="s">
        <v>132</v>
      </c>
      <c r="CE651" s="122">
        <f>FUR[[#This Row],[Part Type]]</f>
        <v>0</v>
      </c>
      <c r="CF651" s="122">
        <f>FUR[[#This Row],[Chemicals]]</f>
        <v>0</v>
      </c>
      <c r="CG651" s="122">
        <f>FUR[[#This Row],[UID]]</f>
        <v>0</v>
      </c>
      <c r="CK651" s="82" t="str">
        <f>IF(FUR[[#This Row],[Status]]=0,"",FUR[[#This Row],[Status]])</f>
        <v/>
      </c>
    </row>
    <row r="652" spans="79:89">
      <c r="CA652" s="1" t="s">
        <v>71</v>
      </c>
      <c r="CB652" s="1" t="s">
        <v>18</v>
      </c>
      <c r="CC652" s="1" t="s">
        <v>132</v>
      </c>
      <c r="CE652" s="122">
        <f>FUR[[#This Row],[Part Type]]</f>
        <v>0</v>
      </c>
      <c r="CF652" s="122">
        <f>FUR[[#This Row],[Chemicals]]</f>
        <v>0</v>
      </c>
      <c r="CG652" s="122">
        <f>FUR[[#This Row],[UID]]</f>
        <v>0</v>
      </c>
      <c r="CK652" s="82" t="str">
        <f>IF(FUR[[#This Row],[Status]]=0,"",FUR[[#This Row],[Status]])</f>
        <v/>
      </c>
    </row>
    <row r="653" spans="79:89">
      <c r="CA653" s="1" t="s">
        <v>71</v>
      </c>
      <c r="CB653" s="1" t="s">
        <v>18</v>
      </c>
      <c r="CC653" s="1" t="s">
        <v>132</v>
      </c>
      <c r="CE653" s="122">
        <f>FUR[[#This Row],[Part Type]]</f>
        <v>0</v>
      </c>
      <c r="CF653" s="122">
        <f>FUR[[#This Row],[Chemicals]]</f>
        <v>0</v>
      </c>
      <c r="CG653" s="122">
        <f>FUR[[#This Row],[UID]]</f>
        <v>0</v>
      </c>
      <c r="CK653" s="82" t="str">
        <f>IF(FUR[[#This Row],[Status]]=0,"",FUR[[#This Row],[Status]])</f>
        <v/>
      </c>
    </row>
    <row r="654" spans="79:89">
      <c r="CA654" s="1" t="s">
        <v>71</v>
      </c>
      <c r="CB654" s="1" t="s">
        <v>18</v>
      </c>
      <c r="CC654" s="1" t="s">
        <v>132</v>
      </c>
      <c r="CE654" s="122">
        <f>FUR[[#This Row],[Part Type]]</f>
        <v>0</v>
      </c>
      <c r="CF654" s="122">
        <f>FUR[[#This Row],[Chemicals]]</f>
        <v>0</v>
      </c>
      <c r="CG654" s="122">
        <f>FUR[[#This Row],[UID]]</f>
        <v>0</v>
      </c>
      <c r="CK654" s="82" t="str">
        <f>IF(FUR[[#This Row],[Status]]=0,"",FUR[[#This Row],[Status]])</f>
        <v/>
      </c>
    </row>
    <row r="655" spans="79:89">
      <c r="CA655" s="1" t="s">
        <v>71</v>
      </c>
      <c r="CB655" s="1" t="s">
        <v>18</v>
      </c>
      <c r="CC655" s="1" t="s">
        <v>132</v>
      </c>
      <c r="CE655" s="122">
        <f>FUR[[#This Row],[Part Type]]</f>
        <v>0</v>
      </c>
      <c r="CF655" s="122">
        <f>FUR[[#This Row],[Chemicals]]</f>
        <v>0</v>
      </c>
      <c r="CG655" s="122">
        <f>FUR[[#This Row],[UID]]</f>
        <v>0</v>
      </c>
      <c r="CK655" s="82" t="str">
        <f>IF(FUR[[#This Row],[Status]]=0,"",FUR[[#This Row],[Status]])</f>
        <v/>
      </c>
    </row>
    <row r="656" spans="79:89">
      <c r="CA656" s="1" t="s">
        <v>71</v>
      </c>
      <c r="CB656" s="1" t="s">
        <v>18</v>
      </c>
      <c r="CC656" s="1" t="s">
        <v>132</v>
      </c>
      <c r="CE656" s="122">
        <f>FUR[[#This Row],[Part Type]]</f>
        <v>0</v>
      </c>
      <c r="CF656" s="122">
        <f>FUR[[#This Row],[Chemicals]]</f>
        <v>0</v>
      </c>
      <c r="CG656" s="122">
        <f>FUR[[#This Row],[UID]]</f>
        <v>0</v>
      </c>
      <c r="CK656" s="82" t="str">
        <f>IF(FUR[[#This Row],[Status]]=0,"",FUR[[#This Row],[Status]])</f>
        <v/>
      </c>
    </row>
    <row r="657" spans="79:89">
      <c r="CA657" s="1" t="s">
        <v>71</v>
      </c>
      <c r="CB657" s="1" t="s">
        <v>18</v>
      </c>
      <c r="CC657" s="1" t="s">
        <v>132</v>
      </c>
      <c r="CE657" s="122">
        <f>FUR[[#This Row],[Part Type]]</f>
        <v>0</v>
      </c>
      <c r="CF657" s="122">
        <f>FUR[[#This Row],[Chemicals]]</f>
        <v>0</v>
      </c>
      <c r="CG657" s="122">
        <f>FUR[[#This Row],[UID]]</f>
        <v>0</v>
      </c>
      <c r="CK657" s="82" t="str">
        <f>IF(FUR[[#This Row],[Status]]=0,"",FUR[[#This Row],[Status]])</f>
        <v/>
      </c>
    </row>
    <row r="658" spans="79:89">
      <c r="CA658" s="1" t="s">
        <v>71</v>
      </c>
      <c r="CB658" s="1" t="s">
        <v>18</v>
      </c>
      <c r="CC658" s="1" t="s">
        <v>132</v>
      </c>
      <c r="CE658" s="122">
        <f>FUR[[#This Row],[Part Type]]</f>
        <v>0</v>
      </c>
      <c r="CF658" s="122">
        <f>FUR[[#This Row],[Chemicals]]</f>
        <v>0</v>
      </c>
      <c r="CG658" s="122">
        <f>FUR[[#This Row],[UID]]</f>
        <v>0</v>
      </c>
      <c r="CK658" s="82" t="str">
        <f>IF(FUR[[#This Row],[Status]]=0,"",FUR[[#This Row],[Status]])</f>
        <v/>
      </c>
    </row>
    <row r="659" spans="79:89">
      <c r="CA659" s="1" t="s">
        <v>71</v>
      </c>
      <c r="CB659" s="1" t="s">
        <v>18</v>
      </c>
      <c r="CC659" s="1" t="s">
        <v>132</v>
      </c>
      <c r="CE659" s="122">
        <f>FUR[[#This Row],[Part Type]]</f>
        <v>0</v>
      </c>
      <c r="CF659" s="122">
        <f>FUR[[#This Row],[Chemicals]]</f>
        <v>0</v>
      </c>
      <c r="CG659" s="122">
        <f>FUR[[#This Row],[UID]]</f>
        <v>0</v>
      </c>
      <c r="CK659" s="82" t="str">
        <f>IF(FUR[[#This Row],[Status]]=0,"",FUR[[#This Row],[Status]])</f>
        <v/>
      </c>
    </row>
    <row r="660" spans="79:89">
      <c r="CA660" s="1" t="s">
        <v>71</v>
      </c>
      <c r="CB660" s="1" t="s">
        <v>18</v>
      </c>
      <c r="CC660" s="1" t="s">
        <v>132</v>
      </c>
      <c r="CE660" s="122">
        <f>FUR[[#This Row],[Part Type]]</f>
        <v>0</v>
      </c>
      <c r="CF660" s="122">
        <f>FUR[[#This Row],[Chemicals]]</f>
        <v>0</v>
      </c>
      <c r="CG660" s="122">
        <f>FUR[[#This Row],[UID]]</f>
        <v>0</v>
      </c>
      <c r="CK660" s="82" t="str">
        <f>IF(FUR[[#This Row],[Status]]=0,"",FUR[[#This Row],[Status]])</f>
        <v/>
      </c>
    </row>
    <row r="661" spans="79:89">
      <c r="CA661" s="1" t="s">
        <v>71</v>
      </c>
      <c r="CB661" s="1" t="s">
        <v>18</v>
      </c>
      <c r="CC661" s="1" t="s">
        <v>132</v>
      </c>
      <c r="CE661" s="122">
        <f>FUR[[#This Row],[Part Type]]</f>
        <v>0</v>
      </c>
      <c r="CF661" s="122">
        <f>FUR[[#This Row],[Chemicals]]</f>
        <v>0</v>
      </c>
      <c r="CG661" s="122">
        <f>FUR[[#This Row],[UID]]</f>
        <v>0</v>
      </c>
      <c r="CK661" s="82" t="str">
        <f>IF(FUR[[#This Row],[Status]]=0,"",FUR[[#This Row],[Status]])</f>
        <v/>
      </c>
    </row>
    <row r="662" spans="79:89">
      <c r="CA662" s="1" t="s">
        <v>71</v>
      </c>
      <c r="CB662" s="1" t="s">
        <v>18</v>
      </c>
      <c r="CC662" s="1" t="s">
        <v>132</v>
      </c>
      <c r="CE662" s="122">
        <f>FUR[[#This Row],[Part Type]]</f>
        <v>0</v>
      </c>
      <c r="CF662" s="122">
        <f>FUR[[#This Row],[Chemicals]]</f>
        <v>0</v>
      </c>
      <c r="CG662" s="122">
        <f>FUR[[#This Row],[UID]]</f>
        <v>0</v>
      </c>
      <c r="CK662" s="82" t="str">
        <f>IF(FUR[[#This Row],[Status]]=0,"",FUR[[#This Row],[Status]])</f>
        <v/>
      </c>
    </row>
    <row r="663" spans="79:89">
      <c r="CA663" s="1" t="s">
        <v>71</v>
      </c>
      <c r="CB663" s="1" t="s">
        <v>18</v>
      </c>
      <c r="CC663" s="1" t="s">
        <v>132</v>
      </c>
      <c r="CE663" s="122">
        <f>FUR[[#This Row],[Part Type]]</f>
        <v>0</v>
      </c>
      <c r="CF663" s="122">
        <f>FUR[[#This Row],[Chemicals]]</f>
        <v>0</v>
      </c>
      <c r="CG663" s="122">
        <f>FUR[[#This Row],[UID]]</f>
        <v>0</v>
      </c>
      <c r="CK663" s="82" t="str">
        <f>IF(FUR[[#This Row],[Status]]=0,"",FUR[[#This Row],[Status]])</f>
        <v/>
      </c>
    </row>
    <row r="664" spans="79:89">
      <c r="CA664" s="1" t="s">
        <v>71</v>
      </c>
      <c r="CB664" s="1" t="s">
        <v>18</v>
      </c>
      <c r="CC664" s="1" t="s">
        <v>132</v>
      </c>
      <c r="CE664" s="122">
        <f>FUR[[#This Row],[Part Type]]</f>
        <v>0</v>
      </c>
      <c r="CF664" s="122">
        <f>FUR[[#This Row],[Chemicals]]</f>
        <v>0</v>
      </c>
      <c r="CG664" s="122">
        <f>FUR[[#This Row],[UID]]</f>
        <v>0</v>
      </c>
      <c r="CK664" s="82" t="str">
        <f>IF(FUR[[#This Row],[Status]]=0,"",FUR[[#This Row],[Status]])</f>
        <v/>
      </c>
    </row>
    <row r="665" spans="79:89">
      <c r="CA665" s="1" t="s">
        <v>71</v>
      </c>
      <c r="CB665" s="1" t="s">
        <v>18</v>
      </c>
      <c r="CC665" s="1" t="s">
        <v>132</v>
      </c>
      <c r="CE665" s="122">
        <f>FUR[[#This Row],[Part Type]]</f>
        <v>0</v>
      </c>
      <c r="CF665" s="122">
        <f>FUR[[#This Row],[Chemicals]]</f>
        <v>0</v>
      </c>
      <c r="CG665" s="122">
        <f>FUR[[#This Row],[UID]]</f>
        <v>0</v>
      </c>
      <c r="CK665" s="82" t="str">
        <f>IF(FUR[[#This Row],[Status]]=0,"",FUR[[#This Row],[Status]])</f>
        <v/>
      </c>
    </row>
    <row r="666" spans="79:89">
      <c r="CA666" s="1" t="s">
        <v>71</v>
      </c>
      <c r="CB666" s="1" t="s">
        <v>18</v>
      </c>
      <c r="CC666" s="1" t="s">
        <v>132</v>
      </c>
      <c r="CE666" s="122">
        <f>FUR[[#This Row],[Part Type]]</f>
        <v>0</v>
      </c>
      <c r="CF666" s="122">
        <f>FUR[[#This Row],[Chemicals]]</f>
        <v>0</v>
      </c>
      <c r="CG666" s="122">
        <f>FUR[[#This Row],[UID]]</f>
        <v>0</v>
      </c>
      <c r="CK666" s="82" t="str">
        <f>IF(FUR[[#This Row],[Status]]=0,"",FUR[[#This Row],[Status]])</f>
        <v/>
      </c>
    </row>
    <row r="667" spans="79:89">
      <c r="CA667" s="1" t="s">
        <v>71</v>
      </c>
      <c r="CB667" s="1" t="s">
        <v>18</v>
      </c>
      <c r="CC667" s="1" t="s">
        <v>132</v>
      </c>
      <c r="CE667" s="122">
        <f>FUR[[#This Row],[Part Type]]</f>
        <v>0</v>
      </c>
      <c r="CF667" s="122">
        <f>FUR[[#This Row],[Chemicals]]</f>
        <v>0</v>
      </c>
      <c r="CG667" s="122">
        <f>FUR[[#This Row],[UID]]</f>
        <v>0</v>
      </c>
      <c r="CK667" s="82" t="str">
        <f>IF(FUR[[#This Row],[Status]]=0,"",FUR[[#This Row],[Status]])</f>
        <v/>
      </c>
    </row>
    <row r="668" spans="79:89">
      <c r="CA668" s="1" t="s">
        <v>71</v>
      </c>
      <c r="CB668" s="1" t="s">
        <v>18</v>
      </c>
      <c r="CC668" s="1" t="s">
        <v>132</v>
      </c>
      <c r="CE668" s="122">
        <f>FUR[[#This Row],[Part Type]]</f>
        <v>0</v>
      </c>
      <c r="CF668" s="122">
        <f>FUR[[#This Row],[Chemicals]]</f>
        <v>0</v>
      </c>
      <c r="CG668" s="122">
        <f>FUR[[#This Row],[UID]]</f>
        <v>0</v>
      </c>
      <c r="CK668" s="82" t="str">
        <f>IF(FUR[[#This Row],[Status]]=0,"",FUR[[#This Row],[Status]])</f>
        <v/>
      </c>
    </row>
    <row r="669" spans="79:89">
      <c r="CA669" s="1" t="s">
        <v>71</v>
      </c>
      <c r="CB669" s="1" t="s">
        <v>18</v>
      </c>
      <c r="CC669" s="1" t="s">
        <v>132</v>
      </c>
      <c r="CE669" s="122">
        <f>FUR[[#This Row],[Part Type]]</f>
        <v>0</v>
      </c>
      <c r="CF669" s="122">
        <f>FUR[[#This Row],[Chemicals]]</f>
        <v>0</v>
      </c>
      <c r="CG669" s="122">
        <f>FUR[[#This Row],[UID]]</f>
        <v>0</v>
      </c>
      <c r="CK669" s="82" t="str">
        <f>IF(FUR[[#This Row],[Status]]=0,"",FUR[[#This Row],[Status]])</f>
        <v/>
      </c>
    </row>
    <row r="670" spans="79:89">
      <c r="CA670" s="1" t="s">
        <v>71</v>
      </c>
      <c r="CB670" s="1" t="s">
        <v>18</v>
      </c>
      <c r="CC670" s="1" t="s">
        <v>132</v>
      </c>
      <c r="CE670" s="122">
        <f>FUR[[#This Row],[Part Type]]</f>
        <v>0</v>
      </c>
      <c r="CF670" s="122">
        <f>FUR[[#This Row],[Chemicals]]</f>
        <v>0</v>
      </c>
      <c r="CG670" s="122">
        <f>FUR[[#This Row],[UID]]</f>
        <v>0</v>
      </c>
      <c r="CK670" s="82" t="str">
        <f>IF(FUR[[#This Row],[Status]]=0,"",FUR[[#This Row],[Status]])</f>
        <v/>
      </c>
    </row>
    <row r="671" spans="79:89">
      <c r="CA671" s="1" t="s">
        <v>71</v>
      </c>
      <c r="CB671" s="1" t="s">
        <v>18</v>
      </c>
      <c r="CC671" s="1" t="s">
        <v>132</v>
      </c>
      <c r="CE671" s="122">
        <f>FUR[[#This Row],[Part Type]]</f>
        <v>0</v>
      </c>
      <c r="CF671" s="122">
        <f>FUR[[#This Row],[Chemicals]]</f>
        <v>0</v>
      </c>
      <c r="CG671" s="122">
        <f>FUR[[#This Row],[UID]]</f>
        <v>0</v>
      </c>
      <c r="CK671" s="82" t="str">
        <f>IF(FUR[[#This Row],[Status]]=0,"",FUR[[#This Row],[Status]])</f>
        <v/>
      </c>
    </row>
    <row r="672" spans="79:89">
      <c r="CA672" s="1" t="s">
        <v>71</v>
      </c>
      <c r="CB672" s="1" t="s">
        <v>18</v>
      </c>
      <c r="CC672" s="1" t="s">
        <v>132</v>
      </c>
      <c r="CE672" s="122">
        <f>FUR[[#This Row],[Part Type]]</f>
        <v>0</v>
      </c>
      <c r="CF672" s="122">
        <f>FUR[[#This Row],[Chemicals]]</f>
        <v>0</v>
      </c>
      <c r="CG672" s="122">
        <f>FUR[[#This Row],[UID]]</f>
        <v>0</v>
      </c>
      <c r="CK672" s="82" t="str">
        <f>IF(FUR[[#This Row],[Status]]=0,"",FUR[[#This Row],[Status]])</f>
        <v/>
      </c>
    </row>
    <row r="673" spans="79:89">
      <c r="CA673" s="1" t="s">
        <v>71</v>
      </c>
      <c r="CB673" s="1" t="s">
        <v>18</v>
      </c>
      <c r="CC673" s="1" t="s">
        <v>132</v>
      </c>
      <c r="CE673" s="122">
        <f>FUR[[#This Row],[Part Type]]</f>
        <v>0</v>
      </c>
      <c r="CF673" s="122">
        <f>FUR[[#This Row],[Chemicals]]</f>
        <v>0</v>
      </c>
      <c r="CG673" s="122">
        <f>FUR[[#This Row],[UID]]</f>
        <v>0</v>
      </c>
      <c r="CK673" s="82" t="str">
        <f>IF(FUR[[#This Row],[Status]]=0,"",FUR[[#This Row],[Status]])</f>
        <v/>
      </c>
    </row>
    <row r="674" spans="79:89">
      <c r="CA674" s="1" t="s">
        <v>71</v>
      </c>
      <c r="CB674" s="1" t="s">
        <v>18</v>
      </c>
      <c r="CC674" s="1" t="s">
        <v>132</v>
      </c>
      <c r="CE674" s="122">
        <f>FUR[[#This Row],[Part Type]]</f>
        <v>0</v>
      </c>
      <c r="CF674" s="122">
        <f>FUR[[#This Row],[Chemicals]]</f>
        <v>0</v>
      </c>
      <c r="CG674" s="122">
        <f>FUR[[#This Row],[UID]]</f>
        <v>0</v>
      </c>
      <c r="CK674" s="82" t="str">
        <f>IF(FUR[[#This Row],[Status]]=0,"",FUR[[#This Row],[Status]])</f>
        <v/>
      </c>
    </row>
    <row r="675" spans="79:89">
      <c r="CA675" s="1" t="s">
        <v>71</v>
      </c>
      <c r="CB675" s="1" t="s">
        <v>18</v>
      </c>
      <c r="CC675" s="1" t="s">
        <v>132</v>
      </c>
      <c r="CE675" s="122">
        <f>FUR[[#This Row],[Part Type]]</f>
        <v>0</v>
      </c>
      <c r="CF675" s="122">
        <f>FUR[[#This Row],[Chemicals]]</f>
        <v>0</v>
      </c>
      <c r="CG675" s="122">
        <f>FUR[[#This Row],[UID]]</f>
        <v>0</v>
      </c>
      <c r="CK675" s="82" t="str">
        <f>IF(FUR[[#This Row],[Status]]=0,"",FUR[[#This Row],[Status]])</f>
        <v/>
      </c>
    </row>
    <row r="676" spans="79:89">
      <c r="CA676" s="1" t="s">
        <v>71</v>
      </c>
      <c r="CB676" s="1" t="s">
        <v>18</v>
      </c>
      <c r="CC676" s="1" t="s">
        <v>132</v>
      </c>
      <c r="CE676" s="122">
        <f>FUR[[#This Row],[Part Type]]</f>
        <v>0</v>
      </c>
      <c r="CF676" s="122">
        <f>FUR[[#This Row],[Chemicals]]</f>
        <v>0</v>
      </c>
      <c r="CG676" s="122">
        <f>FUR[[#This Row],[UID]]</f>
        <v>0</v>
      </c>
      <c r="CK676" s="82" t="str">
        <f>IF(FUR[[#This Row],[Status]]=0,"",FUR[[#This Row],[Status]])</f>
        <v/>
      </c>
    </row>
    <row r="677" spans="79:89">
      <c r="CA677" s="1" t="s">
        <v>71</v>
      </c>
      <c r="CB677" s="1" t="s">
        <v>18</v>
      </c>
      <c r="CC677" s="1" t="s">
        <v>132</v>
      </c>
      <c r="CE677" s="122">
        <f>FUR[[#This Row],[Part Type]]</f>
        <v>0</v>
      </c>
      <c r="CF677" s="122">
        <f>FUR[[#This Row],[Chemicals]]</f>
        <v>0</v>
      </c>
      <c r="CG677" s="122">
        <f>FUR[[#This Row],[UID]]</f>
        <v>0</v>
      </c>
      <c r="CK677" s="82" t="str">
        <f>IF(FUR[[#This Row],[Status]]=0,"",FUR[[#This Row],[Status]])</f>
        <v/>
      </c>
    </row>
    <row r="678" spans="79:89">
      <c r="CA678" s="1" t="s">
        <v>71</v>
      </c>
      <c r="CB678" s="1" t="s">
        <v>18</v>
      </c>
      <c r="CC678" s="1" t="s">
        <v>132</v>
      </c>
      <c r="CE678" s="122">
        <f>FUR[[#This Row],[Part Type]]</f>
        <v>0</v>
      </c>
      <c r="CF678" s="122">
        <f>FUR[[#This Row],[Chemicals]]</f>
        <v>0</v>
      </c>
      <c r="CG678" s="122">
        <f>FUR[[#This Row],[UID]]</f>
        <v>0</v>
      </c>
      <c r="CK678" s="82" t="str">
        <f>IF(FUR[[#This Row],[Status]]=0,"",FUR[[#This Row],[Status]])</f>
        <v/>
      </c>
    </row>
    <row r="679" spans="79:89">
      <c r="CA679" s="1" t="s">
        <v>71</v>
      </c>
      <c r="CB679" s="1" t="s">
        <v>18</v>
      </c>
      <c r="CC679" s="1" t="s">
        <v>132</v>
      </c>
      <c r="CE679" s="122">
        <f>FUR[[#This Row],[Part Type]]</f>
        <v>0</v>
      </c>
      <c r="CF679" s="122">
        <f>FUR[[#This Row],[Chemicals]]</f>
        <v>0</v>
      </c>
      <c r="CG679" s="122">
        <f>FUR[[#This Row],[UID]]</f>
        <v>0</v>
      </c>
      <c r="CK679" s="82" t="str">
        <f>IF(FUR[[#This Row],[Status]]=0,"",FUR[[#This Row],[Status]])</f>
        <v/>
      </c>
    </row>
    <row r="680" spans="79:89">
      <c r="CA680" s="1" t="s">
        <v>71</v>
      </c>
      <c r="CB680" s="1" t="s">
        <v>18</v>
      </c>
      <c r="CC680" s="1" t="s">
        <v>132</v>
      </c>
      <c r="CE680" s="122">
        <f>FUR[[#This Row],[Part Type]]</f>
        <v>0</v>
      </c>
      <c r="CF680" s="122">
        <f>FUR[[#This Row],[Chemicals]]</f>
        <v>0</v>
      </c>
      <c r="CG680" s="122">
        <f>FUR[[#This Row],[UID]]</f>
        <v>0</v>
      </c>
      <c r="CK680" s="82" t="str">
        <f>IF(FUR[[#This Row],[Status]]=0,"",FUR[[#This Row],[Status]])</f>
        <v/>
      </c>
    </row>
    <row r="681" spans="79:89">
      <c r="CA681" s="1" t="s">
        <v>71</v>
      </c>
      <c r="CB681" s="1" t="s">
        <v>18</v>
      </c>
      <c r="CC681" s="1" t="s">
        <v>132</v>
      </c>
      <c r="CE681" s="122">
        <f>FUR[[#This Row],[Part Type]]</f>
        <v>0</v>
      </c>
      <c r="CF681" s="122">
        <f>FUR[[#This Row],[Chemicals]]</f>
        <v>0</v>
      </c>
      <c r="CG681" s="122">
        <f>FUR[[#This Row],[UID]]</f>
        <v>0</v>
      </c>
      <c r="CK681" s="82" t="str">
        <f>IF(FUR[[#This Row],[Status]]=0,"",FUR[[#This Row],[Status]])</f>
        <v/>
      </c>
    </row>
    <row r="682" spans="79:89">
      <c r="CA682" s="1" t="s">
        <v>71</v>
      </c>
      <c r="CB682" s="1" t="s">
        <v>18</v>
      </c>
      <c r="CC682" s="1" t="s">
        <v>132</v>
      </c>
      <c r="CE682" s="122">
        <f>FUR[[#This Row],[Part Type]]</f>
        <v>0</v>
      </c>
      <c r="CF682" s="122">
        <f>FUR[[#This Row],[Chemicals]]</f>
        <v>0</v>
      </c>
      <c r="CG682" s="122">
        <f>FUR[[#This Row],[UID]]</f>
        <v>0</v>
      </c>
      <c r="CK682" s="82" t="str">
        <f>IF(FUR[[#This Row],[Status]]=0,"",FUR[[#This Row],[Status]])</f>
        <v/>
      </c>
    </row>
    <row r="683" spans="79:89">
      <c r="CA683" s="1" t="s">
        <v>71</v>
      </c>
      <c r="CB683" s="1" t="s">
        <v>18</v>
      </c>
      <c r="CC683" s="1" t="s">
        <v>132</v>
      </c>
      <c r="CE683" s="122">
        <f>FUR[[#This Row],[Part Type]]</f>
        <v>0</v>
      </c>
      <c r="CF683" s="122">
        <f>FUR[[#This Row],[Chemicals]]</f>
        <v>0</v>
      </c>
      <c r="CG683" s="122">
        <f>FUR[[#This Row],[UID]]</f>
        <v>0</v>
      </c>
      <c r="CK683" s="82" t="str">
        <f>IF(FUR[[#This Row],[Status]]=0,"",FUR[[#This Row],[Status]])</f>
        <v/>
      </c>
    </row>
    <row r="684" spans="79:89">
      <c r="CA684" s="1" t="s">
        <v>71</v>
      </c>
      <c r="CB684" s="1" t="s">
        <v>18</v>
      </c>
      <c r="CC684" s="1" t="s">
        <v>132</v>
      </c>
      <c r="CE684" s="122">
        <f>FUR[[#This Row],[Part Type]]</f>
        <v>0</v>
      </c>
      <c r="CF684" s="122">
        <f>FUR[[#This Row],[Chemicals]]</f>
        <v>0</v>
      </c>
      <c r="CG684" s="122">
        <f>FUR[[#This Row],[UID]]</f>
        <v>0</v>
      </c>
      <c r="CK684" s="82" t="str">
        <f>IF(FUR[[#This Row],[Status]]=0,"",FUR[[#This Row],[Status]])</f>
        <v/>
      </c>
    </row>
    <row r="685" spans="79:89">
      <c r="CA685" s="1" t="s">
        <v>71</v>
      </c>
      <c r="CB685" s="1" t="s">
        <v>18</v>
      </c>
      <c r="CC685" s="1" t="s">
        <v>132</v>
      </c>
      <c r="CE685" s="122">
        <f>FUR[[#This Row],[Part Type]]</f>
        <v>0</v>
      </c>
      <c r="CF685" s="122">
        <f>FUR[[#This Row],[Chemicals]]</f>
        <v>0</v>
      </c>
      <c r="CG685" s="122">
        <f>FUR[[#This Row],[UID]]</f>
        <v>0</v>
      </c>
      <c r="CK685" s="82" t="str">
        <f>IF(FUR[[#This Row],[Status]]=0,"",FUR[[#This Row],[Status]])</f>
        <v/>
      </c>
    </row>
    <row r="686" spans="79:89">
      <c r="CA686" s="1" t="s">
        <v>71</v>
      </c>
      <c r="CB686" s="1" t="s">
        <v>18</v>
      </c>
      <c r="CC686" s="1" t="s">
        <v>132</v>
      </c>
      <c r="CE686" s="122">
        <f>FUR[[#This Row],[Part Type]]</f>
        <v>0</v>
      </c>
      <c r="CF686" s="122">
        <f>FUR[[#This Row],[Chemicals]]</f>
        <v>0</v>
      </c>
      <c r="CG686" s="122">
        <f>FUR[[#This Row],[UID]]</f>
        <v>0</v>
      </c>
      <c r="CK686" s="82" t="str">
        <f>IF(FUR[[#This Row],[Status]]=0,"",FUR[[#This Row],[Status]])</f>
        <v/>
      </c>
    </row>
    <row r="687" spans="79:89">
      <c r="CA687" s="1" t="s">
        <v>71</v>
      </c>
      <c r="CB687" s="1" t="s">
        <v>18</v>
      </c>
      <c r="CC687" s="1" t="s">
        <v>132</v>
      </c>
      <c r="CE687" s="122">
        <f>FUR[[#This Row],[Part Type]]</f>
        <v>0</v>
      </c>
      <c r="CF687" s="122">
        <f>FUR[[#This Row],[Chemicals]]</f>
        <v>0</v>
      </c>
      <c r="CG687" s="122">
        <f>FUR[[#This Row],[UID]]</f>
        <v>0</v>
      </c>
      <c r="CK687" s="82" t="str">
        <f>IF(FUR[[#This Row],[Status]]=0,"",FUR[[#This Row],[Status]])</f>
        <v/>
      </c>
    </row>
    <row r="688" spans="79:89">
      <c r="CA688" s="1" t="s">
        <v>71</v>
      </c>
      <c r="CB688" s="1" t="s">
        <v>18</v>
      </c>
      <c r="CC688" s="1" t="s">
        <v>132</v>
      </c>
      <c r="CE688" s="122">
        <f>FUR[[#This Row],[Part Type]]</f>
        <v>0</v>
      </c>
      <c r="CF688" s="122">
        <f>FUR[[#This Row],[Chemicals]]</f>
        <v>0</v>
      </c>
      <c r="CG688" s="122">
        <f>FUR[[#This Row],[UID]]</f>
        <v>0</v>
      </c>
      <c r="CK688" s="82" t="str">
        <f>IF(FUR[[#This Row],[Status]]=0,"",FUR[[#This Row],[Status]])</f>
        <v/>
      </c>
    </row>
    <row r="689" spans="79:89">
      <c r="CA689" s="1" t="s">
        <v>71</v>
      </c>
      <c r="CB689" s="1" t="s">
        <v>18</v>
      </c>
      <c r="CC689" s="1" t="s">
        <v>132</v>
      </c>
      <c r="CE689" s="122">
        <f>FUR[[#This Row],[Part Type]]</f>
        <v>0</v>
      </c>
      <c r="CF689" s="122">
        <f>FUR[[#This Row],[Chemicals]]</f>
        <v>0</v>
      </c>
      <c r="CG689" s="122">
        <f>FUR[[#This Row],[UID]]</f>
        <v>0</v>
      </c>
      <c r="CK689" s="82" t="str">
        <f>IF(FUR[[#This Row],[Status]]=0,"",FUR[[#This Row],[Status]])</f>
        <v/>
      </c>
    </row>
    <row r="690" spans="79:89">
      <c r="CA690" s="1" t="s">
        <v>71</v>
      </c>
      <c r="CB690" s="1" t="s">
        <v>18</v>
      </c>
      <c r="CC690" s="1" t="s">
        <v>132</v>
      </c>
      <c r="CE690" s="122">
        <f>FUR[[#This Row],[Part Type]]</f>
        <v>0</v>
      </c>
      <c r="CF690" s="122">
        <f>FUR[[#This Row],[Chemicals]]</f>
        <v>0</v>
      </c>
      <c r="CG690" s="122">
        <f>FUR[[#This Row],[UID]]</f>
        <v>0</v>
      </c>
      <c r="CK690" s="82" t="str">
        <f>IF(FUR[[#This Row],[Status]]=0,"",FUR[[#This Row],[Status]])</f>
        <v/>
      </c>
    </row>
    <row r="691" spans="79:89">
      <c r="CA691" s="1" t="s">
        <v>71</v>
      </c>
      <c r="CB691" s="1" t="s">
        <v>18</v>
      </c>
      <c r="CC691" s="1" t="s">
        <v>132</v>
      </c>
      <c r="CE691" s="122">
        <f>FUR[[#This Row],[Part Type]]</f>
        <v>0</v>
      </c>
      <c r="CF691" s="122">
        <f>FUR[[#This Row],[Chemicals]]</f>
        <v>0</v>
      </c>
      <c r="CG691" s="122">
        <f>FUR[[#This Row],[UID]]</f>
        <v>0</v>
      </c>
      <c r="CK691" s="82" t="str">
        <f>IF(FUR[[#This Row],[Status]]=0,"",FUR[[#This Row],[Status]])</f>
        <v/>
      </c>
    </row>
    <row r="692" spans="79:89">
      <c r="CA692" s="1" t="s">
        <v>71</v>
      </c>
      <c r="CB692" s="1" t="s">
        <v>18</v>
      </c>
      <c r="CC692" s="1" t="s">
        <v>132</v>
      </c>
      <c r="CE692" s="122">
        <f>FUR[[#This Row],[Part Type]]</f>
        <v>0</v>
      </c>
      <c r="CF692" s="122">
        <f>FUR[[#This Row],[Chemicals]]</f>
        <v>0</v>
      </c>
      <c r="CG692" s="122">
        <f>FUR[[#This Row],[UID]]</f>
        <v>0</v>
      </c>
      <c r="CK692" s="82" t="str">
        <f>IF(FUR[[#This Row],[Status]]=0,"",FUR[[#This Row],[Status]])</f>
        <v/>
      </c>
    </row>
    <row r="693" spans="79:89">
      <c r="CA693" s="1" t="s">
        <v>71</v>
      </c>
      <c r="CB693" s="1" t="s">
        <v>18</v>
      </c>
      <c r="CC693" s="1" t="s">
        <v>132</v>
      </c>
      <c r="CE693" s="122">
        <f>FUR[[#This Row],[Part Type]]</f>
        <v>0</v>
      </c>
      <c r="CF693" s="122">
        <f>FUR[[#This Row],[Chemicals]]</f>
        <v>0</v>
      </c>
      <c r="CG693" s="122">
        <f>FUR[[#This Row],[UID]]</f>
        <v>0</v>
      </c>
      <c r="CK693" s="82" t="str">
        <f>IF(FUR[[#This Row],[Status]]=0,"",FUR[[#This Row],[Status]])</f>
        <v/>
      </c>
    </row>
    <row r="694" spans="79:89">
      <c r="CA694" s="1" t="s">
        <v>71</v>
      </c>
      <c r="CB694" s="1" t="s">
        <v>18</v>
      </c>
      <c r="CC694" s="1" t="s">
        <v>132</v>
      </c>
      <c r="CE694" s="122">
        <f>FUR[[#This Row],[Part Type]]</f>
        <v>0</v>
      </c>
      <c r="CF694" s="122">
        <f>FUR[[#This Row],[Chemicals]]</f>
        <v>0</v>
      </c>
      <c r="CG694" s="122">
        <f>FUR[[#This Row],[UID]]</f>
        <v>0</v>
      </c>
      <c r="CK694" s="82" t="str">
        <f>IF(FUR[[#This Row],[Status]]=0,"",FUR[[#This Row],[Status]])</f>
        <v/>
      </c>
    </row>
    <row r="695" spans="79:89">
      <c r="CA695" s="1" t="s">
        <v>71</v>
      </c>
      <c r="CB695" s="1" t="s">
        <v>18</v>
      </c>
      <c r="CC695" s="1" t="s">
        <v>132</v>
      </c>
      <c r="CE695" s="122">
        <f>FUR[[#This Row],[Part Type]]</f>
        <v>0</v>
      </c>
      <c r="CF695" s="122">
        <f>FUR[[#This Row],[Chemicals]]</f>
        <v>0</v>
      </c>
      <c r="CG695" s="122">
        <f>FUR[[#This Row],[UID]]</f>
        <v>0</v>
      </c>
      <c r="CK695" s="82" t="str">
        <f>IF(FUR[[#This Row],[Status]]=0,"",FUR[[#This Row],[Status]])</f>
        <v/>
      </c>
    </row>
    <row r="696" spans="79:89">
      <c r="CA696" s="1" t="s">
        <v>71</v>
      </c>
      <c r="CB696" s="1" t="s">
        <v>18</v>
      </c>
      <c r="CC696" s="1" t="s">
        <v>132</v>
      </c>
      <c r="CE696" s="122">
        <f>FUR[[#This Row],[Part Type]]</f>
        <v>0</v>
      </c>
      <c r="CF696" s="122">
        <f>FUR[[#This Row],[Chemicals]]</f>
        <v>0</v>
      </c>
      <c r="CG696" s="122">
        <f>FUR[[#This Row],[UID]]</f>
        <v>0</v>
      </c>
      <c r="CK696" s="82" t="str">
        <f>IF(FUR[[#This Row],[Status]]=0,"",FUR[[#This Row],[Status]])</f>
        <v/>
      </c>
    </row>
    <row r="697" spans="79:89">
      <c r="CA697" s="1" t="s">
        <v>71</v>
      </c>
      <c r="CB697" s="1" t="s">
        <v>18</v>
      </c>
      <c r="CC697" s="1" t="s">
        <v>132</v>
      </c>
      <c r="CE697" s="122">
        <f>FUR[[#This Row],[Part Type]]</f>
        <v>0</v>
      </c>
      <c r="CF697" s="122">
        <f>FUR[[#This Row],[Chemicals]]</f>
        <v>0</v>
      </c>
      <c r="CG697" s="122">
        <f>FUR[[#This Row],[UID]]</f>
        <v>0</v>
      </c>
      <c r="CK697" s="82" t="str">
        <f>IF(FUR[[#This Row],[Status]]=0,"",FUR[[#This Row],[Status]])</f>
        <v/>
      </c>
    </row>
    <row r="698" spans="79:89">
      <c r="CA698" s="1" t="s">
        <v>71</v>
      </c>
      <c r="CB698" s="1" t="s">
        <v>18</v>
      </c>
      <c r="CC698" s="1" t="s">
        <v>132</v>
      </c>
      <c r="CE698" s="122">
        <f>FUR[[#This Row],[Part Type]]</f>
        <v>0</v>
      </c>
      <c r="CF698" s="122">
        <f>FUR[[#This Row],[Chemicals]]</f>
        <v>0</v>
      </c>
      <c r="CG698" s="122">
        <f>FUR[[#This Row],[UID]]</f>
        <v>0</v>
      </c>
      <c r="CK698" s="82" t="str">
        <f>IF(FUR[[#This Row],[Status]]=0,"",FUR[[#This Row],[Status]])</f>
        <v/>
      </c>
    </row>
    <row r="699" spans="79:89">
      <c r="CA699" s="1" t="s">
        <v>71</v>
      </c>
      <c r="CB699" s="1" t="s">
        <v>18</v>
      </c>
      <c r="CC699" s="1" t="s">
        <v>132</v>
      </c>
      <c r="CE699" s="122">
        <f>FUR[[#This Row],[Part Type]]</f>
        <v>0</v>
      </c>
      <c r="CF699" s="122">
        <f>FUR[[#This Row],[Chemicals]]</f>
        <v>0</v>
      </c>
      <c r="CG699" s="122">
        <f>FUR[[#This Row],[UID]]</f>
        <v>0</v>
      </c>
      <c r="CK699" s="82" t="str">
        <f>IF(FUR[[#This Row],[Status]]=0,"",FUR[[#This Row],[Status]])</f>
        <v/>
      </c>
    </row>
    <row r="700" spans="79:89">
      <c r="CA700" s="1" t="s">
        <v>71</v>
      </c>
      <c r="CB700" s="1" t="s">
        <v>18</v>
      </c>
      <c r="CC700" s="1" t="s">
        <v>132</v>
      </c>
      <c r="CE700" s="122">
        <f>FUR[[#This Row],[Part Type]]</f>
        <v>0</v>
      </c>
      <c r="CF700" s="122">
        <f>FUR[[#This Row],[Chemicals]]</f>
        <v>0</v>
      </c>
      <c r="CG700" s="122">
        <f>FUR[[#This Row],[UID]]</f>
        <v>0</v>
      </c>
      <c r="CK700" s="82" t="str">
        <f>IF(FUR[[#This Row],[Status]]=0,"",FUR[[#This Row],[Status]])</f>
        <v/>
      </c>
    </row>
    <row r="701" spans="79:89">
      <c r="CA701" s="1" t="s">
        <v>71</v>
      </c>
      <c r="CB701" s="1" t="s">
        <v>18</v>
      </c>
      <c r="CC701" s="1" t="s">
        <v>132</v>
      </c>
      <c r="CE701" s="122">
        <f>FUR[[#This Row],[Part Type]]</f>
        <v>0</v>
      </c>
      <c r="CF701" s="122">
        <f>FUR[[#This Row],[Chemicals]]</f>
        <v>0</v>
      </c>
      <c r="CG701" s="122">
        <f>FUR[[#This Row],[UID]]</f>
        <v>0</v>
      </c>
      <c r="CK701" s="82" t="str">
        <f>IF(FUR[[#This Row],[Status]]=0,"",FUR[[#This Row],[Status]])</f>
        <v/>
      </c>
    </row>
    <row r="702" spans="79:89">
      <c r="CA702" s="1" t="s">
        <v>71</v>
      </c>
      <c r="CB702" s="1" t="s">
        <v>18</v>
      </c>
      <c r="CC702" s="1" t="s">
        <v>132</v>
      </c>
      <c r="CE702" s="122">
        <f>FUR[[#This Row],[Part Type]]</f>
        <v>0</v>
      </c>
      <c r="CF702" s="122">
        <f>FUR[[#This Row],[Chemicals]]</f>
        <v>0</v>
      </c>
      <c r="CG702" s="122">
        <f>FUR[[#This Row],[UID]]</f>
        <v>0</v>
      </c>
      <c r="CK702" s="82" t="str">
        <f>IF(FUR[[#This Row],[Status]]=0,"",FUR[[#This Row],[Status]])</f>
        <v/>
      </c>
    </row>
    <row r="703" spans="79:89">
      <c r="CA703" s="1" t="s">
        <v>71</v>
      </c>
      <c r="CB703" s="1" t="s">
        <v>18</v>
      </c>
      <c r="CC703" s="1" t="s">
        <v>132</v>
      </c>
      <c r="CE703" s="122">
        <f>FUR[[#This Row],[Part Type]]</f>
        <v>0</v>
      </c>
      <c r="CF703" s="122">
        <f>FUR[[#This Row],[Chemicals]]</f>
        <v>0</v>
      </c>
      <c r="CG703" s="122">
        <f>FUR[[#This Row],[UID]]</f>
        <v>0</v>
      </c>
      <c r="CK703" s="82" t="str">
        <f>IF(FUR[[#This Row],[Status]]=0,"",FUR[[#This Row],[Status]])</f>
        <v/>
      </c>
    </row>
    <row r="704" spans="79:89">
      <c r="CA704" s="1" t="s">
        <v>71</v>
      </c>
      <c r="CB704" s="1" t="s">
        <v>18</v>
      </c>
      <c r="CC704" s="1" t="s">
        <v>132</v>
      </c>
      <c r="CE704" s="122">
        <f>FUR[[#This Row],[Part Type]]</f>
        <v>0</v>
      </c>
      <c r="CF704" s="122">
        <f>FUR[[#This Row],[Chemicals]]</f>
        <v>0</v>
      </c>
      <c r="CG704" s="122">
        <f>FUR[[#This Row],[UID]]</f>
        <v>0</v>
      </c>
      <c r="CK704" s="82" t="str">
        <f>IF(FUR[[#This Row],[Status]]=0,"",FUR[[#This Row],[Status]])</f>
        <v/>
      </c>
    </row>
    <row r="705" spans="79:89">
      <c r="CA705" s="1" t="s">
        <v>71</v>
      </c>
      <c r="CB705" s="1" t="s">
        <v>18</v>
      </c>
      <c r="CC705" s="1" t="s">
        <v>132</v>
      </c>
      <c r="CE705" s="122">
        <f>FUR[[#This Row],[Part Type]]</f>
        <v>0</v>
      </c>
      <c r="CF705" s="122">
        <f>FUR[[#This Row],[Chemicals]]</f>
        <v>0</v>
      </c>
      <c r="CG705" s="122">
        <f>FUR[[#This Row],[UID]]</f>
        <v>0</v>
      </c>
      <c r="CK705" s="82" t="str">
        <f>IF(FUR[[#This Row],[Status]]=0,"",FUR[[#This Row],[Status]])</f>
        <v/>
      </c>
    </row>
    <row r="706" spans="79:89">
      <c r="CA706" s="1" t="s">
        <v>71</v>
      </c>
      <c r="CB706" s="1" t="s">
        <v>18</v>
      </c>
      <c r="CC706" s="1" t="s">
        <v>132</v>
      </c>
      <c r="CE706" s="122">
        <f>FUR[[#This Row],[Part Type]]</f>
        <v>0</v>
      </c>
      <c r="CF706" s="122">
        <f>FUR[[#This Row],[Chemicals]]</f>
        <v>0</v>
      </c>
      <c r="CG706" s="122">
        <f>FUR[[#This Row],[UID]]</f>
        <v>0</v>
      </c>
      <c r="CK706" s="82" t="str">
        <f>IF(FUR[[#This Row],[Status]]=0,"",FUR[[#This Row],[Status]])</f>
        <v/>
      </c>
    </row>
    <row r="707" spans="79:89">
      <c r="CA707" s="1" t="s">
        <v>71</v>
      </c>
      <c r="CB707" s="1" t="s">
        <v>18</v>
      </c>
      <c r="CC707" s="1" t="s">
        <v>132</v>
      </c>
      <c r="CE707" s="122">
        <f>FUR[[#This Row],[Part Type]]</f>
        <v>0</v>
      </c>
      <c r="CF707" s="122">
        <f>FUR[[#This Row],[Chemicals]]</f>
        <v>0</v>
      </c>
      <c r="CG707" s="122">
        <f>FUR[[#This Row],[UID]]</f>
        <v>0</v>
      </c>
      <c r="CK707" s="82" t="str">
        <f>IF(FUR[[#This Row],[Status]]=0,"",FUR[[#This Row],[Status]])</f>
        <v/>
      </c>
    </row>
    <row r="708" spans="79:89">
      <c r="CA708" s="1" t="s">
        <v>71</v>
      </c>
      <c r="CB708" s="1" t="s">
        <v>18</v>
      </c>
      <c r="CC708" s="1" t="s">
        <v>132</v>
      </c>
      <c r="CE708" s="122">
        <f>FUR[[#This Row],[Part Type]]</f>
        <v>0</v>
      </c>
      <c r="CF708" s="122">
        <f>FUR[[#This Row],[Chemicals]]</f>
        <v>0</v>
      </c>
      <c r="CG708" s="122">
        <f>FUR[[#This Row],[UID]]</f>
        <v>0</v>
      </c>
      <c r="CK708" s="82" t="str">
        <f>IF(FUR[[#This Row],[Status]]=0,"",FUR[[#This Row],[Status]])</f>
        <v/>
      </c>
    </row>
    <row r="709" spans="79:89">
      <c r="CA709" s="1" t="s">
        <v>71</v>
      </c>
      <c r="CB709" s="1" t="s">
        <v>18</v>
      </c>
      <c r="CC709" s="1" t="s">
        <v>132</v>
      </c>
      <c r="CE709" s="122">
        <f>FUR[[#This Row],[Part Type]]</f>
        <v>0</v>
      </c>
      <c r="CF709" s="122">
        <f>FUR[[#This Row],[Chemicals]]</f>
        <v>0</v>
      </c>
      <c r="CG709" s="122">
        <f>FUR[[#This Row],[UID]]</f>
        <v>0</v>
      </c>
      <c r="CK709" s="82" t="str">
        <f>IF(FUR[[#This Row],[Status]]=0,"",FUR[[#This Row],[Status]])</f>
        <v/>
      </c>
    </row>
    <row r="710" spans="79:89">
      <c r="CA710" s="1" t="s">
        <v>71</v>
      </c>
      <c r="CB710" s="1" t="s">
        <v>18</v>
      </c>
      <c r="CC710" s="1" t="s">
        <v>132</v>
      </c>
      <c r="CE710" s="122">
        <f>FUR[[#This Row],[Part Type]]</f>
        <v>0</v>
      </c>
      <c r="CF710" s="122">
        <f>FUR[[#This Row],[Chemicals]]</f>
        <v>0</v>
      </c>
      <c r="CG710" s="122">
        <f>FUR[[#This Row],[UID]]</f>
        <v>0</v>
      </c>
      <c r="CK710" s="82" t="str">
        <f>IF(FUR[[#This Row],[Status]]=0,"",FUR[[#This Row],[Status]])</f>
        <v/>
      </c>
    </row>
    <row r="711" spans="79:89">
      <c r="CA711" s="1" t="s">
        <v>71</v>
      </c>
      <c r="CB711" s="1" t="s">
        <v>18</v>
      </c>
      <c r="CC711" s="1" t="s">
        <v>132</v>
      </c>
      <c r="CE711" s="122">
        <f>FUR[[#This Row],[Part Type]]</f>
        <v>0</v>
      </c>
      <c r="CF711" s="122">
        <f>FUR[[#This Row],[Chemicals]]</f>
        <v>0</v>
      </c>
      <c r="CG711" s="122">
        <f>FUR[[#This Row],[UID]]</f>
        <v>0</v>
      </c>
      <c r="CK711" s="82" t="str">
        <f>IF(FUR[[#This Row],[Status]]=0,"",FUR[[#This Row],[Status]])</f>
        <v/>
      </c>
    </row>
    <row r="712" spans="79:89">
      <c r="CA712" s="1" t="s">
        <v>71</v>
      </c>
      <c r="CB712" s="1" t="s">
        <v>18</v>
      </c>
      <c r="CC712" s="1" t="s">
        <v>132</v>
      </c>
      <c r="CE712" s="122">
        <f>FUR[[#This Row],[Part Type]]</f>
        <v>0</v>
      </c>
      <c r="CF712" s="122">
        <f>FUR[[#This Row],[Chemicals]]</f>
        <v>0</v>
      </c>
      <c r="CG712" s="122">
        <f>FUR[[#This Row],[UID]]</f>
        <v>0</v>
      </c>
      <c r="CK712" s="82" t="str">
        <f>IF(FUR[[#This Row],[Status]]=0,"",FUR[[#This Row],[Status]])</f>
        <v/>
      </c>
    </row>
    <row r="713" spans="79:89">
      <c r="CA713" s="1" t="s">
        <v>71</v>
      </c>
      <c r="CB713" s="1" t="s">
        <v>18</v>
      </c>
      <c r="CC713" s="1" t="s">
        <v>132</v>
      </c>
      <c r="CE713" s="122">
        <f>FUR[[#This Row],[Part Type]]</f>
        <v>0</v>
      </c>
      <c r="CF713" s="122">
        <f>FUR[[#This Row],[Chemicals]]</f>
        <v>0</v>
      </c>
      <c r="CG713" s="122">
        <f>FUR[[#This Row],[UID]]</f>
        <v>0</v>
      </c>
      <c r="CK713" s="82" t="str">
        <f>IF(FUR[[#This Row],[Status]]=0,"",FUR[[#This Row],[Status]])</f>
        <v/>
      </c>
    </row>
    <row r="714" spans="79:89">
      <c r="CA714" s="1" t="s">
        <v>71</v>
      </c>
      <c r="CB714" s="1" t="s">
        <v>18</v>
      </c>
      <c r="CC714" s="1" t="s">
        <v>132</v>
      </c>
      <c r="CE714" s="122">
        <f>FUR[[#This Row],[Part Type]]</f>
        <v>0</v>
      </c>
      <c r="CF714" s="122">
        <f>FUR[[#This Row],[Chemicals]]</f>
        <v>0</v>
      </c>
      <c r="CG714" s="122">
        <f>FUR[[#This Row],[UID]]</f>
        <v>0</v>
      </c>
      <c r="CK714" s="82" t="str">
        <f>IF(FUR[[#This Row],[Status]]=0,"",FUR[[#This Row],[Status]])</f>
        <v/>
      </c>
    </row>
    <row r="715" spans="79:89">
      <c r="CA715" s="1" t="s">
        <v>71</v>
      </c>
      <c r="CB715" s="1" t="s">
        <v>18</v>
      </c>
      <c r="CC715" s="1" t="s">
        <v>132</v>
      </c>
      <c r="CE715" s="122">
        <f>FUR[[#This Row],[Part Type]]</f>
        <v>0</v>
      </c>
      <c r="CF715" s="122">
        <f>FUR[[#This Row],[Chemicals]]</f>
        <v>0</v>
      </c>
      <c r="CG715" s="122">
        <f>FUR[[#This Row],[UID]]</f>
        <v>0</v>
      </c>
      <c r="CK715" s="82" t="str">
        <f>IF(FUR[[#This Row],[Status]]=0,"",FUR[[#This Row],[Status]])</f>
        <v/>
      </c>
    </row>
    <row r="716" spans="79:89">
      <c r="CA716" s="1" t="s">
        <v>71</v>
      </c>
      <c r="CB716" s="1" t="s">
        <v>18</v>
      </c>
      <c r="CC716" s="1" t="s">
        <v>132</v>
      </c>
      <c r="CE716" s="122">
        <f>FUR[[#This Row],[Part Type]]</f>
        <v>0</v>
      </c>
      <c r="CF716" s="122">
        <f>FUR[[#This Row],[Chemicals]]</f>
        <v>0</v>
      </c>
      <c r="CG716" s="122">
        <f>FUR[[#This Row],[UID]]</f>
        <v>0</v>
      </c>
      <c r="CK716" s="82" t="str">
        <f>IF(FUR[[#This Row],[Status]]=0,"",FUR[[#This Row],[Status]])</f>
        <v/>
      </c>
    </row>
    <row r="717" spans="79:89">
      <c r="CA717" s="1" t="s">
        <v>71</v>
      </c>
      <c r="CB717" s="1" t="s">
        <v>18</v>
      </c>
      <c r="CC717" s="1" t="s">
        <v>132</v>
      </c>
      <c r="CE717" s="122">
        <f>FUR[[#This Row],[Part Type]]</f>
        <v>0</v>
      </c>
      <c r="CF717" s="122">
        <f>FUR[[#This Row],[Chemicals]]</f>
        <v>0</v>
      </c>
      <c r="CG717" s="122">
        <f>FUR[[#This Row],[UID]]</f>
        <v>0</v>
      </c>
      <c r="CK717" s="82" t="str">
        <f>IF(FUR[[#This Row],[Status]]=0,"",FUR[[#This Row],[Status]])</f>
        <v/>
      </c>
    </row>
    <row r="718" spans="79:89">
      <c r="CA718" s="1" t="s">
        <v>71</v>
      </c>
      <c r="CB718" s="1" t="s">
        <v>18</v>
      </c>
      <c r="CC718" s="1" t="s">
        <v>132</v>
      </c>
      <c r="CE718" s="122">
        <f>FUR[[#This Row],[Part Type]]</f>
        <v>0</v>
      </c>
      <c r="CF718" s="122">
        <f>FUR[[#This Row],[Chemicals]]</f>
        <v>0</v>
      </c>
      <c r="CG718" s="122">
        <f>FUR[[#This Row],[UID]]</f>
        <v>0</v>
      </c>
      <c r="CK718" s="82" t="str">
        <f>IF(FUR[[#This Row],[Status]]=0,"",FUR[[#This Row],[Status]])</f>
        <v/>
      </c>
    </row>
    <row r="719" spans="79:89">
      <c r="CA719" s="1" t="s">
        <v>71</v>
      </c>
      <c r="CB719" s="1" t="s">
        <v>18</v>
      </c>
      <c r="CC719" s="1" t="s">
        <v>132</v>
      </c>
      <c r="CE719" s="122">
        <f>FUR[[#This Row],[Part Type]]</f>
        <v>0</v>
      </c>
      <c r="CF719" s="122">
        <f>FUR[[#This Row],[Chemicals]]</f>
        <v>0</v>
      </c>
      <c r="CG719" s="122">
        <f>FUR[[#This Row],[UID]]</f>
        <v>0</v>
      </c>
      <c r="CK719" s="82" t="str">
        <f>IF(FUR[[#This Row],[Status]]=0,"",FUR[[#This Row],[Status]])</f>
        <v/>
      </c>
    </row>
    <row r="720" spans="79:89">
      <c r="CA720" s="1" t="s">
        <v>71</v>
      </c>
      <c r="CB720" s="1" t="s">
        <v>18</v>
      </c>
      <c r="CC720" s="1" t="s">
        <v>132</v>
      </c>
      <c r="CE720" s="122">
        <f>FUR[[#This Row],[Part Type]]</f>
        <v>0</v>
      </c>
      <c r="CF720" s="122">
        <f>FUR[[#This Row],[Chemicals]]</f>
        <v>0</v>
      </c>
      <c r="CG720" s="122">
        <f>FUR[[#This Row],[UID]]</f>
        <v>0</v>
      </c>
      <c r="CK720" s="82" t="str">
        <f>IF(FUR[[#This Row],[Status]]=0,"",FUR[[#This Row],[Status]])</f>
        <v/>
      </c>
    </row>
    <row r="721" spans="79:89">
      <c r="CA721" s="1" t="s">
        <v>71</v>
      </c>
      <c r="CB721" s="1" t="s">
        <v>18</v>
      </c>
      <c r="CC721" s="1" t="s">
        <v>132</v>
      </c>
      <c r="CE721" s="122">
        <f>FUR[[#This Row],[Part Type]]</f>
        <v>0</v>
      </c>
      <c r="CF721" s="122">
        <f>FUR[[#This Row],[Chemicals]]</f>
        <v>0</v>
      </c>
      <c r="CG721" s="122">
        <f>FUR[[#This Row],[UID]]</f>
        <v>0</v>
      </c>
      <c r="CK721" s="82" t="str">
        <f>IF(FUR[[#This Row],[Status]]=0,"",FUR[[#This Row],[Status]])</f>
        <v/>
      </c>
    </row>
    <row r="722" spans="79:89">
      <c r="CA722" s="1" t="s">
        <v>71</v>
      </c>
      <c r="CB722" s="1" t="s">
        <v>18</v>
      </c>
      <c r="CC722" s="1" t="s">
        <v>132</v>
      </c>
      <c r="CE722" s="122">
        <f>FUR[[#This Row],[Part Type]]</f>
        <v>0</v>
      </c>
      <c r="CF722" s="122">
        <f>FUR[[#This Row],[Chemicals]]</f>
        <v>0</v>
      </c>
      <c r="CG722" s="122">
        <f>FUR[[#This Row],[UID]]</f>
        <v>0</v>
      </c>
      <c r="CK722" s="82" t="str">
        <f>IF(FUR[[#This Row],[Status]]=0,"",FUR[[#This Row],[Status]])</f>
        <v/>
      </c>
    </row>
    <row r="723" spans="79:89">
      <c r="CA723" s="1" t="s">
        <v>71</v>
      </c>
      <c r="CB723" s="1" t="s">
        <v>18</v>
      </c>
      <c r="CC723" s="1" t="s">
        <v>132</v>
      </c>
      <c r="CE723" s="122">
        <f>FUR[[#This Row],[Part Type]]</f>
        <v>0</v>
      </c>
      <c r="CF723" s="122">
        <f>FUR[[#This Row],[Chemicals]]</f>
        <v>0</v>
      </c>
      <c r="CG723" s="122">
        <f>FUR[[#This Row],[UID]]</f>
        <v>0</v>
      </c>
      <c r="CK723" s="82" t="str">
        <f>IF(FUR[[#This Row],[Status]]=0,"",FUR[[#This Row],[Status]])</f>
        <v/>
      </c>
    </row>
    <row r="724" spans="79:89">
      <c r="CA724" s="1" t="s">
        <v>71</v>
      </c>
      <c r="CB724" s="1" t="s">
        <v>18</v>
      </c>
      <c r="CC724" s="1" t="s">
        <v>132</v>
      </c>
      <c r="CE724" s="122">
        <f>FUR[[#This Row],[Part Type]]</f>
        <v>0</v>
      </c>
      <c r="CF724" s="122">
        <f>FUR[[#This Row],[Chemicals]]</f>
        <v>0</v>
      </c>
      <c r="CG724" s="122">
        <f>FUR[[#This Row],[UID]]</f>
        <v>0</v>
      </c>
      <c r="CK724" s="82" t="str">
        <f>IF(FUR[[#This Row],[Status]]=0,"",FUR[[#This Row],[Status]])</f>
        <v/>
      </c>
    </row>
    <row r="725" spans="79:89">
      <c r="CA725" s="1" t="s">
        <v>71</v>
      </c>
      <c r="CB725" s="1" t="s">
        <v>18</v>
      </c>
      <c r="CC725" s="1" t="s">
        <v>132</v>
      </c>
      <c r="CE725" s="122">
        <f>FUR[[#This Row],[Part Type]]</f>
        <v>0</v>
      </c>
      <c r="CF725" s="122">
        <f>FUR[[#This Row],[Chemicals]]</f>
        <v>0</v>
      </c>
      <c r="CG725" s="122">
        <f>FUR[[#This Row],[UID]]</f>
        <v>0</v>
      </c>
      <c r="CK725" s="82" t="str">
        <f>IF(FUR[[#This Row],[Status]]=0,"",FUR[[#This Row],[Status]])</f>
        <v/>
      </c>
    </row>
    <row r="726" spans="79:89">
      <c r="CA726" s="1" t="s">
        <v>71</v>
      </c>
      <c r="CB726" s="1" t="s">
        <v>18</v>
      </c>
      <c r="CC726" s="1" t="s">
        <v>132</v>
      </c>
      <c r="CE726" s="122">
        <f>FUR[[#This Row],[Part Type]]</f>
        <v>0</v>
      </c>
      <c r="CF726" s="122">
        <f>FUR[[#This Row],[Chemicals]]</f>
        <v>0</v>
      </c>
      <c r="CG726" s="122">
        <f>FUR[[#This Row],[UID]]</f>
        <v>0</v>
      </c>
      <c r="CK726" s="82" t="str">
        <f>IF(FUR[[#This Row],[Status]]=0,"",FUR[[#This Row],[Status]])</f>
        <v/>
      </c>
    </row>
    <row r="727" spans="79:89">
      <c r="CA727" s="1" t="s">
        <v>71</v>
      </c>
      <c r="CB727" s="1" t="s">
        <v>18</v>
      </c>
      <c r="CC727" s="1" t="s">
        <v>132</v>
      </c>
      <c r="CE727" s="122">
        <f>FUR[[#This Row],[Part Type]]</f>
        <v>0</v>
      </c>
      <c r="CF727" s="122">
        <f>FUR[[#This Row],[Chemicals]]</f>
        <v>0</v>
      </c>
      <c r="CG727" s="122">
        <f>FUR[[#This Row],[UID]]</f>
        <v>0</v>
      </c>
      <c r="CK727" s="82" t="str">
        <f>IF(FUR[[#This Row],[Status]]=0,"",FUR[[#This Row],[Status]])</f>
        <v/>
      </c>
    </row>
    <row r="728" spans="79:89">
      <c r="CA728" s="1" t="s">
        <v>71</v>
      </c>
      <c r="CB728" s="1" t="s">
        <v>18</v>
      </c>
      <c r="CC728" s="1" t="s">
        <v>132</v>
      </c>
      <c r="CE728" s="122">
        <f>FUR[[#This Row],[Part Type]]</f>
        <v>0</v>
      </c>
      <c r="CF728" s="122">
        <f>FUR[[#This Row],[Chemicals]]</f>
        <v>0</v>
      </c>
      <c r="CG728" s="122">
        <f>FUR[[#This Row],[UID]]</f>
        <v>0</v>
      </c>
      <c r="CK728" s="82" t="str">
        <f>IF(FUR[[#This Row],[Status]]=0,"",FUR[[#This Row],[Status]])</f>
        <v/>
      </c>
    </row>
    <row r="729" spans="79:89">
      <c r="CA729" s="1" t="s">
        <v>71</v>
      </c>
      <c r="CB729" s="1" t="s">
        <v>18</v>
      </c>
      <c r="CC729" s="1" t="s">
        <v>132</v>
      </c>
      <c r="CE729" s="122">
        <f>FUR[[#This Row],[Part Type]]</f>
        <v>0</v>
      </c>
      <c r="CF729" s="122">
        <f>FUR[[#This Row],[Chemicals]]</f>
        <v>0</v>
      </c>
      <c r="CG729" s="122">
        <f>FUR[[#This Row],[UID]]</f>
        <v>0</v>
      </c>
      <c r="CK729" s="82" t="str">
        <f>IF(FUR[[#This Row],[Status]]=0,"",FUR[[#This Row],[Status]])</f>
        <v/>
      </c>
    </row>
    <row r="730" spans="79:89">
      <c r="CA730" s="1" t="s">
        <v>71</v>
      </c>
      <c r="CB730" s="1" t="s">
        <v>18</v>
      </c>
      <c r="CC730" s="1" t="s">
        <v>132</v>
      </c>
      <c r="CE730" s="122">
        <f>FUR[[#This Row],[Part Type]]</f>
        <v>0</v>
      </c>
      <c r="CF730" s="122">
        <f>FUR[[#This Row],[Chemicals]]</f>
        <v>0</v>
      </c>
      <c r="CG730" s="122">
        <f>FUR[[#This Row],[UID]]</f>
        <v>0</v>
      </c>
      <c r="CK730" s="82" t="str">
        <f>IF(FUR[[#This Row],[Status]]=0,"",FUR[[#This Row],[Status]])</f>
        <v/>
      </c>
    </row>
    <row r="731" spans="79:89">
      <c r="CA731" s="1" t="s">
        <v>71</v>
      </c>
      <c r="CB731" s="1" t="s">
        <v>18</v>
      </c>
      <c r="CC731" s="1" t="s">
        <v>132</v>
      </c>
      <c r="CE731" s="122">
        <f>FUR[[#This Row],[Part Type]]</f>
        <v>0</v>
      </c>
      <c r="CF731" s="122">
        <f>FUR[[#This Row],[Chemicals]]</f>
        <v>0</v>
      </c>
      <c r="CG731" s="122">
        <f>FUR[[#This Row],[UID]]</f>
        <v>0</v>
      </c>
      <c r="CK731" s="82" t="str">
        <f>IF(FUR[[#This Row],[Status]]=0,"",FUR[[#This Row],[Status]])</f>
        <v/>
      </c>
    </row>
    <row r="732" spans="79:89">
      <c r="CA732" s="1" t="s">
        <v>71</v>
      </c>
      <c r="CB732" s="1" t="s">
        <v>18</v>
      </c>
      <c r="CC732" s="1" t="s">
        <v>132</v>
      </c>
      <c r="CE732" s="122">
        <f>FUR[[#This Row],[Part Type]]</f>
        <v>0</v>
      </c>
      <c r="CF732" s="122">
        <f>FUR[[#This Row],[Chemicals]]</f>
        <v>0</v>
      </c>
      <c r="CG732" s="122">
        <f>FUR[[#This Row],[UID]]</f>
        <v>0</v>
      </c>
      <c r="CK732" s="82" t="str">
        <f>IF(FUR[[#This Row],[Status]]=0,"",FUR[[#This Row],[Status]])</f>
        <v/>
      </c>
    </row>
    <row r="733" spans="79:89">
      <c r="CA733" s="1" t="s">
        <v>71</v>
      </c>
      <c r="CB733" s="1" t="s">
        <v>18</v>
      </c>
      <c r="CC733" s="1" t="s">
        <v>132</v>
      </c>
      <c r="CE733" s="122">
        <f>FUR[[#This Row],[Part Type]]</f>
        <v>0</v>
      </c>
      <c r="CF733" s="122">
        <f>FUR[[#This Row],[Chemicals]]</f>
        <v>0</v>
      </c>
      <c r="CG733" s="122">
        <f>FUR[[#This Row],[UID]]</f>
        <v>0</v>
      </c>
      <c r="CK733" s="82" t="str">
        <f>IF(FUR[[#This Row],[Status]]=0,"",FUR[[#This Row],[Status]])</f>
        <v/>
      </c>
    </row>
    <row r="734" spans="79:89">
      <c r="CA734" s="1" t="s">
        <v>71</v>
      </c>
      <c r="CB734" s="1" t="s">
        <v>18</v>
      </c>
      <c r="CC734" s="1" t="s">
        <v>132</v>
      </c>
      <c r="CE734" s="122">
        <f>FUR[[#This Row],[Part Type]]</f>
        <v>0</v>
      </c>
      <c r="CF734" s="122">
        <f>FUR[[#This Row],[Chemicals]]</f>
        <v>0</v>
      </c>
      <c r="CG734" s="122">
        <f>FUR[[#This Row],[UID]]</f>
        <v>0</v>
      </c>
      <c r="CK734" s="82" t="str">
        <f>IF(FUR[[#This Row],[Status]]=0,"",FUR[[#This Row],[Status]])</f>
        <v/>
      </c>
    </row>
    <row r="735" spans="79:89">
      <c r="CA735" s="1" t="s">
        <v>71</v>
      </c>
      <c r="CB735" s="1" t="s">
        <v>18</v>
      </c>
      <c r="CC735" s="1" t="s">
        <v>132</v>
      </c>
      <c r="CE735" s="122">
        <f>FUR[[#This Row],[Part Type]]</f>
        <v>0</v>
      </c>
      <c r="CF735" s="122">
        <f>FUR[[#This Row],[Chemicals]]</f>
        <v>0</v>
      </c>
      <c r="CG735" s="122">
        <f>FUR[[#This Row],[UID]]</f>
        <v>0</v>
      </c>
      <c r="CK735" s="82" t="str">
        <f>IF(FUR[[#This Row],[Status]]=0,"",FUR[[#This Row],[Status]])</f>
        <v/>
      </c>
    </row>
    <row r="736" spans="79:89">
      <c r="CA736" s="1" t="s">
        <v>71</v>
      </c>
      <c r="CB736" s="1" t="s">
        <v>18</v>
      </c>
      <c r="CC736" s="1" t="s">
        <v>132</v>
      </c>
      <c r="CE736" s="122">
        <f>FUR[[#This Row],[Part Type]]</f>
        <v>0</v>
      </c>
      <c r="CF736" s="122">
        <f>FUR[[#This Row],[Chemicals]]</f>
        <v>0</v>
      </c>
      <c r="CG736" s="122">
        <f>FUR[[#This Row],[UID]]</f>
        <v>0</v>
      </c>
      <c r="CK736" s="82" t="str">
        <f>IF(FUR[[#This Row],[Status]]=0,"",FUR[[#This Row],[Status]])</f>
        <v/>
      </c>
    </row>
    <row r="737" spans="79:89">
      <c r="CA737" s="1" t="s">
        <v>71</v>
      </c>
      <c r="CB737" s="1" t="s">
        <v>18</v>
      </c>
      <c r="CC737" s="1" t="s">
        <v>132</v>
      </c>
      <c r="CE737" s="122">
        <f>FUR[[#This Row],[Part Type]]</f>
        <v>0</v>
      </c>
      <c r="CF737" s="122">
        <f>FUR[[#This Row],[Chemicals]]</f>
        <v>0</v>
      </c>
      <c r="CG737" s="122">
        <f>FUR[[#This Row],[UID]]</f>
        <v>0</v>
      </c>
      <c r="CK737" s="82" t="str">
        <f>IF(FUR[[#This Row],[Status]]=0,"",FUR[[#This Row],[Status]])</f>
        <v/>
      </c>
    </row>
    <row r="738" spans="79:89">
      <c r="CA738" s="1" t="s">
        <v>71</v>
      </c>
      <c r="CB738" s="1" t="s">
        <v>18</v>
      </c>
      <c r="CC738" s="1" t="s">
        <v>132</v>
      </c>
      <c r="CE738" s="122">
        <f>FUR[[#This Row],[Part Type]]</f>
        <v>0</v>
      </c>
      <c r="CF738" s="122">
        <f>FUR[[#This Row],[Chemicals]]</f>
        <v>0</v>
      </c>
      <c r="CG738" s="122">
        <f>FUR[[#This Row],[UID]]</f>
        <v>0</v>
      </c>
      <c r="CK738" s="82" t="str">
        <f>IF(FUR[[#This Row],[Status]]=0,"",FUR[[#This Row],[Status]])</f>
        <v/>
      </c>
    </row>
    <row r="739" spans="79:89">
      <c r="CA739" s="1" t="s">
        <v>71</v>
      </c>
      <c r="CB739" s="1" t="s">
        <v>18</v>
      </c>
      <c r="CC739" s="1" t="s">
        <v>132</v>
      </c>
      <c r="CE739" s="122">
        <f>FUR[[#This Row],[Part Type]]</f>
        <v>0</v>
      </c>
      <c r="CF739" s="122">
        <f>FUR[[#This Row],[Chemicals]]</f>
        <v>0</v>
      </c>
      <c r="CG739" s="122">
        <f>FUR[[#This Row],[UID]]</f>
        <v>0</v>
      </c>
      <c r="CK739" s="82" t="str">
        <f>IF(FUR[[#This Row],[Status]]=0,"",FUR[[#This Row],[Status]])</f>
        <v/>
      </c>
    </row>
    <row r="740" spans="79:89">
      <c r="CA740" s="1" t="s">
        <v>71</v>
      </c>
      <c r="CB740" s="1" t="s">
        <v>18</v>
      </c>
      <c r="CC740" s="1" t="s">
        <v>132</v>
      </c>
      <c r="CE740" s="122">
        <f>FUR[[#This Row],[Part Type]]</f>
        <v>0</v>
      </c>
      <c r="CF740" s="122">
        <f>FUR[[#This Row],[Chemicals]]</f>
        <v>0</v>
      </c>
      <c r="CG740" s="122">
        <f>FUR[[#This Row],[UID]]</f>
        <v>0</v>
      </c>
      <c r="CK740" s="82" t="str">
        <f>IF(FUR[[#This Row],[Status]]=0,"",FUR[[#This Row],[Status]])</f>
        <v/>
      </c>
    </row>
    <row r="741" spans="79:89">
      <c r="CA741" s="1" t="s">
        <v>71</v>
      </c>
      <c r="CB741" s="1" t="s">
        <v>18</v>
      </c>
      <c r="CC741" s="1" t="s">
        <v>132</v>
      </c>
      <c r="CE741" s="122">
        <f>FUR[[#This Row],[Part Type]]</f>
        <v>0</v>
      </c>
      <c r="CF741" s="122">
        <f>FUR[[#This Row],[Chemicals]]</f>
        <v>0</v>
      </c>
      <c r="CG741" s="122">
        <f>FUR[[#This Row],[UID]]</f>
        <v>0</v>
      </c>
      <c r="CK741" s="82" t="str">
        <f>IF(FUR[[#This Row],[Status]]=0,"",FUR[[#This Row],[Status]])</f>
        <v/>
      </c>
    </row>
    <row r="742" spans="79:89">
      <c r="CA742" s="1" t="s">
        <v>71</v>
      </c>
      <c r="CB742" s="1" t="s">
        <v>18</v>
      </c>
      <c r="CC742" s="1" t="s">
        <v>132</v>
      </c>
      <c r="CE742" s="122">
        <f>FUR[[#This Row],[Part Type]]</f>
        <v>0</v>
      </c>
      <c r="CF742" s="122">
        <f>FUR[[#This Row],[Chemicals]]</f>
        <v>0</v>
      </c>
      <c r="CG742" s="122">
        <f>FUR[[#This Row],[UID]]</f>
        <v>0</v>
      </c>
      <c r="CK742" s="82" t="str">
        <f>IF(FUR[[#This Row],[Status]]=0,"",FUR[[#This Row],[Status]])</f>
        <v/>
      </c>
    </row>
    <row r="743" spans="79:89">
      <c r="CA743" s="1" t="s">
        <v>71</v>
      </c>
      <c r="CB743" s="1" t="s">
        <v>18</v>
      </c>
      <c r="CC743" s="1" t="s">
        <v>132</v>
      </c>
      <c r="CE743" s="122">
        <f>FUR[[#This Row],[Part Type]]</f>
        <v>0</v>
      </c>
      <c r="CF743" s="122">
        <f>FUR[[#This Row],[Chemicals]]</f>
        <v>0</v>
      </c>
      <c r="CG743" s="122">
        <f>FUR[[#This Row],[UID]]</f>
        <v>0</v>
      </c>
      <c r="CK743" s="82" t="str">
        <f>IF(FUR[[#This Row],[Status]]=0,"",FUR[[#This Row],[Status]])</f>
        <v/>
      </c>
    </row>
    <row r="744" spans="79:89">
      <c r="CA744" s="1" t="s">
        <v>71</v>
      </c>
      <c r="CB744" s="1" t="s">
        <v>18</v>
      </c>
      <c r="CC744" s="1" t="s">
        <v>132</v>
      </c>
      <c r="CE744" s="122">
        <f>FUR[[#This Row],[Part Type]]</f>
        <v>0</v>
      </c>
      <c r="CF744" s="122">
        <f>FUR[[#This Row],[Chemicals]]</f>
        <v>0</v>
      </c>
      <c r="CG744" s="122">
        <f>FUR[[#This Row],[UID]]</f>
        <v>0</v>
      </c>
      <c r="CK744" s="82" t="str">
        <f>IF(FUR[[#This Row],[Status]]=0,"",FUR[[#This Row],[Status]])</f>
        <v/>
      </c>
    </row>
    <row r="745" spans="79:89">
      <c r="CA745" s="1" t="s">
        <v>71</v>
      </c>
      <c r="CB745" s="1" t="s">
        <v>18</v>
      </c>
      <c r="CC745" s="1" t="s">
        <v>132</v>
      </c>
      <c r="CE745" s="122">
        <f>FUR[[#This Row],[Part Type]]</f>
        <v>0</v>
      </c>
      <c r="CF745" s="122">
        <f>FUR[[#This Row],[Chemicals]]</f>
        <v>0</v>
      </c>
      <c r="CG745" s="122">
        <f>FUR[[#This Row],[UID]]</f>
        <v>0</v>
      </c>
      <c r="CK745" s="82" t="str">
        <f>IF(FUR[[#This Row],[Status]]=0,"",FUR[[#This Row],[Status]])</f>
        <v/>
      </c>
    </row>
    <row r="746" spans="79:89">
      <c r="CA746" s="1" t="s">
        <v>71</v>
      </c>
      <c r="CB746" s="1" t="s">
        <v>18</v>
      </c>
      <c r="CC746" s="1" t="s">
        <v>132</v>
      </c>
      <c r="CE746" s="122">
        <f>FUR[[#This Row],[Part Type]]</f>
        <v>0</v>
      </c>
      <c r="CF746" s="122">
        <f>FUR[[#This Row],[Chemicals]]</f>
        <v>0</v>
      </c>
      <c r="CG746" s="122">
        <f>FUR[[#This Row],[UID]]</f>
        <v>0</v>
      </c>
      <c r="CK746" s="82" t="str">
        <f>IF(FUR[[#This Row],[Status]]=0,"",FUR[[#This Row],[Status]])</f>
        <v/>
      </c>
    </row>
    <row r="747" spans="79:89">
      <c r="CA747" s="1" t="s">
        <v>71</v>
      </c>
      <c r="CB747" s="1" t="s">
        <v>18</v>
      </c>
      <c r="CC747" s="1" t="s">
        <v>132</v>
      </c>
      <c r="CE747" s="122">
        <f>FUR[[#This Row],[Part Type]]</f>
        <v>0</v>
      </c>
      <c r="CF747" s="122">
        <f>FUR[[#This Row],[Chemicals]]</f>
        <v>0</v>
      </c>
      <c r="CG747" s="122">
        <f>FUR[[#This Row],[UID]]</f>
        <v>0</v>
      </c>
      <c r="CK747" s="82" t="str">
        <f>IF(FUR[[#This Row],[Status]]=0,"",FUR[[#This Row],[Status]])</f>
        <v/>
      </c>
    </row>
    <row r="748" spans="79:89">
      <c r="CA748" s="1" t="s">
        <v>71</v>
      </c>
      <c r="CB748" s="1" t="s">
        <v>18</v>
      </c>
      <c r="CC748" s="1" t="s">
        <v>132</v>
      </c>
      <c r="CE748" s="122">
        <f>FUR[[#This Row],[Part Type]]</f>
        <v>0</v>
      </c>
      <c r="CF748" s="122">
        <f>FUR[[#This Row],[Chemicals]]</f>
        <v>0</v>
      </c>
      <c r="CG748" s="122">
        <f>FUR[[#This Row],[UID]]</f>
        <v>0</v>
      </c>
      <c r="CK748" s="82" t="str">
        <f>IF(FUR[[#This Row],[Status]]=0,"",FUR[[#This Row],[Status]])</f>
        <v/>
      </c>
    </row>
    <row r="749" spans="79:89">
      <c r="CA749" s="1" t="s">
        <v>71</v>
      </c>
      <c r="CB749" s="1" t="s">
        <v>18</v>
      </c>
      <c r="CC749" s="1" t="s">
        <v>132</v>
      </c>
      <c r="CE749" s="122">
        <f>FUR[[#This Row],[Part Type]]</f>
        <v>0</v>
      </c>
      <c r="CF749" s="122">
        <f>FUR[[#This Row],[Chemicals]]</f>
        <v>0</v>
      </c>
      <c r="CG749" s="122">
        <f>FUR[[#This Row],[UID]]</f>
        <v>0</v>
      </c>
      <c r="CK749" s="82" t="str">
        <f>IF(FUR[[#This Row],[Status]]=0,"",FUR[[#This Row],[Status]])</f>
        <v/>
      </c>
    </row>
    <row r="750" spans="79:89">
      <c r="CA750" s="1" t="s">
        <v>71</v>
      </c>
      <c r="CB750" s="1" t="s">
        <v>18</v>
      </c>
      <c r="CC750" s="1" t="s">
        <v>132</v>
      </c>
      <c r="CE750" s="122">
        <f>FUR[[#This Row],[Part Type]]</f>
        <v>0</v>
      </c>
      <c r="CF750" s="122">
        <f>FUR[[#This Row],[Chemicals]]</f>
        <v>0</v>
      </c>
      <c r="CG750" s="122">
        <f>FUR[[#This Row],[UID]]</f>
        <v>0</v>
      </c>
      <c r="CK750" s="82" t="str">
        <f>IF(FUR[[#This Row],[Status]]=0,"",FUR[[#This Row],[Status]])</f>
        <v/>
      </c>
    </row>
    <row r="751" spans="79:89">
      <c r="CA751" s="1" t="s">
        <v>71</v>
      </c>
      <c r="CB751" s="1" t="s">
        <v>18</v>
      </c>
      <c r="CC751" s="1" t="s">
        <v>132</v>
      </c>
      <c r="CE751" s="122">
        <f>FUR[[#This Row],[Part Type]]</f>
        <v>0</v>
      </c>
      <c r="CF751" s="122">
        <f>FUR[[#This Row],[Chemicals]]</f>
        <v>0</v>
      </c>
      <c r="CG751" s="122">
        <f>FUR[[#This Row],[UID]]</f>
        <v>0</v>
      </c>
      <c r="CK751" s="82" t="str">
        <f>IF(FUR[[#This Row],[Status]]=0,"",FUR[[#This Row],[Status]])</f>
        <v/>
      </c>
    </row>
    <row r="752" spans="79:89">
      <c r="CA752" s="1" t="s">
        <v>71</v>
      </c>
      <c r="CB752" s="1" t="s">
        <v>18</v>
      </c>
      <c r="CC752" s="1" t="s">
        <v>132</v>
      </c>
      <c r="CE752" s="122">
        <f>FUR[[#This Row],[Part Type]]</f>
        <v>0</v>
      </c>
      <c r="CF752" s="122">
        <f>FUR[[#This Row],[Chemicals]]</f>
        <v>0</v>
      </c>
      <c r="CG752" s="122">
        <f>FUR[[#This Row],[UID]]</f>
        <v>0</v>
      </c>
      <c r="CK752" s="82" t="str">
        <f>IF(FUR[[#This Row],[Status]]=0,"",FUR[[#This Row],[Status]])</f>
        <v/>
      </c>
    </row>
    <row r="753" spans="79:89">
      <c r="CA753" s="1" t="s">
        <v>71</v>
      </c>
      <c r="CB753" s="1" t="s">
        <v>18</v>
      </c>
      <c r="CC753" s="1" t="s">
        <v>132</v>
      </c>
      <c r="CE753" s="122">
        <f>FUR[[#This Row],[Part Type]]</f>
        <v>0</v>
      </c>
      <c r="CF753" s="122">
        <f>FUR[[#This Row],[Chemicals]]</f>
        <v>0</v>
      </c>
      <c r="CG753" s="122">
        <f>FUR[[#This Row],[UID]]</f>
        <v>0</v>
      </c>
      <c r="CK753" s="82" t="str">
        <f>IF(FUR[[#This Row],[Status]]=0,"",FUR[[#This Row],[Status]])</f>
        <v/>
      </c>
    </row>
    <row r="754" spans="79:89">
      <c r="CA754" s="1" t="s">
        <v>71</v>
      </c>
      <c r="CB754" s="1" t="s">
        <v>18</v>
      </c>
      <c r="CC754" s="1" t="s">
        <v>132</v>
      </c>
      <c r="CE754" s="122">
        <f>FUR[[#This Row],[Part Type]]</f>
        <v>0</v>
      </c>
      <c r="CF754" s="122">
        <f>FUR[[#This Row],[Chemicals]]</f>
        <v>0</v>
      </c>
      <c r="CG754" s="122">
        <f>FUR[[#This Row],[UID]]</f>
        <v>0</v>
      </c>
      <c r="CK754" s="82" t="str">
        <f>IF(FUR[[#This Row],[Status]]=0,"",FUR[[#This Row],[Status]])</f>
        <v/>
      </c>
    </row>
    <row r="755" spans="79:89">
      <c r="CA755" s="1" t="s">
        <v>71</v>
      </c>
      <c r="CB755" s="1" t="s">
        <v>18</v>
      </c>
      <c r="CC755" s="1" t="s">
        <v>132</v>
      </c>
      <c r="CE755" s="122">
        <f>FUR[[#This Row],[Part Type]]</f>
        <v>0</v>
      </c>
      <c r="CF755" s="122">
        <f>FUR[[#This Row],[Chemicals]]</f>
        <v>0</v>
      </c>
      <c r="CG755" s="122">
        <f>FUR[[#This Row],[UID]]</f>
        <v>0</v>
      </c>
      <c r="CK755" s="82" t="str">
        <f>IF(FUR[[#This Row],[Status]]=0,"",FUR[[#This Row],[Status]])</f>
        <v/>
      </c>
    </row>
    <row r="756" spans="79:89">
      <c r="CA756" s="1" t="s">
        <v>71</v>
      </c>
      <c r="CB756" s="1" t="s">
        <v>18</v>
      </c>
      <c r="CC756" s="1" t="s">
        <v>132</v>
      </c>
      <c r="CE756" s="122">
        <f>FUR[[#This Row],[Part Type]]</f>
        <v>0</v>
      </c>
      <c r="CF756" s="122">
        <f>FUR[[#This Row],[Chemicals]]</f>
        <v>0</v>
      </c>
      <c r="CG756" s="122">
        <f>FUR[[#This Row],[UID]]</f>
        <v>0</v>
      </c>
      <c r="CK756" s="82" t="str">
        <f>IF(FUR[[#This Row],[Status]]=0,"",FUR[[#This Row],[Status]])</f>
        <v/>
      </c>
    </row>
    <row r="757" spans="79:89">
      <c r="CA757" s="1" t="s">
        <v>71</v>
      </c>
      <c r="CB757" s="1" t="s">
        <v>18</v>
      </c>
      <c r="CC757" s="1" t="s">
        <v>132</v>
      </c>
      <c r="CE757" s="122">
        <f>FUR[[#This Row],[Part Type]]</f>
        <v>0</v>
      </c>
      <c r="CF757" s="122">
        <f>FUR[[#This Row],[Chemicals]]</f>
        <v>0</v>
      </c>
      <c r="CG757" s="122">
        <f>FUR[[#This Row],[UID]]</f>
        <v>0</v>
      </c>
      <c r="CK757" s="82" t="str">
        <f>IF(FUR[[#This Row],[Status]]=0,"",FUR[[#This Row],[Status]])</f>
        <v/>
      </c>
    </row>
    <row r="758" spans="79:89">
      <c r="CA758" s="1" t="s">
        <v>71</v>
      </c>
      <c r="CB758" s="1" t="s">
        <v>18</v>
      </c>
      <c r="CC758" s="1" t="s">
        <v>132</v>
      </c>
      <c r="CE758" s="122">
        <f>FUR[[#This Row],[Part Type]]</f>
        <v>0</v>
      </c>
      <c r="CF758" s="122">
        <f>FUR[[#This Row],[Chemicals]]</f>
        <v>0</v>
      </c>
      <c r="CG758" s="122">
        <f>FUR[[#This Row],[UID]]</f>
        <v>0</v>
      </c>
      <c r="CK758" s="82" t="str">
        <f>IF(FUR[[#This Row],[Status]]=0,"",FUR[[#This Row],[Status]])</f>
        <v/>
      </c>
    </row>
    <row r="759" spans="79:89">
      <c r="CA759" s="1" t="s">
        <v>71</v>
      </c>
      <c r="CB759" s="1" t="s">
        <v>18</v>
      </c>
      <c r="CC759" s="1" t="s">
        <v>132</v>
      </c>
      <c r="CE759" s="122">
        <f>FUR[[#This Row],[Part Type]]</f>
        <v>0</v>
      </c>
      <c r="CF759" s="122">
        <f>FUR[[#This Row],[Chemicals]]</f>
        <v>0</v>
      </c>
      <c r="CG759" s="122">
        <f>FUR[[#This Row],[UID]]</f>
        <v>0</v>
      </c>
      <c r="CK759" s="82" t="str">
        <f>IF(FUR[[#This Row],[Status]]=0,"",FUR[[#This Row],[Status]])</f>
        <v/>
      </c>
    </row>
    <row r="760" spans="79:89">
      <c r="CA760" s="1" t="s">
        <v>71</v>
      </c>
      <c r="CB760" s="1" t="s">
        <v>18</v>
      </c>
      <c r="CC760" s="1" t="s">
        <v>132</v>
      </c>
      <c r="CE760" s="122">
        <f>FUR[[#This Row],[Part Type]]</f>
        <v>0</v>
      </c>
      <c r="CF760" s="122">
        <f>FUR[[#This Row],[Chemicals]]</f>
        <v>0</v>
      </c>
      <c r="CG760" s="122">
        <f>FUR[[#This Row],[UID]]</f>
        <v>0</v>
      </c>
      <c r="CK760" s="82" t="str">
        <f>IF(FUR[[#This Row],[Status]]=0,"",FUR[[#This Row],[Status]])</f>
        <v/>
      </c>
    </row>
    <row r="761" spans="79:89">
      <c r="CA761" s="1" t="s">
        <v>71</v>
      </c>
      <c r="CB761" s="1" t="s">
        <v>18</v>
      </c>
      <c r="CC761" s="1" t="s">
        <v>132</v>
      </c>
      <c r="CE761" s="122">
        <f>FUR[[#This Row],[Part Type]]</f>
        <v>0</v>
      </c>
      <c r="CF761" s="122">
        <f>FUR[[#This Row],[Chemicals]]</f>
        <v>0</v>
      </c>
      <c r="CG761" s="122">
        <f>FUR[[#This Row],[UID]]</f>
        <v>0</v>
      </c>
      <c r="CK761" s="82" t="str">
        <f>IF(FUR[[#This Row],[Status]]=0,"",FUR[[#This Row],[Status]])</f>
        <v/>
      </c>
    </row>
    <row r="762" spans="79:89">
      <c r="CA762" s="1" t="s">
        <v>71</v>
      </c>
      <c r="CB762" s="1" t="s">
        <v>18</v>
      </c>
      <c r="CC762" s="1" t="s">
        <v>132</v>
      </c>
      <c r="CE762" s="122">
        <f>FUR[[#This Row],[Part Type]]</f>
        <v>0</v>
      </c>
      <c r="CF762" s="122">
        <f>FUR[[#This Row],[Chemicals]]</f>
        <v>0</v>
      </c>
      <c r="CG762" s="122">
        <f>FUR[[#This Row],[UID]]</f>
        <v>0</v>
      </c>
      <c r="CK762" s="82" t="str">
        <f>IF(FUR[[#This Row],[Status]]=0,"",FUR[[#This Row],[Status]])</f>
        <v/>
      </c>
    </row>
    <row r="763" spans="79:89">
      <c r="CA763" s="1" t="s">
        <v>71</v>
      </c>
      <c r="CB763" s="1" t="s">
        <v>18</v>
      </c>
      <c r="CC763" s="1" t="s">
        <v>132</v>
      </c>
      <c r="CE763" s="122">
        <f>FUR[[#This Row],[Part Type]]</f>
        <v>0</v>
      </c>
      <c r="CF763" s="122">
        <f>FUR[[#This Row],[Chemicals]]</f>
        <v>0</v>
      </c>
      <c r="CG763" s="122">
        <f>FUR[[#This Row],[UID]]</f>
        <v>0</v>
      </c>
      <c r="CK763" s="82" t="str">
        <f>IF(FUR[[#This Row],[Status]]=0,"",FUR[[#This Row],[Status]])</f>
        <v/>
      </c>
    </row>
    <row r="764" spans="79:89">
      <c r="CA764" s="1" t="s">
        <v>71</v>
      </c>
      <c r="CB764" s="1" t="s">
        <v>18</v>
      </c>
      <c r="CC764" s="1" t="s">
        <v>132</v>
      </c>
      <c r="CE764" s="122">
        <f>FUR[[#This Row],[Part Type]]</f>
        <v>0</v>
      </c>
      <c r="CF764" s="122">
        <f>FUR[[#This Row],[Chemicals]]</f>
        <v>0</v>
      </c>
      <c r="CG764" s="122">
        <f>FUR[[#This Row],[UID]]</f>
        <v>0</v>
      </c>
      <c r="CK764" s="82" t="str">
        <f>IF(FUR[[#This Row],[Status]]=0,"",FUR[[#This Row],[Status]])</f>
        <v/>
      </c>
    </row>
    <row r="765" spans="79:89">
      <c r="CA765" s="1" t="s">
        <v>71</v>
      </c>
      <c r="CB765" s="1" t="s">
        <v>18</v>
      </c>
      <c r="CC765" s="1" t="s">
        <v>132</v>
      </c>
      <c r="CE765" s="122">
        <f>FUR[[#This Row],[Part Type]]</f>
        <v>0</v>
      </c>
      <c r="CF765" s="122">
        <f>FUR[[#This Row],[Chemicals]]</f>
        <v>0</v>
      </c>
      <c r="CG765" s="122">
        <f>FUR[[#This Row],[UID]]</f>
        <v>0</v>
      </c>
      <c r="CK765" s="82" t="str">
        <f>IF(FUR[[#This Row],[Status]]=0,"",FUR[[#This Row],[Status]])</f>
        <v/>
      </c>
    </row>
    <row r="766" spans="79:89">
      <c r="CA766" s="1" t="s">
        <v>71</v>
      </c>
      <c r="CB766" s="1" t="s">
        <v>18</v>
      </c>
      <c r="CC766" s="1" t="s">
        <v>132</v>
      </c>
      <c r="CE766" s="122">
        <f>FUR[[#This Row],[Part Type]]</f>
        <v>0</v>
      </c>
      <c r="CF766" s="122">
        <f>FUR[[#This Row],[Chemicals]]</f>
        <v>0</v>
      </c>
      <c r="CG766" s="122">
        <f>FUR[[#This Row],[UID]]</f>
        <v>0</v>
      </c>
      <c r="CK766" s="82" t="str">
        <f>IF(FUR[[#This Row],[Status]]=0,"",FUR[[#This Row],[Status]])</f>
        <v/>
      </c>
    </row>
    <row r="767" spans="79:89">
      <c r="CA767" s="1" t="s">
        <v>71</v>
      </c>
      <c r="CB767" s="1" t="s">
        <v>18</v>
      </c>
      <c r="CC767" s="1" t="s">
        <v>132</v>
      </c>
      <c r="CE767" s="122">
        <f>FUR[[#This Row],[Part Type]]</f>
        <v>0</v>
      </c>
      <c r="CF767" s="122">
        <f>FUR[[#This Row],[Chemicals]]</f>
        <v>0</v>
      </c>
      <c r="CG767" s="122">
        <f>FUR[[#This Row],[UID]]</f>
        <v>0</v>
      </c>
      <c r="CK767" s="82" t="str">
        <f>IF(FUR[[#This Row],[Status]]=0,"",FUR[[#This Row],[Status]])</f>
        <v/>
      </c>
    </row>
    <row r="768" spans="79:89">
      <c r="CA768" s="1" t="s">
        <v>71</v>
      </c>
      <c r="CB768" s="1" t="s">
        <v>18</v>
      </c>
      <c r="CC768" s="1" t="s">
        <v>132</v>
      </c>
      <c r="CE768" s="122">
        <f>FUR[[#This Row],[Part Type]]</f>
        <v>0</v>
      </c>
      <c r="CF768" s="122">
        <f>FUR[[#This Row],[Chemicals]]</f>
        <v>0</v>
      </c>
      <c r="CG768" s="122">
        <f>FUR[[#This Row],[UID]]</f>
        <v>0</v>
      </c>
      <c r="CK768" s="82" t="str">
        <f>IF(FUR[[#This Row],[Status]]=0,"",FUR[[#This Row],[Status]])</f>
        <v/>
      </c>
    </row>
    <row r="769" spans="79:89">
      <c r="CA769" s="1" t="s">
        <v>71</v>
      </c>
      <c r="CB769" s="1" t="s">
        <v>18</v>
      </c>
      <c r="CC769" s="1" t="s">
        <v>132</v>
      </c>
      <c r="CE769" s="122">
        <f>FUR[[#This Row],[Part Type]]</f>
        <v>0</v>
      </c>
      <c r="CF769" s="122">
        <f>FUR[[#This Row],[Chemicals]]</f>
        <v>0</v>
      </c>
      <c r="CG769" s="122">
        <f>FUR[[#This Row],[UID]]</f>
        <v>0</v>
      </c>
      <c r="CK769" s="82" t="str">
        <f>IF(FUR[[#This Row],[Status]]=0,"",FUR[[#This Row],[Status]])</f>
        <v/>
      </c>
    </row>
    <row r="770" spans="79:89">
      <c r="CA770" s="1" t="s">
        <v>71</v>
      </c>
      <c r="CB770" s="1" t="s">
        <v>18</v>
      </c>
      <c r="CC770" s="1" t="s">
        <v>132</v>
      </c>
      <c r="CE770" s="122">
        <f>FUR[[#This Row],[Part Type]]</f>
        <v>0</v>
      </c>
      <c r="CF770" s="122">
        <f>FUR[[#This Row],[Chemicals]]</f>
        <v>0</v>
      </c>
      <c r="CG770" s="122">
        <f>FUR[[#This Row],[UID]]</f>
        <v>0</v>
      </c>
      <c r="CK770" s="82" t="str">
        <f>IF(FUR[[#This Row],[Status]]=0,"",FUR[[#This Row],[Status]])</f>
        <v/>
      </c>
    </row>
    <row r="771" spans="79:89">
      <c r="CA771" s="1" t="s">
        <v>71</v>
      </c>
      <c r="CB771" s="1" t="s">
        <v>18</v>
      </c>
      <c r="CC771" s="1" t="s">
        <v>132</v>
      </c>
      <c r="CE771" s="122">
        <f>FUR[[#This Row],[Part Type]]</f>
        <v>0</v>
      </c>
      <c r="CF771" s="122">
        <f>FUR[[#This Row],[Chemicals]]</f>
        <v>0</v>
      </c>
      <c r="CG771" s="122">
        <f>FUR[[#This Row],[UID]]</f>
        <v>0</v>
      </c>
      <c r="CK771" s="82" t="str">
        <f>IF(FUR[[#This Row],[Status]]=0,"",FUR[[#This Row],[Status]])</f>
        <v/>
      </c>
    </row>
    <row r="772" spans="79:89">
      <c r="CA772" s="1" t="s">
        <v>71</v>
      </c>
      <c r="CB772" s="1" t="s">
        <v>18</v>
      </c>
      <c r="CC772" s="1" t="s">
        <v>132</v>
      </c>
      <c r="CE772" s="122">
        <f>FUR[[#This Row],[Part Type]]</f>
        <v>0</v>
      </c>
      <c r="CF772" s="122">
        <f>FUR[[#This Row],[Chemicals]]</f>
        <v>0</v>
      </c>
      <c r="CG772" s="122">
        <f>FUR[[#This Row],[UID]]</f>
        <v>0</v>
      </c>
      <c r="CK772" s="82" t="str">
        <f>IF(FUR[[#This Row],[Status]]=0,"",FUR[[#This Row],[Status]])</f>
        <v/>
      </c>
    </row>
    <row r="773" spans="79:89">
      <c r="CA773" s="1" t="s">
        <v>71</v>
      </c>
      <c r="CB773" s="1" t="s">
        <v>18</v>
      </c>
      <c r="CC773" s="1" t="s">
        <v>132</v>
      </c>
      <c r="CE773" s="122">
        <f>FUR[[#This Row],[Part Type]]</f>
        <v>0</v>
      </c>
      <c r="CF773" s="122">
        <f>FUR[[#This Row],[Chemicals]]</f>
        <v>0</v>
      </c>
      <c r="CG773" s="122">
        <f>FUR[[#This Row],[UID]]</f>
        <v>0</v>
      </c>
      <c r="CK773" s="82" t="str">
        <f>IF(FUR[[#This Row],[Status]]=0,"",FUR[[#This Row],[Status]])</f>
        <v/>
      </c>
    </row>
    <row r="774" spans="79:89">
      <c r="CA774" s="1" t="s">
        <v>71</v>
      </c>
      <c r="CB774" s="1" t="s">
        <v>18</v>
      </c>
      <c r="CC774" s="1" t="s">
        <v>132</v>
      </c>
      <c r="CE774" s="122">
        <f>FUR[[#This Row],[Part Type]]</f>
        <v>0</v>
      </c>
      <c r="CF774" s="122">
        <f>FUR[[#This Row],[Chemicals]]</f>
        <v>0</v>
      </c>
      <c r="CG774" s="122">
        <f>FUR[[#This Row],[UID]]</f>
        <v>0</v>
      </c>
      <c r="CK774" s="82" t="str">
        <f>IF(FUR[[#This Row],[Status]]=0,"",FUR[[#This Row],[Status]])</f>
        <v/>
      </c>
    </row>
    <row r="775" spans="79:89">
      <c r="CA775" s="1" t="s">
        <v>71</v>
      </c>
      <c r="CB775" s="1" t="s">
        <v>18</v>
      </c>
      <c r="CC775" s="1" t="s">
        <v>132</v>
      </c>
      <c r="CE775" s="122">
        <f>FUR[[#This Row],[Part Type]]</f>
        <v>0</v>
      </c>
      <c r="CF775" s="122">
        <f>FUR[[#This Row],[Chemicals]]</f>
        <v>0</v>
      </c>
      <c r="CG775" s="122">
        <f>FUR[[#This Row],[UID]]</f>
        <v>0</v>
      </c>
      <c r="CK775" s="82" t="str">
        <f>IF(FUR[[#This Row],[Status]]=0,"",FUR[[#This Row],[Status]])</f>
        <v/>
      </c>
    </row>
    <row r="776" spans="79:89">
      <c r="CA776" s="1" t="s">
        <v>71</v>
      </c>
      <c r="CB776" s="1" t="s">
        <v>18</v>
      </c>
      <c r="CC776" s="1" t="s">
        <v>132</v>
      </c>
      <c r="CE776" s="122">
        <f>FUR[[#This Row],[Part Type]]</f>
        <v>0</v>
      </c>
      <c r="CF776" s="122">
        <f>FUR[[#This Row],[Chemicals]]</f>
        <v>0</v>
      </c>
      <c r="CG776" s="122">
        <f>FUR[[#This Row],[UID]]</f>
        <v>0</v>
      </c>
      <c r="CK776" s="82" t="str">
        <f>IF(FUR[[#This Row],[Status]]=0,"",FUR[[#This Row],[Status]])</f>
        <v/>
      </c>
    </row>
    <row r="777" spans="79:89">
      <c r="CA777" s="1" t="s">
        <v>71</v>
      </c>
      <c r="CB777" s="1" t="s">
        <v>18</v>
      </c>
      <c r="CC777" s="1" t="s">
        <v>132</v>
      </c>
      <c r="CE777" s="122">
        <f>FUR[[#This Row],[Part Type]]</f>
        <v>0</v>
      </c>
      <c r="CF777" s="122">
        <f>FUR[[#This Row],[Chemicals]]</f>
        <v>0</v>
      </c>
      <c r="CG777" s="122">
        <f>FUR[[#This Row],[UID]]</f>
        <v>0</v>
      </c>
      <c r="CK777" s="82" t="str">
        <f>IF(FUR[[#This Row],[Status]]=0,"",FUR[[#This Row],[Status]])</f>
        <v/>
      </c>
    </row>
    <row r="778" spans="79:89">
      <c r="CA778" s="1" t="s">
        <v>71</v>
      </c>
      <c r="CB778" s="1" t="s">
        <v>18</v>
      </c>
      <c r="CC778" s="1" t="s">
        <v>132</v>
      </c>
      <c r="CE778" s="122">
        <f>FUR[[#This Row],[Part Type]]</f>
        <v>0</v>
      </c>
      <c r="CF778" s="122">
        <f>FUR[[#This Row],[Chemicals]]</f>
        <v>0</v>
      </c>
      <c r="CG778" s="122">
        <f>FUR[[#This Row],[UID]]</f>
        <v>0</v>
      </c>
      <c r="CK778" s="82" t="str">
        <f>IF(FUR[[#This Row],[Status]]=0,"",FUR[[#This Row],[Status]])</f>
        <v/>
      </c>
    </row>
    <row r="779" spans="79:89">
      <c r="CA779" s="1" t="s">
        <v>71</v>
      </c>
      <c r="CB779" s="1" t="s">
        <v>18</v>
      </c>
      <c r="CC779" s="1" t="s">
        <v>132</v>
      </c>
      <c r="CE779" s="122">
        <f>FUR[[#This Row],[Part Type]]</f>
        <v>0</v>
      </c>
      <c r="CF779" s="122">
        <f>FUR[[#This Row],[Chemicals]]</f>
        <v>0</v>
      </c>
      <c r="CG779" s="122">
        <f>FUR[[#This Row],[UID]]</f>
        <v>0</v>
      </c>
      <c r="CK779" s="82" t="str">
        <f>IF(FUR[[#This Row],[Status]]=0,"",FUR[[#This Row],[Status]])</f>
        <v/>
      </c>
    </row>
    <row r="780" spans="79:89">
      <c r="CA780" s="1" t="s">
        <v>71</v>
      </c>
      <c r="CB780" s="1" t="s">
        <v>18</v>
      </c>
      <c r="CC780" s="1" t="s">
        <v>132</v>
      </c>
      <c r="CE780" s="122">
        <f>FUR[[#This Row],[Part Type]]</f>
        <v>0</v>
      </c>
      <c r="CF780" s="122">
        <f>FUR[[#This Row],[Chemicals]]</f>
        <v>0</v>
      </c>
      <c r="CG780" s="122">
        <f>FUR[[#This Row],[UID]]</f>
        <v>0</v>
      </c>
      <c r="CK780" s="82" t="str">
        <f>IF(FUR[[#This Row],[Status]]=0,"",FUR[[#This Row],[Status]])</f>
        <v/>
      </c>
    </row>
    <row r="781" spans="79:89">
      <c r="CA781" s="1" t="s">
        <v>71</v>
      </c>
      <c r="CB781" s="1" t="s">
        <v>18</v>
      </c>
      <c r="CC781" s="1" t="s">
        <v>132</v>
      </c>
      <c r="CE781" s="122">
        <f>FUR[[#This Row],[Part Type]]</f>
        <v>0</v>
      </c>
      <c r="CF781" s="122">
        <f>FUR[[#This Row],[Chemicals]]</f>
        <v>0</v>
      </c>
      <c r="CG781" s="122">
        <f>FUR[[#This Row],[UID]]</f>
        <v>0</v>
      </c>
      <c r="CK781" s="82" t="str">
        <f>IF(FUR[[#This Row],[Status]]=0,"",FUR[[#This Row],[Status]])</f>
        <v/>
      </c>
    </row>
    <row r="782" spans="79:89">
      <c r="CA782" s="1" t="s">
        <v>71</v>
      </c>
      <c r="CB782" s="1" t="s">
        <v>18</v>
      </c>
      <c r="CC782" s="1" t="s">
        <v>132</v>
      </c>
      <c r="CE782" s="122">
        <f>FUR[[#This Row],[Part Type]]</f>
        <v>0</v>
      </c>
      <c r="CF782" s="122">
        <f>FUR[[#This Row],[Chemicals]]</f>
        <v>0</v>
      </c>
      <c r="CG782" s="122">
        <f>FUR[[#This Row],[UID]]</f>
        <v>0</v>
      </c>
      <c r="CK782" s="82" t="str">
        <f>IF(FUR[[#This Row],[Status]]=0,"",FUR[[#This Row],[Status]])</f>
        <v/>
      </c>
    </row>
    <row r="783" spans="79:89">
      <c r="CA783" s="1" t="s">
        <v>71</v>
      </c>
      <c r="CB783" s="1" t="s">
        <v>18</v>
      </c>
      <c r="CC783" s="1" t="s">
        <v>132</v>
      </c>
      <c r="CE783" s="122">
        <f>FUR[[#This Row],[Part Type]]</f>
        <v>0</v>
      </c>
      <c r="CF783" s="122">
        <f>FUR[[#This Row],[Chemicals]]</f>
        <v>0</v>
      </c>
      <c r="CG783" s="122">
        <f>FUR[[#This Row],[UID]]</f>
        <v>0</v>
      </c>
      <c r="CK783" s="82" t="str">
        <f>IF(FUR[[#This Row],[Status]]=0,"",FUR[[#This Row],[Status]])</f>
        <v/>
      </c>
    </row>
    <row r="784" spans="79:89">
      <c r="CA784" s="1" t="s">
        <v>71</v>
      </c>
      <c r="CB784" s="1" t="s">
        <v>18</v>
      </c>
      <c r="CC784" s="1" t="s">
        <v>132</v>
      </c>
      <c r="CE784" s="122">
        <f>FUR[[#This Row],[Part Type]]</f>
        <v>0</v>
      </c>
      <c r="CF784" s="122">
        <f>FUR[[#This Row],[Chemicals]]</f>
        <v>0</v>
      </c>
      <c r="CG784" s="122">
        <f>FUR[[#This Row],[UID]]</f>
        <v>0</v>
      </c>
      <c r="CK784" s="82" t="str">
        <f>IF(FUR[[#This Row],[Status]]=0,"",FUR[[#This Row],[Status]])</f>
        <v/>
      </c>
    </row>
    <row r="785" spans="79:89">
      <c r="CA785" s="1" t="s">
        <v>71</v>
      </c>
      <c r="CB785" s="1" t="s">
        <v>18</v>
      </c>
      <c r="CC785" s="1" t="s">
        <v>132</v>
      </c>
      <c r="CE785" s="122">
        <f>FUR[[#This Row],[Part Type]]</f>
        <v>0</v>
      </c>
      <c r="CF785" s="122">
        <f>FUR[[#This Row],[Chemicals]]</f>
        <v>0</v>
      </c>
      <c r="CG785" s="122">
        <f>FUR[[#This Row],[UID]]</f>
        <v>0</v>
      </c>
      <c r="CK785" s="82" t="str">
        <f>IF(FUR[[#This Row],[Status]]=0,"",FUR[[#This Row],[Status]])</f>
        <v/>
      </c>
    </row>
    <row r="786" spans="79:89">
      <c r="CA786" s="1" t="s">
        <v>71</v>
      </c>
      <c r="CB786" s="1" t="s">
        <v>18</v>
      </c>
      <c r="CC786" s="1" t="s">
        <v>132</v>
      </c>
      <c r="CE786" s="122">
        <f>FUR[[#This Row],[Part Type]]</f>
        <v>0</v>
      </c>
      <c r="CF786" s="122">
        <f>FUR[[#This Row],[Chemicals]]</f>
        <v>0</v>
      </c>
      <c r="CG786" s="122">
        <f>FUR[[#This Row],[UID]]</f>
        <v>0</v>
      </c>
      <c r="CK786" s="82" t="str">
        <f>IF(FUR[[#This Row],[Status]]=0,"",FUR[[#This Row],[Status]])</f>
        <v/>
      </c>
    </row>
    <row r="787" spans="79:89">
      <c r="CA787" s="1" t="s">
        <v>71</v>
      </c>
      <c r="CB787" s="1" t="s">
        <v>18</v>
      </c>
      <c r="CC787" s="1" t="s">
        <v>132</v>
      </c>
      <c r="CE787" s="122">
        <f>FUR[[#This Row],[Part Type]]</f>
        <v>0</v>
      </c>
      <c r="CF787" s="122">
        <f>FUR[[#This Row],[Chemicals]]</f>
        <v>0</v>
      </c>
      <c r="CG787" s="122">
        <f>FUR[[#This Row],[UID]]</f>
        <v>0</v>
      </c>
      <c r="CK787" s="82" t="str">
        <f>IF(FUR[[#This Row],[Status]]=0,"",FUR[[#This Row],[Status]])</f>
        <v/>
      </c>
    </row>
    <row r="788" spans="79:89">
      <c r="CA788" s="1" t="s">
        <v>71</v>
      </c>
      <c r="CB788" s="1" t="s">
        <v>18</v>
      </c>
      <c r="CC788" s="1" t="s">
        <v>132</v>
      </c>
      <c r="CE788" s="122">
        <f>FUR[[#This Row],[Part Type]]</f>
        <v>0</v>
      </c>
      <c r="CF788" s="122">
        <f>FUR[[#This Row],[Chemicals]]</f>
        <v>0</v>
      </c>
      <c r="CG788" s="122">
        <f>FUR[[#This Row],[UID]]</f>
        <v>0</v>
      </c>
      <c r="CK788" s="82" t="str">
        <f>IF(FUR[[#This Row],[Status]]=0,"",FUR[[#This Row],[Status]])</f>
        <v/>
      </c>
    </row>
    <row r="789" spans="79:89">
      <c r="CA789" s="1" t="s">
        <v>71</v>
      </c>
      <c r="CB789" s="1" t="s">
        <v>18</v>
      </c>
      <c r="CC789" s="1" t="s">
        <v>132</v>
      </c>
      <c r="CE789" s="122">
        <f>FUR[[#This Row],[Part Type]]</f>
        <v>0</v>
      </c>
      <c r="CF789" s="122">
        <f>FUR[[#This Row],[Chemicals]]</f>
        <v>0</v>
      </c>
      <c r="CG789" s="122">
        <f>FUR[[#This Row],[UID]]</f>
        <v>0</v>
      </c>
      <c r="CK789" s="82" t="str">
        <f>IF(FUR[[#This Row],[Status]]=0,"",FUR[[#This Row],[Status]])</f>
        <v/>
      </c>
    </row>
    <row r="790" spans="79:89">
      <c r="CA790" s="1" t="s">
        <v>71</v>
      </c>
      <c r="CB790" s="1" t="s">
        <v>18</v>
      </c>
      <c r="CC790" s="1" t="s">
        <v>132</v>
      </c>
      <c r="CE790" s="122">
        <f>FUR[[#This Row],[Part Type]]</f>
        <v>0</v>
      </c>
      <c r="CF790" s="122">
        <f>FUR[[#This Row],[Chemicals]]</f>
        <v>0</v>
      </c>
      <c r="CG790" s="122">
        <f>FUR[[#This Row],[UID]]</f>
        <v>0</v>
      </c>
      <c r="CK790" s="82" t="str">
        <f>IF(FUR[[#This Row],[Status]]=0,"",FUR[[#This Row],[Status]])</f>
        <v/>
      </c>
    </row>
    <row r="791" spans="79:89">
      <c r="CA791" s="1" t="s">
        <v>71</v>
      </c>
      <c r="CB791" s="1" t="s">
        <v>18</v>
      </c>
      <c r="CC791" s="1" t="s">
        <v>132</v>
      </c>
      <c r="CE791" s="122">
        <f>FUR[[#This Row],[Part Type]]</f>
        <v>0</v>
      </c>
      <c r="CF791" s="122">
        <f>FUR[[#This Row],[Chemicals]]</f>
        <v>0</v>
      </c>
      <c r="CG791" s="122">
        <f>FUR[[#This Row],[UID]]</f>
        <v>0</v>
      </c>
      <c r="CK791" s="82" t="str">
        <f>IF(FUR[[#This Row],[Status]]=0,"",FUR[[#This Row],[Status]])</f>
        <v/>
      </c>
    </row>
    <row r="792" spans="79:89">
      <c r="CA792" s="1" t="s">
        <v>71</v>
      </c>
      <c r="CB792" s="1" t="s">
        <v>18</v>
      </c>
      <c r="CC792" s="1" t="s">
        <v>132</v>
      </c>
      <c r="CE792" s="122">
        <f>FUR[[#This Row],[Part Type]]</f>
        <v>0</v>
      </c>
      <c r="CF792" s="122">
        <f>FUR[[#This Row],[Chemicals]]</f>
        <v>0</v>
      </c>
      <c r="CG792" s="122">
        <f>FUR[[#This Row],[UID]]</f>
        <v>0</v>
      </c>
      <c r="CK792" s="82" t="str">
        <f>IF(FUR[[#This Row],[Status]]=0,"",FUR[[#This Row],[Status]])</f>
        <v/>
      </c>
    </row>
    <row r="793" spans="79:89">
      <c r="CA793" s="1" t="s">
        <v>71</v>
      </c>
      <c r="CB793" s="1" t="s">
        <v>18</v>
      </c>
      <c r="CC793" s="1" t="s">
        <v>132</v>
      </c>
      <c r="CE793" s="122">
        <f>FUR[[#This Row],[Part Type]]</f>
        <v>0</v>
      </c>
      <c r="CF793" s="122">
        <f>FUR[[#This Row],[Chemicals]]</f>
        <v>0</v>
      </c>
      <c r="CG793" s="122">
        <f>FUR[[#This Row],[UID]]</f>
        <v>0</v>
      </c>
      <c r="CK793" s="82" t="str">
        <f>IF(FUR[[#This Row],[Status]]=0,"",FUR[[#This Row],[Status]])</f>
        <v/>
      </c>
    </row>
    <row r="794" spans="79:89">
      <c r="CA794" s="1" t="s">
        <v>71</v>
      </c>
      <c r="CB794" s="1" t="s">
        <v>18</v>
      </c>
      <c r="CC794" s="1" t="s">
        <v>132</v>
      </c>
      <c r="CE794" s="122">
        <f>FUR[[#This Row],[Part Type]]</f>
        <v>0</v>
      </c>
      <c r="CF794" s="122">
        <f>FUR[[#This Row],[Chemicals]]</f>
        <v>0</v>
      </c>
      <c r="CG794" s="122">
        <f>FUR[[#This Row],[UID]]</f>
        <v>0</v>
      </c>
      <c r="CK794" s="82" t="str">
        <f>IF(FUR[[#This Row],[Status]]=0,"",FUR[[#This Row],[Status]])</f>
        <v/>
      </c>
    </row>
    <row r="795" spans="79:89">
      <c r="CA795" s="1" t="s">
        <v>71</v>
      </c>
      <c r="CB795" s="1" t="s">
        <v>18</v>
      </c>
      <c r="CC795" s="1" t="s">
        <v>132</v>
      </c>
      <c r="CE795" s="122">
        <f>FUR[[#This Row],[Part Type]]</f>
        <v>0</v>
      </c>
      <c r="CF795" s="122">
        <f>FUR[[#This Row],[Chemicals]]</f>
        <v>0</v>
      </c>
      <c r="CG795" s="122">
        <f>FUR[[#This Row],[UID]]</f>
        <v>0</v>
      </c>
      <c r="CK795" s="82" t="str">
        <f>IF(FUR[[#This Row],[Status]]=0,"",FUR[[#This Row],[Status]])</f>
        <v/>
      </c>
    </row>
    <row r="796" spans="79:89">
      <c r="CA796" s="1" t="s">
        <v>71</v>
      </c>
      <c r="CB796" s="1" t="s">
        <v>18</v>
      </c>
      <c r="CC796" s="1" t="s">
        <v>132</v>
      </c>
      <c r="CE796" s="122">
        <f>FUR[[#This Row],[Part Type]]</f>
        <v>0</v>
      </c>
      <c r="CF796" s="122">
        <f>FUR[[#This Row],[Chemicals]]</f>
        <v>0</v>
      </c>
      <c r="CG796" s="122">
        <f>FUR[[#This Row],[UID]]</f>
        <v>0</v>
      </c>
      <c r="CK796" s="82" t="str">
        <f>IF(FUR[[#This Row],[Status]]=0,"",FUR[[#This Row],[Status]])</f>
        <v/>
      </c>
    </row>
    <row r="797" spans="79:89">
      <c r="CA797" s="1" t="s">
        <v>71</v>
      </c>
      <c r="CB797" s="1" t="s">
        <v>18</v>
      </c>
      <c r="CC797" s="1" t="s">
        <v>132</v>
      </c>
      <c r="CE797" s="122">
        <f>FUR[[#This Row],[Part Type]]</f>
        <v>0</v>
      </c>
      <c r="CF797" s="122">
        <f>FUR[[#This Row],[Chemicals]]</f>
        <v>0</v>
      </c>
      <c r="CG797" s="122">
        <f>FUR[[#This Row],[UID]]</f>
        <v>0</v>
      </c>
      <c r="CK797" s="82" t="str">
        <f>IF(FUR[[#This Row],[Status]]=0,"",FUR[[#This Row],[Status]])</f>
        <v/>
      </c>
    </row>
    <row r="798" spans="79:89">
      <c r="CA798" s="1" t="s">
        <v>71</v>
      </c>
      <c r="CB798" s="1" t="s">
        <v>18</v>
      </c>
      <c r="CC798" s="1" t="s">
        <v>132</v>
      </c>
      <c r="CE798" s="122">
        <f>FUR[[#This Row],[Part Type]]</f>
        <v>0</v>
      </c>
      <c r="CF798" s="122">
        <f>FUR[[#This Row],[Chemicals]]</f>
        <v>0</v>
      </c>
      <c r="CG798" s="122">
        <f>FUR[[#This Row],[UID]]</f>
        <v>0</v>
      </c>
      <c r="CK798" s="82" t="str">
        <f>IF(FUR[[#This Row],[Status]]=0,"",FUR[[#This Row],[Status]])</f>
        <v/>
      </c>
    </row>
    <row r="799" spans="79:89">
      <c r="CA799" s="1" t="s">
        <v>71</v>
      </c>
      <c r="CB799" s="1" t="s">
        <v>18</v>
      </c>
      <c r="CC799" s="1" t="s">
        <v>132</v>
      </c>
      <c r="CE799" s="122">
        <f>FUR[[#This Row],[Part Type]]</f>
        <v>0</v>
      </c>
      <c r="CF799" s="122">
        <f>FUR[[#This Row],[Chemicals]]</f>
        <v>0</v>
      </c>
      <c r="CG799" s="122">
        <f>FUR[[#This Row],[UID]]</f>
        <v>0</v>
      </c>
      <c r="CK799" s="82" t="str">
        <f>IF(FUR[[#This Row],[Status]]=0,"",FUR[[#This Row],[Status]])</f>
        <v/>
      </c>
    </row>
    <row r="800" spans="79:89">
      <c r="CA800" s="1" t="s">
        <v>71</v>
      </c>
      <c r="CB800" s="1" t="s">
        <v>18</v>
      </c>
      <c r="CC800" s="1" t="s">
        <v>132</v>
      </c>
      <c r="CE800" s="122">
        <f>FUR[[#This Row],[Part Type]]</f>
        <v>0</v>
      </c>
      <c r="CF800" s="122">
        <f>FUR[[#This Row],[Chemicals]]</f>
        <v>0</v>
      </c>
      <c r="CG800" s="122">
        <f>FUR[[#This Row],[UID]]</f>
        <v>0</v>
      </c>
      <c r="CK800" s="82" t="str">
        <f>IF(FUR[[#This Row],[Status]]=0,"",FUR[[#This Row],[Status]])</f>
        <v/>
      </c>
    </row>
    <row r="801" spans="79:89">
      <c r="CA801" s="1" t="s">
        <v>71</v>
      </c>
      <c r="CB801" s="1" t="s">
        <v>18</v>
      </c>
      <c r="CC801" s="1" t="s">
        <v>132</v>
      </c>
      <c r="CE801" s="122">
        <f>FUR[[#This Row],[Part Type]]</f>
        <v>0</v>
      </c>
      <c r="CF801" s="122">
        <f>FUR[[#This Row],[Chemicals]]</f>
        <v>0</v>
      </c>
      <c r="CG801" s="122">
        <f>FUR[[#This Row],[UID]]</f>
        <v>0</v>
      </c>
      <c r="CK801" s="82" t="str">
        <f>IF(FUR[[#This Row],[Status]]=0,"",FUR[[#This Row],[Status]])</f>
        <v/>
      </c>
    </row>
    <row r="802" spans="79:89">
      <c r="CA802" s="1" t="s">
        <v>71</v>
      </c>
      <c r="CB802" s="1" t="s">
        <v>18</v>
      </c>
      <c r="CC802" s="1" t="s">
        <v>132</v>
      </c>
      <c r="CE802" s="122">
        <f>FUR[[#This Row],[Part Type]]</f>
        <v>0</v>
      </c>
      <c r="CF802" s="122">
        <f>FUR[[#This Row],[Chemicals]]</f>
        <v>0</v>
      </c>
      <c r="CG802" s="122">
        <f>FUR[[#This Row],[UID]]</f>
        <v>0</v>
      </c>
      <c r="CK802" s="82" t="str">
        <f>IF(FUR[[#This Row],[Status]]=0,"",FUR[[#This Row],[Status]])</f>
        <v/>
      </c>
    </row>
    <row r="803" spans="79:89">
      <c r="CA803" s="1" t="s">
        <v>71</v>
      </c>
      <c r="CB803" s="1" t="s">
        <v>18</v>
      </c>
      <c r="CC803" s="1" t="s">
        <v>132</v>
      </c>
      <c r="CE803" s="122">
        <f>FUR[[#This Row],[Part Type]]</f>
        <v>0</v>
      </c>
      <c r="CF803" s="122">
        <f>FUR[[#This Row],[Chemicals]]</f>
        <v>0</v>
      </c>
      <c r="CG803" s="122">
        <f>FUR[[#This Row],[UID]]</f>
        <v>0</v>
      </c>
      <c r="CK803" s="82" t="str">
        <f>IF(FUR[[#This Row],[Status]]=0,"",FUR[[#This Row],[Status]])</f>
        <v/>
      </c>
    </row>
    <row r="804" spans="79:89">
      <c r="CA804" s="1" t="s">
        <v>71</v>
      </c>
      <c r="CB804" s="1" t="s">
        <v>18</v>
      </c>
      <c r="CC804" s="1" t="s">
        <v>132</v>
      </c>
      <c r="CE804" s="122">
        <f>FUR[[#This Row],[Part Type]]</f>
        <v>0</v>
      </c>
      <c r="CF804" s="122">
        <f>FUR[[#This Row],[Chemicals]]</f>
        <v>0</v>
      </c>
      <c r="CG804" s="122">
        <f>FUR[[#This Row],[UID]]</f>
        <v>0</v>
      </c>
      <c r="CK804" s="82" t="str">
        <f>IF(FUR[[#This Row],[Status]]=0,"",FUR[[#This Row],[Status]])</f>
        <v/>
      </c>
    </row>
    <row r="805" spans="79:89">
      <c r="CA805" s="1" t="s">
        <v>71</v>
      </c>
      <c r="CB805" s="1" t="s">
        <v>18</v>
      </c>
      <c r="CC805" s="1" t="s">
        <v>132</v>
      </c>
      <c r="CE805" s="122">
        <f>FUR[[#This Row],[Part Type]]</f>
        <v>0</v>
      </c>
      <c r="CF805" s="122">
        <f>FUR[[#This Row],[Chemicals]]</f>
        <v>0</v>
      </c>
      <c r="CG805" s="122">
        <f>FUR[[#This Row],[UID]]</f>
        <v>0</v>
      </c>
      <c r="CK805" s="82" t="str">
        <f>IF(FUR[[#This Row],[Status]]=0,"",FUR[[#This Row],[Status]])</f>
        <v/>
      </c>
    </row>
    <row r="806" spans="79:89">
      <c r="CA806" s="1" t="s">
        <v>71</v>
      </c>
      <c r="CB806" s="1" t="s">
        <v>18</v>
      </c>
      <c r="CC806" s="1" t="s">
        <v>132</v>
      </c>
      <c r="CE806" s="122">
        <f>FUR[[#This Row],[Part Type]]</f>
        <v>0</v>
      </c>
      <c r="CF806" s="122">
        <f>FUR[[#This Row],[Chemicals]]</f>
        <v>0</v>
      </c>
      <c r="CG806" s="122">
        <f>FUR[[#This Row],[UID]]</f>
        <v>0</v>
      </c>
      <c r="CK806" s="82" t="str">
        <f>IF(FUR[[#This Row],[Status]]=0,"",FUR[[#This Row],[Status]])</f>
        <v/>
      </c>
    </row>
    <row r="807" spans="79:89">
      <c r="CA807" s="1" t="s">
        <v>71</v>
      </c>
      <c r="CB807" s="1" t="s">
        <v>18</v>
      </c>
      <c r="CC807" s="1" t="s">
        <v>132</v>
      </c>
      <c r="CE807" s="122">
        <f>FUR[[#This Row],[Part Type]]</f>
        <v>0</v>
      </c>
      <c r="CF807" s="122">
        <f>FUR[[#This Row],[Chemicals]]</f>
        <v>0</v>
      </c>
      <c r="CG807" s="122">
        <f>FUR[[#This Row],[UID]]</f>
        <v>0</v>
      </c>
      <c r="CK807" s="82" t="str">
        <f>IF(FUR[[#This Row],[Status]]=0,"",FUR[[#This Row],[Status]])</f>
        <v/>
      </c>
    </row>
    <row r="808" spans="79:89">
      <c r="CA808" s="1" t="s">
        <v>71</v>
      </c>
      <c r="CB808" s="1" t="s">
        <v>18</v>
      </c>
      <c r="CC808" s="1" t="s">
        <v>132</v>
      </c>
      <c r="CE808" s="122">
        <f>FUR[[#This Row],[Part Type]]</f>
        <v>0</v>
      </c>
      <c r="CF808" s="122">
        <f>FUR[[#This Row],[Chemicals]]</f>
        <v>0</v>
      </c>
      <c r="CG808" s="122">
        <f>FUR[[#This Row],[UID]]</f>
        <v>0</v>
      </c>
      <c r="CK808" s="82" t="str">
        <f>IF(FUR[[#This Row],[Status]]=0,"",FUR[[#This Row],[Status]])</f>
        <v/>
      </c>
    </row>
    <row r="809" spans="79:89">
      <c r="CA809" s="1" t="s">
        <v>71</v>
      </c>
      <c r="CB809" s="1" t="s">
        <v>18</v>
      </c>
      <c r="CC809" s="1" t="s">
        <v>132</v>
      </c>
      <c r="CE809" s="122">
        <f>FUR[[#This Row],[Part Type]]</f>
        <v>0</v>
      </c>
      <c r="CF809" s="122">
        <f>FUR[[#This Row],[Chemicals]]</f>
        <v>0</v>
      </c>
      <c r="CG809" s="122">
        <f>FUR[[#This Row],[UID]]</f>
        <v>0</v>
      </c>
      <c r="CK809" s="82" t="str">
        <f>IF(FUR[[#This Row],[Status]]=0,"",FUR[[#This Row],[Status]])</f>
        <v/>
      </c>
    </row>
    <row r="810" spans="79:89">
      <c r="CA810" s="1" t="s">
        <v>71</v>
      </c>
      <c r="CB810" s="1" t="s">
        <v>18</v>
      </c>
      <c r="CC810" s="1" t="s">
        <v>132</v>
      </c>
      <c r="CE810" s="122">
        <f>FUR[[#This Row],[Part Type]]</f>
        <v>0</v>
      </c>
      <c r="CF810" s="122">
        <f>FUR[[#This Row],[Chemicals]]</f>
        <v>0</v>
      </c>
      <c r="CG810" s="122">
        <f>FUR[[#This Row],[UID]]</f>
        <v>0</v>
      </c>
      <c r="CK810" s="82" t="str">
        <f>IF(FUR[[#This Row],[Status]]=0,"",FUR[[#This Row],[Status]])</f>
        <v/>
      </c>
    </row>
    <row r="811" spans="79:89">
      <c r="CA811" s="1" t="s">
        <v>71</v>
      </c>
      <c r="CB811" s="1" t="s">
        <v>18</v>
      </c>
      <c r="CC811" s="1" t="s">
        <v>132</v>
      </c>
      <c r="CE811" s="122">
        <f>FUR[[#This Row],[Part Type]]</f>
        <v>0</v>
      </c>
      <c r="CF811" s="122">
        <f>FUR[[#This Row],[Chemicals]]</f>
        <v>0</v>
      </c>
      <c r="CG811" s="122">
        <f>FUR[[#This Row],[UID]]</f>
        <v>0</v>
      </c>
      <c r="CK811" s="82" t="str">
        <f>IF(FUR[[#This Row],[Status]]=0,"",FUR[[#This Row],[Status]])</f>
        <v/>
      </c>
    </row>
    <row r="812" spans="79:89">
      <c r="CA812" s="1" t="s">
        <v>71</v>
      </c>
      <c r="CB812" s="1" t="s">
        <v>18</v>
      </c>
      <c r="CC812" s="1" t="s">
        <v>132</v>
      </c>
      <c r="CE812" s="122">
        <f>FUR[[#This Row],[Part Type]]</f>
        <v>0</v>
      </c>
      <c r="CF812" s="122">
        <f>FUR[[#This Row],[Chemicals]]</f>
        <v>0</v>
      </c>
      <c r="CG812" s="122">
        <f>FUR[[#This Row],[UID]]</f>
        <v>0</v>
      </c>
      <c r="CK812" s="82" t="str">
        <f>IF(FUR[[#This Row],[Status]]=0,"",FUR[[#This Row],[Status]])</f>
        <v/>
      </c>
    </row>
    <row r="813" spans="79:89">
      <c r="CA813" s="1" t="s">
        <v>71</v>
      </c>
      <c r="CB813" s="1" t="s">
        <v>18</v>
      </c>
      <c r="CC813" s="1" t="s">
        <v>132</v>
      </c>
      <c r="CE813" s="122">
        <f>FUR[[#This Row],[Part Type]]</f>
        <v>0</v>
      </c>
      <c r="CF813" s="122">
        <f>FUR[[#This Row],[Chemicals]]</f>
        <v>0</v>
      </c>
      <c r="CG813" s="122">
        <f>FUR[[#This Row],[UID]]</f>
        <v>0</v>
      </c>
      <c r="CK813" s="82" t="str">
        <f>IF(FUR[[#This Row],[Status]]=0,"",FUR[[#This Row],[Status]])</f>
        <v/>
      </c>
    </row>
    <row r="814" spans="79:89">
      <c r="CA814" s="1" t="s">
        <v>71</v>
      </c>
      <c r="CB814" s="1" t="s">
        <v>18</v>
      </c>
      <c r="CC814" s="1" t="s">
        <v>132</v>
      </c>
      <c r="CE814" s="122">
        <f>FUR[[#This Row],[Part Type]]</f>
        <v>0</v>
      </c>
      <c r="CF814" s="122">
        <f>FUR[[#This Row],[Chemicals]]</f>
        <v>0</v>
      </c>
      <c r="CG814" s="122">
        <f>FUR[[#This Row],[UID]]</f>
        <v>0</v>
      </c>
      <c r="CK814" s="82" t="str">
        <f>IF(FUR[[#This Row],[Status]]=0,"",FUR[[#This Row],[Status]])</f>
        <v/>
      </c>
    </row>
    <row r="815" spans="79:89">
      <c r="CA815" s="1" t="s">
        <v>71</v>
      </c>
      <c r="CB815" s="1" t="s">
        <v>18</v>
      </c>
      <c r="CC815" s="1" t="s">
        <v>132</v>
      </c>
      <c r="CE815" s="122">
        <f>FUR[[#This Row],[Part Type]]</f>
        <v>0</v>
      </c>
      <c r="CF815" s="122">
        <f>FUR[[#This Row],[Chemicals]]</f>
        <v>0</v>
      </c>
      <c r="CG815" s="122">
        <f>FUR[[#This Row],[UID]]</f>
        <v>0</v>
      </c>
      <c r="CK815" s="82" t="str">
        <f>IF(FUR[[#This Row],[Status]]=0,"",FUR[[#This Row],[Status]])</f>
        <v/>
      </c>
    </row>
    <row r="816" spans="79:89">
      <c r="CA816" s="1" t="s">
        <v>71</v>
      </c>
      <c r="CB816" s="1" t="s">
        <v>18</v>
      </c>
      <c r="CC816" s="1" t="s">
        <v>132</v>
      </c>
      <c r="CE816" s="122">
        <f>FUR[[#This Row],[Part Type]]</f>
        <v>0</v>
      </c>
      <c r="CF816" s="122">
        <f>FUR[[#This Row],[Chemicals]]</f>
        <v>0</v>
      </c>
      <c r="CG816" s="122">
        <f>FUR[[#This Row],[UID]]</f>
        <v>0</v>
      </c>
      <c r="CK816" s="82" t="str">
        <f>IF(FUR[[#This Row],[Status]]=0,"",FUR[[#This Row],[Status]])</f>
        <v/>
      </c>
    </row>
    <row r="817" spans="79:89">
      <c r="CA817" s="1" t="s">
        <v>71</v>
      </c>
      <c r="CB817" s="1" t="s">
        <v>18</v>
      </c>
      <c r="CC817" s="1" t="s">
        <v>132</v>
      </c>
      <c r="CE817" s="122">
        <f>FUR[[#This Row],[Part Type]]</f>
        <v>0</v>
      </c>
      <c r="CF817" s="122">
        <f>FUR[[#This Row],[Chemicals]]</f>
        <v>0</v>
      </c>
      <c r="CG817" s="122">
        <f>FUR[[#This Row],[UID]]</f>
        <v>0</v>
      </c>
      <c r="CK817" s="82" t="str">
        <f>IF(FUR[[#This Row],[Status]]=0,"",FUR[[#This Row],[Status]])</f>
        <v/>
      </c>
    </row>
    <row r="818" spans="79:89">
      <c r="CA818" s="1" t="s">
        <v>71</v>
      </c>
      <c r="CB818" s="1" t="s">
        <v>18</v>
      </c>
      <c r="CC818" s="1" t="s">
        <v>132</v>
      </c>
      <c r="CE818" s="122">
        <f>FUR[[#This Row],[Part Type]]</f>
        <v>0</v>
      </c>
      <c r="CF818" s="122">
        <f>FUR[[#This Row],[Chemicals]]</f>
        <v>0</v>
      </c>
      <c r="CG818" s="122">
        <f>FUR[[#This Row],[UID]]</f>
        <v>0</v>
      </c>
      <c r="CK818" s="82" t="str">
        <f>IF(FUR[[#This Row],[Status]]=0,"",FUR[[#This Row],[Status]])</f>
        <v/>
      </c>
    </row>
    <row r="819" spans="79:89">
      <c r="CA819" s="1" t="s">
        <v>71</v>
      </c>
      <c r="CB819" s="1" t="s">
        <v>18</v>
      </c>
      <c r="CC819" s="1" t="s">
        <v>132</v>
      </c>
      <c r="CE819" s="122">
        <f>FUR[[#This Row],[Part Type]]</f>
        <v>0</v>
      </c>
      <c r="CF819" s="122">
        <f>FUR[[#This Row],[Chemicals]]</f>
        <v>0</v>
      </c>
      <c r="CG819" s="122">
        <f>FUR[[#This Row],[UID]]</f>
        <v>0</v>
      </c>
      <c r="CK819" s="82" t="str">
        <f>IF(FUR[[#This Row],[Status]]=0,"",FUR[[#This Row],[Status]])</f>
        <v/>
      </c>
    </row>
    <row r="820" spans="79:89">
      <c r="CA820" s="1" t="s">
        <v>71</v>
      </c>
      <c r="CB820" s="1" t="s">
        <v>18</v>
      </c>
      <c r="CC820" s="1" t="s">
        <v>132</v>
      </c>
      <c r="CE820" s="122">
        <f>FUR[[#This Row],[Part Type]]</f>
        <v>0</v>
      </c>
      <c r="CF820" s="122">
        <f>FUR[[#This Row],[Chemicals]]</f>
        <v>0</v>
      </c>
      <c r="CG820" s="122">
        <f>FUR[[#This Row],[UID]]</f>
        <v>0</v>
      </c>
      <c r="CK820" s="82" t="str">
        <f>IF(FUR[[#This Row],[Status]]=0,"",FUR[[#This Row],[Status]])</f>
        <v/>
      </c>
    </row>
    <row r="821" spans="79:89">
      <c r="CA821" s="1" t="s">
        <v>71</v>
      </c>
      <c r="CB821" s="1" t="s">
        <v>18</v>
      </c>
      <c r="CC821" s="1" t="s">
        <v>132</v>
      </c>
      <c r="CE821" s="122">
        <f>FUR[[#This Row],[Part Type]]</f>
        <v>0</v>
      </c>
      <c r="CF821" s="122">
        <f>FUR[[#This Row],[Chemicals]]</f>
        <v>0</v>
      </c>
      <c r="CG821" s="122">
        <f>FUR[[#This Row],[UID]]</f>
        <v>0</v>
      </c>
      <c r="CK821" s="82" t="str">
        <f>IF(FUR[[#This Row],[Status]]=0,"",FUR[[#This Row],[Status]])</f>
        <v/>
      </c>
    </row>
    <row r="822" spans="79:89">
      <c r="CA822" s="1" t="s">
        <v>71</v>
      </c>
      <c r="CB822" s="1" t="s">
        <v>18</v>
      </c>
      <c r="CC822" s="1" t="s">
        <v>132</v>
      </c>
      <c r="CE822" s="122">
        <f>FUR[[#This Row],[Part Type]]</f>
        <v>0</v>
      </c>
      <c r="CF822" s="122">
        <f>FUR[[#This Row],[Chemicals]]</f>
        <v>0</v>
      </c>
      <c r="CG822" s="122">
        <f>FUR[[#This Row],[UID]]</f>
        <v>0</v>
      </c>
      <c r="CK822" s="82" t="str">
        <f>IF(FUR[[#This Row],[Status]]=0,"",FUR[[#This Row],[Status]])</f>
        <v/>
      </c>
    </row>
    <row r="823" spans="79:89">
      <c r="CA823" s="1" t="s">
        <v>71</v>
      </c>
      <c r="CB823" s="1" t="s">
        <v>18</v>
      </c>
      <c r="CC823" s="1" t="s">
        <v>132</v>
      </c>
      <c r="CE823" s="122">
        <f>FUR[[#This Row],[Part Type]]</f>
        <v>0</v>
      </c>
      <c r="CF823" s="122">
        <f>FUR[[#This Row],[Chemicals]]</f>
        <v>0</v>
      </c>
      <c r="CG823" s="122">
        <f>FUR[[#This Row],[UID]]</f>
        <v>0</v>
      </c>
      <c r="CK823" s="82" t="str">
        <f>IF(FUR[[#This Row],[Status]]=0,"",FUR[[#This Row],[Status]])</f>
        <v/>
      </c>
    </row>
    <row r="824" spans="79:89">
      <c r="CA824" s="1" t="s">
        <v>71</v>
      </c>
      <c r="CB824" s="1" t="s">
        <v>18</v>
      </c>
      <c r="CC824" s="1" t="s">
        <v>132</v>
      </c>
      <c r="CE824" s="122">
        <f>FUR[[#This Row],[Part Type]]</f>
        <v>0</v>
      </c>
      <c r="CF824" s="122">
        <f>FUR[[#This Row],[Chemicals]]</f>
        <v>0</v>
      </c>
      <c r="CG824" s="122">
        <f>FUR[[#This Row],[UID]]</f>
        <v>0</v>
      </c>
      <c r="CK824" s="82" t="str">
        <f>IF(FUR[[#This Row],[Status]]=0,"",FUR[[#This Row],[Status]])</f>
        <v/>
      </c>
    </row>
    <row r="825" spans="79:89">
      <c r="CA825" s="1" t="s">
        <v>71</v>
      </c>
      <c r="CB825" s="1" t="s">
        <v>18</v>
      </c>
      <c r="CC825" s="1" t="s">
        <v>132</v>
      </c>
      <c r="CE825" s="122">
        <f>FUR[[#This Row],[Part Type]]</f>
        <v>0</v>
      </c>
      <c r="CF825" s="122">
        <f>FUR[[#This Row],[Chemicals]]</f>
        <v>0</v>
      </c>
      <c r="CG825" s="122">
        <f>FUR[[#This Row],[UID]]</f>
        <v>0</v>
      </c>
      <c r="CK825" s="82" t="str">
        <f>IF(FUR[[#This Row],[Status]]=0,"",FUR[[#This Row],[Status]])</f>
        <v/>
      </c>
    </row>
    <row r="826" spans="79:89">
      <c r="CA826" s="1" t="s">
        <v>71</v>
      </c>
      <c r="CB826" s="1" t="s">
        <v>18</v>
      </c>
      <c r="CC826" s="1" t="s">
        <v>132</v>
      </c>
      <c r="CE826" s="122">
        <f>FUR[[#This Row],[Part Type]]</f>
        <v>0</v>
      </c>
      <c r="CF826" s="122">
        <f>FUR[[#This Row],[Chemicals]]</f>
        <v>0</v>
      </c>
      <c r="CG826" s="122">
        <f>FUR[[#This Row],[UID]]</f>
        <v>0</v>
      </c>
      <c r="CK826" s="82" t="str">
        <f>IF(FUR[[#This Row],[Status]]=0,"",FUR[[#This Row],[Status]])</f>
        <v/>
      </c>
    </row>
    <row r="827" spans="79:89">
      <c r="CA827" s="1" t="s">
        <v>71</v>
      </c>
      <c r="CB827" s="1" t="s">
        <v>18</v>
      </c>
      <c r="CC827" s="1" t="s">
        <v>132</v>
      </c>
      <c r="CE827" s="122">
        <f>FUR[[#This Row],[Part Type]]</f>
        <v>0</v>
      </c>
      <c r="CF827" s="122">
        <f>FUR[[#This Row],[Chemicals]]</f>
        <v>0</v>
      </c>
      <c r="CG827" s="122">
        <f>FUR[[#This Row],[UID]]</f>
        <v>0</v>
      </c>
      <c r="CK827" s="82" t="str">
        <f>IF(FUR[[#This Row],[Status]]=0,"",FUR[[#This Row],[Status]])</f>
        <v/>
      </c>
    </row>
    <row r="828" spans="79:89">
      <c r="CA828" s="1" t="s">
        <v>71</v>
      </c>
      <c r="CB828" s="1" t="s">
        <v>18</v>
      </c>
      <c r="CC828" s="1" t="s">
        <v>132</v>
      </c>
      <c r="CE828" s="122">
        <f>FUR[[#This Row],[Part Type]]</f>
        <v>0</v>
      </c>
      <c r="CF828" s="122">
        <f>FUR[[#This Row],[Chemicals]]</f>
        <v>0</v>
      </c>
      <c r="CG828" s="122">
        <f>FUR[[#This Row],[UID]]</f>
        <v>0</v>
      </c>
      <c r="CK828" s="82" t="str">
        <f>IF(FUR[[#This Row],[Status]]=0,"",FUR[[#This Row],[Status]])</f>
        <v/>
      </c>
    </row>
    <row r="829" spans="79:89">
      <c r="CA829" s="1" t="s">
        <v>71</v>
      </c>
      <c r="CB829" s="1" t="s">
        <v>18</v>
      </c>
      <c r="CC829" s="1" t="s">
        <v>132</v>
      </c>
      <c r="CE829" s="122">
        <f>FUR[[#This Row],[Part Type]]</f>
        <v>0</v>
      </c>
      <c r="CF829" s="122">
        <f>FUR[[#This Row],[Chemicals]]</f>
        <v>0</v>
      </c>
      <c r="CG829" s="122">
        <f>FUR[[#This Row],[UID]]</f>
        <v>0</v>
      </c>
      <c r="CK829" s="82" t="str">
        <f>IF(FUR[[#This Row],[Status]]=0,"",FUR[[#This Row],[Status]])</f>
        <v/>
      </c>
    </row>
    <row r="830" spans="79:89">
      <c r="CA830" s="1" t="s">
        <v>71</v>
      </c>
      <c r="CB830" s="1" t="s">
        <v>18</v>
      </c>
      <c r="CC830" s="1" t="s">
        <v>132</v>
      </c>
      <c r="CE830" s="122">
        <f>FUR[[#This Row],[Part Type]]</f>
        <v>0</v>
      </c>
      <c r="CF830" s="122">
        <f>FUR[[#This Row],[Chemicals]]</f>
        <v>0</v>
      </c>
      <c r="CG830" s="122">
        <f>FUR[[#This Row],[UID]]</f>
        <v>0</v>
      </c>
      <c r="CK830" s="82" t="str">
        <f>IF(FUR[[#This Row],[Status]]=0,"",FUR[[#This Row],[Status]])</f>
        <v/>
      </c>
    </row>
    <row r="831" spans="79:89">
      <c r="CA831" s="1" t="s">
        <v>71</v>
      </c>
      <c r="CB831" s="1" t="s">
        <v>18</v>
      </c>
      <c r="CC831" s="1" t="s">
        <v>132</v>
      </c>
      <c r="CE831" s="122">
        <f>FUR[[#This Row],[Part Type]]</f>
        <v>0</v>
      </c>
      <c r="CF831" s="122">
        <f>FUR[[#This Row],[Chemicals]]</f>
        <v>0</v>
      </c>
      <c r="CG831" s="122">
        <f>FUR[[#This Row],[UID]]</f>
        <v>0</v>
      </c>
      <c r="CK831" s="82" t="str">
        <f>IF(FUR[[#This Row],[Status]]=0,"",FUR[[#This Row],[Status]])</f>
        <v/>
      </c>
    </row>
    <row r="832" spans="79:89">
      <c r="CA832" s="1" t="s">
        <v>71</v>
      </c>
      <c r="CB832" s="1" t="s">
        <v>18</v>
      </c>
      <c r="CC832" s="1" t="s">
        <v>132</v>
      </c>
      <c r="CE832" s="122">
        <f>FUR[[#This Row],[Part Type]]</f>
        <v>0</v>
      </c>
      <c r="CF832" s="122">
        <f>FUR[[#This Row],[Chemicals]]</f>
        <v>0</v>
      </c>
      <c r="CG832" s="122">
        <f>FUR[[#This Row],[UID]]</f>
        <v>0</v>
      </c>
      <c r="CK832" s="82" t="str">
        <f>IF(FUR[[#This Row],[Status]]=0,"",FUR[[#This Row],[Status]])</f>
        <v/>
      </c>
    </row>
    <row r="833" spans="79:89">
      <c r="CA833" s="1" t="s">
        <v>71</v>
      </c>
      <c r="CB833" s="1" t="s">
        <v>18</v>
      </c>
      <c r="CC833" s="1" t="s">
        <v>132</v>
      </c>
      <c r="CE833" s="122">
        <f>FUR[[#This Row],[Part Type]]</f>
        <v>0</v>
      </c>
      <c r="CF833" s="122">
        <f>FUR[[#This Row],[Chemicals]]</f>
        <v>0</v>
      </c>
      <c r="CG833" s="122">
        <f>FUR[[#This Row],[UID]]</f>
        <v>0</v>
      </c>
      <c r="CK833" s="82" t="str">
        <f>IF(FUR[[#This Row],[Status]]=0,"",FUR[[#This Row],[Status]])</f>
        <v/>
      </c>
    </row>
    <row r="834" spans="79:89">
      <c r="CA834" s="1" t="s">
        <v>71</v>
      </c>
      <c r="CB834" s="1" t="s">
        <v>18</v>
      </c>
      <c r="CC834" s="1" t="s">
        <v>132</v>
      </c>
      <c r="CE834" s="122">
        <f>FUR[[#This Row],[Part Type]]</f>
        <v>0</v>
      </c>
      <c r="CF834" s="122">
        <f>FUR[[#This Row],[Chemicals]]</f>
        <v>0</v>
      </c>
      <c r="CG834" s="122">
        <f>FUR[[#This Row],[UID]]</f>
        <v>0</v>
      </c>
      <c r="CK834" s="82" t="str">
        <f>IF(FUR[[#This Row],[Status]]=0,"",FUR[[#This Row],[Status]])</f>
        <v/>
      </c>
    </row>
    <row r="835" spans="79:89">
      <c r="CA835" s="1" t="s">
        <v>71</v>
      </c>
      <c r="CB835" s="1" t="s">
        <v>18</v>
      </c>
      <c r="CC835" s="1" t="s">
        <v>132</v>
      </c>
      <c r="CE835" s="122">
        <f>FUR[[#This Row],[Part Type]]</f>
        <v>0</v>
      </c>
      <c r="CF835" s="122">
        <f>FUR[[#This Row],[Chemicals]]</f>
        <v>0</v>
      </c>
      <c r="CG835" s="122">
        <f>FUR[[#This Row],[UID]]</f>
        <v>0</v>
      </c>
      <c r="CK835" s="82" t="str">
        <f>IF(FUR[[#This Row],[Status]]=0,"",FUR[[#This Row],[Status]])</f>
        <v/>
      </c>
    </row>
    <row r="836" spans="79:89">
      <c r="CA836" s="1" t="s">
        <v>71</v>
      </c>
      <c r="CB836" s="1" t="s">
        <v>18</v>
      </c>
      <c r="CC836" s="1" t="s">
        <v>132</v>
      </c>
      <c r="CE836" s="122">
        <f>FUR[[#This Row],[Part Type]]</f>
        <v>0</v>
      </c>
      <c r="CF836" s="122">
        <f>FUR[[#This Row],[Chemicals]]</f>
        <v>0</v>
      </c>
      <c r="CG836" s="122">
        <f>FUR[[#This Row],[UID]]</f>
        <v>0</v>
      </c>
      <c r="CK836" s="82" t="str">
        <f>IF(FUR[[#This Row],[Status]]=0,"",FUR[[#This Row],[Status]])</f>
        <v/>
      </c>
    </row>
    <row r="837" spans="79:89">
      <c r="CA837" s="1" t="s">
        <v>71</v>
      </c>
      <c r="CB837" s="1" t="s">
        <v>18</v>
      </c>
      <c r="CC837" s="1" t="s">
        <v>132</v>
      </c>
      <c r="CE837" s="122">
        <f>FUR[[#This Row],[Part Type]]</f>
        <v>0</v>
      </c>
      <c r="CF837" s="122">
        <f>FUR[[#This Row],[Chemicals]]</f>
        <v>0</v>
      </c>
      <c r="CG837" s="122">
        <f>FUR[[#This Row],[UID]]</f>
        <v>0</v>
      </c>
      <c r="CK837" s="82" t="str">
        <f>IF(FUR[[#This Row],[Status]]=0,"",FUR[[#This Row],[Status]])</f>
        <v/>
      </c>
    </row>
    <row r="838" spans="79:89">
      <c r="CA838" s="1" t="s">
        <v>71</v>
      </c>
      <c r="CB838" s="1" t="s">
        <v>18</v>
      </c>
      <c r="CC838" s="1" t="s">
        <v>132</v>
      </c>
      <c r="CE838" s="122">
        <f>FUR[[#This Row],[Part Type]]</f>
        <v>0</v>
      </c>
      <c r="CF838" s="122">
        <f>FUR[[#This Row],[Chemicals]]</f>
        <v>0</v>
      </c>
      <c r="CG838" s="122">
        <f>FUR[[#This Row],[UID]]</f>
        <v>0</v>
      </c>
      <c r="CK838" s="82" t="str">
        <f>IF(FUR[[#This Row],[Status]]=0,"",FUR[[#This Row],[Status]])</f>
        <v/>
      </c>
    </row>
    <row r="839" spans="79:89">
      <c r="CA839" s="1" t="s">
        <v>71</v>
      </c>
      <c r="CB839" s="1" t="s">
        <v>18</v>
      </c>
      <c r="CC839" s="1" t="s">
        <v>132</v>
      </c>
      <c r="CE839" s="122">
        <f>FUR[[#This Row],[Part Type]]</f>
        <v>0</v>
      </c>
      <c r="CF839" s="122">
        <f>FUR[[#This Row],[Chemicals]]</f>
        <v>0</v>
      </c>
      <c r="CG839" s="122">
        <f>FUR[[#This Row],[UID]]</f>
        <v>0</v>
      </c>
      <c r="CK839" s="82" t="str">
        <f>IF(FUR[[#This Row],[Status]]=0,"",FUR[[#This Row],[Status]])</f>
        <v/>
      </c>
    </row>
    <row r="840" spans="79:89">
      <c r="CA840" s="1" t="s">
        <v>71</v>
      </c>
      <c r="CB840" s="1" t="s">
        <v>18</v>
      </c>
      <c r="CC840" s="1" t="s">
        <v>132</v>
      </c>
      <c r="CE840" s="122">
        <f>FUR[[#This Row],[Part Type]]</f>
        <v>0</v>
      </c>
      <c r="CF840" s="122">
        <f>FUR[[#This Row],[Chemicals]]</f>
        <v>0</v>
      </c>
      <c r="CG840" s="122">
        <f>FUR[[#This Row],[UID]]</f>
        <v>0</v>
      </c>
      <c r="CK840" s="82" t="str">
        <f>IF(FUR[[#This Row],[Status]]=0,"",FUR[[#This Row],[Status]])</f>
        <v/>
      </c>
    </row>
    <row r="841" spans="79:89">
      <c r="CA841" s="1" t="s">
        <v>71</v>
      </c>
      <c r="CB841" s="1" t="s">
        <v>18</v>
      </c>
      <c r="CC841" s="1" t="s">
        <v>132</v>
      </c>
      <c r="CE841" s="122">
        <f>FUR[[#This Row],[Part Type]]</f>
        <v>0</v>
      </c>
      <c r="CF841" s="122">
        <f>FUR[[#This Row],[Chemicals]]</f>
        <v>0</v>
      </c>
      <c r="CG841" s="122">
        <f>FUR[[#This Row],[UID]]</f>
        <v>0</v>
      </c>
      <c r="CK841" s="82" t="str">
        <f>IF(FUR[[#This Row],[Status]]=0,"",FUR[[#This Row],[Status]])</f>
        <v/>
      </c>
    </row>
    <row r="842" spans="79:89">
      <c r="CA842" s="1" t="s">
        <v>71</v>
      </c>
      <c r="CB842" s="1" t="s">
        <v>18</v>
      </c>
      <c r="CC842" s="1" t="s">
        <v>132</v>
      </c>
      <c r="CE842" s="122">
        <f>FUR[[#This Row],[Part Type]]</f>
        <v>0</v>
      </c>
      <c r="CF842" s="122">
        <f>FUR[[#This Row],[Chemicals]]</f>
        <v>0</v>
      </c>
      <c r="CG842" s="122">
        <f>FUR[[#This Row],[UID]]</f>
        <v>0</v>
      </c>
      <c r="CK842" s="82" t="str">
        <f>IF(FUR[[#This Row],[Status]]=0,"",FUR[[#This Row],[Status]])</f>
        <v/>
      </c>
    </row>
    <row r="843" spans="79:89">
      <c r="CA843" s="1" t="s">
        <v>71</v>
      </c>
      <c r="CB843" s="1" t="s">
        <v>18</v>
      </c>
      <c r="CC843" s="1" t="s">
        <v>132</v>
      </c>
      <c r="CE843" s="122">
        <f>FUR[[#This Row],[Part Type]]</f>
        <v>0</v>
      </c>
      <c r="CF843" s="122">
        <f>FUR[[#This Row],[Chemicals]]</f>
        <v>0</v>
      </c>
      <c r="CG843" s="122">
        <f>FUR[[#This Row],[UID]]</f>
        <v>0</v>
      </c>
      <c r="CK843" s="82" t="str">
        <f>IF(FUR[[#This Row],[Status]]=0,"",FUR[[#This Row],[Status]])</f>
        <v/>
      </c>
    </row>
    <row r="844" spans="79:89">
      <c r="CA844" s="1" t="s">
        <v>71</v>
      </c>
      <c r="CB844" s="1" t="s">
        <v>18</v>
      </c>
      <c r="CC844" s="1" t="s">
        <v>132</v>
      </c>
      <c r="CE844" s="122">
        <f>FUR[[#This Row],[Part Type]]</f>
        <v>0</v>
      </c>
      <c r="CF844" s="122">
        <f>FUR[[#This Row],[Chemicals]]</f>
        <v>0</v>
      </c>
      <c r="CG844" s="122">
        <f>FUR[[#This Row],[UID]]</f>
        <v>0</v>
      </c>
      <c r="CK844" s="82" t="str">
        <f>IF(FUR[[#This Row],[Status]]=0,"",FUR[[#This Row],[Status]])</f>
        <v/>
      </c>
    </row>
    <row r="845" spans="79:89">
      <c r="CA845" s="1" t="s">
        <v>71</v>
      </c>
      <c r="CB845" s="1" t="s">
        <v>18</v>
      </c>
      <c r="CC845" s="1" t="s">
        <v>132</v>
      </c>
      <c r="CE845" s="122">
        <f>FUR[[#This Row],[Part Type]]</f>
        <v>0</v>
      </c>
      <c r="CF845" s="122">
        <f>FUR[[#This Row],[Chemicals]]</f>
        <v>0</v>
      </c>
      <c r="CG845" s="122">
        <f>FUR[[#This Row],[UID]]</f>
        <v>0</v>
      </c>
      <c r="CK845" s="82" t="str">
        <f>IF(FUR[[#This Row],[Status]]=0,"",FUR[[#This Row],[Status]])</f>
        <v/>
      </c>
    </row>
    <row r="846" spans="79:89">
      <c r="CA846" s="1" t="s">
        <v>71</v>
      </c>
      <c r="CB846" s="1" t="s">
        <v>18</v>
      </c>
      <c r="CC846" s="1" t="s">
        <v>132</v>
      </c>
      <c r="CE846" s="122">
        <f>FUR[[#This Row],[Part Type]]</f>
        <v>0</v>
      </c>
      <c r="CF846" s="122">
        <f>FUR[[#This Row],[Chemicals]]</f>
        <v>0</v>
      </c>
      <c r="CG846" s="122">
        <f>FUR[[#This Row],[UID]]</f>
        <v>0</v>
      </c>
      <c r="CK846" s="82" t="str">
        <f>IF(FUR[[#This Row],[Status]]=0,"",FUR[[#This Row],[Status]])</f>
        <v/>
      </c>
    </row>
    <row r="847" spans="79:89">
      <c r="CA847" s="1" t="s">
        <v>71</v>
      </c>
      <c r="CB847" s="1" t="s">
        <v>18</v>
      </c>
      <c r="CC847" s="1" t="s">
        <v>132</v>
      </c>
      <c r="CE847" s="122">
        <f>FUR[[#This Row],[Part Type]]</f>
        <v>0</v>
      </c>
      <c r="CF847" s="122">
        <f>FUR[[#This Row],[Chemicals]]</f>
        <v>0</v>
      </c>
      <c r="CG847" s="122">
        <f>FUR[[#This Row],[UID]]</f>
        <v>0</v>
      </c>
      <c r="CK847" s="82" t="str">
        <f>IF(FUR[[#This Row],[Status]]=0,"",FUR[[#This Row],[Status]])</f>
        <v/>
      </c>
    </row>
    <row r="848" spans="79:89">
      <c r="CA848" s="1" t="s">
        <v>71</v>
      </c>
      <c r="CB848" s="1" t="s">
        <v>18</v>
      </c>
      <c r="CC848" s="1" t="s">
        <v>132</v>
      </c>
      <c r="CE848" s="122">
        <f>FUR[[#This Row],[Part Type]]</f>
        <v>0</v>
      </c>
      <c r="CF848" s="122">
        <f>FUR[[#This Row],[Chemicals]]</f>
        <v>0</v>
      </c>
      <c r="CG848" s="122">
        <f>FUR[[#This Row],[UID]]</f>
        <v>0</v>
      </c>
      <c r="CK848" s="82" t="str">
        <f>IF(FUR[[#This Row],[Status]]=0,"",FUR[[#This Row],[Status]])</f>
        <v/>
      </c>
    </row>
    <row r="849" spans="79:89">
      <c r="CA849" s="1" t="s">
        <v>71</v>
      </c>
      <c r="CB849" s="1" t="s">
        <v>18</v>
      </c>
      <c r="CC849" s="1" t="s">
        <v>132</v>
      </c>
      <c r="CE849" s="122">
        <f>FUR[[#This Row],[Part Type]]</f>
        <v>0</v>
      </c>
      <c r="CF849" s="122">
        <f>FUR[[#This Row],[Chemicals]]</f>
        <v>0</v>
      </c>
      <c r="CG849" s="122">
        <f>FUR[[#This Row],[UID]]</f>
        <v>0</v>
      </c>
      <c r="CK849" s="82" t="str">
        <f>IF(FUR[[#This Row],[Status]]=0,"",FUR[[#This Row],[Status]])</f>
        <v/>
      </c>
    </row>
    <row r="850" spans="79:89">
      <c r="CA850" s="1" t="s">
        <v>71</v>
      </c>
      <c r="CB850" s="1" t="s">
        <v>18</v>
      </c>
      <c r="CC850" s="1" t="s">
        <v>132</v>
      </c>
      <c r="CE850" s="122">
        <f>FUR[[#This Row],[Part Type]]</f>
        <v>0</v>
      </c>
      <c r="CF850" s="122">
        <f>FUR[[#This Row],[Chemicals]]</f>
        <v>0</v>
      </c>
      <c r="CG850" s="122">
        <f>FUR[[#This Row],[UID]]</f>
        <v>0</v>
      </c>
      <c r="CK850" s="82" t="str">
        <f>IF(FUR[[#This Row],[Status]]=0,"",FUR[[#This Row],[Status]])</f>
        <v/>
      </c>
    </row>
    <row r="851" spans="79:89">
      <c r="CA851" s="1" t="s">
        <v>71</v>
      </c>
      <c r="CB851" s="1" t="s">
        <v>18</v>
      </c>
      <c r="CC851" s="1" t="s">
        <v>132</v>
      </c>
      <c r="CE851" s="122">
        <f>FUR[[#This Row],[Part Type]]</f>
        <v>0</v>
      </c>
      <c r="CF851" s="122">
        <f>FUR[[#This Row],[Chemicals]]</f>
        <v>0</v>
      </c>
      <c r="CG851" s="122">
        <f>FUR[[#This Row],[UID]]</f>
        <v>0</v>
      </c>
      <c r="CK851" s="82" t="str">
        <f>IF(FUR[[#This Row],[Status]]=0,"",FUR[[#This Row],[Status]])</f>
        <v/>
      </c>
    </row>
    <row r="852" spans="79:89">
      <c r="CA852" s="1" t="s">
        <v>71</v>
      </c>
      <c r="CB852" s="1" t="s">
        <v>18</v>
      </c>
      <c r="CC852" s="1" t="s">
        <v>132</v>
      </c>
      <c r="CE852" s="122">
        <f>FUR[[#This Row],[Part Type]]</f>
        <v>0</v>
      </c>
      <c r="CF852" s="122">
        <f>FUR[[#This Row],[Chemicals]]</f>
        <v>0</v>
      </c>
      <c r="CG852" s="122">
        <f>FUR[[#This Row],[UID]]</f>
        <v>0</v>
      </c>
      <c r="CK852" s="82" t="str">
        <f>IF(FUR[[#This Row],[Status]]=0,"",FUR[[#This Row],[Status]])</f>
        <v/>
      </c>
    </row>
    <row r="853" spans="79:89">
      <c r="CA853" s="1" t="s">
        <v>71</v>
      </c>
      <c r="CB853" s="1" t="s">
        <v>18</v>
      </c>
      <c r="CC853" s="1" t="s">
        <v>132</v>
      </c>
      <c r="CE853" s="122">
        <f>FUR[[#This Row],[Part Type]]</f>
        <v>0</v>
      </c>
      <c r="CF853" s="122">
        <f>FUR[[#This Row],[Chemicals]]</f>
        <v>0</v>
      </c>
      <c r="CG853" s="122">
        <f>FUR[[#This Row],[UID]]</f>
        <v>0</v>
      </c>
      <c r="CK853" s="82" t="str">
        <f>IF(FUR[[#This Row],[Status]]=0,"",FUR[[#This Row],[Status]])</f>
        <v/>
      </c>
    </row>
    <row r="854" spans="79:89">
      <c r="CA854" s="1" t="s">
        <v>71</v>
      </c>
      <c r="CB854" s="1" t="s">
        <v>18</v>
      </c>
      <c r="CC854" s="1" t="s">
        <v>132</v>
      </c>
      <c r="CE854" s="122">
        <f>FUR[[#This Row],[Part Type]]</f>
        <v>0</v>
      </c>
      <c r="CF854" s="122">
        <f>FUR[[#This Row],[Chemicals]]</f>
        <v>0</v>
      </c>
      <c r="CG854" s="122">
        <f>FUR[[#This Row],[UID]]</f>
        <v>0</v>
      </c>
      <c r="CK854" s="82" t="str">
        <f>IF(FUR[[#This Row],[Status]]=0,"",FUR[[#This Row],[Status]])</f>
        <v/>
      </c>
    </row>
    <row r="855" spans="79:89">
      <c r="CA855" s="1" t="s">
        <v>71</v>
      </c>
      <c r="CB855" s="1" t="s">
        <v>18</v>
      </c>
      <c r="CC855" s="1" t="s">
        <v>132</v>
      </c>
      <c r="CE855" s="122">
        <f>FUR[[#This Row],[Part Type]]</f>
        <v>0</v>
      </c>
      <c r="CF855" s="122">
        <f>FUR[[#This Row],[Chemicals]]</f>
        <v>0</v>
      </c>
      <c r="CG855" s="122">
        <f>FUR[[#This Row],[UID]]</f>
        <v>0</v>
      </c>
      <c r="CK855" s="82" t="str">
        <f>IF(FUR[[#This Row],[Status]]=0,"",FUR[[#This Row],[Status]])</f>
        <v/>
      </c>
    </row>
    <row r="856" spans="79:89">
      <c r="CA856" s="1" t="s">
        <v>71</v>
      </c>
      <c r="CB856" s="1" t="s">
        <v>18</v>
      </c>
      <c r="CC856" s="1" t="s">
        <v>132</v>
      </c>
      <c r="CE856" s="122">
        <f>FUR[[#This Row],[Part Type]]</f>
        <v>0</v>
      </c>
      <c r="CF856" s="122">
        <f>FUR[[#This Row],[Chemicals]]</f>
        <v>0</v>
      </c>
      <c r="CG856" s="122">
        <f>FUR[[#This Row],[UID]]</f>
        <v>0</v>
      </c>
      <c r="CK856" s="82" t="str">
        <f>IF(FUR[[#This Row],[Status]]=0,"",FUR[[#This Row],[Status]])</f>
        <v/>
      </c>
    </row>
    <row r="857" spans="79:89">
      <c r="CA857" s="1" t="s">
        <v>71</v>
      </c>
      <c r="CB857" s="1" t="s">
        <v>18</v>
      </c>
      <c r="CC857" s="1" t="s">
        <v>132</v>
      </c>
      <c r="CE857" s="122">
        <f>FUR[[#This Row],[Part Type]]</f>
        <v>0</v>
      </c>
      <c r="CF857" s="122">
        <f>FUR[[#This Row],[Chemicals]]</f>
        <v>0</v>
      </c>
      <c r="CG857" s="122">
        <f>FUR[[#This Row],[UID]]</f>
        <v>0</v>
      </c>
      <c r="CK857" s="82" t="str">
        <f>IF(FUR[[#This Row],[Status]]=0,"",FUR[[#This Row],[Status]])</f>
        <v/>
      </c>
    </row>
    <row r="858" spans="79:89">
      <c r="CA858" s="1" t="s">
        <v>71</v>
      </c>
      <c r="CB858" s="1" t="s">
        <v>18</v>
      </c>
      <c r="CC858" s="1" t="s">
        <v>132</v>
      </c>
      <c r="CE858" s="122">
        <f>FUR[[#This Row],[Part Type]]</f>
        <v>0</v>
      </c>
      <c r="CF858" s="122">
        <f>FUR[[#This Row],[Chemicals]]</f>
        <v>0</v>
      </c>
      <c r="CG858" s="122">
        <f>FUR[[#This Row],[UID]]</f>
        <v>0</v>
      </c>
      <c r="CK858" s="82" t="str">
        <f>IF(FUR[[#This Row],[Status]]=0,"",FUR[[#This Row],[Status]])</f>
        <v/>
      </c>
    </row>
    <row r="859" spans="79:89">
      <c r="CA859" s="1" t="s">
        <v>71</v>
      </c>
      <c r="CB859" s="1" t="s">
        <v>18</v>
      </c>
      <c r="CC859" s="1" t="s">
        <v>132</v>
      </c>
      <c r="CE859" s="122">
        <f>FUR[[#This Row],[Part Type]]</f>
        <v>0</v>
      </c>
      <c r="CF859" s="122">
        <f>FUR[[#This Row],[Chemicals]]</f>
        <v>0</v>
      </c>
      <c r="CG859" s="122">
        <f>FUR[[#This Row],[UID]]</f>
        <v>0</v>
      </c>
      <c r="CK859" s="82" t="str">
        <f>IF(FUR[[#This Row],[Status]]=0,"",FUR[[#This Row],[Status]])</f>
        <v/>
      </c>
    </row>
    <row r="860" spans="79:89">
      <c r="CA860" s="1" t="s">
        <v>71</v>
      </c>
      <c r="CB860" s="1" t="s">
        <v>18</v>
      </c>
      <c r="CC860" s="1" t="s">
        <v>132</v>
      </c>
      <c r="CE860" s="122">
        <f>FUR[[#This Row],[Part Type]]</f>
        <v>0</v>
      </c>
      <c r="CF860" s="122">
        <f>FUR[[#This Row],[Chemicals]]</f>
        <v>0</v>
      </c>
      <c r="CG860" s="122">
        <f>FUR[[#This Row],[UID]]</f>
        <v>0</v>
      </c>
      <c r="CK860" s="82" t="str">
        <f>IF(FUR[[#This Row],[Status]]=0,"",FUR[[#This Row],[Status]])</f>
        <v/>
      </c>
    </row>
    <row r="861" spans="79:89">
      <c r="CA861" s="1" t="s">
        <v>71</v>
      </c>
      <c r="CB861" s="1" t="s">
        <v>18</v>
      </c>
      <c r="CC861" s="1" t="s">
        <v>132</v>
      </c>
      <c r="CE861" s="122">
        <f>FUR[[#This Row],[Part Type]]</f>
        <v>0</v>
      </c>
      <c r="CF861" s="122">
        <f>FUR[[#This Row],[Chemicals]]</f>
        <v>0</v>
      </c>
      <c r="CG861" s="122">
        <f>FUR[[#This Row],[UID]]</f>
        <v>0</v>
      </c>
      <c r="CK861" s="82" t="str">
        <f>IF(FUR[[#This Row],[Status]]=0,"",FUR[[#This Row],[Status]])</f>
        <v/>
      </c>
    </row>
    <row r="862" spans="79:89">
      <c r="CA862" s="1" t="s">
        <v>71</v>
      </c>
      <c r="CB862" s="1" t="s">
        <v>18</v>
      </c>
      <c r="CC862" s="1" t="s">
        <v>132</v>
      </c>
      <c r="CE862" s="122">
        <f>FUR[[#This Row],[Part Type]]</f>
        <v>0</v>
      </c>
      <c r="CF862" s="122">
        <f>FUR[[#This Row],[Chemicals]]</f>
        <v>0</v>
      </c>
      <c r="CG862" s="122">
        <f>FUR[[#This Row],[UID]]</f>
        <v>0</v>
      </c>
      <c r="CK862" s="82" t="str">
        <f>IF(FUR[[#This Row],[Status]]=0,"",FUR[[#This Row],[Status]])</f>
        <v/>
      </c>
    </row>
    <row r="863" spans="79:89">
      <c r="CA863" s="1" t="s">
        <v>71</v>
      </c>
      <c r="CB863" s="1" t="s">
        <v>18</v>
      </c>
      <c r="CC863" s="1" t="s">
        <v>132</v>
      </c>
      <c r="CE863" s="122">
        <f>FUR[[#This Row],[Part Type]]</f>
        <v>0</v>
      </c>
      <c r="CF863" s="122">
        <f>FUR[[#This Row],[Chemicals]]</f>
        <v>0</v>
      </c>
      <c r="CG863" s="122">
        <f>FUR[[#This Row],[UID]]</f>
        <v>0</v>
      </c>
      <c r="CK863" s="82" t="str">
        <f>IF(FUR[[#This Row],[Status]]=0,"",FUR[[#This Row],[Status]])</f>
        <v/>
      </c>
    </row>
    <row r="864" spans="79:89">
      <c r="CA864" s="1" t="s">
        <v>71</v>
      </c>
      <c r="CB864" s="1" t="s">
        <v>18</v>
      </c>
      <c r="CC864" s="1" t="s">
        <v>132</v>
      </c>
      <c r="CE864" s="122">
        <f>FUR[[#This Row],[Part Type]]</f>
        <v>0</v>
      </c>
      <c r="CF864" s="122">
        <f>FUR[[#This Row],[Chemicals]]</f>
        <v>0</v>
      </c>
      <c r="CG864" s="122">
        <f>FUR[[#This Row],[UID]]</f>
        <v>0</v>
      </c>
      <c r="CK864" s="82" t="str">
        <f>IF(FUR[[#This Row],[Status]]=0,"",FUR[[#This Row],[Status]])</f>
        <v/>
      </c>
    </row>
    <row r="865" spans="79:89">
      <c r="CA865" s="1" t="s">
        <v>71</v>
      </c>
      <c r="CB865" s="1" t="s">
        <v>18</v>
      </c>
      <c r="CC865" s="1" t="s">
        <v>132</v>
      </c>
      <c r="CE865" s="122">
        <f>FUR[[#This Row],[Part Type]]</f>
        <v>0</v>
      </c>
      <c r="CF865" s="122">
        <f>FUR[[#This Row],[Chemicals]]</f>
        <v>0</v>
      </c>
      <c r="CG865" s="122">
        <f>FUR[[#This Row],[UID]]</f>
        <v>0</v>
      </c>
      <c r="CK865" s="82" t="str">
        <f>IF(FUR[[#This Row],[Status]]=0,"",FUR[[#This Row],[Status]])</f>
        <v/>
      </c>
    </row>
    <row r="866" spans="79:89">
      <c r="CA866" s="1" t="s">
        <v>71</v>
      </c>
      <c r="CB866" s="1" t="s">
        <v>18</v>
      </c>
      <c r="CC866" s="1" t="s">
        <v>132</v>
      </c>
      <c r="CE866" s="122">
        <f>FUR[[#This Row],[Part Type]]</f>
        <v>0</v>
      </c>
      <c r="CF866" s="122">
        <f>FUR[[#This Row],[Chemicals]]</f>
        <v>0</v>
      </c>
      <c r="CG866" s="122">
        <f>FUR[[#This Row],[UID]]</f>
        <v>0</v>
      </c>
      <c r="CK866" s="82" t="str">
        <f>IF(FUR[[#This Row],[Status]]=0,"",FUR[[#This Row],[Status]])</f>
        <v/>
      </c>
    </row>
    <row r="867" spans="79:89">
      <c r="CA867" s="1" t="s">
        <v>71</v>
      </c>
      <c r="CB867" s="1" t="s">
        <v>18</v>
      </c>
      <c r="CC867" s="1" t="s">
        <v>132</v>
      </c>
      <c r="CE867" s="122">
        <f>FUR[[#This Row],[Part Type]]</f>
        <v>0</v>
      </c>
      <c r="CF867" s="122">
        <f>FUR[[#This Row],[Chemicals]]</f>
        <v>0</v>
      </c>
      <c r="CG867" s="122">
        <f>FUR[[#This Row],[UID]]</f>
        <v>0</v>
      </c>
      <c r="CK867" s="82" t="str">
        <f>IF(FUR[[#This Row],[Status]]=0,"",FUR[[#This Row],[Status]])</f>
        <v/>
      </c>
    </row>
    <row r="868" spans="79:89">
      <c r="CA868" s="1" t="s">
        <v>71</v>
      </c>
      <c r="CB868" s="1" t="s">
        <v>18</v>
      </c>
      <c r="CC868" s="1" t="s">
        <v>132</v>
      </c>
      <c r="CE868" s="122">
        <f>FUR[[#This Row],[Part Type]]</f>
        <v>0</v>
      </c>
      <c r="CF868" s="122">
        <f>FUR[[#This Row],[Chemicals]]</f>
        <v>0</v>
      </c>
      <c r="CG868" s="122">
        <f>FUR[[#This Row],[UID]]</f>
        <v>0</v>
      </c>
      <c r="CK868" s="82" t="str">
        <f>IF(FUR[[#This Row],[Status]]=0,"",FUR[[#This Row],[Status]])</f>
        <v/>
      </c>
    </row>
    <row r="869" spans="79:89">
      <c r="CA869" s="1" t="s">
        <v>71</v>
      </c>
      <c r="CB869" s="1" t="s">
        <v>18</v>
      </c>
      <c r="CC869" s="1" t="s">
        <v>132</v>
      </c>
      <c r="CE869" s="122">
        <f>FUR[[#This Row],[Part Type]]</f>
        <v>0</v>
      </c>
      <c r="CF869" s="122">
        <f>FUR[[#This Row],[Chemicals]]</f>
        <v>0</v>
      </c>
      <c r="CG869" s="122">
        <f>FUR[[#This Row],[UID]]</f>
        <v>0</v>
      </c>
      <c r="CK869" s="82" t="str">
        <f>IF(FUR[[#This Row],[Status]]=0,"",FUR[[#This Row],[Status]])</f>
        <v/>
      </c>
    </row>
    <row r="870" spans="79:89">
      <c r="CA870" s="1" t="s">
        <v>71</v>
      </c>
      <c r="CB870" s="1" t="s">
        <v>18</v>
      </c>
      <c r="CC870" s="1" t="s">
        <v>132</v>
      </c>
      <c r="CE870" s="122">
        <f>FUR[[#This Row],[Part Type]]</f>
        <v>0</v>
      </c>
      <c r="CF870" s="122">
        <f>FUR[[#This Row],[Chemicals]]</f>
        <v>0</v>
      </c>
      <c r="CG870" s="122">
        <f>FUR[[#This Row],[UID]]</f>
        <v>0</v>
      </c>
      <c r="CK870" s="82" t="str">
        <f>IF(FUR[[#This Row],[Status]]=0,"",FUR[[#This Row],[Status]])</f>
        <v/>
      </c>
    </row>
    <row r="871" spans="79:89">
      <c r="CA871" s="1" t="s">
        <v>71</v>
      </c>
      <c r="CB871" s="1" t="s">
        <v>18</v>
      </c>
      <c r="CC871" s="1" t="s">
        <v>132</v>
      </c>
      <c r="CE871" s="122">
        <f>FUR[[#This Row],[Part Type]]</f>
        <v>0</v>
      </c>
      <c r="CF871" s="122">
        <f>FUR[[#This Row],[Chemicals]]</f>
        <v>0</v>
      </c>
      <c r="CG871" s="122">
        <f>FUR[[#This Row],[UID]]</f>
        <v>0</v>
      </c>
      <c r="CK871" s="82" t="str">
        <f>IF(FUR[[#This Row],[Status]]=0,"",FUR[[#This Row],[Status]])</f>
        <v/>
      </c>
    </row>
    <row r="872" spans="79:89">
      <c r="CA872" s="1" t="s">
        <v>71</v>
      </c>
      <c r="CB872" s="1" t="s">
        <v>18</v>
      </c>
      <c r="CC872" s="1" t="s">
        <v>132</v>
      </c>
      <c r="CE872" s="122">
        <f>FUR[[#This Row],[Part Type]]</f>
        <v>0</v>
      </c>
      <c r="CF872" s="122">
        <f>FUR[[#This Row],[Chemicals]]</f>
        <v>0</v>
      </c>
      <c r="CG872" s="122">
        <f>FUR[[#This Row],[UID]]</f>
        <v>0</v>
      </c>
      <c r="CK872" s="82" t="str">
        <f>IF(FUR[[#This Row],[Status]]=0,"",FUR[[#This Row],[Status]])</f>
        <v/>
      </c>
    </row>
    <row r="873" spans="79:89">
      <c r="CA873" s="1" t="s">
        <v>71</v>
      </c>
      <c r="CB873" s="1" t="s">
        <v>18</v>
      </c>
      <c r="CC873" s="1" t="s">
        <v>132</v>
      </c>
      <c r="CE873" s="122">
        <f>FUR[[#This Row],[Part Type]]</f>
        <v>0</v>
      </c>
      <c r="CF873" s="122">
        <f>FUR[[#This Row],[Chemicals]]</f>
        <v>0</v>
      </c>
      <c r="CG873" s="122">
        <f>FUR[[#This Row],[UID]]</f>
        <v>0</v>
      </c>
      <c r="CK873" s="82" t="str">
        <f>IF(FUR[[#This Row],[Status]]=0,"",FUR[[#This Row],[Status]])</f>
        <v/>
      </c>
    </row>
    <row r="874" spans="79:89">
      <c r="CA874" s="1" t="s">
        <v>71</v>
      </c>
      <c r="CB874" s="1" t="s">
        <v>18</v>
      </c>
      <c r="CC874" s="1" t="s">
        <v>132</v>
      </c>
      <c r="CE874" s="122">
        <f>FUR[[#This Row],[Part Type]]</f>
        <v>0</v>
      </c>
      <c r="CF874" s="122">
        <f>FUR[[#This Row],[Chemicals]]</f>
        <v>0</v>
      </c>
      <c r="CG874" s="122">
        <f>FUR[[#This Row],[UID]]</f>
        <v>0</v>
      </c>
      <c r="CK874" s="82" t="str">
        <f>IF(FUR[[#This Row],[Status]]=0,"",FUR[[#This Row],[Status]])</f>
        <v/>
      </c>
    </row>
    <row r="875" spans="79:89">
      <c r="CA875" s="1" t="s">
        <v>71</v>
      </c>
      <c r="CB875" s="1" t="s">
        <v>18</v>
      </c>
      <c r="CC875" s="1" t="s">
        <v>132</v>
      </c>
      <c r="CE875" s="122">
        <f>FUR[[#This Row],[Part Type]]</f>
        <v>0</v>
      </c>
      <c r="CF875" s="122">
        <f>FUR[[#This Row],[Chemicals]]</f>
        <v>0</v>
      </c>
      <c r="CG875" s="122">
        <f>FUR[[#This Row],[UID]]</f>
        <v>0</v>
      </c>
      <c r="CK875" s="82" t="str">
        <f>IF(FUR[[#This Row],[Status]]=0,"",FUR[[#This Row],[Status]])</f>
        <v/>
      </c>
    </row>
    <row r="876" spans="79:89">
      <c r="CA876" s="1" t="s">
        <v>71</v>
      </c>
      <c r="CB876" s="1" t="s">
        <v>18</v>
      </c>
      <c r="CC876" s="1" t="s">
        <v>132</v>
      </c>
      <c r="CE876" s="122">
        <f>FUR[[#This Row],[Part Type]]</f>
        <v>0</v>
      </c>
      <c r="CF876" s="122">
        <f>FUR[[#This Row],[Chemicals]]</f>
        <v>0</v>
      </c>
      <c r="CG876" s="122">
        <f>FUR[[#This Row],[UID]]</f>
        <v>0</v>
      </c>
      <c r="CK876" s="82" t="str">
        <f>IF(FUR[[#This Row],[Status]]=0,"",FUR[[#This Row],[Status]])</f>
        <v/>
      </c>
    </row>
    <row r="877" spans="79:89">
      <c r="CA877" s="1" t="s">
        <v>71</v>
      </c>
      <c r="CB877" s="1" t="s">
        <v>18</v>
      </c>
      <c r="CC877" s="1" t="s">
        <v>132</v>
      </c>
      <c r="CE877" s="122">
        <f>FUR[[#This Row],[Part Type]]</f>
        <v>0</v>
      </c>
      <c r="CF877" s="122">
        <f>FUR[[#This Row],[Chemicals]]</f>
        <v>0</v>
      </c>
      <c r="CG877" s="122">
        <f>FUR[[#This Row],[UID]]</f>
        <v>0</v>
      </c>
      <c r="CK877" s="82" t="str">
        <f>IF(FUR[[#This Row],[Status]]=0,"",FUR[[#This Row],[Status]])</f>
        <v/>
      </c>
    </row>
    <row r="878" spans="79:89">
      <c r="CA878" s="1" t="s">
        <v>71</v>
      </c>
      <c r="CB878" s="1" t="s">
        <v>18</v>
      </c>
      <c r="CC878" s="1" t="s">
        <v>132</v>
      </c>
      <c r="CE878" s="122">
        <f>FUR[[#This Row],[Part Type]]</f>
        <v>0</v>
      </c>
      <c r="CF878" s="122">
        <f>FUR[[#This Row],[Chemicals]]</f>
        <v>0</v>
      </c>
      <c r="CG878" s="122">
        <f>FUR[[#This Row],[UID]]</f>
        <v>0</v>
      </c>
      <c r="CK878" s="82" t="str">
        <f>IF(FUR[[#This Row],[Status]]=0,"",FUR[[#This Row],[Status]])</f>
        <v/>
      </c>
    </row>
    <row r="879" spans="79:89">
      <c r="CA879" s="1" t="s">
        <v>71</v>
      </c>
      <c r="CB879" s="1" t="s">
        <v>18</v>
      </c>
      <c r="CC879" s="1" t="s">
        <v>132</v>
      </c>
      <c r="CE879" s="122">
        <f>FUR[[#This Row],[Part Type]]</f>
        <v>0</v>
      </c>
      <c r="CF879" s="122">
        <f>FUR[[#This Row],[Chemicals]]</f>
        <v>0</v>
      </c>
      <c r="CG879" s="122">
        <f>FUR[[#This Row],[UID]]</f>
        <v>0</v>
      </c>
      <c r="CK879" s="82" t="str">
        <f>IF(FUR[[#This Row],[Status]]=0,"",FUR[[#This Row],[Status]])</f>
        <v/>
      </c>
    </row>
    <row r="880" spans="79:89">
      <c r="CA880" s="1" t="s">
        <v>71</v>
      </c>
      <c r="CB880" s="1" t="s">
        <v>18</v>
      </c>
      <c r="CC880" s="1" t="s">
        <v>132</v>
      </c>
      <c r="CE880" s="122">
        <f>FUR[[#This Row],[Part Type]]</f>
        <v>0</v>
      </c>
      <c r="CF880" s="122">
        <f>FUR[[#This Row],[Chemicals]]</f>
        <v>0</v>
      </c>
      <c r="CG880" s="122">
        <f>FUR[[#This Row],[UID]]</f>
        <v>0</v>
      </c>
      <c r="CK880" s="82" t="str">
        <f>IF(FUR[[#This Row],[Status]]=0,"",FUR[[#This Row],[Status]])</f>
        <v/>
      </c>
    </row>
    <row r="881" spans="79:89">
      <c r="CA881" s="1" t="s">
        <v>71</v>
      </c>
      <c r="CB881" s="1" t="s">
        <v>18</v>
      </c>
      <c r="CC881" s="1" t="s">
        <v>132</v>
      </c>
      <c r="CE881" s="122">
        <f>FUR[[#This Row],[Part Type]]</f>
        <v>0</v>
      </c>
      <c r="CF881" s="122">
        <f>FUR[[#This Row],[Chemicals]]</f>
        <v>0</v>
      </c>
      <c r="CG881" s="122">
        <f>FUR[[#This Row],[UID]]</f>
        <v>0</v>
      </c>
      <c r="CK881" s="82" t="str">
        <f>IF(FUR[[#This Row],[Status]]=0,"",FUR[[#This Row],[Status]])</f>
        <v/>
      </c>
    </row>
    <row r="882" spans="79:89">
      <c r="CA882" s="1" t="s">
        <v>71</v>
      </c>
      <c r="CB882" s="1" t="s">
        <v>18</v>
      </c>
      <c r="CC882" s="1" t="s">
        <v>132</v>
      </c>
      <c r="CE882" s="122">
        <f>FUR[[#This Row],[Part Type]]</f>
        <v>0</v>
      </c>
      <c r="CF882" s="122">
        <f>FUR[[#This Row],[Chemicals]]</f>
        <v>0</v>
      </c>
      <c r="CG882" s="122">
        <f>FUR[[#This Row],[UID]]</f>
        <v>0</v>
      </c>
      <c r="CK882" s="82" t="str">
        <f>IF(FUR[[#This Row],[Status]]=0,"",FUR[[#This Row],[Status]])</f>
        <v/>
      </c>
    </row>
    <row r="883" spans="79:89">
      <c r="CA883" s="1" t="s">
        <v>71</v>
      </c>
      <c r="CB883" s="1" t="s">
        <v>18</v>
      </c>
      <c r="CC883" s="1" t="s">
        <v>132</v>
      </c>
      <c r="CE883" s="122">
        <f>FUR[[#This Row],[Part Type]]</f>
        <v>0</v>
      </c>
      <c r="CF883" s="122">
        <f>FUR[[#This Row],[Chemicals]]</f>
        <v>0</v>
      </c>
      <c r="CG883" s="122">
        <f>FUR[[#This Row],[UID]]</f>
        <v>0</v>
      </c>
      <c r="CK883" s="82" t="str">
        <f>IF(FUR[[#This Row],[Status]]=0,"",FUR[[#This Row],[Status]])</f>
        <v/>
      </c>
    </row>
    <row r="884" spans="79:89">
      <c r="CA884" s="1" t="s">
        <v>71</v>
      </c>
      <c r="CB884" s="1" t="s">
        <v>18</v>
      </c>
      <c r="CC884" s="1" t="s">
        <v>132</v>
      </c>
      <c r="CE884" s="122">
        <f>FUR[[#This Row],[Part Type]]</f>
        <v>0</v>
      </c>
      <c r="CF884" s="122">
        <f>FUR[[#This Row],[Chemicals]]</f>
        <v>0</v>
      </c>
      <c r="CG884" s="122">
        <f>FUR[[#This Row],[UID]]</f>
        <v>0</v>
      </c>
      <c r="CK884" s="82" t="str">
        <f>IF(FUR[[#This Row],[Status]]=0,"",FUR[[#This Row],[Status]])</f>
        <v/>
      </c>
    </row>
    <row r="885" spans="79:89">
      <c r="CA885" s="1" t="s">
        <v>71</v>
      </c>
      <c r="CB885" s="1" t="s">
        <v>18</v>
      </c>
      <c r="CC885" s="1" t="s">
        <v>132</v>
      </c>
      <c r="CE885" s="122">
        <f>FUR[[#This Row],[Part Type]]</f>
        <v>0</v>
      </c>
      <c r="CF885" s="122">
        <f>FUR[[#This Row],[Chemicals]]</f>
        <v>0</v>
      </c>
      <c r="CG885" s="122">
        <f>FUR[[#This Row],[UID]]</f>
        <v>0</v>
      </c>
      <c r="CK885" s="82" t="str">
        <f>IF(FUR[[#This Row],[Status]]=0,"",FUR[[#This Row],[Status]])</f>
        <v/>
      </c>
    </row>
    <row r="886" spans="79:89">
      <c r="CA886" s="1" t="s">
        <v>71</v>
      </c>
      <c r="CB886" s="1" t="s">
        <v>18</v>
      </c>
      <c r="CC886" s="1" t="s">
        <v>132</v>
      </c>
      <c r="CE886" s="122">
        <f>FUR[[#This Row],[Part Type]]</f>
        <v>0</v>
      </c>
      <c r="CF886" s="122">
        <f>FUR[[#This Row],[Chemicals]]</f>
        <v>0</v>
      </c>
      <c r="CG886" s="122">
        <f>FUR[[#This Row],[UID]]</f>
        <v>0</v>
      </c>
      <c r="CK886" s="82" t="str">
        <f>IF(FUR[[#This Row],[Status]]=0,"",FUR[[#This Row],[Status]])</f>
        <v/>
      </c>
    </row>
    <row r="887" spans="79:89">
      <c r="CA887" s="1" t="s">
        <v>71</v>
      </c>
      <c r="CB887" s="1" t="s">
        <v>18</v>
      </c>
      <c r="CC887" s="1" t="s">
        <v>132</v>
      </c>
      <c r="CE887" s="122">
        <f>FUR[[#This Row],[Part Type]]</f>
        <v>0</v>
      </c>
      <c r="CF887" s="122">
        <f>FUR[[#This Row],[Chemicals]]</f>
        <v>0</v>
      </c>
      <c r="CG887" s="122">
        <f>FUR[[#This Row],[UID]]</f>
        <v>0</v>
      </c>
      <c r="CK887" s="82" t="str">
        <f>IF(FUR[[#This Row],[Status]]=0,"",FUR[[#This Row],[Status]])</f>
        <v/>
      </c>
    </row>
    <row r="888" spans="79:89">
      <c r="CA888" s="1" t="s">
        <v>71</v>
      </c>
      <c r="CB888" s="1" t="s">
        <v>18</v>
      </c>
      <c r="CC888" s="1" t="s">
        <v>132</v>
      </c>
      <c r="CE888" s="122">
        <f>FUR[[#This Row],[Part Type]]</f>
        <v>0</v>
      </c>
      <c r="CF888" s="122">
        <f>FUR[[#This Row],[Chemicals]]</f>
        <v>0</v>
      </c>
      <c r="CG888" s="122">
        <f>FUR[[#This Row],[UID]]</f>
        <v>0</v>
      </c>
      <c r="CK888" s="82" t="str">
        <f>IF(FUR[[#This Row],[Status]]=0,"",FUR[[#This Row],[Status]])</f>
        <v/>
      </c>
    </row>
    <row r="889" spans="79:89">
      <c r="CA889" s="1" t="s">
        <v>71</v>
      </c>
      <c r="CB889" s="1" t="s">
        <v>18</v>
      </c>
      <c r="CC889" s="1" t="s">
        <v>132</v>
      </c>
      <c r="CE889" s="122">
        <f>FUR[[#This Row],[Part Type]]</f>
        <v>0</v>
      </c>
      <c r="CF889" s="122">
        <f>FUR[[#This Row],[Chemicals]]</f>
        <v>0</v>
      </c>
      <c r="CG889" s="122">
        <f>FUR[[#This Row],[UID]]</f>
        <v>0</v>
      </c>
      <c r="CK889" s="82" t="str">
        <f>IF(FUR[[#This Row],[Status]]=0,"",FUR[[#This Row],[Status]])</f>
        <v/>
      </c>
    </row>
    <row r="890" spans="79:89">
      <c r="CA890" s="1" t="s">
        <v>71</v>
      </c>
      <c r="CB890" s="1" t="s">
        <v>18</v>
      </c>
      <c r="CC890" s="1" t="s">
        <v>132</v>
      </c>
      <c r="CE890" s="122">
        <f>FUR[[#This Row],[Part Type]]</f>
        <v>0</v>
      </c>
      <c r="CF890" s="122">
        <f>FUR[[#This Row],[Chemicals]]</f>
        <v>0</v>
      </c>
      <c r="CG890" s="122">
        <f>FUR[[#This Row],[UID]]</f>
        <v>0</v>
      </c>
      <c r="CK890" s="82" t="str">
        <f>IF(FUR[[#This Row],[Status]]=0,"",FUR[[#This Row],[Status]])</f>
        <v/>
      </c>
    </row>
    <row r="891" spans="79:89">
      <c r="CA891" s="1" t="s">
        <v>71</v>
      </c>
      <c r="CB891" s="1" t="s">
        <v>18</v>
      </c>
      <c r="CC891" s="1" t="s">
        <v>132</v>
      </c>
      <c r="CE891" s="122">
        <f>FUR[[#This Row],[Part Type]]</f>
        <v>0</v>
      </c>
      <c r="CF891" s="122">
        <f>FUR[[#This Row],[Chemicals]]</f>
        <v>0</v>
      </c>
      <c r="CG891" s="122">
        <f>FUR[[#This Row],[UID]]</f>
        <v>0</v>
      </c>
      <c r="CK891" s="82" t="str">
        <f>IF(FUR[[#This Row],[Status]]=0,"",FUR[[#This Row],[Status]])</f>
        <v/>
      </c>
    </row>
    <row r="892" spans="79:89">
      <c r="CA892" s="1" t="s">
        <v>71</v>
      </c>
      <c r="CB892" s="1" t="s">
        <v>18</v>
      </c>
      <c r="CC892" s="1" t="s">
        <v>132</v>
      </c>
      <c r="CE892" s="122">
        <f>FUR[[#This Row],[Part Type]]</f>
        <v>0</v>
      </c>
      <c r="CF892" s="122">
        <f>FUR[[#This Row],[Chemicals]]</f>
        <v>0</v>
      </c>
      <c r="CG892" s="122">
        <f>FUR[[#This Row],[UID]]</f>
        <v>0</v>
      </c>
      <c r="CK892" s="82" t="str">
        <f>IF(FUR[[#This Row],[Status]]=0,"",FUR[[#This Row],[Status]])</f>
        <v/>
      </c>
    </row>
    <row r="893" spans="79:89">
      <c r="CA893" s="1" t="s">
        <v>71</v>
      </c>
      <c r="CB893" s="1" t="s">
        <v>18</v>
      </c>
      <c r="CC893" s="1" t="s">
        <v>132</v>
      </c>
      <c r="CE893" s="122">
        <f>FUR[[#This Row],[Part Type]]</f>
        <v>0</v>
      </c>
      <c r="CF893" s="122">
        <f>FUR[[#This Row],[Chemicals]]</f>
        <v>0</v>
      </c>
      <c r="CG893" s="122">
        <f>FUR[[#This Row],[UID]]</f>
        <v>0</v>
      </c>
      <c r="CK893" s="82" t="str">
        <f>IF(FUR[[#This Row],[Status]]=0,"",FUR[[#This Row],[Status]])</f>
        <v/>
      </c>
    </row>
    <row r="894" spans="79:89">
      <c r="CA894" s="1" t="s">
        <v>71</v>
      </c>
      <c r="CB894" s="1" t="s">
        <v>18</v>
      </c>
      <c r="CC894" s="1" t="s">
        <v>132</v>
      </c>
      <c r="CE894" s="122">
        <f>FUR[[#This Row],[Part Type]]</f>
        <v>0</v>
      </c>
      <c r="CF894" s="122">
        <f>FUR[[#This Row],[Chemicals]]</f>
        <v>0</v>
      </c>
      <c r="CG894" s="122">
        <f>FUR[[#This Row],[UID]]</f>
        <v>0</v>
      </c>
      <c r="CK894" s="82" t="str">
        <f>IF(FUR[[#This Row],[Status]]=0,"",FUR[[#This Row],[Status]])</f>
        <v/>
      </c>
    </row>
    <row r="895" spans="79:89">
      <c r="CA895" s="1" t="s">
        <v>71</v>
      </c>
      <c r="CB895" s="1" t="s">
        <v>18</v>
      </c>
      <c r="CC895" s="1" t="s">
        <v>132</v>
      </c>
      <c r="CE895" s="122">
        <f>FUR[[#This Row],[Part Type]]</f>
        <v>0</v>
      </c>
      <c r="CF895" s="122">
        <f>FUR[[#This Row],[Chemicals]]</f>
        <v>0</v>
      </c>
      <c r="CG895" s="122">
        <f>FUR[[#This Row],[UID]]</f>
        <v>0</v>
      </c>
      <c r="CK895" s="82" t="str">
        <f>IF(FUR[[#This Row],[Status]]=0,"",FUR[[#This Row],[Status]])</f>
        <v/>
      </c>
    </row>
    <row r="896" spans="79:89">
      <c r="CA896" s="1" t="s">
        <v>71</v>
      </c>
      <c r="CB896" s="1" t="s">
        <v>18</v>
      </c>
      <c r="CC896" s="1" t="s">
        <v>132</v>
      </c>
      <c r="CE896" s="122">
        <f>FUR[[#This Row],[Part Type]]</f>
        <v>0</v>
      </c>
      <c r="CF896" s="122">
        <f>FUR[[#This Row],[Chemicals]]</f>
        <v>0</v>
      </c>
      <c r="CG896" s="122">
        <f>FUR[[#This Row],[UID]]</f>
        <v>0</v>
      </c>
      <c r="CK896" s="82" t="str">
        <f>IF(FUR[[#This Row],[Status]]=0,"",FUR[[#This Row],[Status]])</f>
        <v/>
      </c>
    </row>
    <row r="897" spans="79:89">
      <c r="CA897" s="1" t="s">
        <v>71</v>
      </c>
      <c r="CB897" s="1" t="s">
        <v>18</v>
      </c>
      <c r="CC897" s="1" t="s">
        <v>132</v>
      </c>
      <c r="CE897" s="122">
        <f>FUR[[#This Row],[Part Type]]</f>
        <v>0</v>
      </c>
      <c r="CF897" s="122">
        <f>FUR[[#This Row],[Chemicals]]</f>
        <v>0</v>
      </c>
      <c r="CG897" s="122">
        <f>FUR[[#This Row],[UID]]</f>
        <v>0</v>
      </c>
      <c r="CK897" s="82" t="str">
        <f>IF(FUR[[#This Row],[Status]]=0,"",FUR[[#This Row],[Status]])</f>
        <v/>
      </c>
    </row>
    <row r="898" spans="79:89">
      <c r="CA898" s="1" t="s">
        <v>71</v>
      </c>
      <c r="CB898" s="1" t="s">
        <v>18</v>
      </c>
      <c r="CC898" s="1" t="s">
        <v>132</v>
      </c>
      <c r="CE898" s="122">
        <f>FUR[[#This Row],[Part Type]]</f>
        <v>0</v>
      </c>
      <c r="CF898" s="122">
        <f>FUR[[#This Row],[Chemicals]]</f>
        <v>0</v>
      </c>
      <c r="CG898" s="122">
        <f>FUR[[#This Row],[UID]]</f>
        <v>0</v>
      </c>
      <c r="CK898" s="82" t="str">
        <f>IF(FUR[[#This Row],[Status]]=0,"",FUR[[#This Row],[Status]])</f>
        <v/>
      </c>
    </row>
    <row r="899" spans="79:89">
      <c r="CA899" s="1" t="s">
        <v>71</v>
      </c>
      <c r="CB899" s="1" t="s">
        <v>18</v>
      </c>
      <c r="CC899" s="1" t="s">
        <v>132</v>
      </c>
      <c r="CE899" s="122">
        <f>FUR[[#This Row],[Part Type]]</f>
        <v>0</v>
      </c>
      <c r="CF899" s="122">
        <f>FUR[[#This Row],[Chemicals]]</f>
        <v>0</v>
      </c>
      <c r="CG899" s="122">
        <f>FUR[[#This Row],[UID]]</f>
        <v>0</v>
      </c>
      <c r="CK899" s="82" t="str">
        <f>IF(FUR[[#This Row],[Status]]=0,"",FUR[[#This Row],[Status]])</f>
        <v/>
      </c>
    </row>
    <row r="900" spans="79:89">
      <c r="CA900" s="1" t="s">
        <v>71</v>
      </c>
      <c r="CB900" s="1" t="s">
        <v>18</v>
      </c>
      <c r="CC900" s="1" t="s">
        <v>132</v>
      </c>
      <c r="CE900" s="122">
        <f>FUR[[#This Row],[Part Type]]</f>
        <v>0</v>
      </c>
      <c r="CF900" s="122">
        <f>FUR[[#This Row],[Chemicals]]</f>
        <v>0</v>
      </c>
      <c r="CG900" s="122">
        <f>FUR[[#This Row],[UID]]</f>
        <v>0</v>
      </c>
      <c r="CK900" s="82" t="str">
        <f>IF(FUR[[#This Row],[Status]]=0,"",FUR[[#This Row],[Status]])</f>
        <v/>
      </c>
    </row>
    <row r="901" spans="79:89">
      <c r="CA901" s="1" t="s">
        <v>71</v>
      </c>
      <c r="CB901" s="1" t="s">
        <v>18</v>
      </c>
      <c r="CC901" s="1" t="s">
        <v>132</v>
      </c>
      <c r="CE901" s="122">
        <f>FUR[[#This Row],[Part Type]]</f>
        <v>0</v>
      </c>
      <c r="CF901" s="122">
        <f>FUR[[#This Row],[Chemicals]]</f>
        <v>0</v>
      </c>
      <c r="CG901" s="122">
        <f>FUR[[#This Row],[UID]]</f>
        <v>0</v>
      </c>
      <c r="CK901" s="82" t="str">
        <f>IF(FUR[[#This Row],[Status]]=0,"",FUR[[#This Row],[Status]])</f>
        <v/>
      </c>
    </row>
    <row r="902" spans="79:89">
      <c r="CA902" s="1" t="s">
        <v>71</v>
      </c>
      <c r="CB902" s="1" t="s">
        <v>18</v>
      </c>
      <c r="CC902" s="1" t="s">
        <v>132</v>
      </c>
      <c r="CE902" s="122">
        <f>FUR[[#This Row],[Part Type]]</f>
        <v>0</v>
      </c>
      <c r="CF902" s="122">
        <f>FUR[[#This Row],[Chemicals]]</f>
        <v>0</v>
      </c>
      <c r="CG902" s="122">
        <f>FUR[[#This Row],[UID]]</f>
        <v>0</v>
      </c>
      <c r="CK902" s="82" t="str">
        <f>IF(FUR[[#This Row],[Status]]=0,"",FUR[[#This Row],[Status]])</f>
        <v/>
      </c>
    </row>
    <row r="903" spans="79:89">
      <c r="CA903" s="1" t="s">
        <v>71</v>
      </c>
      <c r="CB903" s="1" t="s">
        <v>18</v>
      </c>
      <c r="CC903" s="1" t="s">
        <v>132</v>
      </c>
      <c r="CE903" s="122">
        <f>FUR[[#This Row],[Part Type]]</f>
        <v>0</v>
      </c>
      <c r="CF903" s="122">
        <f>FUR[[#This Row],[Chemicals]]</f>
        <v>0</v>
      </c>
      <c r="CG903" s="122">
        <f>FUR[[#This Row],[UID]]</f>
        <v>0</v>
      </c>
      <c r="CK903" s="82" t="str">
        <f>IF(FUR[[#This Row],[Status]]=0,"",FUR[[#This Row],[Status]])</f>
        <v/>
      </c>
    </row>
    <row r="904" spans="79:89">
      <c r="CA904" s="1" t="s">
        <v>71</v>
      </c>
      <c r="CB904" s="1" t="s">
        <v>18</v>
      </c>
      <c r="CC904" s="1" t="s">
        <v>132</v>
      </c>
      <c r="CE904" s="122">
        <f>FUR[[#This Row],[Part Type]]</f>
        <v>0</v>
      </c>
      <c r="CF904" s="122">
        <f>FUR[[#This Row],[Chemicals]]</f>
        <v>0</v>
      </c>
      <c r="CG904" s="122">
        <f>FUR[[#This Row],[UID]]</f>
        <v>0</v>
      </c>
      <c r="CK904" s="82" t="str">
        <f>IF(FUR[[#This Row],[Status]]=0,"",FUR[[#This Row],[Status]])</f>
        <v/>
      </c>
    </row>
    <row r="905" spans="79:89">
      <c r="CA905" s="1" t="s">
        <v>71</v>
      </c>
      <c r="CB905" s="1" t="s">
        <v>18</v>
      </c>
      <c r="CC905" s="1" t="s">
        <v>132</v>
      </c>
      <c r="CE905" s="122">
        <f>FUR[[#This Row],[Part Type]]</f>
        <v>0</v>
      </c>
      <c r="CF905" s="122">
        <f>FUR[[#This Row],[Chemicals]]</f>
        <v>0</v>
      </c>
      <c r="CG905" s="122">
        <f>FUR[[#This Row],[UID]]</f>
        <v>0</v>
      </c>
      <c r="CK905" s="82" t="str">
        <f>IF(FUR[[#This Row],[Status]]=0,"",FUR[[#This Row],[Status]])</f>
        <v/>
      </c>
    </row>
    <row r="906" spans="79:89">
      <c r="CA906" s="1" t="s">
        <v>71</v>
      </c>
      <c r="CB906" s="1" t="s">
        <v>18</v>
      </c>
      <c r="CC906" s="1" t="s">
        <v>132</v>
      </c>
      <c r="CE906" s="122">
        <f>FUR[[#This Row],[Part Type]]</f>
        <v>0</v>
      </c>
      <c r="CF906" s="122">
        <f>FUR[[#This Row],[Chemicals]]</f>
        <v>0</v>
      </c>
      <c r="CG906" s="122">
        <f>FUR[[#This Row],[UID]]</f>
        <v>0</v>
      </c>
      <c r="CK906" s="82" t="str">
        <f>IF(FUR[[#This Row],[Status]]=0,"",FUR[[#This Row],[Status]])</f>
        <v/>
      </c>
    </row>
    <row r="907" spans="79:89">
      <c r="CA907" s="1" t="s">
        <v>71</v>
      </c>
      <c r="CB907" s="1" t="s">
        <v>18</v>
      </c>
      <c r="CC907" s="1" t="s">
        <v>132</v>
      </c>
      <c r="CE907" s="122">
        <f>FUR[[#This Row],[Part Type]]</f>
        <v>0</v>
      </c>
      <c r="CF907" s="122">
        <f>FUR[[#This Row],[Chemicals]]</f>
        <v>0</v>
      </c>
      <c r="CG907" s="122">
        <f>FUR[[#This Row],[UID]]</f>
        <v>0</v>
      </c>
      <c r="CK907" s="82" t="str">
        <f>IF(FUR[[#This Row],[Status]]=0,"",FUR[[#This Row],[Status]])</f>
        <v/>
      </c>
    </row>
    <row r="908" spans="79:89">
      <c r="CA908" s="1" t="s">
        <v>71</v>
      </c>
      <c r="CB908" s="1" t="s">
        <v>18</v>
      </c>
      <c r="CC908" s="1" t="s">
        <v>132</v>
      </c>
      <c r="CE908" s="122">
        <f>FUR[[#This Row],[Part Type]]</f>
        <v>0</v>
      </c>
      <c r="CF908" s="122">
        <f>FUR[[#This Row],[Chemicals]]</f>
        <v>0</v>
      </c>
      <c r="CG908" s="122">
        <f>FUR[[#This Row],[UID]]</f>
        <v>0</v>
      </c>
      <c r="CK908" s="82" t="str">
        <f>IF(FUR[[#This Row],[Status]]=0,"",FUR[[#This Row],[Status]])</f>
        <v/>
      </c>
    </row>
    <row r="909" spans="79:89">
      <c r="CA909" s="1" t="s">
        <v>71</v>
      </c>
      <c r="CB909" s="1" t="s">
        <v>18</v>
      </c>
      <c r="CC909" s="1" t="s">
        <v>132</v>
      </c>
      <c r="CE909" s="122">
        <f>FUR[[#This Row],[Part Type]]</f>
        <v>0</v>
      </c>
      <c r="CF909" s="122">
        <f>FUR[[#This Row],[Chemicals]]</f>
        <v>0</v>
      </c>
      <c r="CG909" s="122">
        <f>FUR[[#This Row],[UID]]</f>
        <v>0</v>
      </c>
      <c r="CK909" s="82" t="str">
        <f>IF(FUR[[#This Row],[Status]]=0,"",FUR[[#This Row],[Status]])</f>
        <v/>
      </c>
    </row>
    <row r="910" spans="79:89">
      <c r="CA910" s="1" t="s">
        <v>71</v>
      </c>
      <c r="CB910" s="1" t="s">
        <v>18</v>
      </c>
      <c r="CC910" s="1" t="s">
        <v>132</v>
      </c>
      <c r="CE910" s="122">
        <f>FUR[[#This Row],[Part Type]]</f>
        <v>0</v>
      </c>
      <c r="CF910" s="122">
        <f>FUR[[#This Row],[Chemicals]]</f>
        <v>0</v>
      </c>
      <c r="CG910" s="122">
        <f>FUR[[#This Row],[UID]]</f>
        <v>0</v>
      </c>
      <c r="CK910" s="82" t="str">
        <f>IF(FUR[[#This Row],[Status]]=0,"",FUR[[#This Row],[Status]])</f>
        <v/>
      </c>
    </row>
    <row r="911" spans="79:89">
      <c r="CA911" s="1" t="s">
        <v>71</v>
      </c>
      <c r="CB911" s="1" t="s">
        <v>18</v>
      </c>
      <c r="CC911" s="1" t="s">
        <v>132</v>
      </c>
      <c r="CE911" s="122">
        <f>FUR[[#This Row],[Part Type]]</f>
        <v>0</v>
      </c>
      <c r="CF911" s="122">
        <f>FUR[[#This Row],[Chemicals]]</f>
        <v>0</v>
      </c>
      <c r="CG911" s="122">
        <f>FUR[[#This Row],[UID]]</f>
        <v>0</v>
      </c>
      <c r="CK911" s="82" t="str">
        <f>IF(FUR[[#This Row],[Status]]=0,"",FUR[[#This Row],[Status]])</f>
        <v/>
      </c>
    </row>
    <row r="912" spans="79:89">
      <c r="CA912" s="1" t="s">
        <v>71</v>
      </c>
      <c r="CB912" s="1" t="s">
        <v>18</v>
      </c>
      <c r="CC912" s="1" t="s">
        <v>132</v>
      </c>
      <c r="CE912" s="122">
        <f>FUR[[#This Row],[Part Type]]</f>
        <v>0</v>
      </c>
      <c r="CF912" s="122">
        <f>FUR[[#This Row],[Chemicals]]</f>
        <v>0</v>
      </c>
      <c r="CG912" s="122">
        <f>FUR[[#This Row],[UID]]</f>
        <v>0</v>
      </c>
      <c r="CK912" s="82" t="str">
        <f>IF(FUR[[#This Row],[Status]]=0,"",FUR[[#This Row],[Status]])</f>
        <v/>
      </c>
    </row>
    <row r="913" spans="79:89">
      <c r="CA913" s="1" t="s">
        <v>71</v>
      </c>
      <c r="CB913" s="1" t="s">
        <v>18</v>
      </c>
      <c r="CC913" s="1" t="s">
        <v>132</v>
      </c>
      <c r="CE913" s="122">
        <f>FUR[[#This Row],[Part Type]]</f>
        <v>0</v>
      </c>
      <c r="CF913" s="122">
        <f>FUR[[#This Row],[Chemicals]]</f>
        <v>0</v>
      </c>
      <c r="CG913" s="122">
        <f>FUR[[#This Row],[UID]]</f>
        <v>0</v>
      </c>
      <c r="CK913" s="82" t="str">
        <f>IF(FUR[[#This Row],[Status]]=0,"",FUR[[#This Row],[Status]])</f>
        <v/>
      </c>
    </row>
    <row r="914" spans="79:89">
      <c r="CA914" s="1" t="s">
        <v>71</v>
      </c>
      <c r="CB914" s="1" t="s">
        <v>18</v>
      </c>
      <c r="CC914" s="1" t="s">
        <v>132</v>
      </c>
      <c r="CE914" s="122">
        <f>FUR[[#This Row],[Part Type]]</f>
        <v>0</v>
      </c>
      <c r="CF914" s="122">
        <f>FUR[[#This Row],[Chemicals]]</f>
        <v>0</v>
      </c>
      <c r="CG914" s="122">
        <f>FUR[[#This Row],[UID]]</f>
        <v>0</v>
      </c>
      <c r="CK914" s="82" t="str">
        <f>IF(FUR[[#This Row],[Status]]=0,"",FUR[[#This Row],[Status]])</f>
        <v/>
      </c>
    </row>
    <row r="915" spans="79:89">
      <c r="CA915" s="1" t="s">
        <v>71</v>
      </c>
      <c r="CB915" s="1" t="s">
        <v>18</v>
      </c>
      <c r="CC915" s="1" t="s">
        <v>132</v>
      </c>
      <c r="CE915" s="122">
        <f>FUR[[#This Row],[Part Type]]</f>
        <v>0</v>
      </c>
      <c r="CF915" s="122">
        <f>FUR[[#This Row],[Chemicals]]</f>
        <v>0</v>
      </c>
      <c r="CG915" s="122">
        <f>FUR[[#This Row],[UID]]</f>
        <v>0</v>
      </c>
      <c r="CK915" s="82" t="str">
        <f>IF(FUR[[#This Row],[Status]]=0,"",FUR[[#This Row],[Status]])</f>
        <v/>
      </c>
    </row>
    <row r="916" spans="79:89">
      <c r="CA916" s="1" t="s">
        <v>71</v>
      </c>
      <c r="CB916" s="1" t="s">
        <v>18</v>
      </c>
      <c r="CC916" s="1" t="s">
        <v>132</v>
      </c>
      <c r="CE916" s="122">
        <f>FUR[[#This Row],[Part Type]]</f>
        <v>0</v>
      </c>
      <c r="CF916" s="122">
        <f>FUR[[#This Row],[Chemicals]]</f>
        <v>0</v>
      </c>
      <c r="CG916" s="122">
        <f>FUR[[#This Row],[UID]]</f>
        <v>0</v>
      </c>
      <c r="CK916" s="82" t="str">
        <f>IF(FUR[[#This Row],[Status]]=0,"",FUR[[#This Row],[Status]])</f>
        <v/>
      </c>
    </row>
    <row r="917" spans="79:89">
      <c r="CA917" s="1" t="s">
        <v>71</v>
      </c>
      <c r="CB917" s="1" t="s">
        <v>18</v>
      </c>
      <c r="CC917" s="1" t="s">
        <v>132</v>
      </c>
      <c r="CE917" s="122">
        <f>FUR[[#This Row],[Part Type]]</f>
        <v>0</v>
      </c>
      <c r="CF917" s="122">
        <f>FUR[[#This Row],[Chemicals]]</f>
        <v>0</v>
      </c>
      <c r="CG917" s="122">
        <f>FUR[[#This Row],[UID]]</f>
        <v>0</v>
      </c>
      <c r="CK917" s="82" t="str">
        <f>IF(FUR[[#This Row],[Status]]=0,"",FUR[[#This Row],[Status]])</f>
        <v/>
      </c>
    </row>
    <row r="918" spans="79:89">
      <c r="CA918" s="1" t="s">
        <v>71</v>
      </c>
      <c r="CB918" s="1" t="s">
        <v>18</v>
      </c>
      <c r="CC918" s="1" t="s">
        <v>132</v>
      </c>
      <c r="CE918" s="122">
        <f>FUR[[#This Row],[Part Type]]</f>
        <v>0</v>
      </c>
      <c r="CF918" s="122">
        <f>FUR[[#This Row],[Chemicals]]</f>
        <v>0</v>
      </c>
      <c r="CG918" s="122">
        <f>FUR[[#This Row],[UID]]</f>
        <v>0</v>
      </c>
      <c r="CK918" s="82" t="str">
        <f>IF(FUR[[#This Row],[Status]]=0,"",FUR[[#This Row],[Status]])</f>
        <v/>
      </c>
    </row>
    <row r="919" spans="79:89">
      <c r="CA919" s="1" t="s">
        <v>71</v>
      </c>
      <c r="CB919" s="1" t="s">
        <v>18</v>
      </c>
      <c r="CC919" s="1" t="s">
        <v>132</v>
      </c>
      <c r="CE919" s="122">
        <f>FUR[[#This Row],[Part Type]]</f>
        <v>0</v>
      </c>
      <c r="CF919" s="122">
        <f>FUR[[#This Row],[Chemicals]]</f>
        <v>0</v>
      </c>
      <c r="CG919" s="122">
        <f>FUR[[#This Row],[UID]]</f>
        <v>0</v>
      </c>
      <c r="CK919" s="82" t="str">
        <f>IF(FUR[[#This Row],[Status]]=0,"",FUR[[#This Row],[Status]])</f>
        <v/>
      </c>
    </row>
    <row r="920" spans="79:89">
      <c r="CA920" s="1" t="s">
        <v>71</v>
      </c>
      <c r="CB920" s="1" t="s">
        <v>18</v>
      </c>
      <c r="CC920" s="1" t="s">
        <v>132</v>
      </c>
      <c r="CE920" s="122">
        <f>FUR[[#This Row],[Part Type]]</f>
        <v>0</v>
      </c>
      <c r="CF920" s="122">
        <f>FUR[[#This Row],[Chemicals]]</f>
        <v>0</v>
      </c>
      <c r="CG920" s="122">
        <f>FUR[[#This Row],[UID]]</f>
        <v>0</v>
      </c>
      <c r="CK920" s="82" t="str">
        <f>IF(FUR[[#This Row],[Status]]=0,"",FUR[[#This Row],[Status]])</f>
        <v/>
      </c>
    </row>
    <row r="921" spans="79:89">
      <c r="CA921" s="1" t="s">
        <v>71</v>
      </c>
      <c r="CB921" s="1" t="s">
        <v>18</v>
      </c>
      <c r="CC921" s="1" t="s">
        <v>132</v>
      </c>
      <c r="CE921" s="122">
        <f>FUR[[#This Row],[Part Type]]</f>
        <v>0</v>
      </c>
      <c r="CF921" s="122">
        <f>FUR[[#This Row],[Chemicals]]</f>
        <v>0</v>
      </c>
      <c r="CG921" s="122">
        <f>FUR[[#This Row],[UID]]</f>
        <v>0</v>
      </c>
      <c r="CK921" s="82" t="str">
        <f>IF(FUR[[#This Row],[Status]]=0,"",FUR[[#This Row],[Status]])</f>
        <v/>
      </c>
    </row>
    <row r="922" spans="79:89">
      <c r="CA922" s="1" t="s">
        <v>71</v>
      </c>
      <c r="CB922" s="1" t="s">
        <v>18</v>
      </c>
      <c r="CC922" s="1" t="s">
        <v>132</v>
      </c>
      <c r="CE922" s="122">
        <f>FUR[[#This Row],[Part Type]]</f>
        <v>0</v>
      </c>
      <c r="CF922" s="122">
        <f>FUR[[#This Row],[Chemicals]]</f>
        <v>0</v>
      </c>
      <c r="CG922" s="122">
        <f>FUR[[#This Row],[UID]]</f>
        <v>0</v>
      </c>
      <c r="CK922" s="82" t="str">
        <f>IF(FUR[[#This Row],[Status]]=0,"",FUR[[#This Row],[Status]])</f>
        <v/>
      </c>
    </row>
    <row r="923" spans="79:89">
      <c r="CA923" s="1" t="s">
        <v>71</v>
      </c>
      <c r="CB923" s="1" t="s">
        <v>18</v>
      </c>
      <c r="CC923" s="1" t="s">
        <v>132</v>
      </c>
      <c r="CE923" s="122">
        <f>FUR[[#This Row],[Part Type]]</f>
        <v>0</v>
      </c>
      <c r="CF923" s="122">
        <f>FUR[[#This Row],[Chemicals]]</f>
        <v>0</v>
      </c>
      <c r="CG923" s="122">
        <f>FUR[[#This Row],[UID]]</f>
        <v>0</v>
      </c>
      <c r="CK923" s="82" t="str">
        <f>IF(FUR[[#This Row],[Status]]=0,"",FUR[[#This Row],[Status]])</f>
        <v/>
      </c>
    </row>
    <row r="924" spans="79:89">
      <c r="CA924" s="1" t="s">
        <v>71</v>
      </c>
      <c r="CB924" s="1" t="s">
        <v>18</v>
      </c>
      <c r="CC924" s="1" t="s">
        <v>132</v>
      </c>
      <c r="CE924" s="122">
        <f>FUR[[#This Row],[Part Type]]</f>
        <v>0</v>
      </c>
      <c r="CF924" s="122">
        <f>FUR[[#This Row],[Chemicals]]</f>
        <v>0</v>
      </c>
      <c r="CG924" s="122">
        <f>FUR[[#This Row],[UID]]</f>
        <v>0</v>
      </c>
      <c r="CK924" s="82" t="str">
        <f>IF(FUR[[#This Row],[Status]]=0,"",FUR[[#This Row],[Status]])</f>
        <v/>
      </c>
    </row>
    <row r="925" spans="79:89">
      <c r="CA925" s="1" t="s">
        <v>71</v>
      </c>
      <c r="CB925" s="1" t="s">
        <v>18</v>
      </c>
      <c r="CC925" s="1" t="s">
        <v>132</v>
      </c>
      <c r="CE925" s="122">
        <f>FUR[[#This Row],[Part Type]]</f>
        <v>0</v>
      </c>
      <c r="CF925" s="122">
        <f>FUR[[#This Row],[Chemicals]]</f>
        <v>0</v>
      </c>
      <c r="CG925" s="122">
        <f>FUR[[#This Row],[UID]]</f>
        <v>0</v>
      </c>
      <c r="CK925" s="82" t="str">
        <f>IF(FUR[[#This Row],[Status]]=0,"",FUR[[#This Row],[Status]])</f>
        <v/>
      </c>
    </row>
    <row r="926" spans="79:89">
      <c r="CA926" s="1" t="s">
        <v>71</v>
      </c>
      <c r="CB926" s="1" t="s">
        <v>18</v>
      </c>
      <c r="CC926" s="1" t="s">
        <v>132</v>
      </c>
      <c r="CE926" s="122">
        <f>FUR[[#This Row],[Part Type]]</f>
        <v>0</v>
      </c>
      <c r="CF926" s="122">
        <f>FUR[[#This Row],[Chemicals]]</f>
        <v>0</v>
      </c>
      <c r="CG926" s="122">
        <f>FUR[[#This Row],[UID]]</f>
        <v>0</v>
      </c>
      <c r="CK926" s="82" t="str">
        <f>IF(FUR[[#This Row],[Status]]=0,"",FUR[[#This Row],[Status]])</f>
        <v/>
      </c>
    </row>
    <row r="927" spans="79:89">
      <c r="CA927" s="1" t="s">
        <v>71</v>
      </c>
      <c r="CB927" s="1" t="s">
        <v>18</v>
      </c>
      <c r="CC927" s="1" t="s">
        <v>132</v>
      </c>
      <c r="CE927" s="122">
        <f>FUR[[#This Row],[Part Type]]</f>
        <v>0</v>
      </c>
      <c r="CF927" s="122">
        <f>FUR[[#This Row],[Chemicals]]</f>
        <v>0</v>
      </c>
      <c r="CG927" s="122">
        <f>FUR[[#This Row],[UID]]</f>
        <v>0</v>
      </c>
      <c r="CK927" s="82" t="str">
        <f>IF(FUR[[#This Row],[Status]]=0,"",FUR[[#This Row],[Status]])</f>
        <v/>
      </c>
    </row>
    <row r="928" spans="79:89">
      <c r="CA928" s="1" t="s">
        <v>71</v>
      </c>
      <c r="CB928" s="1" t="s">
        <v>18</v>
      </c>
      <c r="CC928" s="1" t="s">
        <v>132</v>
      </c>
      <c r="CE928" s="122">
        <f>FUR[[#This Row],[Part Type]]</f>
        <v>0</v>
      </c>
      <c r="CF928" s="122">
        <f>FUR[[#This Row],[Chemicals]]</f>
        <v>0</v>
      </c>
      <c r="CG928" s="122">
        <f>FUR[[#This Row],[UID]]</f>
        <v>0</v>
      </c>
      <c r="CK928" s="82" t="str">
        <f>IF(FUR[[#This Row],[Status]]=0,"",FUR[[#This Row],[Status]])</f>
        <v/>
      </c>
    </row>
    <row r="929" spans="79:89">
      <c r="CA929" s="1" t="s">
        <v>71</v>
      </c>
      <c r="CB929" s="1" t="s">
        <v>18</v>
      </c>
      <c r="CC929" s="1" t="s">
        <v>132</v>
      </c>
      <c r="CE929" s="122">
        <f>FUR[[#This Row],[Part Type]]</f>
        <v>0</v>
      </c>
      <c r="CF929" s="122">
        <f>FUR[[#This Row],[Chemicals]]</f>
        <v>0</v>
      </c>
      <c r="CG929" s="122">
        <f>FUR[[#This Row],[UID]]</f>
        <v>0</v>
      </c>
      <c r="CK929" s="82" t="str">
        <f>IF(FUR[[#This Row],[Status]]=0,"",FUR[[#This Row],[Status]])</f>
        <v/>
      </c>
    </row>
    <row r="930" spans="79:89">
      <c r="CA930" s="1" t="s">
        <v>71</v>
      </c>
      <c r="CB930" s="1" t="s">
        <v>18</v>
      </c>
      <c r="CC930" s="1" t="s">
        <v>132</v>
      </c>
      <c r="CE930" s="122">
        <f>FUR[[#This Row],[Part Type]]</f>
        <v>0</v>
      </c>
      <c r="CF930" s="122">
        <f>FUR[[#This Row],[Chemicals]]</f>
        <v>0</v>
      </c>
      <c r="CG930" s="122">
        <f>FUR[[#This Row],[UID]]</f>
        <v>0</v>
      </c>
      <c r="CK930" s="82" t="str">
        <f>IF(FUR[[#This Row],[Status]]=0,"",FUR[[#This Row],[Status]])</f>
        <v/>
      </c>
    </row>
    <row r="931" spans="79:89">
      <c r="CA931" s="1" t="s">
        <v>71</v>
      </c>
      <c r="CB931" s="1" t="s">
        <v>18</v>
      </c>
      <c r="CC931" s="1" t="s">
        <v>132</v>
      </c>
      <c r="CE931" s="122">
        <f>FUR[[#This Row],[Part Type]]</f>
        <v>0</v>
      </c>
      <c r="CF931" s="122">
        <f>FUR[[#This Row],[Chemicals]]</f>
        <v>0</v>
      </c>
      <c r="CG931" s="122">
        <f>FUR[[#This Row],[UID]]</f>
        <v>0</v>
      </c>
      <c r="CK931" s="82" t="str">
        <f>IF(FUR[[#This Row],[Status]]=0,"",FUR[[#This Row],[Status]])</f>
        <v/>
      </c>
    </row>
    <row r="932" spans="79:89">
      <c r="CA932" s="1" t="s">
        <v>71</v>
      </c>
      <c r="CB932" s="1" t="s">
        <v>18</v>
      </c>
      <c r="CC932" s="1" t="s">
        <v>132</v>
      </c>
      <c r="CE932" s="122">
        <f>FUR[[#This Row],[Part Type]]</f>
        <v>0</v>
      </c>
      <c r="CF932" s="122">
        <f>FUR[[#This Row],[Chemicals]]</f>
        <v>0</v>
      </c>
      <c r="CG932" s="122">
        <f>FUR[[#This Row],[UID]]</f>
        <v>0</v>
      </c>
      <c r="CK932" s="82" t="str">
        <f>IF(FUR[[#This Row],[Status]]=0,"",FUR[[#This Row],[Status]])</f>
        <v/>
      </c>
    </row>
    <row r="933" spans="79:89">
      <c r="CA933" s="1" t="s">
        <v>71</v>
      </c>
      <c r="CB933" s="1" t="s">
        <v>18</v>
      </c>
      <c r="CC933" s="1" t="s">
        <v>132</v>
      </c>
      <c r="CE933" s="122">
        <f>FUR[[#This Row],[Part Type]]</f>
        <v>0</v>
      </c>
      <c r="CF933" s="122">
        <f>FUR[[#This Row],[Chemicals]]</f>
        <v>0</v>
      </c>
      <c r="CG933" s="122">
        <f>FUR[[#This Row],[UID]]</f>
        <v>0</v>
      </c>
      <c r="CK933" s="82" t="str">
        <f>IF(FUR[[#This Row],[Status]]=0,"",FUR[[#This Row],[Status]])</f>
        <v/>
      </c>
    </row>
    <row r="934" spans="79:89">
      <c r="CA934" s="1" t="s">
        <v>71</v>
      </c>
      <c r="CB934" s="1" t="s">
        <v>18</v>
      </c>
      <c r="CC934" s="1" t="s">
        <v>132</v>
      </c>
      <c r="CE934" s="122">
        <f>FUR[[#This Row],[Part Type]]</f>
        <v>0</v>
      </c>
      <c r="CF934" s="122">
        <f>FUR[[#This Row],[Chemicals]]</f>
        <v>0</v>
      </c>
      <c r="CG934" s="122">
        <f>FUR[[#This Row],[UID]]</f>
        <v>0</v>
      </c>
      <c r="CK934" s="82" t="str">
        <f>IF(FUR[[#This Row],[Status]]=0,"",FUR[[#This Row],[Status]])</f>
        <v/>
      </c>
    </row>
    <row r="935" spans="79:89">
      <c r="CA935" s="1" t="s">
        <v>71</v>
      </c>
      <c r="CB935" s="1" t="s">
        <v>18</v>
      </c>
      <c r="CC935" s="1" t="s">
        <v>132</v>
      </c>
      <c r="CE935" s="122">
        <f>FUR[[#This Row],[Part Type]]</f>
        <v>0</v>
      </c>
      <c r="CF935" s="122">
        <f>FUR[[#This Row],[Chemicals]]</f>
        <v>0</v>
      </c>
      <c r="CG935" s="122">
        <f>FUR[[#This Row],[UID]]</f>
        <v>0</v>
      </c>
      <c r="CK935" s="82" t="str">
        <f>IF(FUR[[#This Row],[Status]]=0,"",FUR[[#This Row],[Status]])</f>
        <v/>
      </c>
    </row>
    <row r="936" spans="79:89">
      <c r="CA936" s="1" t="s">
        <v>71</v>
      </c>
      <c r="CB936" s="1" t="s">
        <v>18</v>
      </c>
      <c r="CC936" s="1" t="s">
        <v>132</v>
      </c>
      <c r="CE936" s="122">
        <f>FUR[[#This Row],[Part Type]]</f>
        <v>0</v>
      </c>
      <c r="CF936" s="122">
        <f>FUR[[#This Row],[Chemicals]]</f>
        <v>0</v>
      </c>
      <c r="CG936" s="122">
        <f>FUR[[#This Row],[UID]]</f>
        <v>0</v>
      </c>
      <c r="CK936" s="82" t="str">
        <f>IF(FUR[[#This Row],[Status]]=0,"",FUR[[#This Row],[Status]])</f>
        <v/>
      </c>
    </row>
    <row r="937" spans="79:89">
      <c r="CA937" s="1" t="s">
        <v>71</v>
      </c>
      <c r="CB937" s="1" t="s">
        <v>18</v>
      </c>
      <c r="CC937" s="1" t="s">
        <v>132</v>
      </c>
      <c r="CE937" s="122">
        <f>FUR[[#This Row],[Part Type]]</f>
        <v>0</v>
      </c>
      <c r="CF937" s="122">
        <f>FUR[[#This Row],[Chemicals]]</f>
        <v>0</v>
      </c>
      <c r="CG937" s="122">
        <f>FUR[[#This Row],[UID]]</f>
        <v>0</v>
      </c>
      <c r="CK937" s="82" t="str">
        <f>IF(FUR[[#This Row],[Status]]=0,"",FUR[[#This Row],[Status]])</f>
        <v/>
      </c>
    </row>
    <row r="938" spans="79:89">
      <c r="CA938" s="1" t="s">
        <v>71</v>
      </c>
      <c r="CB938" s="1" t="s">
        <v>18</v>
      </c>
      <c r="CC938" s="1" t="s">
        <v>132</v>
      </c>
      <c r="CE938" s="122">
        <f>FUR[[#This Row],[Part Type]]</f>
        <v>0</v>
      </c>
      <c r="CF938" s="122">
        <f>FUR[[#This Row],[Chemicals]]</f>
        <v>0</v>
      </c>
      <c r="CG938" s="122">
        <f>FUR[[#This Row],[UID]]</f>
        <v>0</v>
      </c>
      <c r="CK938" s="82" t="str">
        <f>IF(FUR[[#This Row],[Status]]=0,"",FUR[[#This Row],[Status]])</f>
        <v/>
      </c>
    </row>
    <row r="939" spans="79:89">
      <c r="CA939" s="1" t="s">
        <v>71</v>
      </c>
      <c r="CB939" s="1" t="s">
        <v>18</v>
      </c>
      <c r="CC939" s="1" t="s">
        <v>132</v>
      </c>
      <c r="CE939" s="122">
        <f>FUR[[#This Row],[Part Type]]</f>
        <v>0</v>
      </c>
      <c r="CF939" s="122">
        <f>FUR[[#This Row],[Chemicals]]</f>
        <v>0</v>
      </c>
      <c r="CG939" s="122">
        <f>FUR[[#This Row],[UID]]</f>
        <v>0</v>
      </c>
      <c r="CK939" s="82" t="str">
        <f>IF(FUR[[#This Row],[Status]]=0,"",FUR[[#This Row],[Status]])</f>
        <v/>
      </c>
    </row>
    <row r="940" spans="79:89">
      <c r="CA940" s="1" t="s">
        <v>71</v>
      </c>
      <c r="CB940" s="1" t="s">
        <v>18</v>
      </c>
      <c r="CC940" s="1" t="s">
        <v>132</v>
      </c>
      <c r="CE940" s="122">
        <f>FUR[[#This Row],[Part Type]]</f>
        <v>0</v>
      </c>
      <c r="CF940" s="122">
        <f>FUR[[#This Row],[Chemicals]]</f>
        <v>0</v>
      </c>
      <c r="CG940" s="122">
        <f>FUR[[#This Row],[UID]]</f>
        <v>0</v>
      </c>
      <c r="CK940" s="82" t="str">
        <f>IF(FUR[[#This Row],[Status]]=0,"",FUR[[#This Row],[Status]])</f>
        <v/>
      </c>
    </row>
    <row r="941" spans="79:89">
      <c r="CA941" s="1" t="s">
        <v>71</v>
      </c>
      <c r="CB941" s="1" t="s">
        <v>18</v>
      </c>
      <c r="CC941" s="1" t="s">
        <v>132</v>
      </c>
      <c r="CE941" s="122">
        <f>FUR[[#This Row],[Part Type]]</f>
        <v>0</v>
      </c>
      <c r="CF941" s="122">
        <f>FUR[[#This Row],[Chemicals]]</f>
        <v>0</v>
      </c>
      <c r="CG941" s="122">
        <f>FUR[[#This Row],[UID]]</f>
        <v>0</v>
      </c>
      <c r="CK941" s="82" t="str">
        <f>IF(FUR[[#This Row],[Status]]=0,"",FUR[[#This Row],[Status]])</f>
        <v/>
      </c>
    </row>
    <row r="942" spans="79:89">
      <c r="CA942" s="1" t="s">
        <v>71</v>
      </c>
      <c r="CB942" s="1" t="s">
        <v>18</v>
      </c>
      <c r="CC942" s="1" t="s">
        <v>132</v>
      </c>
      <c r="CE942" s="122">
        <f>FUR[[#This Row],[Part Type]]</f>
        <v>0</v>
      </c>
      <c r="CF942" s="122">
        <f>FUR[[#This Row],[Chemicals]]</f>
        <v>0</v>
      </c>
      <c r="CG942" s="122">
        <f>FUR[[#This Row],[UID]]</f>
        <v>0</v>
      </c>
      <c r="CK942" s="82" t="str">
        <f>IF(FUR[[#This Row],[Status]]=0,"",FUR[[#This Row],[Status]])</f>
        <v/>
      </c>
    </row>
    <row r="943" spans="79:89">
      <c r="CA943" s="1" t="s">
        <v>71</v>
      </c>
      <c r="CB943" s="1" t="s">
        <v>18</v>
      </c>
      <c r="CC943" s="1" t="s">
        <v>132</v>
      </c>
      <c r="CE943" s="122">
        <f>FUR[[#This Row],[Part Type]]</f>
        <v>0</v>
      </c>
      <c r="CF943" s="122">
        <f>FUR[[#This Row],[Chemicals]]</f>
        <v>0</v>
      </c>
      <c r="CG943" s="122">
        <f>FUR[[#This Row],[UID]]</f>
        <v>0</v>
      </c>
      <c r="CK943" s="82" t="str">
        <f>IF(FUR[[#This Row],[Status]]=0,"",FUR[[#This Row],[Status]])</f>
        <v/>
      </c>
    </row>
    <row r="944" spans="79:89">
      <c r="CA944" s="1" t="s">
        <v>71</v>
      </c>
      <c r="CB944" s="1" t="s">
        <v>18</v>
      </c>
      <c r="CC944" s="1" t="s">
        <v>132</v>
      </c>
      <c r="CE944" s="122">
        <f>FUR[[#This Row],[Part Type]]</f>
        <v>0</v>
      </c>
      <c r="CF944" s="122">
        <f>FUR[[#This Row],[Chemicals]]</f>
        <v>0</v>
      </c>
      <c r="CG944" s="122">
        <f>FUR[[#This Row],[UID]]</f>
        <v>0</v>
      </c>
      <c r="CK944" s="82" t="str">
        <f>IF(FUR[[#This Row],[Status]]=0,"",FUR[[#This Row],[Status]])</f>
        <v/>
      </c>
    </row>
    <row r="945" spans="79:89">
      <c r="CA945" s="1" t="s">
        <v>71</v>
      </c>
      <c r="CB945" s="1" t="s">
        <v>18</v>
      </c>
      <c r="CC945" s="1" t="s">
        <v>132</v>
      </c>
      <c r="CE945" s="122">
        <f>FUR[[#This Row],[Part Type]]</f>
        <v>0</v>
      </c>
      <c r="CF945" s="122">
        <f>FUR[[#This Row],[Chemicals]]</f>
        <v>0</v>
      </c>
      <c r="CG945" s="122">
        <f>FUR[[#This Row],[UID]]</f>
        <v>0</v>
      </c>
      <c r="CK945" s="82" t="str">
        <f>IF(FUR[[#This Row],[Status]]=0,"",FUR[[#This Row],[Status]])</f>
        <v/>
      </c>
    </row>
    <row r="946" spans="79:89">
      <c r="CA946" s="1" t="s">
        <v>71</v>
      </c>
      <c r="CB946" s="1" t="s">
        <v>18</v>
      </c>
      <c r="CC946" s="1" t="s">
        <v>132</v>
      </c>
      <c r="CE946" s="122">
        <f>FUR[[#This Row],[Part Type]]</f>
        <v>0</v>
      </c>
      <c r="CF946" s="122">
        <f>FUR[[#This Row],[Chemicals]]</f>
        <v>0</v>
      </c>
      <c r="CG946" s="122">
        <f>FUR[[#This Row],[UID]]</f>
        <v>0</v>
      </c>
      <c r="CK946" s="82" t="str">
        <f>IF(FUR[[#This Row],[Status]]=0,"",FUR[[#This Row],[Status]])</f>
        <v/>
      </c>
    </row>
    <row r="947" spans="79:89">
      <c r="CA947" s="1" t="s">
        <v>71</v>
      </c>
      <c r="CB947" s="1" t="s">
        <v>18</v>
      </c>
      <c r="CC947" s="1" t="s">
        <v>132</v>
      </c>
      <c r="CE947" s="122">
        <f>FUR[[#This Row],[Part Type]]</f>
        <v>0</v>
      </c>
      <c r="CF947" s="122">
        <f>FUR[[#This Row],[Chemicals]]</f>
        <v>0</v>
      </c>
      <c r="CG947" s="122">
        <f>FUR[[#This Row],[UID]]</f>
        <v>0</v>
      </c>
      <c r="CK947" s="82" t="str">
        <f>IF(FUR[[#This Row],[Status]]=0,"",FUR[[#This Row],[Status]])</f>
        <v/>
      </c>
    </row>
    <row r="948" spans="79:89">
      <c r="CA948" s="1" t="s">
        <v>71</v>
      </c>
      <c r="CB948" s="1" t="s">
        <v>18</v>
      </c>
      <c r="CC948" s="1" t="s">
        <v>132</v>
      </c>
      <c r="CE948" s="122">
        <f>FUR[[#This Row],[Part Type]]</f>
        <v>0</v>
      </c>
      <c r="CF948" s="122">
        <f>FUR[[#This Row],[Chemicals]]</f>
        <v>0</v>
      </c>
      <c r="CG948" s="122">
        <f>FUR[[#This Row],[UID]]</f>
        <v>0</v>
      </c>
      <c r="CK948" s="82" t="str">
        <f>IF(FUR[[#This Row],[Status]]=0,"",FUR[[#This Row],[Status]])</f>
        <v/>
      </c>
    </row>
    <row r="949" spans="79:89">
      <c r="CA949" s="1" t="s">
        <v>71</v>
      </c>
      <c r="CB949" s="1" t="s">
        <v>18</v>
      </c>
      <c r="CC949" s="1" t="s">
        <v>132</v>
      </c>
      <c r="CE949" s="122">
        <f>FUR[[#This Row],[Part Type]]</f>
        <v>0</v>
      </c>
      <c r="CF949" s="122">
        <f>FUR[[#This Row],[Chemicals]]</f>
        <v>0</v>
      </c>
      <c r="CG949" s="122">
        <f>FUR[[#This Row],[UID]]</f>
        <v>0</v>
      </c>
      <c r="CK949" s="82" t="str">
        <f>IF(FUR[[#This Row],[Status]]=0,"",FUR[[#This Row],[Status]])</f>
        <v/>
      </c>
    </row>
    <row r="950" spans="79:89">
      <c r="CA950" s="1" t="s">
        <v>71</v>
      </c>
      <c r="CB950" s="1" t="s">
        <v>18</v>
      </c>
      <c r="CC950" s="1" t="s">
        <v>132</v>
      </c>
      <c r="CE950" s="122">
        <f>FUR[[#This Row],[Part Type]]</f>
        <v>0</v>
      </c>
      <c r="CF950" s="122">
        <f>FUR[[#This Row],[Chemicals]]</f>
        <v>0</v>
      </c>
      <c r="CG950" s="122">
        <f>FUR[[#This Row],[UID]]</f>
        <v>0</v>
      </c>
      <c r="CK950" s="82" t="str">
        <f>IF(FUR[[#This Row],[Status]]=0,"",FUR[[#This Row],[Status]])</f>
        <v/>
      </c>
    </row>
    <row r="951" spans="79:89">
      <c r="CA951" s="1" t="s">
        <v>71</v>
      </c>
      <c r="CB951" s="1" t="s">
        <v>18</v>
      </c>
      <c r="CC951" s="1" t="s">
        <v>132</v>
      </c>
      <c r="CE951" s="122">
        <f>FUR[[#This Row],[Part Type]]</f>
        <v>0</v>
      </c>
      <c r="CF951" s="122">
        <f>FUR[[#This Row],[Chemicals]]</f>
        <v>0</v>
      </c>
      <c r="CG951" s="122">
        <f>FUR[[#This Row],[UID]]</f>
        <v>0</v>
      </c>
      <c r="CK951" s="82" t="str">
        <f>IF(FUR[[#This Row],[Status]]=0,"",FUR[[#This Row],[Status]])</f>
        <v/>
      </c>
    </row>
    <row r="952" spans="79:89">
      <c r="CA952" s="1" t="s">
        <v>71</v>
      </c>
      <c r="CB952" s="1" t="s">
        <v>18</v>
      </c>
      <c r="CC952" s="1" t="s">
        <v>132</v>
      </c>
      <c r="CE952" s="122">
        <f>FUR[[#This Row],[Part Type]]</f>
        <v>0</v>
      </c>
      <c r="CF952" s="122">
        <f>FUR[[#This Row],[Chemicals]]</f>
        <v>0</v>
      </c>
      <c r="CG952" s="122">
        <f>FUR[[#This Row],[UID]]</f>
        <v>0</v>
      </c>
      <c r="CK952" s="82" t="str">
        <f>IF(FUR[[#This Row],[Status]]=0,"",FUR[[#This Row],[Status]])</f>
        <v/>
      </c>
    </row>
    <row r="953" spans="79:89">
      <c r="CA953" s="1" t="s">
        <v>71</v>
      </c>
      <c r="CB953" s="1" t="s">
        <v>18</v>
      </c>
      <c r="CC953" s="1" t="s">
        <v>132</v>
      </c>
      <c r="CE953" s="122">
        <f>FUR[[#This Row],[Part Type]]</f>
        <v>0</v>
      </c>
      <c r="CF953" s="122">
        <f>FUR[[#This Row],[Chemicals]]</f>
        <v>0</v>
      </c>
      <c r="CG953" s="122">
        <f>FUR[[#This Row],[UID]]</f>
        <v>0</v>
      </c>
      <c r="CK953" s="82" t="str">
        <f>IF(FUR[[#This Row],[Status]]=0,"",FUR[[#This Row],[Status]])</f>
        <v/>
      </c>
    </row>
    <row r="954" spans="79:89">
      <c r="CA954" s="1" t="s">
        <v>71</v>
      </c>
      <c r="CB954" s="1" t="s">
        <v>18</v>
      </c>
      <c r="CC954" s="1" t="s">
        <v>132</v>
      </c>
      <c r="CE954" s="122">
        <f>FUR[[#This Row],[Part Type]]</f>
        <v>0</v>
      </c>
      <c r="CF954" s="122">
        <f>FUR[[#This Row],[Chemicals]]</f>
        <v>0</v>
      </c>
      <c r="CG954" s="122">
        <f>FUR[[#This Row],[UID]]</f>
        <v>0</v>
      </c>
      <c r="CK954" s="82" t="str">
        <f>IF(FUR[[#This Row],[Status]]=0,"",FUR[[#This Row],[Status]])</f>
        <v/>
      </c>
    </row>
    <row r="955" spans="79:89">
      <c r="CA955" s="1" t="s">
        <v>71</v>
      </c>
      <c r="CB955" s="1" t="s">
        <v>18</v>
      </c>
      <c r="CC955" s="1" t="s">
        <v>132</v>
      </c>
      <c r="CE955" s="122">
        <f>FUR[[#This Row],[Part Type]]</f>
        <v>0</v>
      </c>
      <c r="CF955" s="122">
        <f>FUR[[#This Row],[Chemicals]]</f>
        <v>0</v>
      </c>
      <c r="CG955" s="122">
        <f>FUR[[#This Row],[UID]]</f>
        <v>0</v>
      </c>
      <c r="CK955" s="82" t="str">
        <f>IF(FUR[[#This Row],[Status]]=0,"",FUR[[#This Row],[Status]])</f>
        <v/>
      </c>
    </row>
    <row r="956" spans="79:89">
      <c r="CA956" s="1" t="s">
        <v>71</v>
      </c>
      <c r="CB956" s="1" t="s">
        <v>18</v>
      </c>
      <c r="CC956" s="1" t="s">
        <v>132</v>
      </c>
      <c r="CE956" s="122">
        <f>FUR[[#This Row],[Part Type]]</f>
        <v>0</v>
      </c>
      <c r="CF956" s="122">
        <f>FUR[[#This Row],[Chemicals]]</f>
        <v>0</v>
      </c>
      <c r="CG956" s="122">
        <f>FUR[[#This Row],[UID]]</f>
        <v>0</v>
      </c>
      <c r="CK956" s="82" t="str">
        <f>IF(FUR[[#This Row],[Status]]=0,"",FUR[[#This Row],[Status]])</f>
        <v/>
      </c>
    </row>
    <row r="957" spans="79:89">
      <c r="CA957" s="1" t="s">
        <v>71</v>
      </c>
      <c r="CB957" s="1" t="s">
        <v>18</v>
      </c>
      <c r="CC957" s="1" t="s">
        <v>132</v>
      </c>
      <c r="CE957" s="122">
        <f>FUR[[#This Row],[Part Type]]</f>
        <v>0</v>
      </c>
      <c r="CF957" s="122">
        <f>FUR[[#This Row],[Chemicals]]</f>
        <v>0</v>
      </c>
      <c r="CG957" s="122">
        <f>FUR[[#This Row],[UID]]</f>
        <v>0</v>
      </c>
      <c r="CK957" s="82" t="str">
        <f>IF(FUR[[#This Row],[Status]]=0,"",FUR[[#This Row],[Status]])</f>
        <v/>
      </c>
    </row>
    <row r="958" spans="79:89">
      <c r="CA958" s="1" t="s">
        <v>71</v>
      </c>
      <c r="CB958" s="1" t="s">
        <v>18</v>
      </c>
      <c r="CC958" s="1" t="s">
        <v>132</v>
      </c>
      <c r="CE958" s="122">
        <f>FUR[[#This Row],[Part Type]]</f>
        <v>0</v>
      </c>
      <c r="CF958" s="122">
        <f>FUR[[#This Row],[Chemicals]]</f>
        <v>0</v>
      </c>
      <c r="CG958" s="122">
        <f>FUR[[#This Row],[UID]]</f>
        <v>0</v>
      </c>
      <c r="CK958" s="82" t="str">
        <f>IF(FUR[[#This Row],[Status]]=0,"",FUR[[#This Row],[Status]])</f>
        <v/>
      </c>
    </row>
    <row r="959" spans="79:89">
      <c r="CA959" s="1" t="s">
        <v>71</v>
      </c>
      <c r="CB959" s="1" t="s">
        <v>18</v>
      </c>
      <c r="CC959" s="1" t="s">
        <v>132</v>
      </c>
      <c r="CE959" s="122">
        <f>FUR[[#This Row],[Part Type]]</f>
        <v>0</v>
      </c>
      <c r="CF959" s="122">
        <f>FUR[[#This Row],[Chemicals]]</f>
        <v>0</v>
      </c>
      <c r="CG959" s="122">
        <f>FUR[[#This Row],[UID]]</f>
        <v>0</v>
      </c>
      <c r="CK959" s="82" t="str">
        <f>IF(FUR[[#This Row],[Status]]=0,"",FUR[[#This Row],[Status]])</f>
        <v/>
      </c>
    </row>
    <row r="960" spans="79:89">
      <c r="CA960" s="1" t="s">
        <v>71</v>
      </c>
      <c r="CB960" s="1" t="s">
        <v>18</v>
      </c>
      <c r="CC960" s="1" t="s">
        <v>132</v>
      </c>
      <c r="CE960" s="122">
        <f>FUR[[#This Row],[Part Type]]</f>
        <v>0</v>
      </c>
      <c r="CF960" s="122">
        <f>FUR[[#This Row],[Chemicals]]</f>
        <v>0</v>
      </c>
      <c r="CG960" s="122">
        <f>FUR[[#This Row],[UID]]</f>
        <v>0</v>
      </c>
      <c r="CK960" s="82" t="str">
        <f>IF(FUR[[#This Row],[Status]]=0,"",FUR[[#This Row],[Status]])</f>
        <v/>
      </c>
    </row>
    <row r="961" spans="79:89">
      <c r="CA961" s="1" t="s">
        <v>71</v>
      </c>
      <c r="CB961" s="1" t="s">
        <v>18</v>
      </c>
      <c r="CC961" s="1" t="s">
        <v>132</v>
      </c>
      <c r="CE961" s="122">
        <f>FUR[[#This Row],[Part Type]]</f>
        <v>0</v>
      </c>
      <c r="CF961" s="122">
        <f>FUR[[#This Row],[Chemicals]]</f>
        <v>0</v>
      </c>
      <c r="CG961" s="122">
        <f>FUR[[#This Row],[UID]]</f>
        <v>0</v>
      </c>
      <c r="CK961" s="82" t="str">
        <f>IF(FUR[[#This Row],[Status]]=0,"",FUR[[#This Row],[Status]])</f>
        <v/>
      </c>
    </row>
    <row r="962" spans="79:89">
      <c r="CA962" s="1" t="s">
        <v>71</v>
      </c>
      <c r="CB962" s="1" t="s">
        <v>18</v>
      </c>
      <c r="CC962" s="1" t="s">
        <v>132</v>
      </c>
      <c r="CE962" s="122">
        <f>FUR[[#This Row],[Part Type]]</f>
        <v>0</v>
      </c>
      <c r="CF962" s="122">
        <f>FUR[[#This Row],[Chemicals]]</f>
        <v>0</v>
      </c>
      <c r="CG962" s="122">
        <f>FUR[[#This Row],[UID]]</f>
        <v>0</v>
      </c>
      <c r="CK962" s="82" t="str">
        <f>IF(FUR[[#This Row],[Status]]=0,"",FUR[[#This Row],[Status]])</f>
        <v/>
      </c>
    </row>
    <row r="963" spans="79:89">
      <c r="CA963" s="1" t="s">
        <v>71</v>
      </c>
      <c r="CB963" s="1" t="s">
        <v>18</v>
      </c>
      <c r="CC963" s="1" t="s">
        <v>132</v>
      </c>
      <c r="CE963" s="122">
        <f>FUR[[#This Row],[Part Type]]</f>
        <v>0</v>
      </c>
      <c r="CF963" s="122">
        <f>FUR[[#This Row],[Chemicals]]</f>
        <v>0</v>
      </c>
      <c r="CG963" s="122">
        <f>FUR[[#This Row],[UID]]</f>
        <v>0</v>
      </c>
      <c r="CK963" s="82" t="str">
        <f>IF(FUR[[#This Row],[Status]]=0,"",FUR[[#This Row],[Status]])</f>
        <v/>
      </c>
    </row>
    <row r="964" spans="79:89">
      <c r="CA964" s="1" t="s">
        <v>71</v>
      </c>
      <c r="CB964" s="1" t="s">
        <v>18</v>
      </c>
      <c r="CC964" s="1" t="s">
        <v>132</v>
      </c>
      <c r="CE964" s="122">
        <f>FUR[[#This Row],[Part Type]]</f>
        <v>0</v>
      </c>
      <c r="CF964" s="122">
        <f>FUR[[#This Row],[Chemicals]]</f>
        <v>0</v>
      </c>
      <c r="CG964" s="122">
        <f>FUR[[#This Row],[UID]]</f>
        <v>0</v>
      </c>
      <c r="CK964" s="82" t="str">
        <f>IF(FUR[[#This Row],[Status]]=0,"",FUR[[#This Row],[Status]])</f>
        <v/>
      </c>
    </row>
    <row r="965" spans="79:89">
      <c r="CA965" s="1" t="s">
        <v>71</v>
      </c>
      <c r="CB965" s="1" t="s">
        <v>18</v>
      </c>
      <c r="CC965" s="1" t="s">
        <v>132</v>
      </c>
      <c r="CE965" s="122">
        <f>FUR[[#This Row],[Part Type]]</f>
        <v>0</v>
      </c>
      <c r="CF965" s="122">
        <f>FUR[[#This Row],[Chemicals]]</f>
        <v>0</v>
      </c>
      <c r="CG965" s="122">
        <f>FUR[[#This Row],[UID]]</f>
        <v>0</v>
      </c>
      <c r="CK965" s="82" t="str">
        <f>IF(FUR[[#This Row],[Status]]=0,"",FUR[[#This Row],[Status]])</f>
        <v/>
      </c>
    </row>
    <row r="966" spans="79:89">
      <c r="CA966" s="1" t="s">
        <v>71</v>
      </c>
      <c r="CB966" s="1" t="s">
        <v>18</v>
      </c>
      <c r="CC966" s="1" t="s">
        <v>132</v>
      </c>
      <c r="CE966" s="122">
        <f>FUR[[#This Row],[Part Type]]</f>
        <v>0</v>
      </c>
      <c r="CF966" s="122">
        <f>FUR[[#This Row],[Chemicals]]</f>
        <v>0</v>
      </c>
      <c r="CG966" s="122">
        <f>FUR[[#This Row],[UID]]</f>
        <v>0</v>
      </c>
      <c r="CK966" s="82" t="str">
        <f>IF(FUR[[#This Row],[Status]]=0,"",FUR[[#This Row],[Status]])</f>
        <v/>
      </c>
    </row>
    <row r="967" spans="79:89">
      <c r="CA967" s="1" t="s">
        <v>71</v>
      </c>
      <c r="CB967" s="1" t="s">
        <v>18</v>
      </c>
      <c r="CC967" s="1" t="s">
        <v>132</v>
      </c>
      <c r="CE967" s="122">
        <f>FUR[[#This Row],[Part Type]]</f>
        <v>0</v>
      </c>
      <c r="CF967" s="122">
        <f>FUR[[#This Row],[Chemicals]]</f>
        <v>0</v>
      </c>
      <c r="CG967" s="122">
        <f>FUR[[#This Row],[UID]]</f>
        <v>0</v>
      </c>
      <c r="CK967" s="82" t="str">
        <f>IF(FUR[[#This Row],[Status]]=0,"",FUR[[#This Row],[Status]])</f>
        <v/>
      </c>
    </row>
    <row r="968" spans="79:89">
      <c r="CA968" s="1" t="s">
        <v>71</v>
      </c>
      <c r="CB968" s="1" t="s">
        <v>18</v>
      </c>
      <c r="CC968" s="1" t="s">
        <v>132</v>
      </c>
      <c r="CE968" s="122">
        <f>FUR[[#This Row],[Part Type]]</f>
        <v>0</v>
      </c>
      <c r="CF968" s="122">
        <f>FUR[[#This Row],[Chemicals]]</f>
        <v>0</v>
      </c>
      <c r="CG968" s="122">
        <f>FUR[[#This Row],[UID]]</f>
        <v>0</v>
      </c>
      <c r="CK968" s="82" t="str">
        <f>IF(FUR[[#This Row],[Status]]=0,"",FUR[[#This Row],[Status]])</f>
        <v/>
      </c>
    </row>
    <row r="969" spans="79:89">
      <c r="CA969" s="1" t="s">
        <v>71</v>
      </c>
      <c r="CB969" s="1" t="s">
        <v>18</v>
      </c>
      <c r="CC969" s="1" t="s">
        <v>132</v>
      </c>
      <c r="CE969" s="122">
        <f>FUR[[#This Row],[Part Type]]</f>
        <v>0</v>
      </c>
      <c r="CF969" s="122">
        <f>FUR[[#This Row],[Chemicals]]</f>
        <v>0</v>
      </c>
      <c r="CG969" s="122">
        <f>FUR[[#This Row],[UID]]</f>
        <v>0</v>
      </c>
      <c r="CK969" s="82" t="str">
        <f>IF(FUR[[#This Row],[Status]]=0,"",FUR[[#This Row],[Status]])</f>
        <v/>
      </c>
    </row>
    <row r="970" spans="79:89">
      <c r="CA970" s="1" t="s">
        <v>71</v>
      </c>
      <c r="CB970" s="1" t="s">
        <v>18</v>
      </c>
      <c r="CC970" s="1" t="s">
        <v>132</v>
      </c>
      <c r="CE970" s="122">
        <f>FUR[[#This Row],[Part Type]]</f>
        <v>0</v>
      </c>
      <c r="CF970" s="122">
        <f>FUR[[#This Row],[Chemicals]]</f>
        <v>0</v>
      </c>
      <c r="CG970" s="122">
        <f>FUR[[#This Row],[UID]]</f>
        <v>0</v>
      </c>
      <c r="CK970" s="82" t="str">
        <f>IF(FUR[[#This Row],[Status]]=0,"",FUR[[#This Row],[Status]])</f>
        <v/>
      </c>
    </row>
    <row r="971" spans="79:89">
      <c r="CA971" s="1" t="s">
        <v>71</v>
      </c>
      <c r="CB971" s="1" t="s">
        <v>18</v>
      </c>
      <c r="CC971" s="1" t="s">
        <v>132</v>
      </c>
      <c r="CE971" s="122">
        <f>FUR[[#This Row],[Part Type]]</f>
        <v>0</v>
      </c>
      <c r="CF971" s="122">
        <f>FUR[[#This Row],[Chemicals]]</f>
        <v>0</v>
      </c>
      <c r="CG971" s="122">
        <f>FUR[[#This Row],[UID]]</f>
        <v>0</v>
      </c>
      <c r="CK971" s="82" t="str">
        <f>IF(FUR[[#This Row],[Status]]=0,"",FUR[[#This Row],[Status]])</f>
        <v/>
      </c>
    </row>
    <row r="972" spans="79:89">
      <c r="CA972" s="1" t="s">
        <v>71</v>
      </c>
      <c r="CB972" s="1" t="s">
        <v>18</v>
      </c>
      <c r="CC972" s="1" t="s">
        <v>132</v>
      </c>
      <c r="CE972" s="122">
        <f>FUR[[#This Row],[Part Type]]</f>
        <v>0</v>
      </c>
      <c r="CF972" s="122">
        <f>FUR[[#This Row],[Chemicals]]</f>
        <v>0</v>
      </c>
      <c r="CG972" s="122">
        <f>FUR[[#This Row],[UID]]</f>
        <v>0</v>
      </c>
      <c r="CK972" s="82" t="str">
        <f>IF(FUR[[#This Row],[Status]]=0,"",FUR[[#This Row],[Status]])</f>
        <v/>
      </c>
    </row>
    <row r="973" spans="79:89">
      <c r="CA973" s="1" t="s">
        <v>71</v>
      </c>
      <c r="CB973" s="1" t="s">
        <v>18</v>
      </c>
      <c r="CC973" s="1" t="s">
        <v>132</v>
      </c>
      <c r="CE973" s="122">
        <f>FUR[[#This Row],[Part Type]]</f>
        <v>0</v>
      </c>
      <c r="CF973" s="122">
        <f>FUR[[#This Row],[Chemicals]]</f>
        <v>0</v>
      </c>
      <c r="CG973" s="122">
        <f>FUR[[#This Row],[UID]]</f>
        <v>0</v>
      </c>
      <c r="CK973" s="82" t="str">
        <f>IF(FUR[[#This Row],[Status]]=0,"",FUR[[#This Row],[Status]])</f>
        <v/>
      </c>
    </row>
    <row r="974" spans="79:89">
      <c r="CA974" s="1" t="s">
        <v>71</v>
      </c>
      <c r="CB974" s="1" t="s">
        <v>18</v>
      </c>
      <c r="CC974" s="1" t="s">
        <v>132</v>
      </c>
      <c r="CE974" s="122">
        <f>FUR[[#This Row],[Part Type]]</f>
        <v>0</v>
      </c>
      <c r="CF974" s="122">
        <f>FUR[[#This Row],[Chemicals]]</f>
        <v>0</v>
      </c>
      <c r="CG974" s="122">
        <f>FUR[[#This Row],[UID]]</f>
        <v>0</v>
      </c>
      <c r="CK974" s="82" t="str">
        <f>IF(FUR[[#This Row],[Status]]=0,"",FUR[[#This Row],[Status]])</f>
        <v/>
      </c>
    </row>
    <row r="975" spans="79:89">
      <c r="CA975" s="1" t="s">
        <v>71</v>
      </c>
      <c r="CB975" s="1" t="s">
        <v>18</v>
      </c>
      <c r="CC975" s="1" t="s">
        <v>132</v>
      </c>
      <c r="CE975" s="122">
        <f>FUR[[#This Row],[Part Type]]</f>
        <v>0</v>
      </c>
      <c r="CF975" s="122">
        <f>FUR[[#This Row],[Chemicals]]</f>
        <v>0</v>
      </c>
      <c r="CG975" s="122">
        <f>FUR[[#This Row],[UID]]</f>
        <v>0</v>
      </c>
      <c r="CK975" s="82" t="str">
        <f>IF(FUR[[#This Row],[Status]]=0,"",FUR[[#This Row],[Status]])</f>
        <v/>
      </c>
    </row>
    <row r="976" spans="79:89">
      <c r="CA976" s="1" t="s">
        <v>71</v>
      </c>
      <c r="CB976" s="1" t="s">
        <v>18</v>
      </c>
      <c r="CC976" s="1" t="s">
        <v>132</v>
      </c>
      <c r="CE976" s="122">
        <f>FUR[[#This Row],[Part Type]]</f>
        <v>0</v>
      </c>
      <c r="CF976" s="122">
        <f>FUR[[#This Row],[Chemicals]]</f>
        <v>0</v>
      </c>
      <c r="CG976" s="122">
        <f>FUR[[#This Row],[UID]]</f>
        <v>0</v>
      </c>
      <c r="CK976" s="82" t="str">
        <f>IF(FUR[[#This Row],[Status]]=0,"",FUR[[#This Row],[Status]])</f>
        <v/>
      </c>
    </row>
    <row r="977" spans="79:89">
      <c r="CA977" s="1" t="s">
        <v>71</v>
      </c>
      <c r="CB977" s="1" t="s">
        <v>18</v>
      </c>
      <c r="CC977" s="1" t="s">
        <v>132</v>
      </c>
      <c r="CE977" s="122">
        <f>FUR[[#This Row],[Part Type]]</f>
        <v>0</v>
      </c>
      <c r="CF977" s="122">
        <f>FUR[[#This Row],[Chemicals]]</f>
        <v>0</v>
      </c>
      <c r="CG977" s="122">
        <f>FUR[[#This Row],[UID]]</f>
        <v>0</v>
      </c>
      <c r="CK977" s="82" t="str">
        <f>IF(FUR[[#This Row],[Status]]=0,"",FUR[[#This Row],[Status]])</f>
        <v/>
      </c>
    </row>
    <row r="978" spans="79:89">
      <c r="CA978" s="1" t="s">
        <v>71</v>
      </c>
      <c r="CB978" s="1" t="s">
        <v>18</v>
      </c>
      <c r="CC978" s="1" t="s">
        <v>132</v>
      </c>
      <c r="CE978" s="122">
        <f>FUR[[#This Row],[Part Type]]</f>
        <v>0</v>
      </c>
      <c r="CF978" s="122">
        <f>FUR[[#This Row],[Chemicals]]</f>
        <v>0</v>
      </c>
      <c r="CG978" s="122">
        <f>FUR[[#This Row],[UID]]</f>
        <v>0</v>
      </c>
      <c r="CK978" s="82" t="str">
        <f>IF(FUR[[#This Row],[Status]]=0,"",FUR[[#This Row],[Status]])</f>
        <v/>
      </c>
    </row>
    <row r="979" spans="79:89">
      <c r="CA979" s="1" t="s">
        <v>71</v>
      </c>
      <c r="CB979" s="1" t="s">
        <v>18</v>
      </c>
      <c r="CC979" s="1" t="s">
        <v>132</v>
      </c>
      <c r="CE979" s="122">
        <f>FUR[[#This Row],[Part Type]]</f>
        <v>0</v>
      </c>
      <c r="CF979" s="122">
        <f>FUR[[#This Row],[Chemicals]]</f>
        <v>0</v>
      </c>
      <c r="CG979" s="122">
        <f>FUR[[#This Row],[UID]]</f>
        <v>0</v>
      </c>
      <c r="CK979" s="82" t="str">
        <f>IF(FUR[[#This Row],[Status]]=0,"",FUR[[#This Row],[Status]])</f>
        <v/>
      </c>
    </row>
    <row r="980" spans="79:89">
      <c r="CA980" s="1" t="s">
        <v>71</v>
      </c>
      <c r="CB980" s="1" t="s">
        <v>18</v>
      </c>
      <c r="CC980" s="1" t="s">
        <v>132</v>
      </c>
      <c r="CE980" s="122">
        <f>FUR[[#This Row],[Part Type]]</f>
        <v>0</v>
      </c>
      <c r="CF980" s="122">
        <f>FUR[[#This Row],[Chemicals]]</f>
        <v>0</v>
      </c>
      <c r="CG980" s="122">
        <f>FUR[[#This Row],[UID]]</f>
        <v>0</v>
      </c>
      <c r="CK980" s="82" t="str">
        <f>IF(FUR[[#This Row],[Status]]=0,"",FUR[[#This Row],[Status]])</f>
        <v/>
      </c>
    </row>
    <row r="981" spans="79:89">
      <c r="CA981" s="1" t="s">
        <v>71</v>
      </c>
      <c r="CB981" s="1" t="s">
        <v>18</v>
      </c>
      <c r="CC981" s="1" t="s">
        <v>132</v>
      </c>
      <c r="CE981" s="122">
        <f>FUR[[#This Row],[Part Type]]</f>
        <v>0</v>
      </c>
      <c r="CF981" s="122">
        <f>FUR[[#This Row],[Chemicals]]</f>
        <v>0</v>
      </c>
      <c r="CG981" s="122">
        <f>FUR[[#This Row],[UID]]</f>
        <v>0</v>
      </c>
      <c r="CK981" s="82" t="str">
        <f>IF(FUR[[#This Row],[Status]]=0,"",FUR[[#This Row],[Status]])</f>
        <v/>
      </c>
    </row>
    <row r="982" spans="79:89">
      <c r="CA982" s="1" t="s">
        <v>71</v>
      </c>
      <c r="CB982" s="1" t="s">
        <v>18</v>
      </c>
      <c r="CC982" s="1" t="s">
        <v>132</v>
      </c>
      <c r="CE982" s="122">
        <f>FUR[[#This Row],[Part Type]]</f>
        <v>0</v>
      </c>
      <c r="CF982" s="122">
        <f>FUR[[#This Row],[Chemicals]]</f>
        <v>0</v>
      </c>
      <c r="CG982" s="122">
        <f>FUR[[#This Row],[UID]]</f>
        <v>0</v>
      </c>
      <c r="CK982" s="82" t="str">
        <f>IF(FUR[[#This Row],[Status]]=0,"",FUR[[#This Row],[Status]])</f>
        <v/>
      </c>
    </row>
    <row r="983" spans="79:89">
      <c r="CA983" s="1" t="s">
        <v>71</v>
      </c>
      <c r="CB983" s="1" t="s">
        <v>18</v>
      </c>
      <c r="CC983" s="1" t="s">
        <v>132</v>
      </c>
      <c r="CE983" s="122">
        <f>FUR[[#This Row],[Part Type]]</f>
        <v>0</v>
      </c>
      <c r="CF983" s="122">
        <f>FUR[[#This Row],[Chemicals]]</f>
        <v>0</v>
      </c>
      <c r="CG983" s="122">
        <f>FUR[[#This Row],[UID]]</f>
        <v>0</v>
      </c>
      <c r="CK983" s="82" t="str">
        <f>IF(FUR[[#This Row],[Status]]=0,"",FUR[[#This Row],[Status]])</f>
        <v/>
      </c>
    </row>
    <row r="984" spans="79:89">
      <c r="CA984" s="1" t="s">
        <v>71</v>
      </c>
      <c r="CB984" s="1" t="s">
        <v>18</v>
      </c>
      <c r="CC984" s="1" t="s">
        <v>132</v>
      </c>
      <c r="CE984" s="122">
        <f>FUR[[#This Row],[Part Type]]</f>
        <v>0</v>
      </c>
      <c r="CF984" s="122">
        <f>FUR[[#This Row],[Chemicals]]</f>
        <v>0</v>
      </c>
      <c r="CG984" s="122">
        <f>FUR[[#This Row],[UID]]</f>
        <v>0</v>
      </c>
      <c r="CK984" s="82" t="str">
        <f>IF(FUR[[#This Row],[Status]]=0,"",FUR[[#This Row],[Status]])</f>
        <v/>
      </c>
    </row>
    <row r="985" spans="79:89">
      <c r="CA985" s="1" t="s">
        <v>71</v>
      </c>
      <c r="CB985" s="1" t="s">
        <v>18</v>
      </c>
      <c r="CC985" s="1" t="s">
        <v>132</v>
      </c>
      <c r="CE985" s="122">
        <f>FUR[[#This Row],[Part Type]]</f>
        <v>0</v>
      </c>
      <c r="CF985" s="122">
        <f>FUR[[#This Row],[Chemicals]]</f>
        <v>0</v>
      </c>
      <c r="CG985" s="122">
        <f>FUR[[#This Row],[UID]]</f>
        <v>0</v>
      </c>
      <c r="CK985" s="82" t="str">
        <f>IF(FUR[[#This Row],[Status]]=0,"",FUR[[#This Row],[Status]])</f>
        <v/>
      </c>
    </row>
    <row r="986" spans="79:89">
      <c r="CA986" s="1" t="s">
        <v>71</v>
      </c>
      <c r="CB986" s="1" t="s">
        <v>18</v>
      </c>
      <c r="CC986" s="1" t="s">
        <v>132</v>
      </c>
      <c r="CE986" s="122">
        <f>FUR[[#This Row],[Part Type]]</f>
        <v>0</v>
      </c>
      <c r="CF986" s="122">
        <f>FUR[[#This Row],[Chemicals]]</f>
        <v>0</v>
      </c>
      <c r="CG986" s="122">
        <f>FUR[[#This Row],[UID]]</f>
        <v>0</v>
      </c>
      <c r="CK986" s="82" t="str">
        <f>IF(FUR[[#This Row],[Status]]=0,"",FUR[[#This Row],[Status]])</f>
        <v/>
      </c>
    </row>
    <row r="987" spans="79:89">
      <c r="CA987" s="1" t="s">
        <v>71</v>
      </c>
      <c r="CB987" s="1" t="s">
        <v>18</v>
      </c>
      <c r="CC987" s="1" t="s">
        <v>132</v>
      </c>
      <c r="CE987" s="122">
        <f>FUR[[#This Row],[Part Type]]</f>
        <v>0</v>
      </c>
      <c r="CF987" s="122">
        <f>FUR[[#This Row],[Chemicals]]</f>
        <v>0</v>
      </c>
      <c r="CG987" s="122">
        <f>FUR[[#This Row],[UID]]</f>
        <v>0</v>
      </c>
      <c r="CK987" s="82" t="str">
        <f>IF(FUR[[#This Row],[Status]]=0,"",FUR[[#This Row],[Status]])</f>
        <v/>
      </c>
    </row>
    <row r="988" spans="79:89">
      <c r="CA988" s="1" t="s">
        <v>71</v>
      </c>
      <c r="CB988" s="1" t="s">
        <v>18</v>
      </c>
      <c r="CC988" s="1" t="s">
        <v>132</v>
      </c>
      <c r="CE988" s="122">
        <f>FUR[[#This Row],[Part Type]]</f>
        <v>0</v>
      </c>
      <c r="CF988" s="122">
        <f>FUR[[#This Row],[Chemicals]]</f>
        <v>0</v>
      </c>
      <c r="CG988" s="122">
        <f>FUR[[#This Row],[UID]]</f>
        <v>0</v>
      </c>
      <c r="CK988" s="82" t="str">
        <f>IF(FUR[[#This Row],[Status]]=0,"",FUR[[#This Row],[Status]])</f>
        <v/>
      </c>
    </row>
    <row r="989" spans="79:89">
      <c r="CA989" s="1" t="s">
        <v>71</v>
      </c>
      <c r="CB989" s="1" t="s">
        <v>18</v>
      </c>
      <c r="CC989" s="1" t="s">
        <v>132</v>
      </c>
      <c r="CE989" s="122">
        <f>FUR[[#This Row],[Part Type]]</f>
        <v>0</v>
      </c>
      <c r="CF989" s="122">
        <f>FUR[[#This Row],[Chemicals]]</f>
        <v>0</v>
      </c>
      <c r="CG989" s="122">
        <f>FUR[[#This Row],[UID]]</f>
        <v>0</v>
      </c>
      <c r="CK989" s="82" t="str">
        <f>IF(FUR[[#This Row],[Status]]=0,"",FUR[[#This Row],[Status]])</f>
        <v/>
      </c>
    </row>
    <row r="990" spans="79:89">
      <c r="CA990" s="1" t="s">
        <v>71</v>
      </c>
      <c r="CB990" s="1" t="s">
        <v>18</v>
      </c>
      <c r="CC990" s="1" t="s">
        <v>132</v>
      </c>
      <c r="CE990" s="122">
        <f>FUR[[#This Row],[Part Type]]</f>
        <v>0</v>
      </c>
      <c r="CF990" s="122">
        <f>FUR[[#This Row],[Chemicals]]</f>
        <v>0</v>
      </c>
      <c r="CG990" s="122">
        <f>FUR[[#This Row],[UID]]</f>
        <v>0</v>
      </c>
      <c r="CK990" s="82" t="str">
        <f>IF(FUR[[#This Row],[Status]]=0,"",FUR[[#This Row],[Status]])</f>
        <v/>
      </c>
    </row>
    <row r="991" spans="79:89">
      <c r="CA991" s="1" t="s">
        <v>71</v>
      </c>
      <c r="CB991" s="1" t="s">
        <v>18</v>
      </c>
      <c r="CC991" s="1" t="s">
        <v>132</v>
      </c>
      <c r="CE991" s="122">
        <f>FUR[[#This Row],[Part Type]]</f>
        <v>0</v>
      </c>
      <c r="CF991" s="122">
        <f>FUR[[#This Row],[Chemicals]]</f>
        <v>0</v>
      </c>
      <c r="CG991" s="122">
        <f>FUR[[#This Row],[UID]]</f>
        <v>0</v>
      </c>
      <c r="CK991" s="82" t="str">
        <f>IF(FUR[[#This Row],[Status]]=0,"",FUR[[#This Row],[Status]])</f>
        <v/>
      </c>
    </row>
    <row r="992" spans="79:89">
      <c r="CA992" s="1" t="s">
        <v>71</v>
      </c>
      <c r="CB992" s="1" t="s">
        <v>18</v>
      </c>
      <c r="CC992" s="1" t="s">
        <v>132</v>
      </c>
      <c r="CE992" s="122">
        <f>FUR[[#This Row],[Part Type]]</f>
        <v>0</v>
      </c>
      <c r="CF992" s="122">
        <f>FUR[[#This Row],[Chemicals]]</f>
        <v>0</v>
      </c>
      <c r="CG992" s="122">
        <f>FUR[[#This Row],[UID]]</f>
        <v>0</v>
      </c>
      <c r="CK992" s="82" t="str">
        <f>IF(FUR[[#This Row],[Status]]=0,"",FUR[[#This Row],[Status]])</f>
        <v/>
      </c>
    </row>
    <row r="993" spans="79:89">
      <c r="CA993" s="1" t="s">
        <v>71</v>
      </c>
      <c r="CB993" s="1" t="s">
        <v>18</v>
      </c>
      <c r="CC993" s="1" t="s">
        <v>132</v>
      </c>
      <c r="CE993" s="122">
        <f>FUR[[#This Row],[Part Type]]</f>
        <v>0</v>
      </c>
      <c r="CF993" s="122">
        <f>FUR[[#This Row],[Chemicals]]</f>
        <v>0</v>
      </c>
      <c r="CG993" s="122">
        <f>FUR[[#This Row],[UID]]</f>
        <v>0</v>
      </c>
      <c r="CK993" s="82" t="str">
        <f>IF(FUR[[#This Row],[Status]]=0,"",FUR[[#This Row],[Status]])</f>
        <v/>
      </c>
    </row>
    <row r="994" spans="79:89">
      <c r="CA994" s="1" t="s">
        <v>71</v>
      </c>
      <c r="CB994" s="1" t="s">
        <v>18</v>
      </c>
      <c r="CC994" s="1" t="s">
        <v>132</v>
      </c>
      <c r="CE994" s="122">
        <f>FUR[[#This Row],[Part Type]]</f>
        <v>0</v>
      </c>
      <c r="CF994" s="122">
        <f>FUR[[#This Row],[Chemicals]]</f>
        <v>0</v>
      </c>
      <c r="CG994" s="122">
        <f>FUR[[#This Row],[UID]]</f>
        <v>0</v>
      </c>
      <c r="CK994" s="82" t="str">
        <f>IF(FUR[[#This Row],[Status]]=0,"",FUR[[#This Row],[Status]])</f>
        <v/>
      </c>
    </row>
    <row r="995" spans="79:89">
      <c r="CA995" s="1" t="s">
        <v>71</v>
      </c>
      <c r="CB995" s="1" t="s">
        <v>18</v>
      </c>
      <c r="CC995" s="1" t="s">
        <v>132</v>
      </c>
      <c r="CE995" s="122">
        <f>FUR[[#This Row],[Part Type]]</f>
        <v>0</v>
      </c>
      <c r="CF995" s="122">
        <f>FUR[[#This Row],[Chemicals]]</f>
        <v>0</v>
      </c>
      <c r="CG995" s="122">
        <f>FUR[[#This Row],[UID]]</f>
        <v>0</v>
      </c>
      <c r="CK995" s="82" t="str">
        <f>IF(FUR[[#This Row],[Status]]=0,"",FUR[[#This Row],[Status]])</f>
        <v/>
      </c>
    </row>
    <row r="996" spans="79:89">
      <c r="CA996" s="1" t="s">
        <v>71</v>
      </c>
      <c r="CB996" s="1" t="s">
        <v>18</v>
      </c>
      <c r="CC996" s="1" t="s">
        <v>132</v>
      </c>
      <c r="CE996" s="122">
        <f>FUR[[#This Row],[Part Type]]</f>
        <v>0</v>
      </c>
      <c r="CF996" s="122">
        <f>FUR[[#This Row],[Chemicals]]</f>
        <v>0</v>
      </c>
      <c r="CG996" s="122">
        <f>FUR[[#This Row],[UID]]</f>
        <v>0</v>
      </c>
      <c r="CK996" s="82" t="str">
        <f>IF(FUR[[#This Row],[Status]]=0,"",FUR[[#This Row],[Status]])</f>
        <v/>
      </c>
    </row>
    <row r="997" spans="79:89">
      <c r="CA997" s="1" t="s">
        <v>71</v>
      </c>
      <c r="CB997" s="1" t="s">
        <v>18</v>
      </c>
      <c r="CC997" s="1" t="s">
        <v>132</v>
      </c>
      <c r="CE997" s="122">
        <f>FUR[[#This Row],[Part Type]]</f>
        <v>0</v>
      </c>
      <c r="CF997" s="122">
        <f>FUR[[#This Row],[Chemicals]]</f>
        <v>0</v>
      </c>
      <c r="CG997" s="122">
        <f>FUR[[#This Row],[UID]]</f>
        <v>0</v>
      </c>
      <c r="CK997" s="82" t="str">
        <f>IF(FUR[[#This Row],[Status]]=0,"",FUR[[#This Row],[Status]])</f>
        <v/>
      </c>
    </row>
    <row r="998" spans="79:89">
      <c r="CA998" s="1" t="s">
        <v>71</v>
      </c>
      <c r="CB998" s="1" t="s">
        <v>18</v>
      </c>
      <c r="CC998" s="1" t="s">
        <v>132</v>
      </c>
      <c r="CE998" s="122">
        <f>FUR[[#This Row],[Part Type]]</f>
        <v>0</v>
      </c>
      <c r="CF998" s="122">
        <f>FUR[[#This Row],[Chemicals]]</f>
        <v>0</v>
      </c>
      <c r="CG998" s="122">
        <f>FUR[[#This Row],[UID]]</f>
        <v>0</v>
      </c>
      <c r="CK998" s="82" t="str">
        <f>IF(FUR[[#This Row],[Status]]=0,"",FUR[[#This Row],[Status]])</f>
        <v/>
      </c>
    </row>
    <row r="999" spans="79:89">
      <c r="CA999" s="1" t="s">
        <v>71</v>
      </c>
      <c r="CB999" s="1" t="s">
        <v>18</v>
      </c>
      <c r="CC999" s="1" t="s">
        <v>132</v>
      </c>
      <c r="CE999" s="122">
        <f>FUR[[#This Row],[Part Type]]</f>
        <v>0</v>
      </c>
      <c r="CF999" s="122">
        <f>FUR[[#This Row],[Chemicals]]</f>
        <v>0</v>
      </c>
      <c r="CG999" s="122">
        <f>FUR[[#This Row],[UID]]</f>
        <v>0</v>
      </c>
      <c r="CK999" s="82" t="str">
        <f>IF(FUR[[#This Row],[Status]]=0,"",FUR[[#This Row],[Status]])</f>
        <v/>
      </c>
    </row>
    <row r="1000" spans="79:89">
      <c r="CA1000" s="1" t="s">
        <v>71</v>
      </c>
      <c r="CB1000" s="1" t="s">
        <v>18</v>
      </c>
      <c r="CC1000" s="1" t="s">
        <v>132</v>
      </c>
      <c r="CE1000" s="122">
        <f>FUR[[#This Row],[Part Type]]</f>
        <v>0</v>
      </c>
      <c r="CF1000" s="122">
        <f>FUR[[#This Row],[Chemicals]]</f>
        <v>0</v>
      </c>
      <c r="CG1000" s="122">
        <f>FUR[[#This Row],[UID]]</f>
        <v>0</v>
      </c>
      <c r="CK1000" s="82" t="str">
        <f>IF(FUR[[#This Row],[Status]]=0,"",FUR[[#This Row],[Status]])</f>
        <v/>
      </c>
    </row>
    <row r="1001" spans="79:89">
      <c r="CA1001" s="1" t="s">
        <v>71</v>
      </c>
      <c r="CB1001" s="1" t="s">
        <v>18</v>
      </c>
      <c r="CC1001" s="1" t="s">
        <v>132</v>
      </c>
      <c r="CE1001" s="122">
        <f>FUR[[#This Row],[Part Type]]</f>
        <v>0</v>
      </c>
      <c r="CF1001" s="122">
        <f>FUR[[#This Row],[Chemicals]]</f>
        <v>0</v>
      </c>
      <c r="CG1001" s="122">
        <f>FUR[[#This Row],[UID]]</f>
        <v>0</v>
      </c>
      <c r="CK1001" s="82" t="str">
        <f>IF(FUR[[#This Row],[Status]]=0,"",FUR[[#This Row],[Status]])</f>
        <v/>
      </c>
    </row>
    <row r="1002" spans="79:89">
      <c r="CA1002" s="1" t="s">
        <v>71</v>
      </c>
      <c r="CB1002" s="1" t="s">
        <v>18</v>
      </c>
      <c r="CC1002" s="1" t="s">
        <v>132</v>
      </c>
      <c r="CE1002" s="122">
        <f>FUR[[#This Row],[Part Type]]</f>
        <v>0</v>
      </c>
      <c r="CF1002" s="122">
        <f>FUR[[#This Row],[Chemicals]]</f>
        <v>0</v>
      </c>
      <c r="CG1002" s="122">
        <f>FUR[[#This Row],[UID]]</f>
        <v>0</v>
      </c>
      <c r="CK1002" s="82" t="str">
        <f>IF(FUR[[#This Row],[Status]]=0,"",FUR[[#This Row],[Status]])</f>
        <v/>
      </c>
    </row>
    <row r="1003" spans="79:89">
      <c r="CA1003" s="1" t="s">
        <v>71</v>
      </c>
      <c r="CB1003" s="1" t="s">
        <v>18</v>
      </c>
      <c r="CC1003" s="1" t="s">
        <v>132</v>
      </c>
      <c r="CE1003" s="122">
        <f>FUR[[#This Row],[Part Type]]</f>
        <v>0</v>
      </c>
      <c r="CF1003" s="122">
        <f>FUR[[#This Row],[Chemicals]]</f>
        <v>0</v>
      </c>
      <c r="CG1003" s="122">
        <f>FUR[[#This Row],[UID]]</f>
        <v>0</v>
      </c>
      <c r="CK1003" s="82" t="str">
        <f>IF(FUR[[#This Row],[Status]]=0,"",FUR[[#This Row],[Status]])</f>
        <v/>
      </c>
    </row>
    <row r="1004" spans="79:89">
      <c r="CA1004" s="1" t="s">
        <v>71</v>
      </c>
      <c r="CB1004" s="1" t="s">
        <v>18</v>
      </c>
      <c r="CC1004" s="1" t="s">
        <v>132</v>
      </c>
      <c r="CE1004" s="122">
        <f>FUR[[#This Row],[Part Type]]</f>
        <v>0</v>
      </c>
      <c r="CF1004" s="122">
        <f>FUR[[#This Row],[Chemicals]]</f>
        <v>0</v>
      </c>
      <c r="CG1004" s="122">
        <f>FUR[[#This Row],[UID]]</f>
        <v>0</v>
      </c>
      <c r="CK1004" s="82" t="str">
        <f>IF(FUR[[#This Row],[Status]]=0,"",FUR[[#This Row],[Status]])</f>
        <v/>
      </c>
    </row>
    <row r="1005" spans="79:89">
      <c r="CA1005" s="1" t="s">
        <v>71</v>
      </c>
      <c r="CB1005" s="1" t="s">
        <v>18</v>
      </c>
      <c r="CC1005" s="1" t="s">
        <v>132</v>
      </c>
      <c r="CE1005" s="122">
        <f>FUR[[#This Row],[Part Type]]</f>
        <v>0</v>
      </c>
      <c r="CF1005" s="122">
        <f>FUR[[#This Row],[Chemicals]]</f>
        <v>0</v>
      </c>
      <c r="CG1005" s="122">
        <f>FUR[[#This Row],[UID]]</f>
        <v>0</v>
      </c>
      <c r="CK1005" s="82" t="str">
        <f>IF(FUR[[#This Row],[Status]]=0,"",FUR[[#This Row],[Status]])</f>
        <v/>
      </c>
    </row>
    <row r="1006" spans="79:89">
      <c r="CA1006" s="1" t="s">
        <v>71</v>
      </c>
      <c r="CB1006" s="1" t="s">
        <v>18</v>
      </c>
      <c r="CC1006" s="1" t="s">
        <v>132</v>
      </c>
      <c r="CE1006" s="122">
        <f>FUR[[#This Row],[Part Type]]</f>
        <v>0</v>
      </c>
      <c r="CF1006" s="122">
        <f>FUR[[#This Row],[Chemicals]]</f>
        <v>0</v>
      </c>
      <c r="CG1006" s="122">
        <f>FUR[[#This Row],[UID]]</f>
        <v>0</v>
      </c>
      <c r="CK1006" s="82" t="str">
        <f>IF(FUR[[#This Row],[Status]]=0,"",FUR[[#This Row],[Status]])</f>
        <v/>
      </c>
    </row>
    <row r="1007" spans="79:89">
      <c r="CA1007" s="1" t="s">
        <v>71</v>
      </c>
      <c r="CB1007" s="1" t="s">
        <v>18</v>
      </c>
      <c r="CC1007" s="1" t="s">
        <v>132</v>
      </c>
      <c r="CE1007" s="122">
        <f>FUR[[#This Row],[Part Type]]</f>
        <v>0</v>
      </c>
      <c r="CF1007" s="122">
        <f>FUR[[#This Row],[Chemicals]]</f>
        <v>0</v>
      </c>
      <c r="CG1007" s="122">
        <f>FUR[[#This Row],[UID]]</f>
        <v>0</v>
      </c>
      <c r="CK1007" s="82" t="str">
        <f>IF(FUR[[#This Row],[Status]]=0,"",FUR[[#This Row],[Status]])</f>
        <v/>
      </c>
    </row>
    <row r="1008" spans="79:89">
      <c r="CA1008" s="1" t="s">
        <v>71</v>
      </c>
      <c r="CB1008" s="1" t="s">
        <v>18</v>
      </c>
      <c r="CC1008" s="1" t="s">
        <v>132</v>
      </c>
      <c r="CE1008" s="122">
        <f>FUR[[#This Row],[Part Type]]</f>
        <v>0</v>
      </c>
      <c r="CF1008" s="122">
        <f>FUR[[#This Row],[Chemicals]]</f>
        <v>0</v>
      </c>
      <c r="CG1008" s="122">
        <f>FUR[[#This Row],[UID]]</f>
        <v>0</v>
      </c>
      <c r="CK1008" s="82" t="str">
        <f>IF(FUR[[#This Row],[Status]]=0,"",FUR[[#This Row],[Status]])</f>
        <v/>
      </c>
    </row>
    <row r="1009" spans="79:89">
      <c r="CA1009" s="1" t="s">
        <v>71</v>
      </c>
      <c r="CB1009" s="1" t="s">
        <v>18</v>
      </c>
      <c r="CC1009" s="1" t="s">
        <v>132</v>
      </c>
      <c r="CE1009" s="122">
        <f>FUR[[#This Row],[Part Type]]</f>
        <v>0</v>
      </c>
      <c r="CF1009" s="122">
        <f>FUR[[#This Row],[Chemicals]]</f>
        <v>0</v>
      </c>
      <c r="CG1009" s="122">
        <f>FUR[[#This Row],[UID]]</f>
        <v>0</v>
      </c>
      <c r="CK1009" s="82" t="str">
        <f>IF(FUR[[#This Row],[Status]]=0,"",FUR[[#This Row],[Status]])</f>
        <v/>
      </c>
    </row>
    <row r="1010" spans="79:89">
      <c r="CA1010" s="1" t="s">
        <v>71</v>
      </c>
      <c r="CB1010" s="1" t="s">
        <v>18</v>
      </c>
      <c r="CC1010" s="1" t="s">
        <v>132</v>
      </c>
      <c r="CE1010" s="122">
        <f>FUR[[#This Row],[Part Type]]</f>
        <v>0</v>
      </c>
      <c r="CF1010" s="122">
        <f>FUR[[#This Row],[Chemicals]]</f>
        <v>0</v>
      </c>
      <c r="CG1010" s="122">
        <f>FUR[[#This Row],[UID]]</f>
        <v>0</v>
      </c>
      <c r="CK1010" s="82" t="str">
        <f>IF(FUR[[#This Row],[Status]]=0,"",FUR[[#This Row],[Status]])</f>
        <v/>
      </c>
    </row>
    <row r="1011" spans="79:89">
      <c r="CA1011" s="1" t="s">
        <v>71</v>
      </c>
      <c r="CB1011" s="1" t="s">
        <v>18</v>
      </c>
      <c r="CC1011" s="1" t="s">
        <v>132</v>
      </c>
      <c r="CE1011" s="122">
        <f>FUR[[#This Row],[Part Type]]</f>
        <v>0</v>
      </c>
      <c r="CF1011" s="122">
        <f>FUR[[#This Row],[Chemicals]]</f>
        <v>0</v>
      </c>
      <c r="CG1011" s="122">
        <f>FUR[[#This Row],[UID]]</f>
        <v>0</v>
      </c>
      <c r="CK1011" s="82" t="str">
        <f>IF(FUR[[#This Row],[Status]]=0,"",FUR[[#This Row],[Status]])</f>
        <v/>
      </c>
    </row>
    <row r="1012" spans="79:89">
      <c r="CA1012" s="1" t="s">
        <v>71</v>
      </c>
      <c r="CB1012" s="1" t="s">
        <v>18</v>
      </c>
      <c r="CC1012" s="1" t="s">
        <v>132</v>
      </c>
      <c r="CE1012" s="122">
        <f>FUR[[#This Row],[Part Type]]</f>
        <v>0</v>
      </c>
      <c r="CF1012" s="122">
        <f>FUR[[#This Row],[Chemicals]]</f>
        <v>0</v>
      </c>
      <c r="CG1012" s="122">
        <f>FUR[[#This Row],[UID]]</f>
        <v>0</v>
      </c>
      <c r="CK1012" s="82" t="str">
        <f>IF(FUR[[#This Row],[Status]]=0,"",FUR[[#This Row],[Status]])</f>
        <v/>
      </c>
    </row>
    <row r="1013" spans="79:89">
      <c r="CA1013" s="1" t="s">
        <v>71</v>
      </c>
      <c r="CB1013" s="1" t="s">
        <v>18</v>
      </c>
      <c r="CC1013" s="1" t="s">
        <v>132</v>
      </c>
      <c r="CE1013" s="122">
        <f>FUR[[#This Row],[Part Type]]</f>
        <v>0</v>
      </c>
      <c r="CF1013" s="122">
        <f>FUR[[#This Row],[Chemicals]]</f>
        <v>0</v>
      </c>
      <c r="CG1013" s="122">
        <f>FUR[[#This Row],[UID]]</f>
        <v>0</v>
      </c>
      <c r="CK1013" s="82" t="str">
        <f>IF(FUR[[#This Row],[Status]]=0,"",FUR[[#This Row],[Status]])</f>
        <v/>
      </c>
    </row>
    <row r="1014" spans="79:89">
      <c r="CA1014" s="1" t="s">
        <v>71</v>
      </c>
      <c r="CB1014" s="1" t="s">
        <v>18</v>
      </c>
      <c r="CC1014" s="1" t="s">
        <v>132</v>
      </c>
      <c r="CE1014" s="122">
        <f>FUR[[#This Row],[Part Type]]</f>
        <v>0</v>
      </c>
      <c r="CF1014" s="122">
        <f>FUR[[#This Row],[Chemicals]]</f>
        <v>0</v>
      </c>
      <c r="CG1014" s="122">
        <f>FUR[[#This Row],[UID]]</f>
        <v>0</v>
      </c>
      <c r="CK1014" s="82" t="str">
        <f>IF(FUR[[#This Row],[Status]]=0,"",FUR[[#This Row],[Status]])</f>
        <v/>
      </c>
    </row>
    <row r="1015" spans="79:89">
      <c r="CA1015" s="1" t="s">
        <v>71</v>
      </c>
      <c r="CB1015" s="1" t="s">
        <v>18</v>
      </c>
      <c r="CC1015" s="1" t="s">
        <v>132</v>
      </c>
      <c r="CE1015" s="122">
        <f>FUR[[#This Row],[Part Type]]</f>
        <v>0</v>
      </c>
      <c r="CF1015" s="122">
        <f>FUR[[#This Row],[Chemicals]]</f>
        <v>0</v>
      </c>
      <c r="CG1015" s="122">
        <f>FUR[[#This Row],[UID]]</f>
        <v>0</v>
      </c>
      <c r="CK1015" s="82" t="str">
        <f>IF(FUR[[#This Row],[Status]]=0,"",FUR[[#This Row],[Status]])</f>
        <v/>
      </c>
    </row>
    <row r="1016" spans="79:89">
      <c r="CA1016" s="1" t="s">
        <v>71</v>
      </c>
      <c r="CB1016" s="1" t="s">
        <v>18</v>
      </c>
      <c r="CC1016" s="1" t="s">
        <v>132</v>
      </c>
      <c r="CE1016" s="122">
        <f>FUR[[#This Row],[Part Type]]</f>
        <v>0</v>
      </c>
      <c r="CF1016" s="122">
        <f>FUR[[#This Row],[Chemicals]]</f>
        <v>0</v>
      </c>
      <c r="CG1016" s="122">
        <f>FUR[[#This Row],[UID]]</f>
        <v>0</v>
      </c>
      <c r="CK1016" s="82" t="str">
        <f>IF(FUR[[#This Row],[Status]]=0,"",FUR[[#This Row],[Status]])</f>
        <v/>
      </c>
    </row>
    <row r="1017" spans="79:89">
      <c r="CA1017" s="1" t="s">
        <v>71</v>
      </c>
      <c r="CB1017" s="1" t="s">
        <v>18</v>
      </c>
      <c r="CC1017" s="1" t="s">
        <v>132</v>
      </c>
      <c r="CE1017" s="122">
        <f>FUR[[#This Row],[Part Type]]</f>
        <v>0</v>
      </c>
      <c r="CF1017" s="122">
        <f>FUR[[#This Row],[Chemicals]]</f>
        <v>0</v>
      </c>
      <c r="CG1017" s="122">
        <f>FUR[[#This Row],[UID]]</f>
        <v>0</v>
      </c>
      <c r="CK1017" s="82" t="str">
        <f>IF(FUR[[#This Row],[Status]]=0,"",FUR[[#This Row],[Status]])</f>
        <v/>
      </c>
    </row>
    <row r="1018" spans="79:89">
      <c r="CA1018" s="1" t="s">
        <v>71</v>
      </c>
      <c r="CB1018" s="1" t="s">
        <v>18</v>
      </c>
      <c r="CC1018" s="1" t="s">
        <v>132</v>
      </c>
      <c r="CE1018" s="122">
        <f>FUR[[#This Row],[Part Type]]</f>
        <v>0</v>
      </c>
      <c r="CF1018" s="122">
        <f>FUR[[#This Row],[Chemicals]]</f>
        <v>0</v>
      </c>
      <c r="CG1018" s="122">
        <f>FUR[[#This Row],[UID]]</f>
        <v>0</v>
      </c>
      <c r="CK1018" s="82" t="str">
        <f>IF(FUR[[#This Row],[Status]]=0,"",FUR[[#This Row],[Status]])</f>
        <v/>
      </c>
    </row>
    <row r="1019" spans="79:89">
      <c r="CA1019" s="1" t="s">
        <v>71</v>
      </c>
      <c r="CB1019" s="1" t="s">
        <v>18</v>
      </c>
      <c r="CC1019" s="1" t="s">
        <v>132</v>
      </c>
      <c r="CE1019" s="122">
        <f>FUR[[#This Row],[Part Type]]</f>
        <v>0</v>
      </c>
      <c r="CF1019" s="122">
        <f>FUR[[#This Row],[Chemicals]]</f>
        <v>0</v>
      </c>
      <c r="CG1019" s="122">
        <f>FUR[[#This Row],[UID]]</f>
        <v>0</v>
      </c>
      <c r="CK1019" s="82" t="str">
        <f>IF(FUR[[#This Row],[Status]]=0,"",FUR[[#This Row],[Status]])</f>
        <v/>
      </c>
    </row>
    <row r="1020" spans="79:89">
      <c r="CA1020" s="1" t="s">
        <v>71</v>
      </c>
      <c r="CB1020" s="1" t="s">
        <v>18</v>
      </c>
      <c r="CC1020" s="1" t="s">
        <v>132</v>
      </c>
      <c r="CE1020" s="122">
        <f>FUR[[#This Row],[Part Type]]</f>
        <v>0</v>
      </c>
      <c r="CF1020" s="122">
        <f>FUR[[#This Row],[Chemicals]]</f>
        <v>0</v>
      </c>
      <c r="CG1020" s="122">
        <f>FUR[[#This Row],[UID]]</f>
        <v>0</v>
      </c>
      <c r="CK1020" s="82" t="str">
        <f>IF(FUR[[#This Row],[Status]]=0,"",FUR[[#This Row],[Status]])</f>
        <v/>
      </c>
    </row>
    <row r="1021" spans="79:89">
      <c r="CA1021" s="1" t="s">
        <v>71</v>
      </c>
      <c r="CB1021" s="1" t="s">
        <v>18</v>
      </c>
      <c r="CC1021" s="1" t="s">
        <v>132</v>
      </c>
      <c r="CE1021" s="122">
        <f>FUR[[#This Row],[Part Type]]</f>
        <v>0</v>
      </c>
      <c r="CF1021" s="122">
        <f>FUR[[#This Row],[Chemicals]]</f>
        <v>0</v>
      </c>
      <c r="CG1021" s="122">
        <f>FUR[[#This Row],[UID]]</f>
        <v>0</v>
      </c>
      <c r="CK1021" s="82" t="str">
        <f>IF(FUR[[#This Row],[Status]]=0,"",FUR[[#This Row],[Status]])</f>
        <v/>
      </c>
    </row>
    <row r="1022" spans="79:89">
      <c r="CA1022" s="1" t="s">
        <v>71</v>
      </c>
      <c r="CB1022" s="1" t="s">
        <v>18</v>
      </c>
      <c r="CC1022" s="1" t="s">
        <v>132</v>
      </c>
      <c r="CE1022" s="122">
        <f>FUR[[#This Row],[Part Type]]</f>
        <v>0</v>
      </c>
      <c r="CF1022" s="122">
        <f>FUR[[#This Row],[Chemicals]]</f>
        <v>0</v>
      </c>
      <c r="CG1022" s="122">
        <f>FUR[[#This Row],[UID]]</f>
        <v>0</v>
      </c>
      <c r="CK1022" s="82" t="str">
        <f>IF(FUR[[#This Row],[Status]]=0,"",FUR[[#This Row],[Status]])</f>
        <v/>
      </c>
    </row>
    <row r="1023" spans="79:89">
      <c r="CA1023" s="1" t="s">
        <v>71</v>
      </c>
      <c r="CB1023" s="1" t="s">
        <v>18</v>
      </c>
      <c r="CC1023" s="1" t="s">
        <v>132</v>
      </c>
      <c r="CE1023" s="122">
        <f>FUR[[#This Row],[Part Type]]</f>
        <v>0</v>
      </c>
      <c r="CF1023" s="122">
        <f>FUR[[#This Row],[Chemicals]]</f>
        <v>0</v>
      </c>
      <c r="CG1023" s="122">
        <f>FUR[[#This Row],[UID]]</f>
        <v>0</v>
      </c>
      <c r="CK1023" s="82" t="str">
        <f>IF(FUR[[#This Row],[Status]]=0,"",FUR[[#This Row],[Status]])</f>
        <v/>
      </c>
    </row>
    <row r="1024" spans="79:89">
      <c r="CA1024" s="1" t="s">
        <v>71</v>
      </c>
      <c r="CB1024" s="1" t="s">
        <v>18</v>
      </c>
      <c r="CC1024" s="1" t="s">
        <v>132</v>
      </c>
      <c r="CE1024" s="122">
        <f>FUR[[#This Row],[Part Type]]</f>
        <v>0</v>
      </c>
      <c r="CF1024" s="122">
        <f>FUR[[#This Row],[Chemicals]]</f>
        <v>0</v>
      </c>
      <c r="CG1024" s="122">
        <f>FUR[[#This Row],[UID]]</f>
        <v>0</v>
      </c>
      <c r="CK1024" s="82" t="str">
        <f>IF(FUR[[#This Row],[Status]]=0,"",FUR[[#This Row],[Status]])</f>
        <v/>
      </c>
    </row>
    <row r="1025" spans="79:89">
      <c r="CA1025" s="1" t="s">
        <v>71</v>
      </c>
      <c r="CB1025" s="1" t="s">
        <v>18</v>
      </c>
      <c r="CC1025" s="1" t="s">
        <v>132</v>
      </c>
      <c r="CE1025" s="122">
        <f>FUR[[#This Row],[Part Type]]</f>
        <v>0</v>
      </c>
      <c r="CF1025" s="122">
        <f>FUR[[#This Row],[Chemicals]]</f>
        <v>0</v>
      </c>
      <c r="CG1025" s="122">
        <f>FUR[[#This Row],[UID]]</f>
        <v>0</v>
      </c>
      <c r="CK1025" s="82" t="str">
        <f>IF(FUR[[#This Row],[Status]]=0,"",FUR[[#This Row],[Status]])</f>
        <v/>
      </c>
    </row>
    <row r="1026" spans="79:89">
      <c r="CA1026" s="1" t="s">
        <v>71</v>
      </c>
      <c r="CB1026" s="1" t="s">
        <v>18</v>
      </c>
      <c r="CC1026" s="1" t="s">
        <v>132</v>
      </c>
      <c r="CE1026" s="122">
        <f>FUR[[#This Row],[Part Type]]</f>
        <v>0</v>
      </c>
      <c r="CF1026" s="122">
        <f>FUR[[#This Row],[Chemicals]]</f>
        <v>0</v>
      </c>
      <c r="CG1026" s="122">
        <f>FUR[[#This Row],[UID]]</f>
        <v>0</v>
      </c>
      <c r="CK1026" s="82" t="str">
        <f>IF(FUR[[#This Row],[Status]]=0,"",FUR[[#This Row],[Status]])</f>
        <v/>
      </c>
    </row>
    <row r="1027" spans="79:89">
      <c r="CA1027" s="1" t="s">
        <v>71</v>
      </c>
      <c r="CB1027" s="1" t="s">
        <v>18</v>
      </c>
      <c r="CC1027" s="1" t="s">
        <v>132</v>
      </c>
      <c r="CE1027" s="122">
        <f>FUR[[#This Row],[Part Type]]</f>
        <v>0</v>
      </c>
      <c r="CF1027" s="122">
        <f>FUR[[#This Row],[Chemicals]]</f>
        <v>0</v>
      </c>
      <c r="CG1027" s="122">
        <f>FUR[[#This Row],[UID]]</f>
        <v>0</v>
      </c>
      <c r="CK1027" s="82" t="str">
        <f>IF(FUR[[#This Row],[Status]]=0,"",FUR[[#This Row],[Status]])</f>
        <v/>
      </c>
    </row>
    <row r="1028" spans="79:89">
      <c r="CA1028" s="1" t="s">
        <v>71</v>
      </c>
      <c r="CB1028" s="1" t="s">
        <v>18</v>
      </c>
      <c r="CC1028" s="1" t="s">
        <v>132</v>
      </c>
      <c r="CE1028" s="122">
        <f>FUR[[#This Row],[Part Type]]</f>
        <v>0</v>
      </c>
      <c r="CF1028" s="122">
        <f>FUR[[#This Row],[Chemicals]]</f>
        <v>0</v>
      </c>
      <c r="CG1028" s="122">
        <f>FUR[[#This Row],[UID]]</f>
        <v>0</v>
      </c>
      <c r="CK1028" s="82" t="str">
        <f>IF(FUR[[#This Row],[Status]]=0,"",FUR[[#This Row],[Status]])</f>
        <v/>
      </c>
    </row>
    <row r="1029" spans="79:89">
      <c r="CA1029" s="1" t="s">
        <v>71</v>
      </c>
      <c r="CB1029" s="1" t="s">
        <v>18</v>
      </c>
      <c r="CC1029" s="1" t="s">
        <v>132</v>
      </c>
      <c r="CE1029" s="122">
        <f>FUR[[#This Row],[Part Type]]</f>
        <v>0</v>
      </c>
      <c r="CF1029" s="122">
        <f>FUR[[#This Row],[Chemicals]]</f>
        <v>0</v>
      </c>
      <c r="CG1029" s="122">
        <f>FUR[[#This Row],[UID]]</f>
        <v>0</v>
      </c>
      <c r="CK1029" s="82" t="str">
        <f>IF(FUR[[#This Row],[Status]]=0,"",FUR[[#This Row],[Status]])</f>
        <v/>
      </c>
    </row>
    <row r="1030" spans="79:89">
      <c r="CA1030" s="1" t="s">
        <v>71</v>
      </c>
      <c r="CB1030" s="1" t="s">
        <v>18</v>
      </c>
      <c r="CC1030" s="1" t="s">
        <v>132</v>
      </c>
      <c r="CE1030" s="122">
        <f>FUR[[#This Row],[Part Type]]</f>
        <v>0</v>
      </c>
      <c r="CF1030" s="122">
        <f>FUR[[#This Row],[Chemicals]]</f>
        <v>0</v>
      </c>
      <c r="CG1030" s="122">
        <f>FUR[[#This Row],[UID]]</f>
        <v>0</v>
      </c>
      <c r="CK1030" s="82" t="str">
        <f>IF(FUR[[#This Row],[Status]]=0,"",FUR[[#This Row],[Status]])</f>
        <v/>
      </c>
    </row>
    <row r="1031" spans="79:89">
      <c r="CA1031" s="1" t="s">
        <v>71</v>
      </c>
      <c r="CB1031" s="1" t="s">
        <v>18</v>
      </c>
      <c r="CC1031" s="1" t="s">
        <v>132</v>
      </c>
      <c r="CE1031" s="122">
        <f>FUR[[#This Row],[Part Type]]</f>
        <v>0</v>
      </c>
      <c r="CF1031" s="122">
        <f>FUR[[#This Row],[Chemicals]]</f>
        <v>0</v>
      </c>
      <c r="CG1031" s="122">
        <f>FUR[[#This Row],[UID]]</f>
        <v>0</v>
      </c>
      <c r="CK1031" s="82" t="str">
        <f>IF(FUR[[#This Row],[Status]]=0,"",FUR[[#This Row],[Status]])</f>
        <v/>
      </c>
    </row>
    <row r="1032" spans="79:89">
      <c r="CA1032" s="1" t="s">
        <v>71</v>
      </c>
      <c r="CB1032" s="1" t="s">
        <v>18</v>
      </c>
      <c r="CC1032" s="1" t="s">
        <v>132</v>
      </c>
      <c r="CE1032" s="122">
        <f>FUR[[#This Row],[Part Type]]</f>
        <v>0</v>
      </c>
      <c r="CF1032" s="122">
        <f>FUR[[#This Row],[Chemicals]]</f>
        <v>0</v>
      </c>
      <c r="CG1032" s="122">
        <f>FUR[[#This Row],[UID]]</f>
        <v>0</v>
      </c>
      <c r="CK1032" s="82" t="str">
        <f>IF(FUR[[#This Row],[Status]]=0,"",FUR[[#This Row],[Status]])</f>
        <v/>
      </c>
    </row>
    <row r="1033" spans="79:89">
      <c r="CA1033" s="1" t="s">
        <v>71</v>
      </c>
      <c r="CB1033" s="1" t="s">
        <v>18</v>
      </c>
      <c r="CC1033" s="1" t="s">
        <v>132</v>
      </c>
      <c r="CE1033" s="122">
        <f>FUR[[#This Row],[Part Type]]</f>
        <v>0</v>
      </c>
      <c r="CF1033" s="122">
        <f>FUR[[#This Row],[Chemicals]]</f>
        <v>0</v>
      </c>
      <c r="CG1033" s="122">
        <f>FUR[[#This Row],[UID]]</f>
        <v>0</v>
      </c>
      <c r="CK1033" s="82" t="str">
        <f>IF(FUR[[#This Row],[Status]]=0,"",FUR[[#This Row],[Status]])</f>
        <v/>
      </c>
    </row>
    <row r="1034" spans="79:89">
      <c r="CA1034" s="1" t="s">
        <v>71</v>
      </c>
      <c r="CB1034" s="1" t="s">
        <v>18</v>
      </c>
      <c r="CC1034" s="1" t="s">
        <v>132</v>
      </c>
      <c r="CE1034" s="122">
        <f>FUR[[#This Row],[Part Type]]</f>
        <v>0</v>
      </c>
      <c r="CF1034" s="122">
        <f>FUR[[#This Row],[Chemicals]]</f>
        <v>0</v>
      </c>
      <c r="CG1034" s="122">
        <f>FUR[[#This Row],[UID]]</f>
        <v>0</v>
      </c>
      <c r="CK1034" s="82" t="str">
        <f>IF(FUR[[#This Row],[Status]]=0,"",FUR[[#This Row],[Status]])</f>
        <v/>
      </c>
    </row>
    <row r="1035" spans="79:89">
      <c r="CA1035" s="1" t="s">
        <v>71</v>
      </c>
      <c r="CB1035" s="1" t="s">
        <v>18</v>
      </c>
      <c r="CC1035" s="1" t="s">
        <v>132</v>
      </c>
      <c r="CE1035" s="122">
        <f>FUR[[#This Row],[Part Type]]</f>
        <v>0</v>
      </c>
      <c r="CF1035" s="122">
        <f>FUR[[#This Row],[Chemicals]]</f>
        <v>0</v>
      </c>
      <c r="CG1035" s="122">
        <f>FUR[[#This Row],[UID]]</f>
        <v>0</v>
      </c>
      <c r="CK1035" s="82" t="str">
        <f>IF(FUR[[#This Row],[Status]]=0,"",FUR[[#This Row],[Status]])</f>
        <v/>
      </c>
    </row>
    <row r="1036" spans="79:89">
      <c r="CA1036" s="1" t="s">
        <v>71</v>
      </c>
      <c r="CB1036" s="1" t="s">
        <v>18</v>
      </c>
      <c r="CC1036" s="1" t="s">
        <v>132</v>
      </c>
      <c r="CE1036" s="122">
        <f>FUR[[#This Row],[Part Type]]</f>
        <v>0</v>
      </c>
      <c r="CF1036" s="122">
        <f>FUR[[#This Row],[Chemicals]]</f>
        <v>0</v>
      </c>
      <c r="CG1036" s="122">
        <f>FUR[[#This Row],[UID]]</f>
        <v>0</v>
      </c>
      <c r="CK1036" s="82" t="str">
        <f>IF(FUR[[#This Row],[Status]]=0,"",FUR[[#This Row],[Status]])</f>
        <v/>
      </c>
    </row>
    <row r="1037" spans="79:89">
      <c r="CA1037" s="1" t="s">
        <v>71</v>
      </c>
      <c r="CB1037" s="1" t="s">
        <v>18</v>
      </c>
      <c r="CC1037" s="1" t="s">
        <v>132</v>
      </c>
      <c r="CE1037" s="122">
        <f>FUR[[#This Row],[Part Type]]</f>
        <v>0</v>
      </c>
      <c r="CF1037" s="122">
        <f>FUR[[#This Row],[Chemicals]]</f>
        <v>0</v>
      </c>
      <c r="CG1037" s="122">
        <f>FUR[[#This Row],[UID]]</f>
        <v>0</v>
      </c>
      <c r="CK1037" s="82" t="str">
        <f>IF(FUR[[#This Row],[Status]]=0,"",FUR[[#This Row],[Status]])</f>
        <v/>
      </c>
    </row>
    <row r="1038" spans="79:89">
      <c r="CA1038" s="1" t="s">
        <v>71</v>
      </c>
      <c r="CB1038" s="1" t="s">
        <v>18</v>
      </c>
      <c r="CC1038" s="1" t="s">
        <v>132</v>
      </c>
      <c r="CE1038" s="122">
        <f>FUR[[#This Row],[Part Type]]</f>
        <v>0</v>
      </c>
      <c r="CF1038" s="122">
        <f>FUR[[#This Row],[Chemicals]]</f>
        <v>0</v>
      </c>
      <c r="CG1038" s="122">
        <f>FUR[[#This Row],[UID]]</f>
        <v>0</v>
      </c>
      <c r="CK1038" s="82" t="str">
        <f>IF(FUR[[#This Row],[Status]]=0,"",FUR[[#This Row],[Status]])</f>
        <v/>
      </c>
    </row>
    <row r="1039" spans="79:89">
      <c r="CA1039" s="1" t="s">
        <v>71</v>
      </c>
      <c r="CB1039" s="1" t="s">
        <v>18</v>
      </c>
      <c r="CC1039" s="1" t="s">
        <v>132</v>
      </c>
      <c r="CE1039" s="122">
        <f>FUR[[#This Row],[Part Type]]</f>
        <v>0</v>
      </c>
      <c r="CF1039" s="122">
        <f>FUR[[#This Row],[Chemicals]]</f>
        <v>0</v>
      </c>
      <c r="CG1039" s="122">
        <f>FUR[[#This Row],[UID]]</f>
        <v>0</v>
      </c>
      <c r="CK1039" s="82" t="str">
        <f>IF(FUR[[#This Row],[Status]]=0,"",FUR[[#This Row],[Status]])</f>
        <v/>
      </c>
    </row>
    <row r="1040" spans="79:89">
      <c r="CA1040" s="1" t="s">
        <v>71</v>
      </c>
      <c r="CB1040" s="1" t="s">
        <v>18</v>
      </c>
      <c r="CC1040" s="1" t="s">
        <v>132</v>
      </c>
      <c r="CE1040" s="122">
        <f>FUR[[#This Row],[Part Type]]</f>
        <v>0</v>
      </c>
      <c r="CF1040" s="122">
        <f>FUR[[#This Row],[Chemicals]]</f>
        <v>0</v>
      </c>
      <c r="CG1040" s="122">
        <f>FUR[[#This Row],[UID]]</f>
        <v>0</v>
      </c>
      <c r="CK1040" s="82" t="str">
        <f>IF(FUR[[#This Row],[Status]]=0,"",FUR[[#This Row],[Status]])</f>
        <v/>
      </c>
    </row>
    <row r="1041" spans="79:89">
      <c r="CA1041" s="1" t="s">
        <v>71</v>
      </c>
      <c r="CB1041" s="1" t="s">
        <v>18</v>
      </c>
      <c r="CC1041" s="1" t="s">
        <v>132</v>
      </c>
      <c r="CE1041" s="122">
        <f>FUR[[#This Row],[Part Type]]</f>
        <v>0</v>
      </c>
      <c r="CF1041" s="122">
        <f>FUR[[#This Row],[Chemicals]]</f>
        <v>0</v>
      </c>
      <c r="CG1041" s="122">
        <f>FUR[[#This Row],[UID]]</f>
        <v>0</v>
      </c>
      <c r="CK1041" s="82" t="str">
        <f>IF(FUR[[#This Row],[Status]]=0,"",FUR[[#This Row],[Status]])</f>
        <v/>
      </c>
    </row>
    <row r="1042" spans="79:89">
      <c r="CA1042" s="1" t="s">
        <v>71</v>
      </c>
      <c r="CB1042" s="1" t="s">
        <v>18</v>
      </c>
      <c r="CC1042" s="1" t="s">
        <v>132</v>
      </c>
      <c r="CE1042" s="122">
        <f>FUR[[#This Row],[Part Type]]</f>
        <v>0</v>
      </c>
      <c r="CF1042" s="122">
        <f>FUR[[#This Row],[Chemicals]]</f>
        <v>0</v>
      </c>
      <c r="CG1042" s="122">
        <f>FUR[[#This Row],[UID]]</f>
        <v>0</v>
      </c>
      <c r="CK1042" s="82" t="str">
        <f>IF(FUR[[#This Row],[Status]]=0,"",FUR[[#This Row],[Status]])</f>
        <v/>
      </c>
    </row>
    <row r="1043" spans="79:89">
      <c r="CA1043" s="1" t="s">
        <v>71</v>
      </c>
      <c r="CB1043" s="1" t="s">
        <v>18</v>
      </c>
      <c r="CC1043" s="1" t="s">
        <v>132</v>
      </c>
      <c r="CE1043" s="122">
        <f>FUR[[#This Row],[Part Type]]</f>
        <v>0</v>
      </c>
      <c r="CF1043" s="122">
        <f>FUR[[#This Row],[Chemicals]]</f>
        <v>0</v>
      </c>
      <c r="CG1043" s="122">
        <f>FUR[[#This Row],[UID]]</f>
        <v>0</v>
      </c>
      <c r="CK1043" s="82" t="str">
        <f>IF(FUR[[#This Row],[Status]]=0,"",FUR[[#This Row],[Status]])</f>
        <v/>
      </c>
    </row>
    <row r="1044" spans="79:89">
      <c r="CA1044" s="1" t="s">
        <v>71</v>
      </c>
      <c r="CB1044" s="1" t="s">
        <v>18</v>
      </c>
      <c r="CC1044" s="1" t="s">
        <v>132</v>
      </c>
      <c r="CE1044" s="122">
        <f>FUR[[#This Row],[Part Type]]</f>
        <v>0</v>
      </c>
      <c r="CF1044" s="122">
        <f>FUR[[#This Row],[Chemicals]]</f>
        <v>0</v>
      </c>
      <c r="CG1044" s="122">
        <f>FUR[[#This Row],[UID]]</f>
        <v>0</v>
      </c>
      <c r="CK1044" s="82" t="str">
        <f>IF(FUR[[#This Row],[Status]]=0,"",FUR[[#This Row],[Status]])</f>
        <v/>
      </c>
    </row>
    <row r="1045" spans="79:89">
      <c r="CA1045" s="1" t="s">
        <v>71</v>
      </c>
      <c r="CB1045" s="1" t="s">
        <v>18</v>
      </c>
      <c r="CC1045" s="1" t="s">
        <v>132</v>
      </c>
      <c r="CE1045" s="122">
        <f>FUR[[#This Row],[Part Type]]</f>
        <v>0</v>
      </c>
      <c r="CF1045" s="122">
        <f>FUR[[#This Row],[Chemicals]]</f>
        <v>0</v>
      </c>
      <c r="CG1045" s="122">
        <f>FUR[[#This Row],[UID]]</f>
        <v>0</v>
      </c>
      <c r="CK1045" s="82" t="str">
        <f>IF(FUR[[#This Row],[Status]]=0,"",FUR[[#This Row],[Status]])</f>
        <v/>
      </c>
    </row>
    <row r="1046" spans="79:89">
      <c r="CA1046" s="1" t="s">
        <v>71</v>
      </c>
      <c r="CB1046" s="1" t="s">
        <v>18</v>
      </c>
      <c r="CC1046" s="1" t="s">
        <v>132</v>
      </c>
      <c r="CE1046" s="122">
        <f>FUR[[#This Row],[Part Type]]</f>
        <v>0</v>
      </c>
      <c r="CF1046" s="122">
        <f>FUR[[#This Row],[Chemicals]]</f>
        <v>0</v>
      </c>
      <c r="CG1046" s="122">
        <f>FUR[[#This Row],[UID]]</f>
        <v>0</v>
      </c>
      <c r="CK1046" s="82" t="str">
        <f>IF(FUR[[#This Row],[Status]]=0,"",FUR[[#This Row],[Status]])</f>
        <v/>
      </c>
    </row>
    <row r="1047" spans="79:89">
      <c r="CA1047" s="1" t="s">
        <v>71</v>
      </c>
      <c r="CB1047" s="1" t="s">
        <v>18</v>
      </c>
      <c r="CC1047" s="1" t="s">
        <v>132</v>
      </c>
      <c r="CE1047" s="122">
        <f>FUR[[#This Row],[Part Type]]</f>
        <v>0</v>
      </c>
      <c r="CF1047" s="122">
        <f>FUR[[#This Row],[Chemicals]]</f>
        <v>0</v>
      </c>
      <c r="CG1047" s="122">
        <f>FUR[[#This Row],[UID]]</f>
        <v>0</v>
      </c>
      <c r="CK1047" s="82" t="str">
        <f>IF(FUR[[#This Row],[Status]]=0,"",FUR[[#This Row],[Status]])</f>
        <v/>
      </c>
    </row>
    <row r="1048" spans="79:89">
      <c r="CA1048" s="1" t="s">
        <v>71</v>
      </c>
      <c r="CB1048" s="1" t="s">
        <v>18</v>
      </c>
      <c r="CC1048" s="1" t="s">
        <v>132</v>
      </c>
      <c r="CE1048" s="122">
        <f>FUR[[#This Row],[Part Type]]</f>
        <v>0</v>
      </c>
      <c r="CF1048" s="122">
        <f>FUR[[#This Row],[Chemicals]]</f>
        <v>0</v>
      </c>
      <c r="CG1048" s="122">
        <f>FUR[[#This Row],[UID]]</f>
        <v>0</v>
      </c>
      <c r="CK1048" s="82" t="str">
        <f>IF(FUR[[#This Row],[Status]]=0,"",FUR[[#This Row],[Status]])</f>
        <v/>
      </c>
    </row>
    <row r="1049" spans="79:89">
      <c r="CA1049" s="1" t="s">
        <v>71</v>
      </c>
      <c r="CB1049" s="1" t="s">
        <v>18</v>
      </c>
      <c r="CC1049" s="1" t="s">
        <v>132</v>
      </c>
      <c r="CE1049" s="122">
        <f>FUR[[#This Row],[Part Type]]</f>
        <v>0</v>
      </c>
      <c r="CF1049" s="122">
        <f>FUR[[#This Row],[Chemicals]]</f>
        <v>0</v>
      </c>
      <c r="CG1049" s="122">
        <f>FUR[[#This Row],[UID]]</f>
        <v>0</v>
      </c>
      <c r="CK1049" s="82" t="str">
        <f>IF(FUR[[#This Row],[Status]]=0,"",FUR[[#This Row],[Status]])</f>
        <v/>
      </c>
    </row>
    <row r="1050" spans="79:89">
      <c r="CA1050" s="1" t="s">
        <v>71</v>
      </c>
      <c r="CB1050" s="1" t="s">
        <v>18</v>
      </c>
      <c r="CC1050" s="1" t="s">
        <v>132</v>
      </c>
      <c r="CE1050" s="122">
        <f>FUR[[#This Row],[Part Type]]</f>
        <v>0</v>
      </c>
      <c r="CF1050" s="122">
        <f>FUR[[#This Row],[Chemicals]]</f>
        <v>0</v>
      </c>
      <c r="CG1050" s="122">
        <f>FUR[[#This Row],[UID]]</f>
        <v>0</v>
      </c>
      <c r="CK1050" s="82" t="str">
        <f>IF(FUR[[#This Row],[Status]]=0,"",FUR[[#This Row],[Status]])</f>
        <v/>
      </c>
    </row>
    <row r="1051" spans="79:89">
      <c r="CA1051" s="1" t="s">
        <v>71</v>
      </c>
      <c r="CB1051" s="1" t="s">
        <v>18</v>
      </c>
      <c r="CC1051" s="1" t="s">
        <v>132</v>
      </c>
      <c r="CE1051" s="122">
        <f>FUR[[#This Row],[Part Type]]</f>
        <v>0</v>
      </c>
      <c r="CF1051" s="122">
        <f>FUR[[#This Row],[Chemicals]]</f>
        <v>0</v>
      </c>
      <c r="CG1051" s="122">
        <f>FUR[[#This Row],[UID]]</f>
        <v>0</v>
      </c>
      <c r="CK1051" s="82" t="str">
        <f>IF(FUR[[#This Row],[Status]]=0,"",FUR[[#This Row],[Status]])</f>
        <v/>
      </c>
    </row>
    <row r="1052" spans="79:89">
      <c r="CA1052" s="1" t="s">
        <v>71</v>
      </c>
      <c r="CB1052" s="1" t="s">
        <v>18</v>
      </c>
      <c r="CC1052" s="1" t="s">
        <v>132</v>
      </c>
      <c r="CE1052" s="122">
        <f>FUR[[#This Row],[Part Type]]</f>
        <v>0</v>
      </c>
      <c r="CF1052" s="122">
        <f>FUR[[#This Row],[Chemicals]]</f>
        <v>0</v>
      </c>
      <c r="CG1052" s="122">
        <f>FUR[[#This Row],[UID]]</f>
        <v>0</v>
      </c>
      <c r="CK1052" s="82" t="str">
        <f>IF(FUR[[#This Row],[Status]]=0,"",FUR[[#This Row],[Status]])</f>
        <v/>
      </c>
    </row>
    <row r="1053" spans="79:89">
      <c r="CA1053" s="1" t="s">
        <v>71</v>
      </c>
      <c r="CB1053" s="1" t="s">
        <v>18</v>
      </c>
      <c r="CC1053" s="1" t="s">
        <v>132</v>
      </c>
      <c r="CE1053" s="122">
        <f>FUR[[#This Row],[Part Type]]</f>
        <v>0</v>
      </c>
      <c r="CF1053" s="122">
        <f>FUR[[#This Row],[Chemicals]]</f>
        <v>0</v>
      </c>
      <c r="CG1053" s="122">
        <f>FUR[[#This Row],[UID]]</f>
        <v>0</v>
      </c>
      <c r="CK1053" s="82" t="str">
        <f>IF(FUR[[#This Row],[Status]]=0,"",FUR[[#This Row],[Status]])</f>
        <v/>
      </c>
    </row>
    <row r="1054" spans="79:89">
      <c r="CA1054" s="1" t="s">
        <v>71</v>
      </c>
      <c r="CB1054" s="1" t="s">
        <v>18</v>
      </c>
      <c r="CC1054" s="1" t="s">
        <v>132</v>
      </c>
      <c r="CE1054" s="122">
        <f>FUR[[#This Row],[Part Type]]</f>
        <v>0</v>
      </c>
      <c r="CF1054" s="122">
        <f>FUR[[#This Row],[Chemicals]]</f>
        <v>0</v>
      </c>
      <c r="CG1054" s="122">
        <f>FUR[[#This Row],[UID]]</f>
        <v>0</v>
      </c>
      <c r="CK1054" s="82" t="str">
        <f>IF(FUR[[#This Row],[Status]]=0,"",FUR[[#This Row],[Status]])</f>
        <v/>
      </c>
    </row>
    <row r="1055" spans="79:89">
      <c r="CA1055" s="1" t="s">
        <v>71</v>
      </c>
      <c r="CB1055" s="1" t="s">
        <v>18</v>
      </c>
      <c r="CC1055" s="1" t="s">
        <v>132</v>
      </c>
      <c r="CE1055" s="122">
        <f>FUR[[#This Row],[Part Type]]</f>
        <v>0</v>
      </c>
      <c r="CF1055" s="122">
        <f>FUR[[#This Row],[Chemicals]]</f>
        <v>0</v>
      </c>
      <c r="CG1055" s="122">
        <f>FUR[[#This Row],[UID]]</f>
        <v>0</v>
      </c>
      <c r="CK1055" s="82" t="str">
        <f>IF(FUR[[#This Row],[Status]]=0,"",FUR[[#This Row],[Status]])</f>
        <v/>
      </c>
    </row>
    <row r="1056" spans="79:89">
      <c r="CA1056" s="1" t="s">
        <v>71</v>
      </c>
      <c r="CB1056" s="1" t="s">
        <v>18</v>
      </c>
      <c r="CC1056" s="1" t="s">
        <v>132</v>
      </c>
      <c r="CE1056" s="122">
        <f>FUR[[#This Row],[Part Type]]</f>
        <v>0</v>
      </c>
      <c r="CF1056" s="122">
        <f>FUR[[#This Row],[Chemicals]]</f>
        <v>0</v>
      </c>
      <c r="CG1056" s="122">
        <f>FUR[[#This Row],[UID]]</f>
        <v>0</v>
      </c>
      <c r="CK1056" s="82" t="str">
        <f>IF(FUR[[#This Row],[Status]]=0,"",FUR[[#This Row],[Status]])</f>
        <v/>
      </c>
    </row>
  </sheetData>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3D5C5-C9E8-7B47-914E-1D9E6A07C7A1}">
  <sheetPr codeName="Sheet5"/>
  <dimension ref="A1:CL101"/>
  <sheetViews>
    <sheetView topLeftCell="D5" zoomScale="113" workbookViewId="0">
      <selection activeCell="I20" sqref="I20"/>
    </sheetView>
  </sheetViews>
  <sheetFormatPr defaultColWidth="11" defaultRowHeight="15.95"/>
  <cols>
    <col min="1" max="3" width="11.5" style="11" customWidth="1"/>
    <col min="4" max="5" width="25.875" style="11" customWidth="1"/>
    <col min="6" max="6" width="17.625" style="11" customWidth="1"/>
    <col min="7" max="7" width="17.875" style="11" bestFit="1" customWidth="1"/>
    <col min="8" max="8" width="17.875" style="11" customWidth="1"/>
    <col min="9" max="9" width="14.125" style="11" bestFit="1" customWidth="1"/>
    <col min="10" max="11" width="11.5" style="17" customWidth="1"/>
    <col min="12" max="12" width="14.875" style="17" bestFit="1" customWidth="1"/>
    <col min="13" max="13" width="104.5" bestFit="1" customWidth="1"/>
    <col min="14" max="14" width="207.5" customWidth="1"/>
    <col min="80" max="80" width="16.125" customWidth="1"/>
    <col min="81" max="81" width="20.125" customWidth="1"/>
    <col min="82" max="82" width="21" customWidth="1"/>
    <col min="85" max="85" width="13.5" customWidth="1"/>
    <col min="86" max="86" width="12.375" customWidth="1"/>
    <col min="87" max="87" width="16.875" customWidth="1"/>
    <col min="89" max="89" width="15" customWidth="1"/>
  </cols>
  <sheetData>
    <row r="1" spans="1:90">
      <c r="A1" s="25" t="s">
        <v>12</v>
      </c>
      <c r="B1" s="25" t="s">
        <v>95</v>
      </c>
      <c r="C1" s="181" t="s">
        <v>94</v>
      </c>
      <c r="D1" s="25" t="s">
        <v>757</v>
      </c>
      <c r="E1" s="25" t="s">
        <v>758</v>
      </c>
      <c r="F1" s="25" t="s">
        <v>234</v>
      </c>
      <c r="G1" s="25" t="s">
        <v>759</v>
      </c>
      <c r="H1" s="25" t="s">
        <v>113</v>
      </c>
      <c r="I1" s="25" t="s">
        <v>760</v>
      </c>
      <c r="J1" s="26" t="s">
        <v>401</v>
      </c>
      <c r="K1" s="26" t="s">
        <v>761</v>
      </c>
      <c r="L1" s="26" t="s">
        <v>117</v>
      </c>
      <c r="M1" s="25" t="s">
        <v>342</v>
      </c>
      <c r="N1" s="25" t="s">
        <v>236</v>
      </c>
      <c r="CA1" t="s">
        <v>119</v>
      </c>
      <c r="CB1" s="117" t="s">
        <v>2</v>
      </c>
      <c r="CC1" s="118" t="s">
        <v>3</v>
      </c>
      <c r="CD1" s="118" t="s">
        <v>4</v>
      </c>
      <c r="CE1" s="118" t="s">
        <v>5</v>
      </c>
      <c r="CF1" s="118" t="s">
        <v>6</v>
      </c>
      <c r="CG1" s="119" t="s">
        <v>7</v>
      </c>
      <c r="CH1" s="118" t="s">
        <v>8</v>
      </c>
      <c r="CI1" s="118" t="s">
        <v>9</v>
      </c>
      <c r="CJ1" s="118" t="s">
        <v>10</v>
      </c>
      <c r="CK1" s="118" t="s">
        <v>11</v>
      </c>
      <c r="CL1" s="120" t="s">
        <v>12</v>
      </c>
    </row>
    <row r="2" spans="1:90">
      <c r="A2" s="9" t="s">
        <v>260</v>
      </c>
      <c r="B2" s="9" t="s">
        <v>60</v>
      </c>
      <c r="C2" s="9" t="s">
        <v>762</v>
      </c>
      <c r="D2" s="9" t="s">
        <v>763</v>
      </c>
      <c r="E2" s="9" t="s">
        <v>176</v>
      </c>
      <c r="F2" s="9" t="s">
        <v>764</v>
      </c>
      <c r="G2" s="9" t="s">
        <v>165</v>
      </c>
      <c r="H2" s="9"/>
      <c r="I2" s="12">
        <v>39661</v>
      </c>
      <c r="J2" s="16">
        <v>0</v>
      </c>
      <c r="K2" s="16" t="s">
        <v>129</v>
      </c>
      <c r="L2" s="16" t="s">
        <v>129</v>
      </c>
      <c r="M2" s="66" t="s">
        <v>765</v>
      </c>
      <c r="N2" s="13" t="s">
        <v>766</v>
      </c>
      <c r="CA2" t="s">
        <v>131</v>
      </c>
      <c r="CB2" s="1" t="s">
        <v>71</v>
      </c>
      <c r="CC2" s="1" t="s">
        <v>18</v>
      </c>
      <c r="CD2" s="1" t="s">
        <v>132</v>
      </c>
      <c r="CE2" s="1"/>
      <c r="CF2" s="112" t="str">
        <f>GKT[[#This Row],[Part Type]]</f>
        <v>Gasket</v>
      </c>
      <c r="CG2" s="112" t="str">
        <f>GKT[[#This Row],[Description Name]]</f>
        <v>400MPa Ni</v>
      </c>
      <c r="CH2" s="112" t="str">
        <f>GKT[[#This Row],[UID]]</f>
        <v>GKT-400-1</v>
      </c>
      <c r="CI2" s="1"/>
      <c r="CJ2" s="1"/>
      <c r="CK2" s="1"/>
      <c r="CL2" s="1" t="str">
        <f>IF(GKT[[#This Row],[Status]]=0,"",GKT[[#This Row],[Status]])</f>
        <v>Retired</v>
      </c>
    </row>
    <row r="3" spans="1:90">
      <c r="A3" s="9" t="s">
        <v>260</v>
      </c>
      <c r="B3" s="9" t="s">
        <v>60</v>
      </c>
      <c r="C3" s="9" t="s">
        <v>767</v>
      </c>
      <c r="D3" s="9" t="s">
        <v>768</v>
      </c>
      <c r="E3" s="9" t="s">
        <v>176</v>
      </c>
      <c r="F3" s="9" t="s">
        <v>764</v>
      </c>
      <c r="G3" s="9" t="s">
        <v>165</v>
      </c>
      <c r="H3" s="9"/>
      <c r="I3" s="12">
        <v>40087</v>
      </c>
      <c r="J3" s="16">
        <v>0</v>
      </c>
      <c r="K3" s="16" t="s">
        <v>129</v>
      </c>
      <c r="L3" s="16" t="s">
        <v>129</v>
      </c>
      <c r="M3" s="66" t="s">
        <v>765</v>
      </c>
      <c r="CB3" s="1" t="s">
        <v>71</v>
      </c>
      <c r="CC3" s="1" t="s">
        <v>18</v>
      </c>
      <c r="CD3" s="1" t="s">
        <v>132</v>
      </c>
      <c r="CF3" s="52" t="str">
        <f>GKT[[#This Row],[Part Type]]</f>
        <v>Gasket</v>
      </c>
      <c r="CG3" s="52" t="str">
        <f>GKT[[#This Row],[Description Name]]</f>
        <v>400MPa Ni w/M8</v>
      </c>
      <c r="CH3" s="52" t="str">
        <f>GKT[[#This Row],[UID]]</f>
        <v>GKT-400-2</v>
      </c>
      <c r="CL3" t="str">
        <f>IF(GKT[[#This Row],[Status]]=0,"",GKT[[#This Row],[Status]])</f>
        <v>Retired</v>
      </c>
    </row>
    <row r="4" spans="1:90">
      <c r="A4" s="9" t="s">
        <v>260</v>
      </c>
      <c r="B4" s="9" t="s">
        <v>60</v>
      </c>
      <c r="C4" s="9" t="s">
        <v>769</v>
      </c>
      <c r="D4" s="9" t="s">
        <v>770</v>
      </c>
      <c r="E4" s="9" t="s">
        <v>176</v>
      </c>
      <c r="F4" s="9" t="s">
        <v>164</v>
      </c>
      <c r="G4" s="9" t="s">
        <v>165</v>
      </c>
      <c r="H4" s="9"/>
      <c r="I4" s="12">
        <v>39661</v>
      </c>
      <c r="J4" s="16">
        <v>0</v>
      </c>
      <c r="K4" s="16" t="s">
        <v>129</v>
      </c>
      <c r="L4" s="16" t="s">
        <v>129</v>
      </c>
      <c r="M4" s="66" t="s">
        <v>765</v>
      </c>
      <c r="N4" s="13" t="s">
        <v>771</v>
      </c>
      <c r="CB4" s="1" t="s">
        <v>71</v>
      </c>
      <c r="CC4" s="1" t="s">
        <v>18</v>
      </c>
      <c r="CD4" s="1" t="s">
        <v>132</v>
      </c>
      <c r="CF4" s="52" t="str">
        <f>GKT[[#This Row],[Part Type]]</f>
        <v>Gasket</v>
      </c>
      <c r="CG4" s="52" t="str">
        <f>GKT[[#This Row],[Description Name]]</f>
        <v>400MPa Inconel</v>
      </c>
      <c r="CH4" s="52" t="str">
        <f>GKT[[#This Row],[UID]]</f>
        <v>GKT-400-3</v>
      </c>
      <c r="CL4" t="str">
        <f>IF(GKT[[#This Row],[Status]]=0,"",GKT[[#This Row],[Status]])</f>
        <v>Retired</v>
      </c>
    </row>
    <row r="5" spans="1:90">
      <c r="A5" s="9" t="s">
        <v>120</v>
      </c>
      <c r="B5" s="9" t="s">
        <v>60</v>
      </c>
      <c r="C5" s="9" t="s">
        <v>772</v>
      </c>
      <c r="D5" s="9" t="s">
        <v>773</v>
      </c>
      <c r="E5" s="9" t="s">
        <v>182</v>
      </c>
      <c r="F5" s="9" t="s">
        <v>164</v>
      </c>
      <c r="G5" s="9" t="s">
        <v>165</v>
      </c>
      <c r="H5" s="9"/>
      <c r="I5" s="12">
        <v>39826</v>
      </c>
      <c r="J5" s="16">
        <v>10</v>
      </c>
      <c r="K5" s="16" t="s">
        <v>129</v>
      </c>
      <c r="L5" s="16" t="s">
        <v>129</v>
      </c>
      <c r="M5" s="66" t="s">
        <v>774</v>
      </c>
      <c r="N5" s="13" t="s">
        <v>775</v>
      </c>
      <c r="CB5" s="1" t="s">
        <v>71</v>
      </c>
      <c r="CC5" s="1" t="s">
        <v>18</v>
      </c>
      <c r="CD5" s="1" t="s">
        <v>132</v>
      </c>
      <c r="CF5" s="52" t="str">
        <f>GKT[[#This Row],[Part Type]]</f>
        <v>Gasket</v>
      </c>
      <c r="CG5" s="52" t="str">
        <f>GKT[[#This Row],[Description Name]]</f>
        <v>New 1" Inconel</v>
      </c>
      <c r="CH5" s="52" t="str">
        <f>GKT[[#This Row],[UID]]</f>
        <v>GKT-New1-1</v>
      </c>
      <c r="CL5" t="str">
        <f>IF(GKT[[#This Row],[Status]]=0,"",GKT[[#This Row],[Status]])</f>
        <v>Active</v>
      </c>
    </row>
    <row r="6" spans="1:90">
      <c r="A6" s="9" t="s">
        <v>120</v>
      </c>
      <c r="B6" s="9" t="s">
        <v>60</v>
      </c>
      <c r="C6" s="9" t="s">
        <v>776</v>
      </c>
      <c r="D6" s="9" t="s">
        <v>777</v>
      </c>
      <c r="E6" s="9" t="s">
        <v>182</v>
      </c>
      <c r="F6" s="9" t="s">
        <v>764</v>
      </c>
      <c r="G6" s="9" t="s">
        <v>165</v>
      </c>
      <c r="H6" s="9"/>
      <c r="I6" s="12">
        <v>39827</v>
      </c>
      <c r="J6" s="16">
        <v>0</v>
      </c>
      <c r="K6" s="16" t="s">
        <v>129</v>
      </c>
      <c r="L6" s="16" t="s">
        <v>129</v>
      </c>
      <c r="M6" s="66" t="s">
        <v>778</v>
      </c>
      <c r="N6" s="13" t="s">
        <v>779</v>
      </c>
      <c r="CB6" s="1" t="s">
        <v>71</v>
      </c>
      <c r="CC6" s="1" t="s">
        <v>18</v>
      </c>
      <c r="CD6" s="1" t="s">
        <v>132</v>
      </c>
      <c r="CF6" s="52" t="str">
        <f>GKT[[#This Row],[Part Type]]</f>
        <v>Gasket</v>
      </c>
      <c r="CG6" s="52" t="str">
        <f>GKT[[#This Row],[Description Name]]</f>
        <v>New 1" Ni</v>
      </c>
      <c r="CH6" s="52" t="str">
        <f>GKT[[#This Row],[UID]]</f>
        <v>GKT-New1-2</v>
      </c>
      <c r="CL6" t="str">
        <f>IF(GKT[[#This Row],[Status]]=0,"",GKT[[#This Row],[Status]])</f>
        <v>Active</v>
      </c>
    </row>
    <row r="7" spans="1:90">
      <c r="A7" s="9" t="s">
        <v>120</v>
      </c>
      <c r="B7" s="9" t="s">
        <v>60</v>
      </c>
      <c r="C7" s="9" t="s">
        <v>780</v>
      </c>
      <c r="D7" s="9" t="s">
        <v>781</v>
      </c>
      <c r="E7" s="9" t="s">
        <v>182</v>
      </c>
      <c r="F7" s="9" t="s">
        <v>764</v>
      </c>
      <c r="G7" s="9" t="s">
        <v>165</v>
      </c>
      <c r="H7" s="9"/>
      <c r="I7" s="12">
        <v>40026</v>
      </c>
      <c r="J7" s="16">
        <v>0</v>
      </c>
      <c r="K7" s="16" t="s">
        <v>129</v>
      </c>
      <c r="L7" s="16" t="s">
        <v>129</v>
      </c>
      <c r="M7" s="66" t="s">
        <v>782</v>
      </c>
      <c r="N7" s="13" t="s">
        <v>783</v>
      </c>
      <c r="CB7" s="1" t="s">
        <v>71</v>
      </c>
      <c r="CC7" s="1" t="s">
        <v>18</v>
      </c>
      <c r="CD7" s="1" t="s">
        <v>132</v>
      </c>
      <c r="CF7" s="52" t="str">
        <f>GKT[[#This Row],[Part Type]]</f>
        <v>Gasket</v>
      </c>
      <c r="CG7" s="52" t="str">
        <f>GKT[[#This Row],[Description Name]]</f>
        <v xml:space="preserve"> New 1" Ni One Ridge</v>
      </c>
      <c r="CH7" s="52" t="str">
        <f>GKT[[#This Row],[UID]]</f>
        <v>GKT-New1-3</v>
      </c>
      <c r="CL7" t="str">
        <f>IF(GKT[[#This Row],[Status]]=0,"",GKT[[#This Row],[Status]])</f>
        <v>Active</v>
      </c>
    </row>
    <row r="8" spans="1:90">
      <c r="A8" s="9" t="s">
        <v>120</v>
      </c>
      <c r="B8" s="9" t="s">
        <v>60</v>
      </c>
      <c r="C8" s="9" t="s">
        <v>784</v>
      </c>
      <c r="D8" s="9" t="s">
        <v>785</v>
      </c>
      <c r="E8" s="9" t="s">
        <v>182</v>
      </c>
      <c r="F8" s="9" t="s">
        <v>764</v>
      </c>
      <c r="G8" s="9" t="s">
        <v>165</v>
      </c>
      <c r="H8" s="9"/>
      <c r="I8" s="12">
        <v>40664</v>
      </c>
      <c r="J8" s="16">
        <v>37</v>
      </c>
      <c r="K8" s="16" t="s">
        <v>129</v>
      </c>
      <c r="L8" s="16" t="s">
        <v>129</v>
      </c>
      <c r="M8" s="66" t="s">
        <v>786</v>
      </c>
      <c r="N8" s="13" t="s">
        <v>787</v>
      </c>
      <c r="CB8" s="1" t="s">
        <v>71</v>
      </c>
      <c r="CC8" s="1" t="s">
        <v>18</v>
      </c>
      <c r="CD8" s="1" t="s">
        <v>132</v>
      </c>
      <c r="CF8" s="52" t="str">
        <f>GKT[[#This Row],[Part Type]]</f>
        <v>Gasket</v>
      </c>
      <c r="CG8" s="52" t="str">
        <f>GKT[[#This Row],[Description Name]]</f>
        <v xml:space="preserve">New 1" Ni One Ridge Loose </v>
      </c>
      <c r="CH8" s="52" t="str">
        <f>GKT[[#This Row],[UID]]</f>
        <v>GKT-New1-4</v>
      </c>
      <c r="CL8" t="str">
        <f>IF(GKT[[#This Row],[Status]]=0,"",GKT[[#This Row],[Status]])</f>
        <v>Active</v>
      </c>
    </row>
    <row r="9" spans="1:90">
      <c r="A9" s="9" t="s">
        <v>120</v>
      </c>
      <c r="B9" s="9" t="s">
        <v>60</v>
      </c>
      <c r="C9" s="9" t="s">
        <v>788</v>
      </c>
      <c r="D9" s="9" t="s">
        <v>789</v>
      </c>
      <c r="E9" s="9" t="s">
        <v>122</v>
      </c>
      <c r="F9" s="9" t="s">
        <v>764</v>
      </c>
      <c r="G9" s="9" t="s">
        <v>165</v>
      </c>
      <c r="H9" s="9"/>
      <c r="I9" s="12">
        <v>39083</v>
      </c>
      <c r="J9" s="16">
        <v>43</v>
      </c>
      <c r="K9" s="16" t="s">
        <v>129</v>
      </c>
      <c r="L9" s="16" t="s">
        <v>129</v>
      </c>
      <c r="M9" s="66" t="s">
        <v>790</v>
      </c>
      <c r="N9" s="13" t="s">
        <v>791</v>
      </c>
      <c r="CA9" s="18"/>
      <c r="CB9" s="1" t="s">
        <v>71</v>
      </c>
      <c r="CC9" s="1" t="s">
        <v>18</v>
      </c>
      <c r="CD9" s="1" t="s">
        <v>132</v>
      </c>
      <c r="CE9" s="18"/>
      <c r="CF9" s="36" t="str">
        <f>GKT[[#This Row],[Part Type]]</f>
        <v>Gasket</v>
      </c>
      <c r="CG9" s="36" t="str">
        <f>GKT[[#This Row],[Description Name]]</f>
        <v>Old 1"  Ni</v>
      </c>
      <c r="CH9" s="36" t="str">
        <f>GKT[[#This Row],[UID]]</f>
        <v>GKT-Old1-1</v>
      </c>
      <c r="CI9" s="18"/>
      <c r="CJ9" s="18"/>
      <c r="CK9" s="18"/>
      <c r="CL9" s="18" t="str">
        <f>IF(GKT[[#This Row],[Status]]=0,"",GKT[[#This Row],[Status]])</f>
        <v>Active</v>
      </c>
    </row>
    <row r="10" spans="1:90">
      <c r="A10" s="9" t="s">
        <v>120</v>
      </c>
      <c r="B10" s="9" t="s">
        <v>60</v>
      </c>
      <c r="C10" s="9" t="s">
        <v>792</v>
      </c>
      <c r="D10" s="9" t="s">
        <v>793</v>
      </c>
      <c r="E10" s="9" t="s">
        <v>122</v>
      </c>
      <c r="F10" s="9" t="s">
        <v>764</v>
      </c>
      <c r="G10" s="9" t="s">
        <v>165</v>
      </c>
      <c r="H10" s="9"/>
      <c r="I10" s="12">
        <v>39995</v>
      </c>
      <c r="J10" s="16">
        <v>0</v>
      </c>
      <c r="K10" s="16" t="s">
        <v>129</v>
      </c>
      <c r="L10" s="16" t="s">
        <v>129</v>
      </c>
      <c r="M10" s="66" t="s">
        <v>794</v>
      </c>
      <c r="N10" s="13" t="s">
        <v>795</v>
      </c>
      <c r="CA10" s="18"/>
      <c r="CB10" s="1" t="s">
        <v>71</v>
      </c>
      <c r="CC10" s="1" t="s">
        <v>18</v>
      </c>
      <c r="CD10" s="1" t="s">
        <v>132</v>
      </c>
      <c r="CE10" s="18"/>
      <c r="CF10" s="36" t="str">
        <f>GKT[[#This Row],[Part Type]]</f>
        <v>Gasket</v>
      </c>
      <c r="CG10" s="36" t="str">
        <f>GKT[[#This Row],[Description Name]]</f>
        <v>Old 1" One Ridge</v>
      </c>
      <c r="CH10" s="36" t="str">
        <f>GKT[[#This Row],[UID]]</f>
        <v>GKT-Old1-2</v>
      </c>
      <c r="CI10" s="18"/>
      <c r="CJ10" s="18"/>
      <c r="CK10" s="18"/>
      <c r="CL10" s="18" t="str">
        <f>IF(GKT[[#This Row],[Status]]=0,"",GKT[[#This Row],[Status]])</f>
        <v>Active</v>
      </c>
    </row>
    <row r="11" spans="1:90">
      <c r="A11" s="9" t="s">
        <v>120</v>
      </c>
      <c r="B11" s="9" t="s">
        <v>60</v>
      </c>
      <c r="C11" s="9" t="s">
        <v>796</v>
      </c>
      <c r="D11" s="9" t="s">
        <v>797</v>
      </c>
      <c r="E11" s="9" t="s">
        <v>122</v>
      </c>
      <c r="F11" s="9" t="s">
        <v>764</v>
      </c>
      <c r="G11" s="9" t="s">
        <v>165</v>
      </c>
      <c r="H11" s="9"/>
      <c r="I11" s="12">
        <v>39995</v>
      </c>
      <c r="J11" s="16">
        <v>0</v>
      </c>
      <c r="K11" s="16" t="s">
        <v>129</v>
      </c>
      <c r="L11" s="16" t="s">
        <v>129</v>
      </c>
      <c r="M11" s="66" t="s">
        <v>798</v>
      </c>
      <c r="N11" s="13" t="s">
        <v>799</v>
      </c>
      <c r="CA11" s="82"/>
      <c r="CB11" s="1" t="s">
        <v>71</v>
      </c>
      <c r="CC11" s="1" t="s">
        <v>18</v>
      </c>
      <c r="CD11" s="1" t="s">
        <v>132</v>
      </c>
      <c r="CE11" s="82"/>
      <c r="CF11" s="122" t="str">
        <f>GKT[[#This Row],[Part Type]]</f>
        <v>Gasket</v>
      </c>
      <c r="CG11" s="122" t="str">
        <f>GKT[[#This Row],[Description Name]]</f>
        <v>Old 1" Two Ridge</v>
      </c>
      <c r="CH11" s="122" t="str">
        <f>GKT[[#This Row],[UID]]</f>
        <v>GKT-Old1-3</v>
      </c>
      <c r="CI11" s="82"/>
      <c r="CJ11" s="82"/>
      <c r="CK11" s="82"/>
      <c r="CL11" s="82" t="str">
        <f>IF(GKT[[#This Row],[Status]]=0,"",GKT[[#This Row],[Status]])</f>
        <v>Active</v>
      </c>
    </row>
    <row r="12" spans="1:90">
      <c r="A12" s="9" t="s">
        <v>260</v>
      </c>
      <c r="B12" s="9" t="s">
        <v>60</v>
      </c>
      <c r="C12" s="9" t="s">
        <v>800</v>
      </c>
      <c r="D12" s="9" t="s">
        <v>223</v>
      </c>
      <c r="E12" s="9" t="s">
        <v>801</v>
      </c>
      <c r="F12" s="9" t="s">
        <v>164</v>
      </c>
      <c r="G12" s="9" t="s">
        <v>165</v>
      </c>
      <c r="H12" s="9"/>
      <c r="I12" s="14">
        <v>40179</v>
      </c>
      <c r="J12" s="17">
        <v>0</v>
      </c>
      <c r="K12" s="16" t="s">
        <v>129</v>
      </c>
      <c r="L12" s="16" t="s">
        <v>129</v>
      </c>
      <c r="M12" s="66" t="s">
        <v>802</v>
      </c>
      <c r="N12" s="9" t="s">
        <v>803</v>
      </c>
      <c r="CA12" s="82"/>
      <c r="CB12" s="1" t="s">
        <v>71</v>
      </c>
      <c r="CC12" s="1" t="s">
        <v>18</v>
      </c>
      <c r="CD12" s="1" t="s">
        <v>132</v>
      </c>
      <c r="CE12" s="82"/>
      <c r="CF12" s="122" t="str">
        <f>GKT[[#This Row],[Part Type]]</f>
        <v>Gasket</v>
      </c>
      <c r="CG12" s="122" t="str">
        <f>GKT[[#This Row],[Description Name]]</f>
        <v>2"</v>
      </c>
      <c r="CH12" s="122" t="str">
        <f>GKT[[#This Row],[UID]]</f>
        <v>GKT-2-1</v>
      </c>
      <c r="CI12" s="82"/>
      <c r="CJ12" s="82"/>
      <c r="CK12" s="82"/>
      <c r="CL12" s="82" t="str">
        <f>IF(GKT[[#This Row],[Status]]=0,"",GKT[[#This Row],[Status]])</f>
        <v>Retired</v>
      </c>
    </row>
    <row r="13" spans="1:90">
      <c r="A13" s="9" t="s">
        <v>120</v>
      </c>
      <c r="B13" s="9" t="s">
        <v>60</v>
      </c>
      <c r="C13" s="11" t="s">
        <v>804</v>
      </c>
      <c r="D13" s="11" t="s">
        <v>805</v>
      </c>
      <c r="E13" s="9" t="s">
        <v>122</v>
      </c>
      <c r="F13" s="9" t="s">
        <v>164</v>
      </c>
      <c r="G13" s="11" t="s">
        <v>165</v>
      </c>
      <c r="I13" s="14">
        <v>41960</v>
      </c>
      <c r="J13" s="17">
        <v>0</v>
      </c>
      <c r="K13" s="16" t="s">
        <v>129</v>
      </c>
      <c r="L13" s="16" t="s">
        <v>129</v>
      </c>
      <c r="M13" s="66" t="s">
        <v>790</v>
      </c>
      <c r="N13" s="13" t="s">
        <v>806</v>
      </c>
      <c r="CA13" s="82"/>
      <c r="CB13" s="1" t="s">
        <v>71</v>
      </c>
      <c r="CC13" s="1" t="s">
        <v>18</v>
      </c>
      <c r="CD13" s="1" t="s">
        <v>132</v>
      </c>
      <c r="CE13" s="82"/>
      <c r="CF13" s="122" t="str">
        <f>GKT[[#This Row],[Part Type]]</f>
        <v>Gasket</v>
      </c>
      <c r="CG13" s="122" t="str">
        <f>GKT[[#This Row],[Description Name]]</f>
        <v>Old 1" 625</v>
      </c>
      <c r="CH13" s="122" t="str">
        <f>GKT[[#This Row],[UID]]</f>
        <v>GKT-Old1-4</v>
      </c>
      <c r="CI13" s="82"/>
      <c r="CJ13" s="82"/>
      <c r="CK13" s="82"/>
      <c r="CL13" s="82" t="str">
        <f>IF(GKT[[#This Row],[Status]]=0,"",GKT[[#This Row],[Status]])</f>
        <v>Active</v>
      </c>
    </row>
    <row r="14" spans="1:90">
      <c r="A14" s="9" t="s">
        <v>120</v>
      </c>
      <c r="B14" s="9" t="s">
        <v>60</v>
      </c>
      <c r="C14" s="9" t="s">
        <v>807</v>
      </c>
      <c r="D14" s="9" t="s">
        <v>785</v>
      </c>
      <c r="E14" s="9" t="s">
        <v>182</v>
      </c>
      <c r="F14" s="9" t="s">
        <v>164</v>
      </c>
      <c r="G14" s="9" t="s">
        <v>165</v>
      </c>
      <c r="H14" s="9"/>
      <c r="I14" s="12">
        <v>40664</v>
      </c>
      <c r="J14" s="16">
        <v>3</v>
      </c>
      <c r="K14" s="16" t="s">
        <v>129</v>
      </c>
      <c r="L14" s="16" t="s">
        <v>129</v>
      </c>
      <c r="M14" s="66" t="s">
        <v>786</v>
      </c>
      <c r="N14" s="13" t="s">
        <v>808</v>
      </c>
      <c r="CA14" s="82"/>
      <c r="CB14" s="1" t="s">
        <v>71</v>
      </c>
      <c r="CC14" s="1" t="s">
        <v>18</v>
      </c>
      <c r="CD14" s="1" t="s">
        <v>132</v>
      </c>
      <c r="CE14" s="82"/>
      <c r="CF14" s="122" t="str">
        <f>GKT[[#This Row],[Part Type]]</f>
        <v>Gasket</v>
      </c>
      <c r="CG14" s="122" t="str">
        <f>GKT[[#This Row],[Description Name]]</f>
        <v xml:space="preserve">New 1" Ni One Ridge Loose </v>
      </c>
      <c r="CH14" s="122" t="str">
        <f>GKT[[#This Row],[UID]]</f>
        <v>GKT-New1-6</v>
      </c>
      <c r="CI14" s="82"/>
      <c r="CJ14" s="82"/>
      <c r="CK14" s="82"/>
      <c r="CL14" s="82" t="str">
        <f>IF(GKT[[#This Row],[Status]]=0,"",GKT[[#This Row],[Status]])</f>
        <v>Active</v>
      </c>
    </row>
    <row r="15" spans="1:90">
      <c r="A15" s="9" t="s">
        <v>120</v>
      </c>
      <c r="B15" s="9" t="s">
        <v>60</v>
      </c>
      <c r="C15" s="9" t="s">
        <v>809</v>
      </c>
      <c r="D15" s="9" t="s">
        <v>810</v>
      </c>
      <c r="E15" s="9" t="s">
        <v>182</v>
      </c>
      <c r="F15" s="9" t="s">
        <v>764</v>
      </c>
      <c r="G15" s="9" t="s">
        <v>165</v>
      </c>
      <c r="H15" s="9"/>
      <c r="I15" s="12">
        <v>40647</v>
      </c>
      <c r="J15" s="16">
        <v>3</v>
      </c>
      <c r="K15" s="16" t="s">
        <v>129</v>
      </c>
      <c r="L15" s="16" t="s">
        <v>129</v>
      </c>
      <c r="M15" s="66" t="s">
        <v>811</v>
      </c>
      <c r="N15" s="13" t="s">
        <v>812</v>
      </c>
      <c r="CB15" s="1" t="s">
        <v>71</v>
      </c>
      <c r="CC15" s="1" t="s">
        <v>18</v>
      </c>
      <c r="CD15" s="1" t="s">
        <v>132</v>
      </c>
      <c r="CF15" s="52" t="str">
        <f>GKT[[#This Row],[Part Type]]</f>
        <v>Gasket</v>
      </c>
      <c r="CG15" s="52" t="str">
        <f>GKT[[#This Row],[Description Name]]</f>
        <v>New 1" Ni Slip Fit</v>
      </c>
      <c r="CH15" s="52" t="str">
        <f>GKT[[#This Row],[UID]]</f>
        <v>GKT-New1-5</v>
      </c>
      <c r="CL15" t="str">
        <f>IF(GKT[[#This Row],[Status]]=0,"",GKT[[#This Row],[Status]])</f>
        <v>Active</v>
      </c>
    </row>
    <row r="16" spans="1:90">
      <c r="A16" s="9" t="s">
        <v>120</v>
      </c>
      <c r="B16" s="9" t="s">
        <v>60</v>
      </c>
      <c r="C16" s="9" t="s">
        <v>813</v>
      </c>
      <c r="D16" s="9" t="s">
        <v>814</v>
      </c>
      <c r="E16" s="9" t="s">
        <v>182</v>
      </c>
      <c r="F16" s="9" t="s">
        <v>164</v>
      </c>
      <c r="G16" s="9" t="s">
        <v>165</v>
      </c>
      <c r="H16" s="9"/>
      <c r="I16" s="12">
        <v>39826</v>
      </c>
      <c r="J16" s="16">
        <v>2</v>
      </c>
      <c r="K16" s="16" t="s">
        <v>129</v>
      </c>
      <c r="L16" s="16" t="s">
        <v>129</v>
      </c>
      <c r="M16" s="66" t="s">
        <v>774</v>
      </c>
      <c r="N16" s="16" t="s">
        <v>129</v>
      </c>
      <c r="CB16" s="1" t="s">
        <v>71</v>
      </c>
      <c r="CC16" s="1" t="s">
        <v>18</v>
      </c>
      <c r="CD16" s="1" t="s">
        <v>132</v>
      </c>
      <c r="CF16" s="52" t="str">
        <f>GKT[[#This Row],[Part Type]]</f>
        <v>Gasket</v>
      </c>
      <c r="CG16" s="52" t="str">
        <f>GKT[[#This Row],[Description Name]]</f>
        <v>New 1" Grayloc</v>
      </c>
      <c r="CH16" s="52" t="str">
        <f>GKT[[#This Row],[UID]]</f>
        <v>GKT-Size 11</v>
      </c>
      <c r="CL16" t="str">
        <f>IF(GKT[[#This Row],[Status]]=0,"",GKT[[#This Row],[Status]])</f>
        <v>Active</v>
      </c>
    </row>
    <row r="17" spans="1:90">
      <c r="A17" s="9" t="s">
        <v>120</v>
      </c>
      <c r="B17" s="9" t="s">
        <v>60</v>
      </c>
      <c r="C17" s="9" t="s">
        <v>813</v>
      </c>
      <c r="D17" s="9" t="s">
        <v>814</v>
      </c>
      <c r="E17" s="9" t="s">
        <v>182</v>
      </c>
      <c r="F17" s="9" t="s">
        <v>164</v>
      </c>
      <c r="G17" s="9" t="s">
        <v>815</v>
      </c>
      <c r="H17" s="9"/>
      <c r="I17" s="12">
        <v>39826</v>
      </c>
      <c r="J17" s="16">
        <v>1</v>
      </c>
      <c r="K17" s="16" t="s">
        <v>129</v>
      </c>
      <c r="L17" s="16" t="s">
        <v>129</v>
      </c>
      <c r="M17" s="66" t="s">
        <v>774</v>
      </c>
      <c r="N17" s="16" t="s">
        <v>129</v>
      </c>
      <c r="CB17" s="1" t="s">
        <v>71</v>
      </c>
      <c r="CC17" s="1" t="s">
        <v>18</v>
      </c>
      <c r="CD17" s="1" t="s">
        <v>132</v>
      </c>
      <c r="CF17" s="52" t="str">
        <f>GKT[[#This Row],[Part Type]]</f>
        <v>Gasket</v>
      </c>
      <c r="CG17" s="52" t="str">
        <f>GKT[[#This Row],[Description Name]]</f>
        <v>New 1" Grayloc</v>
      </c>
      <c r="CH17" s="52" t="str">
        <f>GKT[[#This Row],[UID]]</f>
        <v>GKT-Size 11</v>
      </c>
      <c r="CL17" t="str">
        <f>IF(GKT[[#This Row],[Status]]=0,"",GKT[[#This Row],[Status]])</f>
        <v>Active</v>
      </c>
    </row>
    <row r="18" spans="1:90">
      <c r="A18" s="9" t="s">
        <v>120</v>
      </c>
      <c r="B18" s="9" t="s">
        <v>60</v>
      </c>
      <c r="C18" s="9" t="s">
        <v>813</v>
      </c>
      <c r="D18" s="9" t="s">
        <v>814</v>
      </c>
      <c r="E18" s="9" t="s">
        <v>182</v>
      </c>
      <c r="F18" s="9" t="s">
        <v>164</v>
      </c>
      <c r="G18" s="9" t="s">
        <v>816</v>
      </c>
      <c r="H18" s="9"/>
      <c r="I18" s="12">
        <v>39826</v>
      </c>
      <c r="J18" s="16">
        <v>1</v>
      </c>
      <c r="K18" s="16" t="s">
        <v>129</v>
      </c>
      <c r="L18" s="16" t="s">
        <v>129</v>
      </c>
      <c r="M18" s="66" t="s">
        <v>774</v>
      </c>
      <c r="N18" s="16" t="s">
        <v>129</v>
      </c>
      <c r="CB18" s="1" t="s">
        <v>71</v>
      </c>
      <c r="CC18" s="1" t="s">
        <v>18</v>
      </c>
      <c r="CD18" s="1" t="s">
        <v>132</v>
      </c>
      <c r="CF18" s="52" t="str">
        <f>GKT[[#This Row],[Part Type]]</f>
        <v>Gasket</v>
      </c>
      <c r="CG18" s="52" t="str">
        <f>GKT[[#This Row],[Description Name]]</f>
        <v>New 1" Grayloc</v>
      </c>
      <c r="CH18" s="52" t="str">
        <f>GKT[[#This Row],[UID]]</f>
        <v>GKT-Size 11</v>
      </c>
      <c r="CL18" t="str">
        <f>IF(GKT[[#This Row],[Status]]=0,"",GKT[[#This Row],[Status]])</f>
        <v>Active</v>
      </c>
    </row>
    <row r="19" spans="1:90">
      <c r="A19" s="9" t="s">
        <v>120</v>
      </c>
      <c r="B19" s="9" t="s">
        <v>60</v>
      </c>
      <c r="C19" s="9" t="s">
        <v>817</v>
      </c>
      <c r="D19" s="9" t="s">
        <v>818</v>
      </c>
      <c r="E19" s="9" t="s">
        <v>819</v>
      </c>
      <c r="F19" s="9" t="s">
        <v>820</v>
      </c>
      <c r="G19" s="9" t="s">
        <v>165</v>
      </c>
      <c r="H19" s="9"/>
      <c r="I19" s="12">
        <v>39835</v>
      </c>
      <c r="J19" s="16">
        <v>4</v>
      </c>
      <c r="K19" s="16" t="s">
        <v>129</v>
      </c>
      <c r="L19" s="16" t="s">
        <v>129</v>
      </c>
      <c r="M19" s="66" t="s">
        <v>174</v>
      </c>
      <c r="N19" s="13" t="s">
        <v>821</v>
      </c>
      <c r="CB19" s="1" t="s">
        <v>71</v>
      </c>
      <c r="CC19" s="1" t="s">
        <v>18</v>
      </c>
      <c r="CD19" s="1" t="s">
        <v>132</v>
      </c>
      <c r="CF19" s="52" t="str">
        <f>GKT[[#This Row],[Part Type]]</f>
        <v>Gasket</v>
      </c>
      <c r="CG19" s="52" t="str">
        <f>GKT[[#This Row],[Description Name]]</f>
        <v>SS Autoclave HIP</v>
      </c>
      <c r="CH19" s="52" t="str">
        <f>GKT[[#This Row],[UID]]</f>
        <v>GKT-SS-HIP</v>
      </c>
      <c r="CL19" t="str">
        <f>IF(GKT[[#This Row],[Status]]=0,"",GKT[[#This Row],[Status]])</f>
        <v>Active</v>
      </c>
    </row>
    <row r="20" spans="1:90" ht="259.5">
      <c r="A20" s="9" t="s">
        <v>120</v>
      </c>
      <c r="B20" s="9" t="s">
        <v>60</v>
      </c>
      <c r="C20" s="9" t="s">
        <v>822</v>
      </c>
      <c r="D20" s="9" t="s">
        <v>823</v>
      </c>
      <c r="E20" s="31" t="s">
        <v>142</v>
      </c>
      <c r="F20" s="31" t="s">
        <v>170</v>
      </c>
      <c r="G20" s="9" t="s">
        <v>165</v>
      </c>
      <c r="H20" s="189" t="s">
        <v>824</v>
      </c>
      <c r="I20" s="9">
        <v>220510</v>
      </c>
      <c r="J20" s="16">
        <v>20</v>
      </c>
      <c r="K20" s="16" t="s">
        <v>129</v>
      </c>
      <c r="L20" s="16" t="s">
        <v>825</v>
      </c>
      <c r="M20" s="16" t="s">
        <v>129</v>
      </c>
      <c r="N20" s="16" t="s">
        <v>129</v>
      </c>
      <c r="CB20" s="1" t="s">
        <v>71</v>
      </c>
      <c r="CC20" s="1" t="s">
        <v>18</v>
      </c>
      <c r="CD20" s="1" t="s">
        <v>132</v>
      </c>
      <c r="CF20" s="52" t="str">
        <f>GKT[[#This Row],[Part Type]]</f>
        <v>Gasket</v>
      </c>
      <c r="CG20" s="52" t="str">
        <f>GKT[[#This Row],[Description Name]]</f>
        <v>Std SS VCR 1/2"</v>
      </c>
      <c r="CH20" s="52" t="str">
        <f>GKT[[#This Row],[UID]]</f>
        <v>GKT-TZM1-1</v>
      </c>
      <c r="CL20" t="str">
        <f>IF(GKT[[#This Row],[Status]]=0,"",GKT[[#This Row],[Status]])</f>
        <v>Active</v>
      </c>
    </row>
    <row r="21" spans="1:90">
      <c r="A21" s="9" t="s">
        <v>120</v>
      </c>
      <c r="B21" s="9" t="s">
        <v>60</v>
      </c>
      <c r="C21" s="9" t="s">
        <v>826</v>
      </c>
      <c r="D21" s="9" t="s">
        <v>827</v>
      </c>
      <c r="E21" s="31" t="s">
        <v>142</v>
      </c>
      <c r="F21" s="31" t="s">
        <v>455</v>
      </c>
      <c r="G21" s="9" t="s">
        <v>165</v>
      </c>
      <c r="H21" s="9"/>
      <c r="I21" s="9">
        <v>220912</v>
      </c>
      <c r="J21" s="16">
        <v>10</v>
      </c>
      <c r="K21" s="16" t="s">
        <v>129</v>
      </c>
      <c r="L21" s="16" t="s">
        <v>828</v>
      </c>
      <c r="M21" s="16" t="s">
        <v>129</v>
      </c>
      <c r="N21" s="16" t="s">
        <v>129</v>
      </c>
      <c r="CB21" s="1" t="s">
        <v>71</v>
      </c>
      <c r="CC21" s="1" t="s">
        <v>18</v>
      </c>
      <c r="CD21" s="1" t="s">
        <v>132</v>
      </c>
      <c r="CF21" s="52" t="str">
        <f>GKT[[#This Row],[Part Type]]</f>
        <v>Gasket</v>
      </c>
      <c r="CG21" s="52" t="str">
        <f>GKT[[#This Row],[Description Name]]</f>
        <v>Mo ID OD T</v>
      </c>
      <c r="CH21" s="52" t="str">
        <f>GKT[[#This Row],[UID]]</f>
        <v>GKT-TZM1-2</v>
      </c>
      <c r="CL21" t="str">
        <f>IF(GKT[[#This Row],[Status]]=0,"",GKT[[#This Row],[Status]])</f>
        <v>Active</v>
      </c>
    </row>
    <row r="22" spans="1:90">
      <c r="A22" s="9" t="s">
        <v>120</v>
      </c>
      <c r="B22" s="9" t="s">
        <v>60</v>
      </c>
      <c r="C22" s="9" t="s">
        <v>829</v>
      </c>
      <c r="D22" s="30"/>
      <c r="E22" s="9" t="s">
        <v>188</v>
      </c>
      <c r="F22" s="30"/>
      <c r="G22" s="30"/>
      <c r="H22" s="30"/>
      <c r="I22" s="94"/>
      <c r="J22" s="110"/>
      <c r="K22" s="110"/>
      <c r="L22" s="110"/>
      <c r="M22" s="80" t="s">
        <v>189</v>
      </c>
      <c r="N22" s="13"/>
      <c r="CB22" s="1" t="s">
        <v>71</v>
      </c>
      <c r="CC22" s="1" t="s">
        <v>18</v>
      </c>
      <c r="CD22" s="1" t="s">
        <v>132</v>
      </c>
      <c r="CF22" s="52" t="str">
        <f>GKT[[#This Row],[Part Type]]</f>
        <v>Gasket</v>
      </c>
      <c r="CG22" s="52">
        <f>GKT[[#This Row],[Description Name]]</f>
        <v>0</v>
      </c>
      <c r="CH22" s="52" t="str">
        <f>GKT[[#This Row],[UID]]</f>
        <v>GKT-Parr</v>
      </c>
      <c r="CL22" t="str">
        <f>IF(GKT[[#This Row],[Status]]=0,"",GKT[[#This Row],[Status]])</f>
        <v>Active</v>
      </c>
    </row>
    <row r="23" spans="1:90">
      <c r="A23" s="9" t="s">
        <v>140</v>
      </c>
      <c r="B23" s="9" t="s">
        <v>60</v>
      </c>
      <c r="C23" s="9" t="s">
        <v>830</v>
      </c>
      <c r="D23" s="9" t="s">
        <v>831</v>
      </c>
      <c r="E23" s="9" t="s">
        <v>832</v>
      </c>
      <c r="F23" s="9" t="s">
        <v>833</v>
      </c>
      <c r="G23" s="9" t="s">
        <v>165</v>
      </c>
      <c r="H23" s="9"/>
      <c r="I23" s="12">
        <v>44956</v>
      </c>
      <c r="J23" s="16">
        <v>0</v>
      </c>
      <c r="K23" s="16" t="s">
        <v>129</v>
      </c>
      <c r="L23" s="16" t="s">
        <v>129</v>
      </c>
      <c r="M23" s="16"/>
      <c r="N23" s="13"/>
      <c r="CB23" s="1" t="s">
        <v>71</v>
      </c>
      <c r="CC23" s="1" t="s">
        <v>18</v>
      </c>
      <c r="CD23" s="1" t="s">
        <v>132</v>
      </c>
      <c r="CF23" s="52" t="str">
        <f>GKT[[#This Row],[Part Type]]</f>
        <v>Gasket</v>
      </c>
      <c r="CG23" s="52" t="str">
        <f>GKT[[#This Row],[Description Name]]</f>
        <v>TZM 3" OD Top Gasket</v>
      </c>
      <c r="CH23" s="52" t="str">
        <f>GKT[[#This Row],[UID]]</f>
        <v>GKT-TM3-1</v>
      </c>
      <c r="CL23" t="str">
        <f>IF(GKT[[#This Row],[Status]]=0,"",GKT[[#This Row],[Status]])</f>
        <v>New</v>
      </c>
    </row>
    <row r="24" spans="1:90">
      <c r="A24" s="9" t="s">
        <v>140</v>
      </c>
      <c r="B24" s="9" t="s">
        <v>60</v>
      </c>
      <c r="C24" s="9" t="s">
        <v>834</v>
      </c>
      <c r="D24" s="9" t="s">
        <v>835</v>
      </c>
      <c r="E24" s="9" t="s">
        <v>832</v>
      </c>
      <c r="F24" s="9" t="s">
        <v>833</v>
      </c>
      <c r="G24" s="9" t="s">
        <v>165</v>
      </c>
      <c r="H24" s="9"/>
      <c r="I24" s="12">
        <v>44956</v>
      </c>
      <c r="J24" s="16">
        <v>0</v>
      </c>
      <c r="K24" s="16" t="s">
        <v>129</v>
      </c>
      <c r="L24" s="16" t="s">
        <v>129</v>
      </c>
      <c r="M24" s="16"/>
      <c r="N24" s="13"/>
      <c r="CB24" s="1" t="s">
        <v>71</v>
      </c>
      <c r="CC24" s="1" t="s">
        <v>18</v>
      </c>
      <c r="CD24" s="1" t="s">
        <v>132</v>
      </c>
      <c r="CF24" s="52" t="str">
        <f>GKT[[#This Row],[Part Type]]</f>
        <v>Gasket</v>
      </c>
      <c r="CG24" s="52" t="str">
        <f>GKT[[#This Row],[Description Name]]</f>
        <v>TZM 3" OD Bottom Gasket</v>
      </c>
      <c r="CH24" s="52" t="str">
        <f>GKT[[#This Row],[UID]]</f>
        <v>GKT-TM3-2</v>
      </c>
      <c r="CL24" t="str">
        <f>IF(GKT[[#This Row],[Status]]=0,"",GKT[[#This Row],[Status]])</f>
        <v>New</v>
      </c>
    </row>
    <row r="25" spans="1:90">
      <c r="A25" s="9" t="s">
        <v>140</v>
      </c>
      <c r="B25" s="9" t="s">
        <v>60</v>
      </c>
      <c r="C25" s="9" t="s">
        <v>836</v>
      </c>
      <c r="D25" s="9" t="s">
        <v>837</v>
      </c>
      <c r="E25" s="9" t="s">
        <v>838</v>
      </c>
      <c r="F25" s="9" t="s">
        <v>455</v>
      </c>
      <c r="G25" s="9" t="s">
        <v>165</v>
      </c>
      <c r="H25" s="9"/>
      <c r="I25" s="12">
        <v>45678</v>
      </c>
      <c r="J25" s="16">
        <v>0</v>
      </c>
      <c r="K25" s="16"/>
      <c r="L25" s="16"/>
      <c r="M25" s="16"/>
      <c r="N25" s="13"/>
      <c r="CB25" s="1" t="s">
        <v>71</v>
      </c>
      <c r="CC25" s="1" t="s">
        <v>18</v>
      </c>
      <c r="CD25" s="1" t="s">
        <v>132</v>
      </c>
      <c r="CF25" s="52" t="str">
        <f>GKT[[#This Row],[Part Type]]</f>
        <v>Gasket</v>
      </c>
      <c r="CG25" s="52" t="str">
        <f>GKT[[#This Row],[Description Name]]</f>
        <v>TZM 3.5" OD Top Gasket</v>
      </c>
      <c r="CH25" s="52" t="str">
        <f>GKT[[#This Row],[UID]]</f>
        <v>GKT-TM3-3</v>
      </c>
      <c r="CL25" t="str">
        <f>IF(GKT[[#This Row],[Status]]=0,"",GKT[[#This Row],[Status]])</f>
        <v>New</v>
      </c>
    </row>
    <row r="26" spans="1:90">
      <c r="A26" s="9" t="s">
        <v>140</v>
      </c>
      <c r="B26" s="9" t="s">
        <v>60</v>
      </c>
      <c r="C26" s="9" t="s">
        <v>839</v>
      </c>
      <c r="D26" s="9" t="s">
        <v>840</v>
      </c>
      <c r="E26" s="9" t="s">
        <v>838</v>
      </c>
      <c r="F26" s="9" t="s">
        <v>455</v>
      </c>
      <c r="G26" s="9" t="s">
        <v>165</v>
      </c>
      <c r="H26" s="9"/>
      <c r="I26" s="12">
        <v>45678</v>
      </c>
      <c r="J26" s="16">
        <v>0</v>
      </c>
      <c r="K26" s="16"/>
      <c r="L26" s="16"/>
      <c r="M26" s="16"/>
      <c r="N26" s="13"/>
      <c r="CB26" s="1" t="s">
        <v>71</v>
      </c>
      <c r="CC26" s="1" t="s">
        <v>18</v>
      </c>
      <c r="CD26" s="1" t="s">
        <v>132</v>
      </c>
      <c r="CF26" s="52" t="str">
        <f>GKT[[#This Row],[Part Type]]</f>
        <v>Gasket</v>
      </c>
      <c r="CG26" s="52" t="str">
        <f>GKT[[#This Row],[Description Name]]</f>
        <v>TZM 3.5" OD Bottom Gasket</v>
      </c>
      <c r="CH26" s="52" t="str">
        <f>GKT[[#This Row],[UID]]</f>
        <v>GKT-TM3-4</v>
      </c>
      <c r="CL26" t="str">
        <f>IF(GKT[[#This Row],[Status]]=0,"",GKT[[#This Row],[Status]])</f>
        <v>New</v>
      </c>
    </row>
    <row r="27" spans="1:90">
      <c r="A27" s="9"/>
      <c r="B27" s="9"/>
      <c r="C27" s="9"/>
      <c r="D27" s="9"/>
      <c r="E27" s="9"/>
      <c r="F27" s="9"/>
      <c r="G27" s="9"/>
      <c r="H27" s="9"/>
      <c r="I27" s="12"/>
      <c r="J27" s="16"/>
      <c r="K27" s="16"/>
      <c r="L27" s="16"/>
      <c r="M27" s="16"/>
      <c r="N27" s="13"/>
      <c r="CB27" s="1" t="s">
        <v>71</v>
      </c>
      <c r="CC27" s="1" t="s">
        <v>18</v>
      </c>
      <c r="CD27" s="1" t="s">
        <v>132</v>
      </c>
      <c r="CF27" s="52">
        <f>GKT[[#This Row],[Part Type]]</f>
        <v>0</v>
      </c>
      <c r="CG27" s="52">
        <f>GKT[[#This Row],[Description Name]]</f>
        <v>0</v>
      </c>
      <c r="CH27" s="52">
        <f>GKT[[#This Row],[UID]]</f>
        <v>0</v>
      </c>
      <c r="CL27" t="str">
        <f>IF(GKT[[#This Row],[Status]]=0,"",GKT[[#This Row],[Status]])</f>
        <v/>
      </c>
    </row>
    <row r="28" spans="1:90">
      <c r="A28" s="9"/>
      <c r="B28" s="9"/>
      <c r="C28" s="9"/>
      <c r="D28" s="9"/>
      <c r="E28" s="9"/>
      <c r="F28" s="9"/>
      <c r="G28" s="9"/>
      <c r="H28" s="9"/>
      <c r="I28" s="12"/>
      <c r="J28" s="16"/>
      <c r="K28" s="16"/>
      <c r="L28" s="16"/>
      <c r="M28" s="16"/>
      <c r="N28" s="13"/>
      <c r="CB28" s="1" t="s">
        <v>71</v>
      </c>
      <c r="CC28" s="1" t="s">
        <v>18</v>
      </c>
      <c r="CD28" s="1" t="s">
        <v>132</v>
      </c>
      <c r="CF28" s="52">
        <f>GKT[[#This Row],[Part Type]]</f>
        <v>0</v>
      </c>
      <c r="CG28" s="52">
        <f>GKT[[#This Row],[Description Name]]</f>
        <v>0</v>
      </c>
      <c r="CH28" s="52">
        <f>GKT[[#This Row],[UID]]</f>
        <v>0</v>
      </c>
      <c r="CL28" t="str">
        <f>IF(GKT[[#This Row],[Status]]=0,"",GKT[[#This Row],[Status]])</f>
        <v/>
      </c>
    </row>
    <row r="29" spans="1:90">
      <c r="A29" s="9"/>
      <c r="B29" s="9"/>
      <c r="C29" s="9"/>
      <c r="D29" s="9"/>
      <c r="E29" s="9"/>
      <c r="F29" s="9"/>
      <c r="G29" s="9"/>
      <c r="H29" s="9"/>
      <c r="I29" s="12"/>
      <c r="J29" s="16"/>
      <c r="K29" s="16"/>
      <c r="L29" s="16"/>
      <c r="M29" s="16"/>
      <c r="N29" s="13"/>
      <c r="CB29" s="1" t="s">
        <v>71</v>
      </c>
      <c r="CC29" s="1" t="s">
        <v>18</v>
      </c>
      <c r="CD29" s="1" t="s">
        <v>132</v>
      </c>
      <c r="CF29" s="52">
        <f>GKT[[#This Row],[Part Type]]</f>
        <v>0</v>
      </c>
      <c r="CG29" s="52">
        <f>GKT[[#This Row],[Description Name]]</f>
        <v>0</v>
      </c>
      <c r="CH29" s="52">
        <f>GKT[[#This Row],[UID]]</f>
        <v>0</v>
      </c>
      <c r="CL29" t="str">
        <f>IF(GKT[[#This Row],[Status]]=0,"",GKT[[#This Row],[Status]])</f>
        <v/>
      </c>
    </row>
    <row r="30" spans="1:90">
      <c r="A30" s="9"/>
      <c r="B30" s="9"/>
      <c r="C30" s="9"/>
      <c r="D30" s="9"/>
      <c r="E30" s="9"/>
      <c r="F30" s="9"/>
      <c r="G30" s="9"/>
      <c r="H30" s="9"/>
      <c r="I30" s="12"/>
      <c r="J30" s="16"/>
      <c r="K30" s="16"/>
      <c r="L30" s="16"/>
      <c r="M30" s="16"/>
      <c r="N30" s="13"/>
      <c r="CB30" s="1" t="s">
        <v>71</v>
      </c>
      <c r="CC30" s="1" t="s">
        <v>18</v>
      </c>
      <c r="CD30" s="1" t="s">
        <v>132</v>
      </c>
      <c r="CF30" s="52">
        <f>GKT[[#This Row],[Part Type]]</f>
        <v>0</v>
      </c>
      <c r="CG30" s="52">
        <f>GKT[[#This Row],[Description Name]]</f>
        <v>0</v>
      </c>
      <c r="CH30" s="52">
        <f>GKT[[#This Row],[UID]]</f>
        <v>0</v>
      </c>
      <c r="CL30" t="str">
        <f>IF(GKT[[#This Row],[Status]]=0,"",GKT[[#This Row],[Status]])</f>
        <v/>
      </c>
    </row>
    <row r="31" spans="1:90">
      <c r="A31" s="9"/>
      <c r="B31" s="9"/>
      <c r="C31" s="9"/>
      <c r="D31" s="9"/>
      <c r="E31" s="9"/>
      <c r="F31" s="9"/>
      <c r="G31" s="9"/>
      <c r="H31" s="9"/>
      <c r="I31" s="12"/>
      <c r="J31" s="16"/>
      <c r="K31" s="16"/>
      <c r="L31" s="16"/>
      <c r="M31" s="16"/>
      <c r="N31" s="13"/>
      <c r="CB31" s="1" t="s">
        <v>71</v>
      </c>
      <c r="CC31" s="1" t="s">
        <v>18</v>
      </c>
      <c r="CD31" s="1" t="s">
        <v>132</v>
      </c>
      <c r="CF31" s="52">
        <f>GKT[[#This Row],[Part Type]]</f>
        <v>0</v>
      </c>
      <c r="CG31" s="52">
        <f>GKT[[#This Row],[Description Name]]</f>
        <v>0</v>
      </c>
      <c r="CH31" s="52">
        <f>GKT[[#This Row],[UID]]</f>
        <v>0</v>
      </c>
      <c r="CL31" t="str">
        <f>IF(GKT[[#This Row],[Status]]=0,"",GKT[[#This Row],[Status]])</f>
        <v/>
      </c>
    </row>
    <row r="32" spans="1:90">
      <c r="A32" s="9"/>
      <c r="B32" s="9"/>
      <c r="C32" s="9"/>
      <c r="D32" s="9"/>
      <c r="E32" s="9"/>
      <c r="F32" s="9"/>
      <c r="G32" s="9"/>
      <c r="H32" s="9"/>
      <c r="I32" s="12"/>
      <c r="J32" s="16"/>
      <c r="K32" s="16"/>
      <c r="L32" s="16"/>
      <c r="M32" s="16"/>
      <c r="N32" s="13"/>
      <c r="CB32" s="1" t="s">
        <v>71</v>
      </c>
      <c r="CC32" s="1" t="s">
        <v>18</v>
      </c>
      <c r="CD32" s="1" t="s">
        <v>132</v>
      </c>
      <c r="CF32" s="52">
        <f>GKT[[#This Row],[Part Type]]</f>
        <v>0</v>
      </c>
      <c r="CG32" s="52">
        <f>GKT[[#This Row],[Description Name]]</f>
        <v>0</v>
      </c>
      <c r="CH32" s="52">
        <f>GKT[[#This Row],[UID]]</f>
        <v>0</v>
      </c>
      <c r="CL32" t="str">
        <f>IF(GKT[[#This Row],[Status]]=0,"",GKT[[#This Row],[Status]])</f>
        <v/>
      </c>
    </row>
    <row r="33" spans="1:90">
      <c r="A33" s="9"/>
      <c r="B33" s="9"/>
      <c r="C33" s="9"/>
      <c r="D33" s="9"/>
      <c r="E33" s="9"/>
      <c r="F33" s="9"/>
      <c r="G33" s="9"/>
      <c r="H33" s="9"/>
      <c r="I33" s="12"/>
      <c r="J33" s="16"/>
      <c r="K33" s="16"/>
      <c r="L33" s="16"/>
      <c r="M33" s="16"/>
      <c r="N33" s="13"/>
      <c r="CB33" s="1" t="s">
        <v>71</v>
      </c>
      <c r="CC33" s="1" t="s">
        <v>18</v>
      </c>
      <c r="CD33" s="1" t="s">
        <v>132</v>
      </c>
      <c r="CF33" s="52">
        <f>GKT[[#This Row],[Part Type]]</f>
        <v>0</v>
      </c>
      <c r="CG33" s="52">
        <f>GKT[[#This Row],[Description Name]]</f>
        <v>0</v>
      </c>
      <c r="CH33" s="52">
        <f>GKT[[#This Row],[UID]]</f>
        <v>0</v>
      </c>
      <c r="CL33" t="str">
        <f>IF(GKT[[#This Row],[Status]]=0,"",GKT[[#This Row],[Status]])</f>
        <v/>
      </c>
    </row>
    <row r="34" spans="1:90">
      <c r="A34" s="9"/>
      <c r="B34" s="9"/>
      <c r="C34" s="9"/>
      <c r="D34" s="9"/>
      <c r="E34" s="9"/>
      <c r="F34" s="9"/>
      <c r="G34" s="9"/>
      <c r="H34" s="9"/>
      <c r="I34" s="12"/>
      <c r="J34" s="16"/>
      <c r="K34" s="16"/>
      <c r="L34" s="16"/>
      <c r="M34" s="16"/>
      <c r="N34" s="13"/>
      <c r="CB34" s="1" t="s">
        <v>71</v>
      </c>
      <c r="CC34" s="1" t="s">
        <v>18</v>
      </c>
      <c r="CD34" s="1" t="s">
        <v>132</v>
      </c>
      <c r="CF34" s="52">
        <f>GKT[[#This Row],[Part Type]]</f>
        <v>0</v>
      </c>
      <c r="CG34" s="52">
        <f>GKT[[#This Row],[Description Name]]</f>
        <v>0</v>
      </c>
      <c r="CH34" s="52">
        <f>GKT[[#This Row],[UID]]</f>
        <v>0</v>
      </c>
      <c r="CL34" t="str">
        <f>IF(GKT[[#This Row],[Status]]=0,"",GKT[[#This Row],[Status]])</f>
        <v/>
      </c>
    </row>
    <row r="35" spans="1:90">
      <c r="A35" s="9"/>
      <c r="B35" s="9"/>
      <c r="C35" s="9"/>
      <c r="D35" s="9"/>
      <c r="E35" s="9"/>
      <c r="F35" s="9"/>
      <c r="G35" s="9"/>
      <c r="H35" s="9"/>
      <c r="I35" s="12"/>
      <c r="J35" s="16"/>
      <c r="K35" s="16"/>
      <c r="L35" s="16"/>
      <c r="M35" s="16"/>
      <c r="N35" s="13"/>
      <c r="CB35" s="1" t="s">
        <v>71</v>
      </c>
      <c r="CC35" s="1" t="s">
        <v>18</v>
      </c>
      <c r="CD35" s="1" t="s">
        <v>132</v>
      </c>
      <c r="CF35" s="52">
        <f>GKT[[#This Row],[Part Type]]</f>
        <v>0</v>
      </c>
      <c r="CG35" s="52">
        <f>GKT[[#This Row],[Description Name]]</f>
        <v>0</v>
      </c>
      <c r="CH35" s="52">
        <f>GKT[[#This Row],[UID]]</f>
        <v>0</v>
      </c>
      <c r="CL35" t="str">
        <f>IF(GKT[[#This Row],[Status]]=0,"",GKT[[#This Row],[Status]])</f>
        <v/>
      </c>
    </row>
    <row r="36" spans="1:90">
      <c r="A36" s="9"/>
      <c r="B36" s="9"/>
      <c r="C36" s="9"/>
      <c r="D36" s="9"/>
      <c r="E36" s="9"/>
      <c r="F36" s="9"/>
      <c r="G36" s="9"/>
      <c r="H36" s="9"/>
      <c r="I36" s="12"/>
      <c r="J36" s="16"/>
      <c r="K36" s="16"/>
      <c r="L36" s="16"/>
      <c r="M36" s="16"/>
      <c r="N36" s="13"/>
      <c r="CB36" s="1" t="s">
        <v>71</v>
      </c>
      <c r="CC36" s="1" t="s">
        <v>18</v>
      </c>
      <c r="CD36" s="1" t="s">
        <v>132</v>
      </c>
      <c r="CF36" s="52">
        <f>GKT[[#This Row],[Part Type]]</f>
        <v>0</v>
      </c>
      <c r="CG36" s="52">
        <f>GKT[[#This Row],[Description Name]]</f>
        <v>0</v>
      </c>
      <c r="CH36" s="52">
        <f>GKT[[#This Row],[UID]]</f>
        <v>0</v>
      </c>
      <c r="CL36" t="str">
        <f>IF(GKT[[#This Row],[Status]]=0,"",GKT[[#This Row],[Status]])</f>
        <v/>
      </c>
    </row>
    <row r="37" spans="1:90">
      <c r="A37" s="9"/>
      <c r="B37" s="9"/>
      <c r="C37" s="9"/>
      <c r="D37" s="9"/>
      <c r="E37" s="9"/>
      <c r="F37" s="9"/>
      <c r="G37" s="9"/>
      <c r="H37" s="9"/>
      <c r="I37" s="12"/>
      <c r="J37" s="16"/>
      <c r="K37" s="16"/>
      <c r="L37" s="16"/>
      <c r="M37" s="16"/>
      <c r="N37" s="13"/>
      <c r="CB37" s="1" t="s">
        <v>71</v>
      </c>
      <c r="CC37" s="1" t="s">
        <v>18</v>
      </c>
      <c r="CD37" s="1" t="s">
        <v>132</v>
      </c>
      <c r="CF37" s="52">
        <f>GKT[[#This Row],[Part Type]]</f>
        <v>0</v>
      </c>
      <c r="CG37" s="52">
        <f>GKT[[#This Row],[Description Name]]</f>
        <v>0</v>
      </c>
      <c r="CH37" s="52">
        <f>GKT[[#This Row],[UID]]</f>
        <v>0</v>
      </c>
      <c r="CL37" t="str">
        <f>IF(GKT[[#This Row],[Status]]=0,"",GKT[[#This Row],[Status]])</f>
        <v/>
      </c>
    </row>
    <row r="38" spans="1:90">
      <c r="A38" s="9"/>
      <c r="B38" s="9"/>
      <c r="C38" s="9"/>
      <c r="D38" s="9"/>
      <c r="E38" s="9"/>
      <c r="F38" s="9"/>
      <c r="G38" s="9"/>
      <c r="H38" s="9"/>
      <c r="I38" s="12"/>
      <c r="J38" s="16"/>
      <c r="K38" s="16"/>
      <c r="L38" s="16"/>
      <c r="M38" s="16"/>
      <c r="N38" s="13"/>
      <c r="CB38" s="1" t="s">
        <v>71</v>
      </c>
      <c r="CC38" s="1" t="s">
        <v>18</v>
      </c>
      <c r="CD38" s="1" t="s">
        <v>132</v>
      </c>
      <c r="CF38" s="52">
        <f>GKT[[#This Row],[Part Type]]</f>
        <v>0</v>
      </c>
      <c r="CG38" s="52">
        <f>GKT[[#This Row],[Description Name]]</f>
        <v>0</v>
      </c>
      <c r="CH38" s="52">
        <f>GKT[[#This Row],[UID]]</f>
        <v>0</v>
      </c>
      <c r="CL38" t="str">
        <f>IF(GKT[[#This Row],[Status]]=0,"",GKT[[#This Row],[Status]])</f>
        <v/>
      </c>
    </row>
    <row r="39" spans="1:90">
      <c r="A39" s="9"/>
      <c r="B39" s="9"/>
      <c r="C39" s="9"/>
      <c r="D39" s="9"/>
      <c r="E39" s="9"/>
      <c r="F39" s="9"/>
      <c r="G39" s="9"/>
      <c r="H39" s="9"/>
      <c r="I39" s="12"/>
      <c r="J39" s="16"/>
      <c r="K39" s="16"/>
      <c r="L39" s="16"/>
      <c r="M39" s="16"/>
      <c r="N39" s="13"/>
      <c r="CB39" s="1" t="s">
        <v>71</v>
      </c>
      <c r="CC39" s="1" t="s">
        <v>18</v>
      </c>
      <c r="CD39" s="1" t="s">
        <v>132</v>
      </c>
      <c r="CF39" s="52">
        <f>GKT[[#This Row],[Part Type]]</f>
        <v>0</v>
      </c>
      <c r="CG39" s="52">
        <f>GKT[[#This Row],[Description Name]]</f>
        <v>0</v>
      </c>
      <c r="CH39" s="52">
        <f>GKT[[#This Row],[UID]]</f>
        <v>0</v>
      </c>
      <c r="CL39" t="str">
        <f>IF(GKT[[#This Row],[Status]]=0,"",GKT[[#This Row],[Status]])</f>
        <v/>
      </c>
    </row>
    <row r="40" spans="1:90">
      <c r="A40" s="9"/>
      <c r="B40" s="9"/>
      <c r="C40" s="9"/>
      <c r="D40" s="9"/>
      <c r="E40" s="9"/>
      <c r="F40" s="9"/>
      <c r="G40" s="9"/>
      <c r="H40" s="9"/>
      <c r="I40" s="12"/>
      <c r="J40" s="16"/>
      <c r="K40" s="16"/>
      <c r="L40" s="16"/>
      <c r="M40" s="16"/>
      <c r="N40" s="13"/>
      <c r="CB40" s="1" t="s">
        <v>71</v>
      </c>
      <c r="CC40" s="1" t="s">
        <v>18</v>
      </c>
      <c r="CD40" s="1" t="s">
        <v>132</v>
      </c>
      <c r="CF40" s="52">
        <f>GKT[[#This Row],[Part Type]]</f>
        <v>0</v>
      </c>
      <c r="CG40" s="52">
        <f>GKT[[#This Row],[Description Name]]</f>
        <v>0</v>
      </c>
      <c r="CH40" s="52">
        <f>GKT[[#This Row],[UID]]</f>
        <v>0</v>
      </c>
      <c r="CL40" t="str">
        <f>IF(GKT[[#This Row],[Status]]=0,"",GKT[[#This Row],[Status]])</f>
        <v/>
      </c>
    </row>
    <row r="41" spans="1:90">
      <c r="A41" s="9"/>
      <c r="B41" s="9"/>
      <c r="C41" s="9"/>
      <c r="D41" s="9"/>
      <c r="E41" s="9"/>
      <c r="F41" s="9"/>
      <c r="G41" s="9"/>
      <c r="H41" s="9"/>
      <c r="I41" s="12"/>
      <c r="J41" s="16"/>
      <c r="K41" s="16"/>
      <c r="L41" s="16"/>
      <c r="M41" s="16"/>
      <c r="N41" s="13"/>
      <c r="CB41" s="1" t="s">
        <v>71</v>
      </c>
      <c r="CC41" s="1" t="s">
        <v>18</v>
      </c>
      <c r="CD41" s="1" t="s">
        <v>132</v>
      </c>
      <c r="CF41" s="52">
        <f>GKT[[#This Row],[Part Type]]</f>
        <v>0</v>
      </c>
      <c r="CG41" s="52">
        <f>GKT[[#This Row],[Description Name]]</f>
        <v>0</v>
      </c>
      <c r="CH41" s="52">
        <f>GKT[[#This Row],[UID]]</f>
        <v>0</v>
      </c>
      <c r="CL41" t="str">
        <f>IF(GKT[[#This Row],[Status]]=0,"",GKT[[#This Row],[Status]])</f>
        <v/>
      </c>
    </row>
    <row r="42" spans="1:90">
      <c r="A42" s="9"/>
      <c r="B42" s="9"/>
      <c r="C42" s="9"/>
      <c r="D42" s="9"/>
      <c r="E42" s="9"/>
      <c r="F42" s="9"/>
      <c r="G42" s="9"/>
      <c r="H42" s="9"/>
      <c r="I42" s="12"/>
      <c r="J42" s="16"/>
      <c r="K42" s="16"/>
      <c r="L42" s="16"/>
      <c r="M42" s="16"/>
      <c r="N42" s="13"/>
      <c r="CB42" s="1" t="s">
        <v>71</v>
      </c>
      <c r="CC42" s="1" t="s">
        <v>18</v>
      </c>
      <c r="CD42" s="1" t="s">
        <v>132</v>
      </c>
      <c r="CF42" s="52">
        <f>GKT[[#This Row],[Part Type]]</f>
        <v>0</v>
      </c>
      <c r="CG42" s="52">
        <f>GKT[[#This Row],[Description Name]]</f>
        <v>0</v>
      </c>
      <c r="CH42" s="52">
        <f>GKT[[#This Row],[UID]]</f>
        <v>0</v>
      </c>
      <c r="CL42" t="str">
        <f>IF(GKT[[#This Row],[Status]]=0,"",GKT[[#This Row],[Status]])</f>
        <v/>
      </c>
    </row>
    <row r="43" spans="1:90">
      <c r="A43" s="9"/>
      <c r="B43" s="9"/>
      <c r="C43" s="9"/>
      <c r="D43" s="9"/>
      <c r="E43" s="9"/>
      <c r="F43" s="9"/>
      <c r="G43" s="9"/>
      <c r="H43" s="9"/>
      <c r="I43" s="12"/>
      <c r="J43" s="16"/>
      <c r="K43" s="16"/>
      <c r="L43" s="16"/>
      <c r="M43" s="16"/>
      <c r="N43" s="13"/>
      <c r="CB43" s="1" t="s">
        <v>71</v>
      </c>
      <c r="CC43" s="1" t="s">
        <v>18</v>
      </c>
      <c r="CD43" s="1" t="s">
        <v>132</v>
      </c>
      <c r="CF43" s="52">
        <f>GKT[[#This Row],[Part Type]]</f>
        <v>0</v>
      </c>
      <c r="CG43" s="52">
        <f>GKT[[#This Row],[Description Name]]</f>
        <v>0</v>
      </c>
      <c r="CH43" s="52">
        <f>GKT[[#This Row],[UID]]</f>
        <v>0</v>
      </c>
      <c r="CL43" t="str">
        <f>IF(GKT[[#This Row],[Status]]=0,"",GKT[[#This Row],[Status]])</f>
        <v/>
      </c>
    </row>
    <row r="44" spans="1:90">
      <c r="A44" s="9"/>
      <c r="B44" s="9"/>
      <c r="C44" s="9"/>
      <c r="D44" s="9"/>
      <c r="E44" s="9"/>
      <c r="F44" s="9"/>
      <c r="G44" s="9"/>
      <c r="H44" s="9"/>
      <c r="I44" s="12"/>
      <c r="J44" s="16"/>
      <c r="K44" s="16"/>
      <c r="L44" s="16"/>
      <c r="M44" s="16"/>
      <c r="N44" s="13"/>
      <c r="CB44" s="1" t="s">
        <v>71</v>
      </c>
      <c r="CC44" s="1" t="s">
        <v>18</v>
      </c>
      <c r="CD44" s="1" t="s">
        <v>132</v>
      </c>
      <c r="CF44" s="52">
        <f>GKT[[#This Row],[Part Type]]</f>
        <v>0</v>
      </c>
      <c r="CG44" s="52">
        <f>GKT[[#This Row],[Description Name]]</f>
        <v>0</v>
      </c>
      <c r="CH44" s="52">
        <f>GKT[[#This Row],[UID]]</f>
        <v>0</v>
      </c>
      <c r="CL44" t="str">
        <f>IF(GKT[[#This Row],[Status]]=0,"",GKT[[#This Row],[Status]])</f>
        <v/>
      </c>
    </row>
    <row r="45" spans="1:90">
      <c r="A45" s="9"/>
      <c r="B45" s="9"/>
      <c r="C45" s="9"/>
      <c r="D45" s="9"/>
      <c r="E45" s="9"/>
      <c r="F45" s="9"/>
      <c r="G45" s="9"/>
      <c r="H45" s="9"/>
      <c r="I45" s="12"/>
      <c r="J45" s="16"/>
      <c r="K45" s="16"/>
      <c r="L45" s="16"/>
      <c r="M45" s="16"/>
      <c r="N45" s="13"/>
      <c r="CB45" s="1" t="s">
        <v>71</v>
      </c>
      <c r="CC45" s="1" t="s">
        <v>18</v>
      </c>
      <c r="CD45" s="1" t="s">
        <v>132</v>
      </c>
      <c r="CF45" s="52">
        <f>GKT[[#This Row],[Part Type]]</f>
        <v>0</v>
      </c>
      <c r="CG45" s="52">
        <f>GKT[[#This Row],[Description Name]]</f>
        <v>0</v>
      </c>
      <c r="CH45" s="52">
        <f>GKT[[#This Row],[UID]]</f>
        <v>0</v>
      </c>
      <c r="CL45" t="str">
        <f>IF(GKT[[#This Row],[Status]]=0,"",GKT[[#This Row],[Status]])</f>
        <v/>
      </c>
    </row>
    <row r="46" spans="1:90">
      <c r="A46" s="9"/>
      <c r="B46" s="9"/>
      <c r="C46" s="9"/>
      <c r="D46" s="9"/>
      <c r="E46" s="9"/>
      <c r="F46" s="9"/>
      <c r="G46" s="9"/>
      <c r="H46" s="9"/>
      <c r="I46" s="12"/>
      <c r="J46" s="16"/>
      <c r="K46" s="16"/>
      <c r="L46" s="16"/>
      <c r="M46" s="16"/>
      <c r="N46" s="13"/>
      <c r="CB46" s="1" t="s">
        <v>71</v>
      </c>
      <c r="CC46" s="1" t="s">
        <v>18</v>
      </c>
      <c r="CD46" s="1" t="s">
        <v>132</v>
      </c>
      <c r="CF46" s="52">
        <f>GKT[[#This Row],[Part Type]]</f>
        <v>0</v>
      </c>
      <c r="CG46" s="52">
        <f>GKT[[#This Row],[Description Name]]</f>
        <v>0</v>
      </c>
      <c r="CH46" s="52">
        <f>GKT[[#This Row],[UID]]</f>
        <v>0</v>
      </c>
      <c r="CL46" t="str">
        <f>IF(GKT[[#This Row],[Status]]=0,"",GKT[[#This Row],[Status]])</f>
        <v/>
      </c>
    </row>
    <row r="47" spans="1:90">
      <c r="A47" s="9"/>
      <c r="B47" s="9"/>
      <c r="C47" s="9"/>
      <c r="D47" s="9"/>
      <c r="E47" s="9"/>
      <c r="F47" s="9"/>
      <c r="G47" s="9"/>
      <c r="H47" s="9"/>
      <c r="I47" s="12"/>
      <c r="J47" s="16"/>
      <c r="K47" s="16"/>
      <c r="L47" s="16"/>
      <c r="M47" s="16"/>
      <c r="N47" s="13"/>
      <c r="CB47" s="1" t="s">
        <v>71</v>
      </c>
      <c r="CC47" s="1" t="s">
        <v>18</v>
      </c>
      <c r="CD47" s="1" t="s">
        <v>132</v>
      </c>
      <c r="CF47" s="52">
        <f>GKT[[#This Row],[Part Type]]</f>
        <v>0</v>
      </c>
      <c r="CG47" s="52">
        <f>GKT[[#This Row],[Description Name]]</f>
        <v>0</v>
      </c>
      <c r="CH47" s="52">
        <f>GKT[[#This Row],[UID]]</f>
        <v>0</v>
      </c>
      <c r="CL47" t="str">
        <f>IF(GKT[[#This Row],[Status]]=0,"",GKT[[#This Row],[Status]])</f>
        <v/>
      </c>
    </row>
    <row r="48" spans="1:90">
      <c r="A48" s="9"/>
      <c r="B48" s="9"/>
      <c r="C48" s="9"/>
      <c r="D48" s="9"/>
      <c r="E48" s="9"/>
      <c r="F48" s="9"/>
      <c r="G48" s="9"/>
      <c r="H48" s="9"/>
      <c r="I48" s="12"/>
      <c r="J48" s="16"/>
      <c r="K48" s="16"/>
      <c r="L48" s="16"/>
      <c r="M48" s="16"/>
      <c r="N48" s="13"/>
      <c r="CB48" s="1" t="s">
        <v>71</v>
      </c>
      <c r="CC48" s="1" t="s">
        <v>18</v>
      </c>
      <c r="CD48" s="1" t="s">
        <v>132</v>
      </c>
      <c r="CF48" s="52">
        <f>GKT[[#This Row],[Part Type]]</f>
        <v>0</v>
      </c>
      <c r="CG48" s="52">
        <f>GKT[[#This Row],[Description Name]]</f>
        <v>0</v>
      </c>
      <c r="CH48" s="52">
        <f>GKT[[#This Row],[UID]]</f>
        <v>0</v>
      </c>
      <c r="CL48" t="str">
        <f>IF(GKT[[#This Row],[Status]]=0,"",GKT[[#This Row],[Status]])</f>
        <v/>
      </c>
    </row>
    <row r="49" spans="1:90">
      <c r="A49" s="9"/>
      <c r="B49" s="9"/>
      <c r="C49" s="9"/>
      <c r="D49" s="9"/>
      <c r="E49" s="9"/>
      <c r="F49" s="9"/>
      <c r="G49" s="9"/>
      <c r="H49" s="9"/>
      <c r="I49" s="12"/>
      <c r="J49" s="16"/>
      <c r="K49" s="16"/>
      <c r="L49" s="16"/>
      <c r="M49" s="16"/>
      <c r="N49" s="13"/>
      <c r="CB49" s="1" t="s">
        <v>71</v>
      </c>
      <c r="CC49" s="1" t="s">
        <v>18</v>
      </c>
      <c r="CD49" s="1" t="s">
        <v>132</v>
      </c>
      <c r="CF49" s="52">
        <f>GKT[[#This Row],[Part Type]]</f>
        <v>0</v>
      </c>
      <c r="CG49" s="52">
        <f>GKT[[#This Row],[Description Name]]</f>
        <v>0</v>
      </c>
      <c r="CH49" s="52">
        <f>GKT[[#This Row],[UID]]</f>
        <v>0</v>
      </c>
      <c r="CL49" t="str">
        <f>IF(GKT[[#This Row],[Status]]=0,"",GKT[[#This Row],[Status]])</f>
        <v/>
      </c>
    </row>
    <row r="50" spans="1:90">
      <c r="A50" s="9"/>
      <c r="B50" s="9"/>
      <c r="C50" s="9"/>
      <c r="D50" s="9"/>
      <c r="E50" s="9"/>
      <c r="F50" s="9"/>
      <c r="G50" s="9"/>
      <c r="H50" s="9"/>
      <c r="I50" s="12"/>
      <c r="J50" s="16"/>
      <c r="K50" s="16"/>
      <c r="L50" s="16"/>
      <c r="M50" s="16"/>
      <c r="N50" s="13"/>
      <c r="CB50" s="1" t="s">
        <v>71</v>
      </c>
      <c r="CC50" s="1" t="s">
        <v>18</v>
      </c>
      <c r="CD50" s="1" t="s">
        <v>132</v>
      </c>
      <c r="CF50" s="52">
        <f>GKT[[#This Row],[Part Type]]</f>
        <v>0</v>
      </c>
      <c r="CG50" s="52">
        <f>GKT[[#This Row],[Description Name]]</f>
        <v>0</v>
      </c>
      <c r="CH50" s="52">
        <f>GKT[[#This Row],[UID]]</f>
        <v>0</v>
      </c>
      <c r="CL50" t="str">
        <f>IF(GKT[[#This Row],[Status]]=0,"",GKT[[#This Row],[Status]])</f>
        <v/>
      </c>
    </row>
    <row r="51" spans="1:90">
      <c r="A51" s="9"/>
      <c r="B51" s="9"/>
      <c r="C51" s="9"/>
      <c r="D51" s="9"/>
      <c r="E51" s="9"/>
      <c r="F51" s="9"/>
      <c r="G51" s="9"/>
      <c r="H51" s="9"/>
      <c r="I51" s="12"/>
      <c r="J51" s="16"/>
      <c r="K51" s="16"/>
      <c r="L51" s="16"/>
      <c r="M51" s="16"/>
      <c r="N51" s="13"/>
      <c r="CB51" s="1" t="s">
        <v>71</v>
      </c>
      <c r="CC51" s="1" t="s">
        <v>18</v>
      </c>
      <c r="CD51" s="1" t="s">
        <v>132</v>
      </c>
      <c r="CF51" s="52">
        <f>GKT[[#This Row],[Part Type]]</f>
        <v>0</v>
      </c>
      <c r="CG51" s="52">
        <f>GKT[[#This Row],[Description Name]]</f>
        <v>0</v>
      </c>
      <c r="CH51" s="52">
        <f>GKT[[#This Row],[UID]]</f>
        <v>0</v>
      </c>
      <c r="CL51" t="str">
        <f>IF(GKT[[#This Row],[Status]]=0,"",GKT[[#This Row],[Status]])</f>
        <v/>
      </c>
    </row>
    <row r="52" spans="1:90">
      <c r="A52" s="9"/>
      <c r="B52" s="9"/>
      <c r="C52" s="9"/>
      <c r="D52" s="9"/>
      <c r="E52" s="9"/>
      <c r="F52" s="9"/>
      <c r="G52" s="9"/>
      <c r="H52" s="9"/>
      <c r="I52" s="12"/>
      <c r="J52" s="16"/>
      <c r="K52" s="16"/>
      <c r="L52" s="16"/>
      <c r="M52" s="16"/>
      <c r="N52" s="13"/>
      <c r="CB52" s="1" t="s">
        <v>71</v>
      </c>
      <c r="CC52" s="1" t="s">
        <v>18</v>
      </c>
      <c r="CD52" s="1" t="s">
        <v>132</v>
      </c>
      <c r="CF52" s="52">
        <f>GKT[[#This Row],[Part Type]]</f>
        <v>0</v>
      </c>
      <c r="CG52" s="52">
        <f>GKT[[#This Row],[Description Name]]</f>
        <v>0</v>
      </c>
      <c r="CH52" s="52">
        <f>GKT[[#This Row],[UID]]</f>
        <v>0</v>
      </c>
      <c r="CL52" t="str">
        <f>IF(GKT[[#This Row],[Status]]=0,"",GKT[[#This Row],[Status]])</f>
        <v/>
      </c>
    </row>
    <row r="53" spans="1:90">
      <c r="A53" s="9"/>
      <c r="B53" s="9"/>
      <c r="C53" s="9"/>
      <c r="D53" s="9"/>
      <c r="E53" s="9"/>
      <c r="F53" s="9"/>
      <c r="G53" s="9"/>
      <c r="H53" s="9"/>
      <c r="I53" s="12"/>
      <c r="J53" s="16"/>
      <c r="K53" s="16"/>
      <c r="L53" s="16"/>
      <c r="M53" s="16"/>
      <c r="N53" s="13"/>
      <c r="CB53" s="1" t="s">
        <v>71</v>
      </c>
      <c r="CC53" s="1" t="s">
        <v>18</v>
      </c>
      <c r="CD53" s="1" t="s">
        <v>132</v>
      </c>
      <c r="CF53" s="52">
        <f>GKT[[#This Row],[Part Type]]</f>
        <v>0</v>
      </c>
      <c r="CG53" s="52">
        <f>GKT[[#This Row],[Description Name]]</f>
        <v>0</v>
      </c>
      <c r="CH53" s="52">
        <f>GKT[[#This Row],[UID]]</f>
        <v>0</v>
      </c>
      <c r="CL53" t="str">
        <f>IF(GKT[[#This Row],[Status]]=0,"",GKT[[#This Row],[Status]])</f>
        <v/>
      </c>
    </row>
    <row r="54" spans="1:90">
      <c r="A54" s="9"/>
      <c r="B54" s="9"/>
      <c r="C54" s="9"/>
      <c r="D54" s="9"/>
      <c r="E54" s="9"/>
      <c r="F54" s="9"/>
      <c r="G54" s="9"/>
      <c r="H54" s="9"/>
      <c r="I54" s="12"/>
      <c r="J54" s="16"/>
      <c r="K54" s="16"/>
      <c r="L54" s="16"/>
      <c r="M54" s="16"/>
      <c r="N54" s="13"/>
      <c r="CB54" s="1" t="s">
        <v>71</v>
      </c>
      <c r="CC54" s="1" t="s">
        <v>18</v>
      </c>
      <c r="CD54" s="1" t="s">
        <v>132</v>
      </c>
      <c r="CF54" s="52">
        <f>GKT[[#This Row],[Part Type]]</f>
        <v>0</v>
      </c>
      <c r="CG54" s="52">
        <f>GKT[[#This Row],[Description Name]]</f>
        <v>0</v>
      </c>
      <c r="CH54" s="52">
        <f>GKT[[#This Row],[UID]]</f>
        <v>0</v>
      </c>
      <c r="CL54" t="str">
        <f>IF(GKT[[#This Row],[Status]]=0,"",GKT[[#This Row],[Status]])</f>
        <v/>
      </c>
    </row>
    <row r="55" spans="1:90">
      <c r="A55" s="9"/>
      <c r="B55" s="9"/>
      <c r="C55" s="9"/>
      <c r="D55" s="9"/>
      <c r="E55" s="9"/>
      <c r="F55" s="9"/>
      <c r="G55" s="9"/>
      <c r="H55" s="9"/>
      <c r="I55" s="12"/>
      <c r="J55" s="16"/>
      <c r="K55" s="16"/>
      <c r="L55" s="16"/>
      <c r="M55" s="16"/>
      <c r="N55" s="13"/>
      <c r="CB55" s="1" t="s">
        <v>71</v>
      </c>
      <c r="CC55" s="1" t="s">
        <v>18</v>
      </c>
      <c r="CD55" s="1" t="s">
        <v>132</v>
      </c>
      <c r="CF55" s="52">
        <f>GKT[[#This Row],[Part Type]]</f>
        <v>0</v>
      </c>
      <c r="CG55" s="52">
        <f>GKT[[#This Row],[Description Name]]</f>
        <v>0</v>
      </c>
      <c r="CH55" s="52">
        <f>GKT[[#This Row],[UID]]</f>
        <v>0</v>
      </c>
      <c r="CL55" t="str">
        <f>IF(GKT[[#This Row],[Status]]=0,"",GKT[[#This Row],[Status]])</f>
        <v/>
      </c>
    </row>
    <row r="56" spans="1:90">
      <c r="A56" s="9"/>
      <c r="B56" s="9"/>
      <c r="C56" s="9"/>
      <c r="D56" s="9"/>
      <c r="E56" s="9"/>
      <c r="F56" s="9"/>
      <c r="G56" s="9"/>
      <c r="H56" s="9"/>
      <c r="I56" s="12"/>
      <c r="J56" s="16"/>
      <c r="K56" s="16"/>
      <c r="L56" s="16"/>
      <c r="M56" s="16"/>
      <c r="N56" s="13"/>
      <c r="CB56" s="1" t="s">
        <v>71</v>
      </c>
      <c r="CC56" s="1" t="s">
        <v>18</v>
      </c>
      <c r="CD56" s="1" t="s">
        <v>132</v>
      </c>
      <c r="CF56" s="52">
        <f>GKT[[#This Row],[Part Type]]</f>
        <v>0</v>
      </c>
      <c r="CG56" s="52">
        <f>GKT[[#This Row],[Description Name]]</f>
        <v>0</v>
      </c>
      <c r="CH56" s="52">
        <f>GKT[[#This Row],[UID]]</f>
        <v>0</v>
      </c>
      <c r="CL56" t="str">
        <f>IF(GKT[[#This Row],[Status]]=0,"",GKT[[#This Row],[Status]])</f>
        <v/>
      </c>
    </row>
    <row r="57" spans="1:90">
      <c r="A57" s="9"/>
      <c r="B57" s="9"/>
      <c r="C57" s="9"/>
      <c r="D57" s="9"/>
      <c r="E57" s="9"/>
      <c r="F57" s="9"/>
      <c r="G57" s="9"/>
      <c r="H57" s="9"/>
      <c r="I57" s="12"/>
      <c r="J57" s="16"/>
      <c r="K57" s="16"/>
      <c r="L57" s="16"/>
      <c r="M57" s="16"/>
      <c r="N57" s="13"/>
      <c r="CB57" s="1" t="s">
        <v>71</v>
      </c>
      <c r="CC57" s="1" t="s">
        <v>18</v>
      </c>
      <c r="CD57" s="1" t="s">
        <v>132</v>
      </c>
      <c r="CF57" s="52">
        <f>GKT[[#This Row],[Part Type]]</f>
        <v>0</v>
      </c>
      <c r="CG57" s="52">
        <f>GKT[[#This Row],[Description Name]]</f>
        <v>0</v>
      </c>
      <c r="CH57" s="52">
        <f>GKT[[#This Row],[UID]]</f>
        <v>0</v>
      </c>
      <c r="CL57" t="str">
        <f>IF(GKT[[#This Row],[Status]]=0,"",GKT[[#This Row],[Status]])</f>
        <v/>
      </c>
    </row>
    <row r="58" spans="1:90">
      <c r="A58" s="9"/>
      <c r="B58" s="9"/>
      <c r="C58" s="9"/>
      <c r="D58" s="9"/>
      <c r="E58" s="9"/>
      <c r="F58" s="9"/>
      <c r="G58" s="9"/>
      <c r="H58" s="9"/>
      <c r="I58" s="12"/>
      <c r="J58" s="16"/>
      <c r="K58" s="16"/>
      <c r="L58" s="16"/>
      <c r="M58" s="16"/>
      <c r="N58" s="13"/>
      <c r="CB58" s="1" t="s">
        <v>71</v>
      </c>
      <c r="CC58" s="1" t="s">
        <v>18</v>
      </c>
      <c r="CD58" s="1" t="s">
        <v>132</v>
      </c>
      <c r="CF58" s="52">
        <f>GKT[[#This Row],[Part Type]]</f>
        <v>0</v>
      </c>
      <c r="CG58" s="52">
        <f>GKT[[#This Row],[Description Name]]</f>
        <v>0</v>
      </c>
      <c r="CH58" s="52">
        <f>GKT[[#This Row],[UID]]</f>
        <v>0</v>
      </c>
      <c r="CL58" t="str">
        <f>IF(GKT[[#This Row],[Status]]=0,"",GKT[[#This Row],[Status]])</f>
        <v/>
      </c>
    </row>
    <row r="59" spans="1:90">
      <c r="A59" s="9"/>
      <c r="B59" s="9"/>
      <c r="C59" s="9"/>
      <c r="D59" s="9"/>
      <c r="E59" s="9"/>
      <c r="F59" s="9"/>
      <c r="G59" s="9"/>
      <c r="H59" s="9"/>
      <c r="I59" s="12"/>
      <c r="J59" s="16"/>
      <c r="K59" s="16"/>
      <c r="L59" s="16"/>
      <c r="M59" s="16"/>
      <c r="N59" s="13"/>
      <c r="CB59" s="1" t="s">
        <v>71</v>
      </c>
      <c r="CC59" s="1" t="s">
        <v>18</v>
      </c>
      <c r="CD59" s="1" t="s">
        <v>132</v>
      </c>
      <c r="CF59" s="52">
        <f>GKT[[#This Row],[Part Type]]</f>
        <v>0</v>
      </c>
      <c r="CG59" s="52">
        <f>GKT[[#This Row],[Description Name]]</f>
        <v>0</v>
      </c>
      <c r="CH59" s="52">
        <f>GKT[[#This Row],[UID]]</f>
        <v>0</v>
      </c>
      <c r="CL59" t="str">
        <f>IF(GKT[[#This Row],[Status]]=0,"",GKT[[#This Row],[Status]])</f>
        <v/>
      </c>
    </row>
    <row r="60" spans="1:90">
      <c r="A60" s="9"/>
      <c r="B60" s="9"/>
      <c r="C60" s="9"/>
      <c r="D60" s="9"/>
      <c r="E60" s="9"/>
      <c r="F60" s="9"/>
      <c r="G60" s="9"/>
      <c r="H60" s="9"/>
      <c r="I60" s="12"/>
      <c r="J60" s="16"/>
      <c r="K60" s="16"/>
      <c r="L60" s="16"/>
      <c r="M60" s="16"/>
      <c r="N60" s="13"/>
      <c r="CB60" s="1" t="s">
        <v>71</v>
      </c>
      <c r="CC60" s="1" t="s">
        <v>18</v>
      </c>
      <c r="CD60" s="1" t="s">
        <v>132</v>
      </c>
      <c r="CF60" s="52">
        <f>GKT[[#This Row],[Part Type]]</f>
        <v>0</v>
      </c>
      <c r="CG60" s="52">
        <f>GKT[[#This Row],[Description Name]]</f>
        <v>0</v>
      </c>
      <c r="CH60" s="52">
        <f>GKT[[#This Row],[UID]]</f>
        <v>0</v>
      </c>
      <c r="CL60" t="str">
        <f>IF(GKT[[#This Row],[Status]]=0,"",GKT[[#This Row],[Status]])</f>
        <v/>
      </c>
    </row>
    <row r="61" spans="1:90">
      <c r="A61" s="9"/>
      <c r="B61" s="9"/>
      <c r="C61" s="9"/>
      <c r="D61" s="9"/>
      <c r="E61" s="9"/>
      <c r="F61" s="9"/>
      <c r="G61" s="9"/>
      <c r="H61" s="9"/>
      <c r="I61" s="12"/>
      <c r="J61" s="16"/>
      <c r="K61" s="16"/>
      <c r="L61" s="16"/>
      <c r="M61" s="16"/>
      <c r="N61" s="13"/>
      <c r="CB61" s="1" t="s">
        <v>71</v>
      </c>
      <c r="CC61" s="1" t="s">
        <v>18</v>
      </c>
      <c r="CD61" s="1" t="s">
        <v>132</v>
      </c>
      <c r="CF61" s="52">
        <f>GKT[[#This Row],[Part Type]]</f>
        <v>0</v>
      </c>
      <c r="CG61" s="52">
        <f>GKT[[#This Row],[Description Name]]</f>
        <v>0</v>
      </c>
      <c r="CH61" s="52">
        <f>GKT[[#This Row],[UID]]</f>
        <v>0</v>
      </c>
      <c r="CL61" t="str">
        <f>IF(GKT[[#This Row],[Status]]=0,"",GKT[[#This Row],[Status]])</f>
        <v/>
      </c>
    </row>
    <row r="62" spans="1:90">
      <c r="A62" s="9"/>
      <c r="B62" s="9"/>
      <c r="C62" s="9"/>
      <c r="D62" s="9"/>
      <c r="E62" s="9"/>
      <c r="F62" s="9"/>
      <c r="G62" s="9"/>
      <c r="H62" s="9"/>
      <c r="I62" s="12"/>
      <c r="J62" s="16"/>
      <c r="K62" s="16"/>
      <c r="L62" s="16"/>
      <c r="M62" s="16"/>
      <c r="N62" s="13"/>
      <c r="CB62" s="1" t="s">
        <v>71</v>
      </c>
      <c r="CC62" s="1" t="s">
        <v>18</v>
      </c>
      <c r="CD62" s="1" t="s">
        <v>132</v>
      </c>
      <c r="CF62" s="52">
        <f>GKT[[#This Row],[Part Type]]</f>
        <v>0</v>
      </c>
      <c r="CG62" s="52">
        <f>GKT[[#This Row],[Description Name]]</f>
        <v>0</v>
      </c>
      <c r="CH62" s="52">
        <f>GKT[[#This Row],[UID]]</f>
        <v>0</v>
      </c>
      <c r="CL62" t="str">
        <f>IF(GKT[[#This Row],[Status]]=0,"",GKT[[#This Row],[Status]])</f>
        <v/>
      </c>
    </row>
    <row r="63" spans="1:90">
      <c r="A63" s="9"/>
      <c r="B63" s="9"/>
      <c r="C63" s="9"/>
      <c r="D63" s="9"/>
      <c r="E63" s="9"/>
      <c r="F63" s="9"/>
      <c r="G63" s="9"/>
      <c r="H63" s="9"/>
      <c r="I63" s="12"/>
      <c r="J63" s="16"/>
      <c r="K63" s="16"/>
      <c r="L63" s="16"/>
      <c r="M63" s="16"/>
      <c r="N63" s="13"/>
      <c r="CB63" s="1" t="s">
        <v>71</v>
      </c>
      <c r="CC63" s="1" t="s">
        <v>18</v>
      </c>
      <c r="CD63" s="1" t="s">
        <v>132</v>
      </c>
      <c r="CF63" s="52">
        <f>GKT[[#This Row],[Part Type]]</f>
        <v>0</v>
      </c>
      <c r="CG63" s="52">
        <f>GKT[[#This Row],[Description Name]]</f>
        <v>0</v>
      </c>
      <c r="CH63" s="52">
        <f>GKT[[#This Row],[UID]]</f>
        <v>0</v>
      </c>
      <c r="CL63" t="str">
        <f>IF(GKT[[#This Row],[Status]]=0,"",GKT[[#This Row],[Status]])</f>
        <v/>
      </c>
    </row>
    <row r="64" spans="1:90">
      <c r="A64" s="9"/>
      <c r="B64" s="9"/>
      <c r="C64" s="9"/>
      <c r="D64" s="9"/>
      <c r="E64" s="9"/>
      <c r="F64" s="9"/>
      <c r="G64" s="9"/>
      <c r="H64" s="9"/>
      <c r="I64" s="12"/>
      <c r="J64" s="16"/>
      <c r="K64" s="16"/>
      <c r="L64" s="16"/>
      <c r="M64" s="16"/>
      <c r="N64" s="13"/>
      <c r="CB64" s="1" t="s">
        <v>71</v>
      </c>
      <c r="CC64" s="1" t="s">
        <v>18</v>
      </c>
      <c r="CD64" s="1" t="s">
        <v>132</v>
      </c>
      <c r="CF64" s="52">
        <f>GKT[[#This Row],[Part Type]]</f>
        <v>0</v>
      </c>
      <c r="CG64" s="52">
        <f>GKT[[#This Row],[Description Name]]</f>
        <v>0</v>
      </c>
      <c r="CH64" s="52">
        <f>GKT[[#This Row],[UID]]</f>
        <v>0</v>
      </c>
      <c r="CL64" t="str">
        <f>IF(GKT[[#This Row],[Status]]=0,"",GKT[[#This Row],[Status]])</f>
        <v/>
      </c>
    </row>
    <row r="65" spans="1:90">
      <c r="A65" s="9"/>
      <c r="B65" s="9"/>
      <c r="C65" s="9"/>
      <c r="D65" s="9"/>
      <c r="E65" s="9"/>
      <c r="F65" s="9"/>
      <c r="G65" s="9"/>
      <c r="H65" s="9"/>
      <c r="I65" s="12"/>
      <c r="J65" s="16"/>
      <c r="K65" s="16"/>
      <c r="L65" s="16"/>
      <c r="M65" s="16"/>
      <c r="N65" s="13"/>
      <c r="CB65" s="1" t="s">
        <v>71</v>
      </c>
      <c r="CC65" s="1" t="s">
        <v>18</v>
      </c>
      <c r="CD65" s="1" t="s">
        <v>132</v>
      </c>
      <c r="CF65" s="52">
        <f>GKT[[#This Row],[Part Type]]</f>
        <v>0</v>
      </c>
      <c r="CG65" s="52">
        <f>GKT[[#This Row],[Description Name]]</f>
        <v>0</v>
      </c>
      <c r="CH65" s="52">
        <f>GKT[[#This Row],[UID]]</f>
        <v>0</v>
      </c>
      <c r="CL65" t="str">
        <f>IF(GKT[[#This Row],[Status]]=0,"",GKT[[#This Row],[Status]])</f>
        <v/>
      </c>
    </row>
    <row r="66" spans="1:90">
      <c r="A66" s="9"/>
      <c r="B66" s="9"/>
      <c r="C66" s="9"/>
      <c r="D66" s="9"/>
      <c r="E66" s="9"/>
      <c r="F66" s="9"/>
      <c r="G66" s="9"/>
      <c r="H66" s="9"/>
      <c r="I66" s="12"/>
      <c r="J66" s="16"/>
      <c r="K66" s="16"/>
      <c r="L66" s="16"/>
      <c r="M66" s="16"/>
      <c r="N66" s="13"/>
      <c r="CB66" s="1" t="s">
        <v>71</v>
      </c>
      <c r="CC66" s="1" t="s">
        <v>18</v>
      </c>
      <c r="CD66" s="1" t="s">
        <v>132</v>
      </c>
      <c r="CF66" s="52">
        <f>GKT[[#This Row],[Part Type]]</f>
        <v>0</v>
      </c>
      <c r="CG66" s="52">
        <f>GKT[[#This Row],[Description Name]]</f>
        <v>0</v>
      </c>
      <c r="CH66" s="52">
        <f>GKT[[#This Row],[UID]]</f>
        <v>0</v>
      </c>
      <c r="CL66" t="str">
        <f>IF(GKT[[#This Row],[Status]]=0,"",GKT[[#This Row],[Status]])</f>
        <v/>
      </c>
    </row>
    <row r="67" spans="1:90">
      <c r="A67" s="9"/>
      <c r="B67" s="9"/>
      <c r="C67" s="9"/>
      <c r="D67" s="9"/>
      <c r="E67" s="9"/>
      <c r="F67" s="9"/>
      <c r="G67" s="9"/>
      <c r="H67" s="9"/>
      <c r="I67" s="12"/>
      <c r="J67" s="16"/>
      <c r="K67" s="16"/>
      <c r="L67" s="16"/>
      <c r="M67" s="16"/>
      <c r="N67" s="13"/>
      <c r="CB67" s="1" t="s">
        <v>71</v>
      </c>
      <c r="CC67" s="1" t="s">
        <v>18</v>
      </c>
      <c r="CD67" s="1" t="s">
        <v>132</v>
      </c>
      <c r="CF67" s="52">
        <f>GKT[[#This Row],[Part Type]]</f>
        <v>0</v>
      </c>
      <c r="CG67" s="52">
        <f>GKT[[#This Row],[Description Name]]</f>
        <v>0</v>
      </c>
      <c r="CH67" s="52">
        <f>GKT[[#This Row],[UID]]</f>
        <v>0</v>
      </c>
      <c r="CL67" t="str">
        <f>IF(GKT[[#This Row],[Status]]=0,"",GKT[[#This Row],[Status]])</f>
        <v/>
      </c>
    </row>
    <row r="68" spans="1:90">
      <c r="A68" s="9"/>
      <c r="B68" s="9"/>
      <c r="C68" s="9"/>
      <c r="D68" s="9"/>
      <c r="E68" s="9"/>
      <c r="F68" s="9"/>
      <c r="G68" s="9"/>
      <c r="H68" s="9"/>
      <c r="I68" s="12"/>
      <c r="J68" s="16"/>
      <c r="K68" s="16"/>
      <c r="L68" s="16"/>
      <c r="M68" s="16"/>
      <c r="N68" s="13"/>
      <c r="CB68" s="1" t="s">
        <v>71</v>
      </c>
      <c r="CC68" s="1" t="s">
        <v>18</v>
      </c>
      <c r="CD68" s="1" t="s">
        <v>132</v>
      </c>
      <c r="CF68" s="52">
        <f>GKT[[#This Row],[Part Type]]</f>
        <v>0</v>
      </c>
      <c r="CG68" s="52">
        <f>GKT[[#This Row],[Description Name]]</f>
        <v>0</v>
      </c>
      <c r="CH68" s="52">
        <f>GKT[[#This Row],[UID]]</f>
        <v>0</v>
      </c>
      <c r="CL68" t="str">
        <f>IF(GKT[[#This Row],[Status]]=0,"",GKT[[#This Row],[Status]])</f>
        <v/>
      </c>
    </row>
    <row r="69" spans="1:90">
      <c r="A69" s="9"/>
      <c r="B69" s="9"/>
      <c r="C69" s="9"/>
      <c r="D69" s="9"/>
      <c r="E69" s="9"/>
      <c r="F69" s="9"/>
      <c r="G69" s="9"/>
      <c r="H69" s="9"/>
      <c r="I69" s="12"/>
      <c r="J69" s="16"/>
      <c r="K69" s="16"/>
      <c r="L69" s="16"/>
      <c r="M69" s="16"/>
      <c r="N69" s="13"/>
      <c r="CB69" s="1" t="s">
        <v>71</v>
      </c>
      <c r="CC69" s="1" t="s">
        <v>18</v>
      </c>
      <c r="CD69" s="1" t="s">
        <v>132</v>
      </c>
      <c r="CF69" s="52">
        <f>GKT[[#This Row],[Part Type]]</f>
        <v>0</v>
      </c>
      <c r="CG69" s="52">
        <f>GKT[[#This Row],[Description Name]]</f>
        <v>0</v>
      </c>
      <c r="CH69" s="52">
        <f>GKT[[#This Row],[UID]]</f>
        <v>0</v>
      </c>
      <c r="CL69" t="str">
        <f>IF(GKT[[#This Row],[Status]]=0,"",GKT[[#This Row],[Status]])</f>
        <v/>
      </c>
    </row>
    <row r="70" spans="1:90">
      <c r="A70" s="9"/>
      <c r="B70" s="9"/>
      <c r="C70" s="9"/>
      <c r="D70" s="9"/>
      <c r="E70" s="9"/>
      <c r="F70" s="9"/>
      <c r="G70" s="9"/>
      <c r="H70" s="9"/>
      <c r="I70" s="12"/>
      <c r="J70" s="16"/>
      <c r="K70" s="16"/>
      <c r="L70" s="16"/>
      <c r="M70" s="16"/>
      <c r="N70" s="13"/>
      <c r="CB70" s="1" t="s">
        <v>71</v>
      </c>
      <c r="CC70" s="1" t="s">
        <v>18</v>
      </c>
      <c r="CD70" s="1" t="s">
        <v>132</v>
      </c>
      <c r="CF70" s="52">
        <f>GKT[[#This Row],[Part Type]]</f>
        <v>0</v>
      </c>
      <c r="CG70" s="52">
        <f>GKT[[#This Row],[Description Name]]</f>
        <v>0</v>
      </c>
      <c r="CH70" s="52">
        <f>GKT[[#This Row],[UID]]</f>
        <v>0</v>
      </c>
      <c r="CL70" t="str">
        <f>IF(GKT[[#This Row],[Status]]=0,"",GKT[[#This Row],[Status]])</f>
        <v/>
      </c>
    </row>
    <row r="71" spans="1:90">
      <c r="A71" s="9"/>
      <c r="B71" s="9"/>
      <c r="C71" s="9"/>
      <c r="D71" s="9"/>
      <c r="E71" s="9"/>
      <c r="F71" s="9"/>
      <c r="G71" s="9"/>
      <c r="H71" s="9"/>
      <c r="I71" s="12"/>
      <c r="J71" s="16"/>
      <c r="K71" s="16"/>
      <c r="L71" s="16"/>
      <c r="M71" s="16"/>
      <c r="N71" s="13"/>
      <c r="CB71" s="1" t="s">
        <v>71</v>
      </c>
      <c r="CC71" s="1" t="s">
        <v>18</v>
      </c>
      <c r="CD71" s="1" t="s">
        <v>132</v>
      </c>
      <c r="CF71" s="52">
        <f>GKT[[#This Row],[Part Type]]</f>
        <v>0</v>
      </c>
      <c r="CG71" s="52">
        <f>GKT[[#This Row],[Description Name]]</f>
        <v>0</v>
      </c>
      <c r="CH71" s="52">
        <f>GKT[[#This Row],[UID]]</f>
        <v>0</v>
      </c>
      <c r="CL71" t="str">
        <f>IF(GKT[[#This Row],[Status]]=0,"",GKT[[#This Row],[Status]])</f>
        <v/>
      </c>
    </row>
    <row r="72" spans="1:90">
      <c r="A72" s="9"/>
      <c r="B72" s="9"/>
      <c r="C72" s="9"/>
      <c r="D72" s="9"/>
      <c r="E72" s="9"/>
      <c r="F72" s="9"/>
      <c r="G72" s="9"/>
      <c r="H72" s="9"/>
      <c r="I72" s="12"/>
      <c r="J72" s="16"/>
      <c r="K72" s="16"/>
      <c r="L72" s="16"/>
      <c r="M72" s="16"/>
      <c r="N72" s="13"/>
      <c r="CB72" s="1" t="s">
        <v>71</v>
      </c>
      <c r="CC72" s="1" t="s">
        <v>18</v>
      </c>
      <c r="CD72" s="1" t="s">
        <v>132</v>
      </c>
      <c r="CF72" s="52">
        <f>GKT[[#This Row],[Part Type]]</f>
        <v>0</v>
      </c>
      <c r="CG72" s="52">
        <f>GKT[[#This Row],[Description Name]]</f>
        <v>0</v>
      </c>
      <c r="CH72" s="52">
        <f>GKT[[#This Row],[UID]]</f>
        <v>0</v>
      </c>
      <c r="CL72" t="str">
        <f>IF(GKT[[#This Row],[Status]]=0,"",GKT[[#This Row],[Status]])</f>
        <v/>
      </c>
    </row>
    <row r="73" spans="1:90">
      <c r="A73" s="9"/>
      <c r="B73" s="9"/>
      <c r="C73" s="9"/>
      <c r="D73" s="9"/>
      <c r="E73" s="9"/>
      <c r="F73" s="9"/>
      <c r="G73" s="9"/>
      <c r="H73" s="9"/>
      <c r="I73" s="12"/>
      <c r="J73" s="16"/>
      <c r="K73" s="16"/>
      <c r="L73" s="16"/>
      <c r="M73" s="16"/>
      <c r="N73" s="13"/>
      <c r="CB73" s="1" t="s">
        <v>71</v>
      </c>
      <c r="CC73" s="1" t="s">
        <v>18</v>
      </c>
      <c r="CD73" s="1" t="s">
        <v>132</v>
      </c>
      <c r="CF73" s="52">
        <f>GKT[[#This Row],[Part Type]]</f>
        <v>0</v>
      </c>
      <c r="CG73" s="52">
        <f>GKT[[#This Row],[Description Name]]</f>
        <v>0</v>
      </c>
      <c r="CH73" s="52">
        <f>GKT[[#This Row],[UID]]</f>
        <v>0</v>
      </c>
      <c r="CL73" t="str">
        <f>IF(GKT[[#This Row],[Status]]=0,"",GKT[[#This Row],[Status]])</f>
        <v/>
      </c>
    </row>
    <row r="74" spans="1:90">
      <c r="A74" s="9"/>
      <c r="B74" s="9"/>
      <c r="C74" s="9"/>
      <c r="D74" s="9"/>
      <c r="E74" s="9"/>
      <c r="F74" s="9"/>
      <c r="G74" s="9"/>
      <c r="H74" s="9"/>
      <c r="I74" s="12"/>
      <c r="J74" s="16"/>
      <c r="K74" s="16"/>
      <c r="L74" s="16"/>
      <c r="M74" s="16"/>
      <c r="N74" s="13"/>
      <c r="CB74" s="1" t="s">
        <v>71</v>
      </c>
      <c r="CC74" s="1" t="s">
        <v>18</v>
      </c>
      <c r="CD74" s="1" t="s">
        <v>132</v>
      </c>
      <c r="CF74" s="52">
        <f>GKT[[#This Row],[Part Type]]</f>
        <v>0</v>
      </c>
      <c r="CG74" s="52">
        <f>GKT[[#This Row],[Description Name]]</f>
        <v>0</v>
      </c>
      <c r="CH74" s="52">
        <f>GKT[[#This Row],[UID]]</f>
        <v>0</v>
      </c>
      <c r="CL74" t="str">
        <f>IF(GKT[[#This Row],[Status]]=0,"",GKT[[#This Row],[Status]])</f>
        <v/>
      </c>
    </row>
    <row r="75" spans="1:90">
      <c r="A75" s="9"/>
      <c r="B75" s="9"/>
      <c r="C75" s="9"/>
      <c r="D75" s="9"/>
      <c r="E75" s="9"/>
      <c r="F75" s="9"/>
      <c r="G75" s="9"/>
      <c r="H75" s="9"/>
      <c r="I75" s="12"/>
      <c r="J75" s="16"/>
      <c r="K75" s="16"/>
      <c r="L75" s="16"/>
      <c r="M75" s="16"/>
      <c r="N75" s="13"/>
      <c r="CB75" s="1" t="s">
        <v>71</v>
      </c>
      <c r="CC75" s="1" t="s">
        <v>18</v>
      </c>
      <c r="CD75" s="1" t="s">
        <v>132</v>
      </c>
      <c r="CF75" s="52">
        <f>GKT[[#This Row],[Part Type]]</f>
        <v>0</v>
      </c>
      <c r="CG75" s="52">
        <f>GKT[[#This Row],[Description Name]]</f>
        <v>0</v>
      </c>
      <c r="CH75" s="52">
        <f>GKT[[#This Row],[UID]]</f>
        <v>0</v>
      </c>
      <c r="CL75" t="str">
        <f>IF(GKT[[#This Row],[Status]]=0,"",GKT[[#This Row],[Status]])</f>
        <v/>
      </c>
    </row>
    <row r="76" spans="1:90">
      <c r="A76" s="9"/>
      <c r="B76" s="9"/>
      <c r="C76" s="9"/>
      <c r="D76" s="9"/>
      <c r="E76" s="9"/>
      <c r="F76" s="9"/>
      <c r="G76" s="9"/>
      <c r="H76" s="9"/>
      <c r="I76" s="12"/>
      <c r="J76" s="16"/>
      <c r="K76" s="16"/>
      <c r="L76" s="16"/>
      <c r="M76" s="16"/>
      <c r="N76" s="13"/>
      <c r="CB76" s="1" t="s">
        <v>71</v>
      </c>
      <c r="CC76" s="1" t="s">
        <v>18</v>
      </c>
      <c r="CD76" s="1" t="s">
        <v>132</v>
      </c>
      <c r="CF76" s="52">
        <f>GKT[[#This Row],[Part Type]]</f>
        <v>0</v>
      </c>
      <c r="CG76" s="52">
        <f>GKT[[#This Row],[Description Name]]</f>
        <v>0</v>
      </c>
      <c r="CH76" s="52">
        <f>GKT[[#This Row],[UID]]</f>
        <v>0</v>
      </c>
      <c r="CL76" t="str">
        <f>IF(GKT[[#This Row],[Status]]=0,"",GKT[[#This Row],[Status]])</f>
        <v/>
      </c>
    </row>
    <row r="77" spans="1:90">
      <c r="A77" s="9"/>
      <c r="B77" s="9"/>
      <c r="C77" s="9"/>
      <c r="D77" s="9"/>
      <c r="E77" s="9"/>
      <c r="F77" s="9"/>
      <c r="G77" s="9"/>
      <c r="H77" s="9"/>
      <c r="I77" s="12"/>
      <c r="J77" s="16"/>
      <c r="K77" s="16"/>
      <c r="L77" s="16"/>
      <c r="M77" s="16"/>
      <c r="N77" s="13"/>
      <c r="CB77" s="1" t="s">
        <v>71</v>
      </c>
      <c r="CC77" s="1" t="s">
        <v>18</v>
      </c>
      <c r="CD77" s="1" t="s">
        <v>132</v>
      </c>
      <c r="CF77" s="52">
        <f>GKT[[#This Row],[Part Type]]</f>
        <v>0</v>
      </c>
      <c r="CG77" s="52">
        <f>GKT[[#This Row],[Description Name]]</f>
        <v>0</v>
      </c>
      <c r="CH77" s="52">
        <f>GKT[[#This Row],[UID]]</f>
        <v>0</v>
      </c>
      <c r="CL77" t="str">
        <f>IF(GKT[[#This Row],[Status]]=0,"",GKT[[#This Row],[Status]])</f>
        <v/>
      </c>
    </row>
    <row r="78" spans="1:90">
      <c r="A78" s="9"/>
      <c r="B78" s="9"/>
      <c r="C78" s="9"/>
      <c r="D78" s="9"/>
      <c r="E78" s="9"/>
      <c r="F78" s="9"/>
      <c r="G78" s="9"/>
      <c r="H78" s="9"/>
      <c r="I78" s="12"/>
      <c r="J78" s="16"/>
      <c r="K78" s="16"/>
      <c r="L78" s="16"/>
      <c r="M78" s="16"/>
      <c r="N78" s="13"/>
      <c r="CB78" s="1" t="s">
        <v>71</v>
      </c>
      <c r="CC78" s="1" t="s">
        <v>18</v>
      </c>
      <c r="CD78" s="1" t="s">
        <v>132</v>
      </c>
      <c r="CF78" s="52">
        <f>GKT[[#This Row],[Part Type]]</f>
        <v>0</v>
      </c>
      <c r="CG78" s="52">
        <f>GKT[[#This Row],[Description Name]]</f>
        <v>0</v>
      </c>
      <c r="CH78" s="52">
        <f>GKT[[#This Row],[UID]]</f>
        <v>0</v>
      </c>
      <c r="CL78" t="str">
        <f>IF(GKT[[#This Row],[Status]]=0,"",GKT[[#This Row],[Status]])</f>
        <v/>
      </c>
    </row>
    <row r="79" spans="1:90">
      <c r="A79" s="9"/>
      <c r="B79" s="9"/>
      <c r="C79" s="9"/>
      <c r="D79" s="9"/>
      <c r="E79" s="9"/>
      <c r="F79" s="9"/>
      <c r="G79" s="9"/>
      <c r="H79" s="9"/>
      <c r="I79" s="12"/>
      <c r="J79" s="16"/>
      <c r="K79" s="16"/>
      <c r="L79" s="16"/>
      <c r="M79" s="16"/>
      <c r="N79" s="13"/>
      <c r="CB79" s="1" t="s">
        <v>71</v>
      </c>
      <c r="CC79" s="1" t="s">
        <v>18</v>
      </c>
      <c r="CD79" s="1" t="s">
        <v>132</v>
      </c>
      <c r="CF79" s="52">
        <f>GKT[[#This Row],[Part Type]]</f>
        <v>0</v>
      </c>
      <c r="CG79" s="52">
        <f>GKT[[#This Row],[Description Name]]</f>
        <v>0</v>
      </c>
      <c r="CH79" s="52">
        <f>GKT[[#This Row],[UID]]</f>
        <v>0</v>
      </c>
      <c r="CL79" t="str">
        <f>IF(GKT[[#This Row],[Status]]=0,"",GKT[[#This Row],[Status]])</f>
        <v/>
      </c>
    </row>
    <row r="80" spans="1:90">
      <c r="A80" s="9"/>
      <c r="B80" s="9"/>
      <c r="C80" s="9"/>
      <c r="D80" s="9"/>
      <c r="E80" s="9"/>
      <c r="F80" s="9"/>
      <c r="G80" s="9"/>
      <c r="H80" s="9"/>
      <c r="I80" s="12"/>
      <c r="J80" s="16"/>
      <c r="K80" s="16"/>
      <c r="L80" s="16"/>
      <c r="M80" s="16"/>
      <c r="N80" s="13"/>
      <c r="CB80" s="1" t="s">
        <v>71</v>
      </c>
      <c r="CC80" s="1" t="s">
        <v>18</v>
      </c>
      <c r="CD80" s="1" t="s">
        <v>132</v>
      </c>
      <c r="CF80" s="52">
        <f>GKT[[#This Row],[Part Type]]</f>
        <v>0</v>
      </c>
      <c r="CG80" s="52">
        <f>GKT[[#This Row],[Description Name]]</f>
        <v>0</v>
      </c>
      <c r="CH80" s="52">
        <f>GKT[[#This Row],[UID]]</f>
        <v>0</v>
      </c>
      <c r="CL80" t="str">
        <f>IF(GKT[[#This Row],[Status]]=0,"",GKT[[#This Row],[Status]])</f>
        <v/>
      </c>
    </row>
    <row r="81" spans="1:90">
      <c r="A81" s="9"/>
      <c r="B81" s="9"/>
      <c r="C81" s="9"/>
      <c r="D81" s="9"/>
      <c r="E81" s="9"/>
      <c r="F81" s="9"/>
      <c r="G81" s="9"/>
      <c r="H81" s="9"/>
      <c r="I81" s="12"/>
      <c r="J81" s="16"/>
      <c r="K81" s="16"/>
      <c r="L81" s="16"/>
      <c r="M81" s="16"/>
      <c r="N81" s="13"/>
      <c r="CB81" s="1" t="s">
        <v>71</v>
      </c>
      <c r="CC81" s="1" t="s">
        <v>18</v>
      </c>
      <c r="CD81" s="1" t="s">
        <v>132</v>
      </c>
      <c r="CF81" s="52">
        <f>GKT[[#This Row],[Part Type]]</f>
        <v>0</v>
      </c>
      <c r="CG81" s="52">
        <f>GKT[[#This Row],[Description Name]]</f>
        <v>0</v>
      </c>
      <c r="CH81" s="52">
        <f>GKT[[#This Row],[UID]]</f>
        <v>0</v>
      </c>
      <c r="CL81" t="str">
        <f>IF(GKT[[#This Row],[Status]]=0,"",GKT[[#This Row],[Status]])</f>
        <v/>
      </c>
    </row>
    <row r="82" spans="1:90">
      <c r="A82" s="9"/>
      <c r="B82" s="9"/>
      <c r="C82" s="9"/>
      <c r="D82" s="9"/>
      <c r="E82" s="9"/>
      <c r="F82" s="9"/>
      <c r="G82" s="9"/>
      <c r="H82" s="9"/>
      <c r="I82" s="12"/>
      <c r="J82" s="16"/>
      <c r="K82" s="16"/>
      <c r="L82" s="16"/>
      <c r="M82" s="16"/>
      <c r="N82" s="13"/>
      <c r="CB82" s="1" t="s">
        <v>71</v>
      </c>
      <c r="CC82" s="1" t="s">
        <v>18</v>
      </c>
      <c r="CD82" s="1" t="s">
        <v>132</v>
      </c>
      <c r="CF82" s="52">
        <f>GKT[[#This Row],[Part Type]]</f>
        <v>0</v>
      </c>
      <c r="CG82" s="52">
        <f>GKT[[#This Row],[Description Name]]</f>
        <v>0</v>
      </c>
      <c r="CH82" s="52">
        <f>GKT[[#This Row],[UID]]</f>
        <v>0</v>
      </c>
      <c r="CL82" t="str">
        <f>IF(GKT[[#This Row],[Status]]=0,"",GKT[[#This Row],[Status]])</f>
        <v/>
      </c>
    </row>
    <row r="83" spans="1:90">
      <c r="A83" s="9"/>
      <c r="B83" s="9"/>
      <c r="C83" s="9"/>
      <c r="D83" s="9"/>
      <c r="E83" s="9"/>
      <c r="F83" s="9"/>
      <c r="G83" s="9"/>
      <c r="H83" s="9"/>
      <c r="I83" s="12"/>
      <c r="J83" s="16"/>
      <c r="K83" s="16"/>
      <c r="L83" s="16"/>
      <c r="M83" s="16"/>
      <c r="N83" s="13"/>
      <c r="CB83" s="1" t="s">
        <v>71</v>
      </c>
      <c r="CC83" s="1" t="s">
        <v>18</v>
      </c>
      <c r="CD83" s="1" t="s">
        <v>132</v>
      </c>
      <c r="CF83" s="52">
        <f>GKT[[#This Row],[Part Type]]</f>
        <v>0</v>
      </c>
      <c r="CG83" s="52">
        <f>GKT[[#This Row],[Description Name]]</f>
        <v>0</v>
      </c>
      <c r="CH83" s="52">
        <f>GKT[[#This Row],[UID]]</f>
        <v>0</v>
      </c>
      <c r="CL83" t="str">
        <f>IF(GKT[[#This Row],[Status]]=0,"",GKT[[#This Row],[Status]])</f>
        <v/>
      </c>
    </row>
    <row r="84" spans="1:90">
      <c r="A84" s="9"/>
      <c r="B84" s="9"/>
      <c r="C84" s="9"/>
      <c r="D84" s="9"/>
      <c r="E84" s="9"/>
      <c r="F84" s="9"/>
      <c r="G84" s="9"/>
      <c r="H84" s="9"/>
      <c r="I84" s="12"/>
      <c r="J84" s="16"/>
      <c r="K84" s="16"/>
      <c r="L84" s="16"/>
      <c r="M84" s="16"/>
      <c r="N84" s="13"/>
      <c r="CB84" s="1" t="s">
        <v>71</v>
      </c>
      <c r="CC84" s="1" t="s">
        <v>18</v>
      </c>
      <c r="CD84" s="1" t="s">
        <v>132</v>
      </c>
      <c r="CF84" s="52">
        <f>GKT[[#This Row],[Part Type]]</f>
        <v>0</v>
      </c>
      <c r="CG84" s="52">
        <f>GKT[[#This Row],[Description Name]]</f>
        <v>0</v>
      </c>
      <c r="CH84" s="52">
        <f>GKT[[#This Row],[UID]]</f>
        <v>0</v>
      </c>
      <c r="CL84" t="str">
        <f>IF(GKT[[#This Row],[Status]]=0,"",GKT[[#This Row],[Status]])</f>
        <v/>
      </c>
    </row>
    <row r="85" spans="1:90">
      <c r="A85" s="9"/>
      <c r="B85" s="9"/>
      <c r="C85" s="9"/>
      <c r="D85" s="9"/>
      <c r="E85" s="9"/>
      <c r="F85" s="9"/>
      <c r="G85" s="9"/>
      <c r="H85" s="9"/>
      <c r="I85" s="12"/>
      <c r="J85" s="16"/>
      <c r="K85" s="16"/>
      <c r="L85" s="16"/>
      <c r="M85" s="16"/>
      <c r="N85" s="13"/>
      <c r="CB85" s="1" t="s">
        <v>71</v>
      </c>
      <c r="CC85" s="1" t="s">
        <v>18</v>
      </c>
      <c r="CD85" s="1" t="s">
        <v>132</v>
      </c>
      <c r="CF85" s="52">
        <f>GKT[[#This Row],[Part Type]]</f>
        <v>0</v>
      </c>
      <c r="CG85" s="52">
        <f>GKT[[#This Row],[Description Name]]</f>
        <v>0</v>
      </c>
      <c r="CH85" s="52">
        <f>GKT[[#This Row],[UID]]</f>
        <v>0</v>
      </c>
      <c r="CL85" t="str">
        <f>IF(GKT[[#This Row],[Status]]=0,"",GKT[[#This Row],[Status]])</f>
        <v/>
      </c>
    </row>
    <row r="86" spans="1:90">
      <c r="A86" s="9"/>
      <c r="B86" s="9"/>
      <c r="C86" s="9"/>
      <c r="D86" s="9"/>
      <c r="E86" s="9"/>
      <c r="F86" s="9"/>
      <c r="G86" s="9"/>
      <c r="H86" s="9"/>
      <c r="I86" s="12"/>
      <c r="J86" s="16"/>
      <c r="K86" s="16"/>
      <c r="L86" s="16"/>
      <c r="M86" s="16"/>
      <c r="N86" s="13"/>
      <c r="CB86" s="1" t="s">
        <v>71</v>
      </c>
      <c r="CC86" s="1" t="s">
        <v>18</v>
      </c>
      <c r="CD86" s="1" t="s">
        <v>132</v>
      </c>
      <c r="CF86" s="52">
        <f>GKT[[#This Row],[Part Type]]</f>
        <v>0</v>
      </c>
      <c r="CG86" s="52">
        <f>GKT[[#This Row],[Description Name]]</f>
        <v>0</v>
      </c>
      <c r="CH86" s="52">
        <f>GKT[[#This Row],[UID]]</f>
        <v>0</v>
      </c>
      <c r="CL86" t="str">
        <f>IF(GKT[[#This Row],[Status]]=0,"",GKT[[#This Row],[Status]])</f>
        <v/>
      </c>
    </row>
    <row r="87" spans="1:90">
      <c r="A87" s="9"/>
      <c r="B87" s="9"/>
      <c r="C87" s="9"/>
      <c r="D87" s="9"/>
      <c r="E87" s="9"/>
      <c r="F87" s="9"/>
      <c r="G87" s="9"/>
      <c r="H87" s="9"/>
      <c r="I87" s="12"/>
      <c r="J87" s="16"/>
      <c r="K87" s="16"/>
      <c r="L87" s="16"/>
      <c r="M87" s="16"/>
      <c r="N87" s="13"/>
      <c r="CB87" s="1" t="s">
        <v>71</v>
      </c>
      <c r="CC87" s="1" t="s">
        <v>18</v>
      </c>
      <c r="CD87" s="1" t="s">
        <v>132</v>
      </c>
      <c r="CF87" s="52">
        <f>GKT[[#This Row],[Part Type]]</f>
        <v>0</v>
      </c>
      <c r="CG87" s="52">
        <f>GKT[[#This Row],[Description Name]]</f>
        <v>0</v>
      </c>
      <c r="CH87" s="52">
        <f>GKT[[#This Row],[UID]]</f>
        <v>0</v>
      </c>
      <c r="CL87" t="str">
        <f>IF(GKT[[#This Row],[Status]]=0,"",GKT[[#This Row],[Status]])</f>
        <v/>
      </c>
    </row>
    <row r="88" spans="1:90">
      <c r="A88" s="9"/>
      <c r="B88" s="9"/>
      <c r="C88" s="9"/>
      <c r="D88" s="9"/>
      <c r="E88" s="9"/>
      <c r="F88" s="9"/>
      <c r="G88" s="9"/>
      <c r="H88" s="9"/>
      <c r="I88" s="12"/>
      <c r="J88" s="16"/>
      <c r="K88" s="16"/>
      <c r="L88" s="16"/>
      <c r="M88" s="16"/>
      <c r="N88" s="13"/>
      <c r="CB88" s="1" t="s">
        <v>71</v>
      </c>
      <c r="CC88" s="1" t="s">
        <v>18</v>
      </c>
      <c r="CD88" s="1" t="s">
        <v>132</v>
      </c>
      <c r="CF88" s="52">
        <f>GKT[[#This Row],[Part Type]]</f>
        <v>0</v>
      </c>
      <c r="CG88" s="52">
        <f>GKT[[#This Row],[Description Name]]</f>
        <v>0</v>
      </c>
      <c r="CH88" s="52">
        <f>GKT[[#This Row],[UID]]</f>
        <v>0</v>
      </c>
      <c r="CL88" t="str">
        <f>IF(GKT[[#This Row],[Status]]=0,"",GKT[[#This Row],[Status]])</f>
        <v/>
      </c>
    </row>
    <row r="89" spans="1:90">
      <c r="A89" s="9"/>
      <c r="B89" s="9"/>
      <c r="C89" s="9"/>
      <c r="D89" s="9"/>
      <c r="E89" s="9"/>
      <c r="F89" s="9"/>
      <c r="G89" s="9"/>
      <c r="H89" s="9"/>
      <c r="I89" s="12"/>
      <c r="J89" s="16"/>
      <c r="K89" s="16"/>
      <c r="L89" s="16"/>
      <c r="M89" s="16"/>
      <c r="N89" s="13"/>
      <c r="CB89" s="1" t="s">
        <v>71</v>
      </c>
      <c r="CC89" s="1" t="s">
        <v>18</v>
      </c>
      <c r="CD89" s="1" t="s">
        <v>132</v>
      </c>
      <c r="CF89" s="52">
        <f>GKT[[#This Row],[Part Type]]</f>
        <v>0</v>
      </c>
      <c r="CG89" s="52">
        <f>GKT[[#This Row],[Description Name]]</f>
        <v>0</v>
      </c>
      <c r="CH89" s="52">
        <f>GKT[[#This Row],[UID]]</f>
        <v>0</v>
      </c>
      <c r="CL89" t="str">
        <f>IF(GKT[[#This Row],[Status]]=0,"",GKT[[#This Row],[Status]])</f>
        <v/>
      </c>
    </row>
    <row r="90" spans="1:90">
      <c r="A90" s="9"/>
      <c r="B90" s="9"/>
      <c r="C90" s="9"/>
      <c r="D90" s="9"/>
      <c r="E90" s="9"/>
      <c r="F90" s="9"/>
      <c r="G90" s="9"/>
      <c r="H90" s="9"/>
      <c r="I90" s="12"/>
      <c r="J90" s="16"/>
      <c r="K90" s="16"/>
      <c r="L90" s="16"/>
      <c r="M90" s="16"/>
      <c r="N90" s="13"/>
      <c r="CB90" s="1" t="s">
        <v>71</v>
      </c>
      <c r="CC90" s="1" t="s">
        <v>18</v>
      </c>
      <c r="CD90" s="1" t="s">
        <v>132</v>
      </c>
      <c r="CF90" s="52">
        <f>GKT[[#This Row],[Part Type]]</f>
        <v>0</v>
      </c>
      <c r="CG90" s="52">
        <f>GKT[[#This Row],[Description Name]]</f>
        <v>0</v>
      </c>
      <c r="CH90" s="52">
        <f>GKT[[#This Row],[UID]]</f>
        <v>0</v>
      </c>
      <c r="CL90" t="str">
        <f>IF(GKT[[#This Row],[Status]]=0,"",GKT[[#This Row],[Status]])</f>
        <v/>
      </c>
    </row>
    <row r="91" spans="1:90">
      <c r="A91" s="9"/>
      <c r="B91" s="9"/>
      <c r="C91" s="9"/>
      <c r="D91" s="9"/>
      <c r="E91" s="9"/>
      <c r="F91" s="9"/>
      <c r="G91" s="9"/>
      <c r="H91" s="9"/>
      <c r="I91" s="12"/>
      <c r="J91" s="16"/>
      <c r="K91" s="16"/>
      <c r="L91" s="16"/>
      <c r="M91" s="16"/>
      <c r="N91" s="13"/>
      <c r="CB91" s="1" t="s">
        <v>71</v>
      </c>
      <c r="CC91" s="1" t="s">
        <v>18</v>
      </c>
      <c r="CD91" s="1" t="s">
        <v>132</v>
      </c>
      <c r="CF91" s="52">
        <f>GKT[[#This Row],[Part Type]]</f>
        <v>0</v>
      </c>
      <c r="CG91" s="52">
        <f>GKT[[#This Row],[Description Name]]</f>
        <v>0</v>
      </c>
      <c r="CH91" s="52">
        <f>GKT[[#This Row],[UID]]</f>
        <v>0</v>
      </c>
      <c r="CL91" t="str">
        <f>IF(GKT[[#This Row],[Status]]=0,"",GKT[[#This Row],[Status]])</f>
        <v/>
      </c>
    </row>
    <row r="92" spans="1:90">
      <c r="A92" s="9"/>
      <c r="B92" s="9"/>
      <c r="C92" s="9"/>
      <c r="D92" s="9"/>
      <c r="E92" s="9"/>
      <c r="F92" s="9"/>
      <c r="G92" s="9"/>
      <c r="H92" s="9"/>
      <c r="I92" s="12"/>
      <c r="J92" s="16"/>
      <c r="K92" s="16"/>
      <c r="L92" s="16"/>
      <c r="M92" s="16"/>
      <c r="N92" s="13"/>
      <c r="CB92" s="1" t="s">
        <v>71</v>
      </c>
      <c r="CC92" s="1" t="s">
        <v>18</v>
      </c>
      <c r="CD92" s="1" t="s">
        <v>132</v>
      </c>
      <c r="CF92" s="52">
        <f>GKT[[#This Row],[Part Type]]</f>
        <v>0</v>
      </c>
      <c r="CG92" s="52">
        <f>GKT[[#This Row],[Description Name]]</f>
        <v>0</v>
      </c>
      <c r="CH92" s="52">
        <f>GKT[[#This Row],[UID]]</f>
        <v>0</v>
      </c>
      <c r="CL92" t="str">
        <f>IF(GKT[[#This Row],[Status]]=0,"",GKT[[#This Row],[Status]])</f>
        <v/>
      </c>
    </row>
    <row r="93" spans="1:90">
      <c r="A93" s="9"/>
      <c r="B93" s="9"/>
      <c r="C93" s="9"/>
      <c r="D93" s="9"/>
      <c r="E93" s="9"/>
      <c r="F93" s="9"/>
      <c r="G93" s="9"/>
      <c r="H93" s="9"/>
      <c r="I93" s="12"/>
      <c r="J93" s="16"/>
      <c r="K93" s="16"/>
      <c r="L93" s="16"/>
      <c r="M93" s="16"/>
      <c r="N93" s="13"/>
      <c r="CB93" s="1" t="s">
        <v>71</v>
      </c>
      <c r="CC93" s="1" t="s">
        <v>18</v>
      </c>
      <c r="CD93" s="1" t="s">
        <v>132</v>
      </c>
      <c r="CF93" s="52">
        <f>GKT[[#This Row],[Part Type]]</f>
        <v>0</v>
      </c>
      <c r="CG93" s="52">
        <f>GKT[[#This Row],[Description Name]]</f>
        <v>0</v>
      </c>
      <c r="CH93" s="52">
        <f>GKT[[#This Row],[UID]]</f>
        <v>0</v>
      </c>
      <c r="CL93" t="str">
        <f>IF(GKT[[#This Row],[Status]]=0,"",GKT[[#This Row],[Status]])</f>
        <v/>
      </c>
    </row>
    <row r="94" spans="1:90">
      <c r="A94" s="9"/>
      <c r="B94" s="9"/>
      <c r="C94" s="9"/>
      <c r="D94" s="9"/>
      <c r="E94" s="9"/>
      <c r="F94" s="9"/>
      <c r="G94" s="9"/>
      <c r="H94" s="9"/>
      <c r="I94" s="12"/>
      <c r="J94" s="16"/>
      <c r="K94" s="16"/>
      <c r="L94" s="16"/>
      <c r="M94" s="16"/>
      <c r="N94" s="13"/>
      <c r="CB94" s="1" t="s">
        <v>71</v>
      </c>
      <c r="CC94" s="1" t="s">
        <v>18</v>
      </c>
      <c r="CD94" s="1" t="s">
        <v>132</v>
      </c>
      <c r="CF94" s="52">
        <f>GKT[[#This Row],[Part Type]]</f>
        <v>0</v>
      </c>
      <c r="CG94" s="52">
        <f>GKT[[#This Row],[Description Name]]</f>
        <v>0</v>
      </c>
      <c r="CH94" s="52">
        <f>GKT[[#This Row],[UID]]</f>
        <v>0</v>
      </c>
      <c r="CL94" t="str">
        <f>IF(GKT[[#This Row],[Status]]=0,"",GKT[[#This Row],[Status]])</f>
        <v/>
      </c>
    </row>
    <row r="95" spans="1:90">
      <c r="A95" s="9"/>
      <c r="B95" s="9"/>
      <c r="C95" s="9"/>
      <c r="D95" s="9"/>
      <c r="E95" s="9"/>
      <c r="F95" s="9"/>
      <c r="G95" s="9"/>
      <c r="H95" s="9"/>
      <c r="I95" s="12"/>
      <c r="J95" s="16"/>
      <c r="K95" s="16"/>
      <c r="L95" s="16"/>
      <c r="M95" s="16"/>
      <c r="N95" s="13"/>
      <c r="CB95" s="1" t="s">
        <v>71</v>
      </c>
      <c r="CC95" s="1" t="s">
        <v>18</v>
      </c>
      <c r="CD95" s="1" t="s">
        <v>132</v>
      </c>
      <c r="CF95" s="52">
        <f>GKT[[#This Row],[Part Type]]</f>
        <v>0</v>
      </c>
      <c r="CG95" s="52">
        <f>GKT[[#This Row],[Description Name]]</f>
        <v>0</v>
      </c>
      <c r="CH95" s="52">
        <f>GKT[[#This Row],[UID]]</f>
        <v>0</v>
      </c>
      <c r="CL95" t="str">
        <f>IF(GKT[[#This Row],[Status]]=0,"",GKT[[#This Row],[Status]])</f>
        <v/>
      </c>
    </row>
    <row r="96" spans="1:90">
      <c r="A96" s="9"/>
      <c r="B96" s="9"/>
      <c r="C96" s="9"/>
      <c r="D96" s="9"/>
      <c r="E96" s="9"/>
      <c r="F96" s="9"/>
      <c r="G96" s="9"/>
      <c r="H96" s="9"/>
      <c r="I96" s="12"/>
      <c r="J96" s="16"/>
      <c r="K96" s="16"/>
      <c r="L96" s="16"/>
      <c r="M96" s="16"/>
      <c r="N96" s="13"/>
      <c r="CB96" s="1" t="s">
        <v>71</v>
      </c>
      <c r="CC96" s="1" t="s">
        <v>18</v>
      </c>
      <c r="CD96" s="1" t="s">
        <v>132</v>
      </c>
      <c r="CF96" s="52">
        <f>GKT[[#This Row],[Part Type]]</f>
        <v>0</v>
      </c>
      <c r="CG96" s="52">
        <f>GKT[[#This Row],[Description Name]]</f>
        <v>0</v>
      </c>
      <c r="CH96" s="52">
        <f>GKT[[#This Row],[UID]]</f>
        <v>0</v>
      </c>
      <c r="CL96" t="str">
        <f>IF(GKT[[#This Row],[Status]]=0,"",GKT[[#This Row],[Status]])</f>
        <v/>
      </c>
    </row>
    <row r="97" spans="1:90">
      <c r="A97" s="9"/>
      <c r="B97" s="9"/>
      <c r="C97" s="9"/>
      <c r="D97" s="9"/>
      <c r="E97" s="9"/>
      <c r="F97" s="9"/>
      <c r="G97" s="9"/>
      <c r="H97" s="9"/>
      <c r="I97" s="12"/>
      <c r="J97" s="16"/>
      <c r="K97" s="16"/>
      <c r="L97" s="16"/>
      <c r="M97" s="16"/>
      <c r="N97" s="13"/>
      <c r="CB97" s="1" t="s">
        <v>71</v>
      </c>
      <c r="CC97" s="1" t="s">
        <v>18</v>
      </c>
      <c r="CD97" s="1" t="s">
        <v>132</v>
      </c>
      <c r="CF97" s="52">
        <f>GKT[[#This Row],[Part Type]]</f>
        <v>0</v>
      </c>
      <c r="CG97" s="52">
        <f>GKT[[#This Row],[Description Name]]</f>
        <v>0</v>
      </c>
      <c r="CH97" s="52">
        <f>GKT[[#This Row],[UID]]</f>
        <v>0</v>
      </c>
      <c r="CL97" t="str">
        <f>IF(GKT[[#This Row],[Status]]=0,"",GKT[[#This Row],[Status]])</f>
        <v/>
      </c>
    </row>
    <row r="98" spans="1:90">
      <c r="A98" s="9"/>
      <c r="B98" s="9"/>
      <c r="C98" s="9"/>
      <c r="D98" s="9"/>
      <c r="E98" s="9"/>
      <c r="F98" s="9"/>
      <c r="G98" s="9"/>
      <c r="H98" s="9"/>
      <c r="I98" s="12"/>
      <c r="J98" s="16"/>
      <c r="K98" s="16"/>
      <c r="L98" s="16"/>
      <c r="M98" s="16"/>
      <c r="N98" s="13"/>
      <c r="CB98" s="1" t="s">
        <v>71</v>
      </c>
      <c r="CC98" s="1" t="s">
        <v>18</v>
      </c>
      <c r="CD98" s="1" t="s">
        <v>132</v>
      </c>
      <c r="CF98" s="52">
        <f>GKT[[#This Row],[Part Type]]</f>
        <v>0</v>
      </c>
      <c r="CG98" s="52">
        <f>GKT[[#This Row],[Description Name]]</f>
        <v>0</v>
      </c>
      <c r="CH98" s="52">
        <f>GKT[[#This Row],[UID]]</f>
        <v>0</v>
      </c>
      <c r="CL98" t="str">
        <f>IF(GKT[[#This Row],[Status]]=0,"",GKT[[#This Row],[Status]])</f>
        <v/>
      </c>
    </row>
    <row r="99" spans="1:90">
      <c r="A99" s="9"/>
      <c r="B99" s="9"/>
      <c r="C99" s="9"/>
      <c r="D99" s="9"/>
      <c r="E99" s="9"/>
      <c r="F99" s="9"/>
      <c r="G99" s="9"/>
      <c r="H99" s="9"/>
      <c r="I99" s="12"/>
      <c r="J99" s="16"/>
      <c r="K99" s="16"/>
      <c r="L99" s="16"/>
      <c r="M99" s="16"/>
      <c r="N99" s="13"/>
      <c r="CB99" s="1" t="s">
        <v>71</v>
      </c>
      <c r="CC99" s="1" t="s">
        <v>18</v>
      </c>
      <c r="CD99" s="1" t="s">
        <v>132</v>
      </c>
      <c r="CF99" s="52">
        <f>GKT[[#This Row],[Part Type]]</f>
        <v>0</v>
      </c>
      <c r="CG99" s="52">
        <f>GKT[[#This Row],[Description Name]]</f>
        <v>0</v>
      </c>
      <c r="CH99" s="52">
        <f>GKT[[#This Row],[UID]]</f>
        <v>0</v>
      </c>
      <c r="CL99" t="str">
        <f>IF(GKT[[#This Row],[Status]]=0,"",GKT[[#This Row],[Status]])</f>
        <v/>
      </c>
    </row>
    <row r="100" spans="1:90">
      <c r="A100" s="9"/>
      <c r="B100" s="9"/>
      <c r="C100" s="9"/>
      <c r="D100" s="9"/>
      <c r="E100" s="9"/>
      <c r="F100" s="9"/>
      <c r="G100" s="9"/>
      <c r="H100" s="9"/>
      <c r="I100" s="12"/>
      <c r="J100" s="16"/>
      <c r="K100" s="16"/>
      <c r="L100" s="16"/>
      <c r="M100" s="16"/>
      <c r="N100" s="13"/>
      <c r="CB100" s="1" t="s">
        <v>71</v>
      </c>
      <c r="CC100" s="1" t="s">
        <v>18</v>
      </c>
      <c r="CD100" s="1" t="s">
        <v>132</v>
      </c>
      <c r="CF100" s="52">
        <f>GKT[[#This Row],[Part Type]]</f>
        <v>0</v>
      </c>
      <c r="CG100" s="52">
        <f>GKT[[#This Row],[Description Name]]</f>
        <v>0</v>
      </c>
      <c r="CH100" s="52">
        <f>GKT[[#This Row],[UID]]</f>
        <v>0</v>
      </c>
      <c r="CL100" t="str">
        <f>IF(GKT[[#This Row],[Status]]=0,"",GKT[[#This Row],[Status]])</f>
        <v/>
      </c>
    </row>
    <row r="101" spans="1:90">
      <c r="A101" s="9"/>
      <c r="B101" s="9"/>
      <c r="C101" s="9"/>
      <c r="D101" s="9"/>
      <c r="E101" s="9"/>
      <c r="F101" s="9"/>
      <c r="G101" s="9"/>
      <c r="H101" s="9"/>
      <c r="I101" s="12"/>
      <c r="J101" s="16"/>
      <c r="K101" s="16"/>
      <c r="L101" s="16"/>
      <c r="M101" s="16"/>
      <c r="N101" s="13"/>
      <c r="CB101" s="1" t="s">
        <v>71</v>
      </c>
      <c r="CC101" s="1" t="s">
        <v>18</v>
      </c>
      <c r="CD101" s="1" t="s">
        <v>132</v>
      </c>
      <c r="CF101" s="52">
        <f>GKT[[#This Row],[Part Type]]</f>
        <v>0</v>
      </c>
      <c r="CG101" s="52">
        <f>GKT[[#This Row],[Description Name]]</f>
        <v>0</v>
      </c>
      <c r="CH101" s="52">
        <f>GKT[[#This Row],[UID]]</f>
        <v>0</v>
      </c>
      <c r="CL101" t="str">
        <f>IF(GKT[[#This Row],[Status]]=0,"",GKT[[#This Row],[Status]])</f>
        <v/>
      </c>
    </row>
  </sheetData>
  <hyperlinks>
    <hyperlink ref="M2" r:id="rId1" xr:uid="{9262D27E-9477-9B4F-B958-D03D27FE40F1}"/>
    <hyperlink ref="M3" r:id="rId2" xr:uid="{A3F852F6-1FBD-A543-B827-ED6A54C49865}"/>
    <hyperlink ref="M4" r:id="rId3" xr:uid="{CA9C4412-840B-9549-9E06-8F0E25901668}"/>
    <hyperlink ref="M8" r:id="rId4" xr:uid="{571A90E8-2B6A-5341-880A-0C83CBC62566}"/>
    <hyperlink ref="M14" r:id="rId5" xr:uid="{E7AE4A5B-F478-5347-B569-B5775AD2464D}"/>
    <hyperlink ref="M15" r:id="rId6" xr:uid="{EAFB109C-2291-BC4B-84CF-94EAA2E9229A}"/>
    <hyperlink ref="M19" r:id="rId7" xr:uid="{6D7C6B45-2835-1542-89C1-23535049DB34}"/>
    <hyperlink ref="M9" r:id="rId8" xr:uid="{09E53108-EC57-A342-BC36-9F489EA5A67B}"/>
    <hyperlink ref="M10" r:id="rId9" xr:uid="{2869299C-14C2-4447-9C0D-00DBB0EECCB8}"/>
    <hyperlink ref="M11" r:id="rId10" xr:uid="{386D0992-B37A-0B40-9F11-619B8F69C80A}"/>
    <hyperlink ref="M12" r:id="rId11" xr:uid="{E5E9E077-8260-F749-8562-4F9BE8ED7C53}"/>
    <hyperlink ref="M13" r:id="rId12" xr:uid="{74975B78-4B3C-4048-A981-C775EB4781AE}"/>
    <hyperlink ref="M22" r:id="rId13" xr:uid="{AABA6CBA-5486-6D40-BD9F-A44FA03967F4}"/>
  </hyperlinks>
  <pageMargins left="0.7" right="0.7" top="0.75" bottom="0.75" header="0.3" footer="0.3"/>
  <tableParts count="2">
    <tablePart r:id="rId14"/>
    <tablePart r:id="rId1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F5679-3712-0D49-B104-79184710D633}">
  <sheetPr codeName="Sheet6"/>
  <dimension ref="A1:CK101"/>
  <sheetViews>
    <sheetView topLeftCell="C1" zoomScale="112" zoomScaleNormal="112" workbookViewId="0">
      <selection activeCell="C1" sqref="C1"/>
    </sheetView>
  </sheetViews>
  <sheetFormatPr defaultColWidth="11" defaultRowHeight="15.95"/>
  <cols>
    <col min="1" max="1" width="10.375" bestFit="1" customWidth="1"/>
    <col min="2" max="2" width="13" customWidth="1"/>
    <col min="3" max="3" width="10.5" bestFit="1" customWidth="1"/>
    <col min="4" max="5" width="16.375" bestFit="1" customWidth="1"/>
    <col min="6" max="6" width="11.625" bestFit="1" customWidth="1"/>
    <col min="7" max="7" width="21.625" bestFit="1" customWidth="1"/>
    <col min="8" max="8" width="20.125" bestFit="1" customWidth="1"/>
    <col min="9" max="9" width="22.375" bestFit="1" customWidth="1"/>
    <col min="10" max="10" width="21.625" bestFit="1" customWidth="1"/>
    <col min="11" max="11" width="20" bestFit="1" customWidth="1"/>
    <col min="12" max="13" width="27.375" bestFit="1" customWidth="1"/>
    <col min="14" max="14" width="13.375" bestFit="1" customWidth="1"/>
    <col min="15" max="15" width="14.875" bestFit="1" customWidth="1"/>
    <col min="16" max="16" width="105.625" bestFit="1" customWidth="1"/>
    <col min="17" max="17" width="102" bestFit="1" customWidth="1"/>
    <col min="79" max="79" width="15" customWidth="1"/>
    <col min="80" max="80" width="18.625" customWidth="1"/>
    <col min="81" max="81" width="19.625" customWidth="1"/>
    <col min="84" max="84" width="12.875" customWidth="1"/>
    <col min="85" max="85" width="11.625" customWidth="1"/>
    <col min="86" max="86" width="15.625" customWidth="1"/>
    <col min="88" max="88" width="14.5" customWidth="1"/>
  </cols>
  <sheetData>
    <row r="1" spans="1:89">
      <c r="A1" s="61" t="s">
        <v>12</v>
      </c>
      <c r="B1" s="40" t="s">
        <v>95</v>
      </c>
      <c r="C1" s="182" t="s">
        <v>94</v>
      </c>
      <c r="D1" s="61" t="s">
        <v>15</v>
      </c>
      <c r="E1" s="61" t="s">
        <v>96</v>
      </c>
      <c r="F1" s="62" t="s">
        <v>97</v>
      </c>
      <c r="G1" s="62" t="s">
        <v>98</v>
      </c>
      <c r="H1" s="62" t="s">
        <v>99</v>
      </c>
      <c r="I1" s="62" t="s">
        <v>100</v>
      </c>
      <c r="J1" s="62" t="s">
        <v>101</v>
      </c>
      <c r="K1" s="62" t="s">
        <v>102</v>
      </c>
      <c r="L1" s="18" t="s">
        <v>339</v>
      </c>
      <c r="M1" s="18" t="s">
        <v>228</v>
      </c>
      <c r="N1" s="62" t="s">
        <v>109</v>
      </c>
      <c r="O1" s="62" t="s">
        <v>841</v>
      </c>
      <c r="P1" s="62" t="s">
        <v>342</v>
      </c>
      <c r="BZ1" t="s">
        <v>119</v>
      </c>
      <c r="CA1" s="117" t="s">
        <v>2</v>
      </c>
      <c r="CB1" s="118" t="s">
        <v>3</v>
      </c>
      <c r="CC1" s="118" t="s">
        <v>4</v>
      </c>
      <c r="CD1" s="118" t="s">
        <v>5</v>
      </c>
      <c r="CE1" s="118" t="s">
        <v>6</v>
      </c>
      <c r="CF1" s="119" t="s">
        <v>7</v>
      </c>
      <c r="CG1" s="118" t="s">
        <v>8</v>
      </c>
      <c r="CH1" s="118" t="s">
        <v>9</v>
      </c>
      <c r="CI1" s="118" t="s">
        <v>10</v>
      </c>
      <c r="CJ1" s="118" t="s">
        <v>11</v>
      </c>
      <c r="CK1" s="120" t="s">
        <v>12</v>
      </c>
    </row>
    <row r="2" spans="1:89">
      <c r="A2" s="31" t="s">
        <v>120</v>
      </c>
      <c r="B2" s="31" t="s">
        <v>61</v>
      </c>
      <c r="C2" s="31" t="s">
        <v>842</v>
      </c>
      <c r="D2" s="31" t="s">
        <v>122</v>
      </c>
      <c r="E2" s="31" t="s">
        <v>123</v>
      </c>
      <c r="F2" s="32">
        <v>250</v>
      </c>
      <c r="G2" s="32">
        <v>36259</v>
      </c>
      <c r="H2" s="32">
        <v>575</v>
      </c>
      <c r="I2" s="31" t="s">
        <v>124</v>
      </c>
      <c r="J2" s="31" t="s">
        <v>125</v>
      </c>
      <c r="K2" s="31" t="s">
        <v>126</v>
      </c>
      <c r="L2" s="31" t="s">
        <v>843</v>
      </c>
      <c r="M2" s="56">
        <v>1368.4690000000001</v>
      </c>
      <c r="N2" s="31" t="s">
        <v>127</v>
      </c>
      <c r="O2" s="31" t="s">
        <v>844</v>
      </c>
      <c r="P2" s="79" t="s">
        <v>845</v>
      </c>
      <c r="BZ2" t="s">
        <v>131</v>
      </c>
      <c r="CA2" s="1" t="s">
        <v>71</v>
      </c>
      <c r="CB2" s="1" t="s">
        <v>18</v>
      </c>
      <c r="CC2" s="1" t="s">
        <v>132</v>
      </c>
      <c r="CD2" s="1"/>
      <c r="CE2" s="1" t="str">
        <f>IF(GN[[#This Row],[Part Type]]=0,"",GN[[#This Row],[Part Type]])</f>
        <v>Grand Nut</v>
      </c>
      <c r="CF2" s="1" t="str">
        <f>IF(GN[[#This Row],[Name]]=0,"",GN[[#This Row],[Name]])</f>
        <v>Old 1"</v>
      </c>
      <c r="CG2" s="112" t="str">
        <f>GN[[#This Row],[UID]]</f>
        <v>GN-A</v>
      </c>
      <c r="CH2" s="1"/>
      <c r="CI2" s="1"/>
      <c r="CJ2" s="1"/>
      <c r="CK2" s="1" t="str">
        <f>IF(GN[[#This Row],[Status]]=0,"",GN[[#This Row],[Status]])</f>
        <v>Active</v>
      </c>
    </row>
    <row r="3" spans="1:89">
      <c r="A3" s="31" t="s">
        <v>120</v>
      </c>
      <c r="B3" s="31" t="s">
        <v>61</v>
      </c>
      <c r="C3" s="31" t="s">
        <v>846</v>
      </c>
      <c r="D3" s="31" t="s">
        <v>154</v>
      </c>
      <c r="E3" s="31" t="s">
        <v>123</v>
      </c>
      <c r="F3" s="32">
        <v>250</v>
      </c>
      <c r="G3" s="32">
        <v>36259</v>
      </c>
      <c r="H3" s="32">
        <v>575</v>
      </c>
      <c r="I3" s="31" t="s">
        <v>124</v>
      </c>
      <c r="J3" s="31" t="s">
        <v>125</v>
      </c>
      <c r="K3" s="31" t="s">
        <v>126</v>
      </c>
      <c r="L3" s="31" t="s">
        <v>843</v>
      </c>
      <c r="M3" s="56">
        <v>1347.856</v>
      </c>
      <c r="N3" s="31" t="s">
        <v>127</v>
      </c>
      <c r="O3" s="31" t="s">
        <v>844</v>
      </c>
      <c r="P3" s="79" t="s">
        <v>847</v>
      </c>
      <c r="CA3" s="1" t="s">
        <v>71</v>
      </c>
      <c r="CB3" s="1" t="s">
        <v>18</v>
      </c>
      <c r="CC3" s="1" t="s">
        <v>132</v>
      </c>
      <c r="CE3" t="str">
        <f>IF(GN[[#This Row],[Part Type]]=0,"",GN[[#This Row],[Part Type]])</f>
        <v>Grand Nut</v>
      </c>
      <c r="CF3" t="str">
        <f>IF(GN[[#This Row],[Name]]=0,"",GN[[#This Row],[Name]])</f>
        <v>Short 1" - Rene 41</v>
      </c>
      <c r="CG3" s="52" t="str">
        <f>GN[[#This Row],[UID]]</f>
        <v>GN-B</v>
      </c>
      <c r="CK3" t="str">
        <f>IF(GN[[#This Row],[Status]]=0,"",GN[[#This Row],[Status]])</f>
        <v>Active</v>
      </c>
    </row>
    <row r="4" spans="1:89">
      <c r="A4" s="31" t="s">
        <v>120</v>
      </c>
      <c r="B4" s="31" t="s">
        <v>61</v>
      </c>
      <c r="C4" s="31" t="s">
        <v>848</v>
      </c>
      <c r="D4" s="31" t="s">
        <v>154</v>
      </c>
      <c r="E4" s="31" t="s">
        <v>123</v>
      </c>
      <c r="F4" s="32">
        <v>250</v>
      </c>
      <c r="G4" s="32">
        <v>36259</v>
      </c>
      <c r="H4" s="32">
        <v>575</v>
      </c>
      <c r="I4" s="31" t="s">
        <v>124</v>
      </c>
      <c r="J4" s="31" t="s">
        <v>125</v>
      </c>
      <c r="K4" s="31" t="s">
        <v>126</v>
      </c>
      <c r="L4" s="31" t="s">
        <v>843</v>
      </c>
      <c r="M4" s="56">
        <v>1348.077</v>
      </c>
      <c r="N4" s="31" t="s">
        <v>127</v>
      </c>
      <c r="O4" s="31" t="s">
        <v>844</v>
      </c>
      <c r="P4" s="79" t="s">
        <v>847</v>
      </c>
      <c r="CA4" s="1" t="s">
        <v>71</v>
      </c>
      <c r="CB4" s="1" t="s">
        <v>18</v>
      </c>
      <c r="CC4" s="1" t="s">
        <v>132</v>
      </c>
      <c r="CE4" t="str">
        <f>IF(GN[[#This Row],[Part Type]]=0,"",GN[[#This Row],[Part Type]])</f>
        <v>Grand Nut</v>
      </c>
      <c r="CF4" t="str">
        <f>IF(GN[[#This Row],[Name]]=0,"",GN[[#This Row],[Name]])</f>
        <v>Short 1" - Rene 41</v>
      </c>
      <c r="CG4" s="52" t="str">
        <f>GN[[#This Row],[UID]]</f>
        <v>GN-C</v>
      </c>
      <c r="CK4" t="str">
        <f>IF(GN[[#This Row],[Status]]=0,"",GN[[#This Row],[Status]])</f>
        <v>Active</v>
      </c>
    </row>
    <row r="5" spans="1:89">
      <c r="A5" s="31" t="s">
        <v>120</v>
      </c>
      <c r="B5" s="31" t="s">
        <v>61</v>
      </c>
      <c r="C5" s="31" t="s">
        <v>849</v>
      </c>
      <c r="D5" s="31" t="s">
        <v>154</v>
      </c>
      <c r="E5" s="31" t="s">
        <v>123</v>
      </c>
      <c r="F5" s="32">
        <v>250</v>
      </c>
      <c r="G5" s="32">
        <v>36259</v>
      </c>
      <c r="H5" s="32">
        <v>575</v>
      </c>
      <c r="I5" s="31" t="s">
        <v>124</v>
      </c>
      <c r="J5" s="31" t="s">
        <v>125</v>
      </c>
      <c r="K5" s="31" t="s">
        <v>126</v>
      </c>
      <c r="L5" s="31" t="s">
        <v>843</v>
      </c>
      <c r="M5" s="56">
        <v>1350.7919999999999</v>
      </c>
      <c r="N5" s="31" t="s">
        <v>127</v>
      </c>
      <c r="O5" s="31" t="s">
        <v>844</v>
      </c>
      <c r="P5" s="79" t="s">
        <v>847</v>
      </c>
      <c r="CA5" s="1" t="s">
        <v>71</v>
      </c>
      <c r="CB5" s="1" t="s">
        <v>18</v>
      </c>
      <c r="CC5" s="1" t="s">
        <v>132</v>
      </c>
      <c r="CE5" t="str">
        <f>IF(GN[[#This Row],[Part Type]]=0,"",GN[[#This Row],[Part Type]])</f>
        <v>Grand Nut</v>
      </c>
      <c r="CF5" t="str">
        <f>IF(GN[[#This Row],[Name]]=0,"",GN[[#This Row],[Name]])</f>
        <v>Short 1" - Rene 41</v>
      </c>
      <c r="CG5" s="52" t="str">
        <f>GN[[#This Row],[UID]]</f>
        <v>GN-D</v>
      </c>
      <c r="CK5" t="str">
        <f>IF(GN[[#This Row],[Status]]=0,"",GN[[#This Row],[Status]])</f>
        <v>Active</v>
      </c>
    </row>
    <row r="6" spans="1:89">
      <c r="A6" s="31" t="s">
        <v>120</v>
      </c>
      <c r="B6" s="31" t="s">
        <v>61</v>
      </c>
      <c r="C6" s="31" t="s">
        <v>850</v>
      </c>
      <c r="D6" s="31" t="s">
        <v>163</v>
      </c>
      <c r="E6" s="31" t="s">
        <v>123</v>
      </c>
      <c r="F6" s="32">
        <v>100</v>
      </c>
      <c r="G6" s="32">
        <v>14504</v>
      </c>
      <c r="H6" s="32">
        <v>575</v>
      </c>
      <c r="I6" s="31" t="s">
        <v>164</v>
      </c>
      <c r="J6" s="31" t="s">
        <v>165</v>
      </c>
      <c r="K6" s="31" t="s">
        <v>126</v>
      </c>
      <c r="L6" s="31" t="s">
        <v>843</v>
      </c>
      <c r="M6" s="56">
        <v>1396.318</v>
      </c>
      <c r="N6" s="31" t="s">
        <v>127</v>
      </c>
      <c r="O6" s="31" t="s">
        <v>844</v>
      </c>
      <c r="P6" s="79" t="s">
        <v>847</v>
      </c>
      <c r="CA6" s="1" t="s">
        <v>71</v>
      </c>
      <c r="CB6" s="1" t="s">
        <v>18</v>
      </c>
      <c r="CC6" s="1" t="s">
        <v>132</v>
      </c>
      <c r="CE6" t="str">
        <f>IF(GN[[#This Row],[Part Type]]=0,"",GN[[#This Row],[Part Type]])</f>
        <v>Grand Nut</v>
      </c>
      <c r="CF6" t="str">
        <f>IF(GN[[#This Row],[Name]]=0,"",GN[[#This Row],[Name]])</f>
        <v>Short 1" - Inconel</v>
      </c>
      <c r="CG6" s="52" t="str">
        <f>GN[[#This Row],[UID]]</f>
        <v>GN-E</v>
      </c>
      <c r="CK6" t="str">
        <f>IF(GN[[#This Row],[Status]]=0,"",GN[[#This Row],[Status]])</f>
        <v>Active</v>
      </c>
    </row>
    <row r="7" spans="1:89">
      <c r="A7" s="31" t="s">
        <v>120</v>
      </c>
      <c r="B7" s="31" t="s">
        <v>61</v>
      </c>
      <c r="C7" s="31" t="s">
        <v>851</v>
      </c>
      <c r="D7" s="31" t="s">
        <v>163</v>
      </c>
      <c r="E7" s="31" t="s">
        <v>123</v>
      </c>
      <c r="F7" s="32">
        <v>100</v>
      </c>
      <c r="G7" s="32">
        <v>14504</v>
      </c>
      <c r="H7" s="32">
        <v>575</v>
      </c>
      <c r="I7" s="31" t="s">
        <v>164</v>
      </c>
      <c r="J7" s="31" t="s">
        <v>165</v>
      </c>
      <c r="K7" s="31" t="s">
        <v>126</v>
      </c>
      <c r="L7" s="31" t="s">
        <v>843</v>
      </c>
      <c r="M7" s="56">
        <v>1395.2860000000001</v>
      </c>
      <c r="N7" s="31" t="s">
        <v>127</v>
      </c>
      <c r="O7" s="31" t="s">
        <v>844</v>
      </c>
      <c r="P7" s="79" t="s">
        <v>847</v>
      </c>
      <c r="CA7" s="1" t="s">
        <v>71</v>
      </c>
      <c r="CB7" s="1" t="s">
        <v>18</v>
      </c>
      <c r="CC7" s="1" t="s">
        <v>132</v>
      </c>
      <c r="CE7" t="str">
        <f>IF(GN[[#This Row],[Part Type]]=0,"",GN[[#This Row],[Part Type]])</f>
        <v>Grand Nut</v>
      </c>
      <c r="CF7" t="str">
        <f>IF(GN[[#This Row],[Name]]=0,"",GN[[#This Row],[Name]])</f>
        <v>Short 1" - Inconel</v>
      </c>
      <c r="CG7" s="52" t="str">
        <f>GN[[#This Row],[UID]]</f>
        <v>GN-F</v>
      </c>
      <c r="CK7" t="str">
        <f>IF(GN[[#This Row],[Status]]=0,"",GN[[#This Row],[Status]])</f>
        <v>Active</v>
      </c>
    </row>
    <row r="8" spans="1:89">
      <c r="A8" s="31" t="s">
        <v>120</v>
      </c>
      <c r="B8" s="31" t="s">
        <v>61</v>
      </c>
      <c r="C8" s="31" t="s">
        <v>852</v>
      </c>
      <c r="D8" s="31" t="s">
        <v>163</v>
      </c>
      <c r="E8" s="31" t="s">
        <v>123</v>
      </c>
      <c r="F8" s="32">
        <v>100</v>
      </c>
      <c r="G8" s="32">
        <v>14504</v>
      </c>
      <c r="H8" s="32">
        <v>575</v>
      </c>
      <c r="I8" s="31" t="s">
        <v>164</v>
      </c>
      <c r="J8" s="31" t="s">
        <v>165</v>
      </c>
      <c r="K8" s="31" t="s">
        <v>126</v>
      </c>
      <c r="L8" s="31" t="s">
        <v>843</v>
      </c>
      <c r="M8" s="56">
        <v>1399.84</v>
      </c>
      <c r="N8" s="31" t="s">
        <v>127</v>
      </c>
      <c r="O8" s="31" t="s">
        <v>844</v>
      </c>
      <c r="P8" s="79" t="s">
        <v>847</v>
      </c>
      <c r="CA8" s="1" t="s">
        <v>71</v>
      </c>
      <c r="CB8" s="1" t="s">
        <v>18</v>
      </c>
      <c r="CC8" s="1" t="s">
        <v>132</v>
      </c>
      <c r="CE8" t="str">
        <f>IF(GN[[#This Row],[Part Type]]=0,"",GN[[#This Row],[Part Type]])</f>
        <v>Grand Nut</v>
      </c>
      <c r="CF8" t="str">
        <f>IF(GN[[#This Row],[Name]]=0,"",GN[[#This Row],[Name]])</f>
        <v>Short 1" - Inconel</v>
      </c>
      <c r="CG8" s="52" t="str">
        <f>GN[[#This Row],[UID]]</f>
        <v>GN-G</v>
      </c>
      <c r="CK8" t="str">
        <f>IF(GN[[#This Row],[Status]]=0,"",GN[[#This Row],[Status]])</f>
        <v>Active</v>
      </c>
    </row>
    <row r="9" spans="1:89">
      <c r="A9" s="31" t="s">
        <v>120</v>
      </c>
      <c r="B9" s="31" t="s">
        <v>61</v>
      </c>
      <c r="C9" s="31" t="s">
        <v>853</v>
      </c>
      <c r="D9" s="31" t="s">
        <v>169</v>
      </c>
      <c r="E9" s="31" t="s">
        <v>123</v>
      </c>
      <c r="F9" s="32">
        <v>80</v>
      </c>
      <c r="G9" s="32">
        <v>11603</v>
      </c>
      <c r="H9" s="32">
        <v>420</v>
      </c>
      <c r="I9" s="31" t="s">
        <v>170</v>
      </c>
      <c r="J9" s="31" t="s">
        <v>171</v>
      </c>
      <c r="K9" s="31" t="s">
        <v>126</v>
      </c>
      <c r="L9" s="31" t="s">
        <v>843</v>
      </c>
      <c r="M9" s="56">
        <v>2263.2049999999999</v>
      </c>
      <c r="N9" s="32" t="s">
        <v>854</v>
      </c>
      <c r="O9" s="31" t="s">
        <v>855</v>
      </c>
      <c r="P9" s="79" t="s">
        <v>174</v>
      </c>
      <c r="CA9" s="1" t="s">
        <v>71</v>
      </c>
      <c r="CB9" s="1" t="s">
        <v>18</v>
      </c>
      <c r="CC9" s="1" t="s">
        <v>132</v>
      </c>
      <c r="CE9" t="str">
        <f>IF(GN[[#This Row],[Part Type]]=0,"",GN[[#This Row],[Part Type]])</f>
        <v>Grand Nut</v>
      </c>
      <c r="CF9" t="str">
        <f>IF(GN[[#This Row],[Name]]=0,"",GN[[#This Row],[Name]])</f>
        <v>SS</v>
      </c>
      <c r="CG9" s="52" t="str">
        <f>GN[[#This Row],[UID]]</f>
        <v>GN-H</v>
      </c>
      <c r="CK9" t="str">
        <f>IF(GN[[#This Row],[Status]]=0,"",GN[[#This Row],[Status]])</f>
        <v>Active</v>
      </c>
    </row>
    <row r="10" spans="1:89">
      <c r="A10" s="31" t="s">
        <v>128</v>
      </c>
      <c r="B10" s="31" t="s">
        <v>61</v>
      </c>
      <c r="C10" s="31" t="s">
        <v>856</v>
      </c>
      <c r="D10" s="31" t="s">
        <v>176</v>
      </c>
      <c r="E10" s="31" t="s">
        <v>128</v>
      </c>
      <c r="F10" s="32">
        <v>400</v>
      </c>
      <c r="G10" s="32">
        <v>58015</v>
      </c>
      <c r="H10" s="32">
        <v>600</v>
      </c>
      <c r="I10" s="31" t="s">
        <v>124</v>
      </c>
      <c r="J10" s="31" t="s">
        <v>125</v>
      </c>
      <c r="K10" s="31" t="s">
        <v>126</v>
      </c>
      <c r="L10" s="31" t="s">
        <v>129</v>
      </c>
      <c r="M10" s="11" t="s">
        <v>129</v>
      </c>
      <c r="N10" s="5" t="s">
        <v>177</v>
      </c>
      <c r="O10" s="31" t="s">
        <v>857</v>
      </c>
      <c r="P10" s="99" t="s">
        <v>858</v>
      </c>
      <c r="CA10" s="1" t="s">
        <v>71</v>
      </c>
      <c r="CB10" s="1" t="s">
        <v>18</v>
      </c>
      <c r="CC10" s="1" t="s">
        <v>132</v>
      </c>
      <c r="CE10" t="str">
        <f>IF(GN[[#This Row],[Part Type]]=0,"",GN[[#This Row],[Part Type]])</f>
        <v>Grand Nut</v>
      </c>
      <c r="CF10" t="str">
        <f>IF(GN[[#This Row],[Name]]=0,"",GN[[#This Row],[Name]])</f>
        <v>400 MPa</v>
      </c>
      <c r="CG10" s="52" t="str">
        <f>GN[[#This Row],[UID]]</f>
        <v>GN-K</v>
      </c>
      <c r="CK10" t="str">
        <f>IF(GN[[#This Row],[Status]]=0,"",GN[[#This Row],[Status]])</f>
        <v>UCSB</v>
      </c>
    </row>
    <row r="11" spans="1:89">
      <c r="A11" s="31" t="s">
        <v>128</v>
      </c>
      <c r="B11" s="31" t="s">
        <v>61</v>
      </c>
      <c r="C11" s="31" t="s">
        <v>859</v>
      </c>
      <c r="D11" s="31" t="s">
        <v>176</v>
      </c>
      <c r="E11" s="31" t="s">
        <v>128</v>
      </c>
      <c r="F11" s="32">
        <v>400</v>
      </c>
      <c r="G11" s="32">
        <v>58015</v>
      </c>
      <c r="H11" s="32">
        <v>600</v>
      </c>
      <c r="I11" s="31" t="s">
        <v>124</v>
      </c>
      <c r="J11" s="31" t="s">
        <v>125</v>
      </c>
      <c r="K11" s="31" t="s">
        <v>126</v>
      </c>
      <c r="L11" s="31" t="s">
        <v>129</v>
      </c>
      <c r="M11" s="11" t="s">
        <v>129</v>
      </c>
      <c r="N11" s="5" t="s">
        <v>177</v>
      </c>
      <c r="O11" s="31" t="s">
        <v>857</v>
      </c>
      <c r="P11" s="99" t="s">
        <v>858</v>
      </c>
      <c r="CA11" s="1" t="s">
        <v>71</v>
      </c>
      <c r="CB11" s="1" t="s">
        <v>18</v>
      </c>
      <c r="CC11" s="1" t="s">
        <v>132</v>
      </c>
      <c r="CE11" t="str">
        <f>IF(GN[[#This Row],[Part Type]]=0,"",GN[[#This Row],[Part Type]])</f>
        <v>Grand Nut</v>
      </c>
      <c r="CF11" t="str">
        <f>IF(GN[[#This Row],[Name]]=0,"",GN[[#This Row],[Name]])</f>
        <v>400 MPa</v>
      </c>
      <c r="CG11" s="52" t="str">
        <f>GN[[#This Row],[UID]]</f>
        <v>GN-L</v>
      </c>
      <c r="CK11" t="str">
        <f>IF(GN[[#This Row],[Status]]=0,"",GN[[#This Row],[Status]])</f>
        <v>UCSB</v>
      </c>
    </row>
    <row r="12" spans="1:89">
      <c r="A12" s="31" t="s">
        <v>128</v>
      </c>
      <c r="B12" s="31" t="s">
        <v>61</v>
      </c>
      <c r="C12" s="31" t="s">
        <v>860</v>
      </c>
      <c r="D12" s="31" t="s">
        <v>182</v>
      </c>
      <c r="E12" s="31" t="s">
        <v>128</v>
      </c>
      <c r="F12" s="32">
        <v>200</v>
      </c>
      <c r="G12" s="32">
        <v>29008</v>
      </c>
      <c r="H12" s="32">
        <v>600</v>
      </c>
      <c r="I12" s="31" t="s">
        <v>124</v>
      </c>
      <c r="J12" s="31" t="s">
        <v>125</v>
      </c>
      <c r="K12" s="31" t="s">
        <v>126</v>
      </c>
      <c r="L12" s="31" t="s">
        <v>129</v>
      </c>
      <c r="M12" s="11" t="s">
        <v>129</v>
      </c>
      <c r="N12" s="5" t="s">
        <v>861</v>
      </c>
      <c r="O12" s="31" t="s">
        <v>862</v>
      </c>
      <c r="P12" s="79" t="s">
        <v>863</v>
      </c>
      <c r="CA12" s="1" t="s">
        <v>71</v>
      </c>
      <c r="CB12" s="1" t="s">
        <v>18</v>
      </c>
      <c r="CC12" s="1" t="s">
        <v>132</v>
      </c>
      <c r="CE12" t="str">
        <f>IF(GN[[#This Row],[Part Type]]=0,"",GN[[#This Row],[Part Type]])</f>
        <v>Grand Nut</v>
      </c>
      <c r="CF12" t="str">
        <f>IF(GN[[#This Row],[Name]]=0,"",GN[[#This Row],[Name]])</f>
        <v>New 1"</v>
      </c>
      <c r="CG12" s="52" t="str">
        <f>GN[[#This Row],[UID]]</f>
        <v>GN-M</v>
      </c>
      <c r="CK12" t="str">
        <f>IF(GN[[#This Row],[Status]]=0,"",GN[[#This Row],[Status]])</f>
        <v>UCSB</v>
      </c>
    </row>
    <row r="13" spans="1:89">
      <c r="A13" s="31" t="s">
        <v>128</v>
      </c>
      <c r="B13" s="31" t="s">
        <v>61</v>
      </c>
      <c r="C13" s="31" t="s">
        <v>864</v>
      </c>
      <c r="D13" s="31" t="s">
        <v>182</v>
      </c>
      <c r="E13" s="31" t="s">
        <v>128</v>
      </c>
      <c r="F13" s="32">
        <v>200</v>
      </c>
      <c r="G13" s="32">
        <v>29008</v>
      </c>
      <c r="H13" s="32">
        <v>600</v>
      </c>
      <c r="I13" s="31" t="s">
        <v>124</v>
      </c>
      <c r="J13" s="31" t="s">
        <v>125</v>
      </c>
      <c r="K13" s="31" t="s">
        <v>126</v>
      </c>
      <c r="L13" s="31" t="s">
        <v>129</v>
      </c>
      <c r="M13" s="11" t="s">
        <v>129</v>
      </c>
      <c r="N13" s="5" t="s">
        <v>861</v>
      </c>
      <c r="O13" s="31" t="s">
        <v>862</v>
      </c>
      <c r="P13" s="79" t="s">
        <v>863</v>
      </c>
      <c r="CA13" s="1" t="s">
        <v>71</v>
      </c>
      <c r="CB13" s="1" t="s">
        <v>18</v>
      </c>
      <c r="CC13" s="1" t="s">
        <v>132</v>
      </c>
      <c r="CE13" t="str">
        <f>IF(GN[[#This Row],[Part Type]]=0,"",GN[[#This Row],[Part Type]])</f>
        <v>Grand Nut</v>
      </c>
      <c r="CF13" t="str">
        <f>IF(GN[[#This Row],[Name]]=0,"",GN[[#This Row],[Name]])</f>
        <v>New 1"</v>
      </c>
      <c r="CG13" s="52" t="str">
        <f>GN[[#This Row],[UID]]</f>
        <v>GN-N</v>
      </c>
      <c r="CK13" t="str">
        <f>IF(GN[[#This Row],[Status]]=0,"",GN[[#This Row],[Status]])</f>
        <v>UCSB</v>
      </c>
    </row>
    <row r="14" spans="1:89">
      <c r="A14" s="31" t="s">
        <v>120</v>
      </c>
      <c r="B14" s="31" t="s">
        <v>61</v>
      </c>
      <c r="C14" s="31" t="s">
        <v>865</v>
      </c>
      <c r="D14" s="31" t="s">
        <v>182</v>
      </c>
      <c r="E14" s="31" t="s">
        <v>123</v>
      </c>
      <c r="F14" s="32">
        <v>200</v>
      </c>
      <c r="G14" s="32">
        <v>29008</v>
      </c>
      <c r="H14" s="32">
        <v>600</v>
      </c>
      <c r="I14" s="31" t="s">
        <v>124</v>
      </c>
      <c r="J14" s="31" t="s">
        <v>125</v>
      </c>
      <c r="K14" s="31" t="s">
        <v>126</v>
      </c>
      <c r="L14" s="32">
        <v>221015</v>
      </c>
      <c r="M14" s="11">
        <v>2306.65</v>
      </c>
      <c r="N14" s="5" t="s">
        <v>861</v>
      </c>
      <c r="O14" s="31" t="s">
        <v>862</v>
      </c>
      <c r="P14" s="79" t="s">
        <v>863</v>
      </c>
      <c r="CA14" s="1" t="s">
        <v>71</v>
      </c>
      <c r="CB14" s="1" t="s">
        <v>18</v>
      </c>
      <c r="CC14" s="1" t="s">
        <v>132</v>
      </c>
      <c r="CE14" t="str">
        <f>IF(GN[[#This Row],[Part Type]]=0,"",GN[[#This Row],[Part Type]])</f>
        <v>Grand Nut</v>
      </c>
      <c r="CF14" t="str">
        <f>IF(GN[[#This Row],[Name]]=0,"",GN[[#This Row],[Name]])</f>
        <v>New 1"</v>
      </c>
      <c r="CG14" s="52" t="str">
        <f>GN[[#This Row],[UID]]</f>
        <v>GN-P</v>
      </c>
      <c r="CK14" t="str">
        <f>IF(GN[[#This Row],[Status]]=0,"",GN[[#This Row],[Status]])</f>
        <v>Active</v>
      </c>
    </row>
    <row r="15" spans="1:89">
      <c r="A15" s="31" t="s">
        <v>120</v>
      </c>
      <c r="B15" s="31" t="s">
        <v>61</v>
      </c>
      <c r="C15" s="31" t="s">
        <v>866</v>
      </c>
      <c r="D15" s="31" t="s">
        <v>182</v>
      </c>
      <c r="E15" s="31" t="s">
        <v>123</v>
      </c>
      <c r="F15" s="32">
        <v>200</v>
      </c>
      <c r="G15" s="32">
        <v>29008</v>
      </c>
      <c r="H15" s="32">
        <v>600</v>
      </c>
      <c r="I15" s="31" t="s">
        <v>124</v>
      </c>
      <c r="J15" s="31" t="s">
        <v>125</v>
      </c>
      <c r="K15" s="31" t="s">
        <v>126</v>
      </c>
      <c r="L15" s="32">
        <v>221015</v>
      </c>
      <c r="M15" s="11">
        <v>2308.33</v>
      </c>
      <c r="N15" s="5" t="s">
        <v>861</v>
      </c>
      <c r="O15" s="31" t="s">
        <v>862</v>
      </c>
      <c r="P15" s="79" t="s">
        <v>863</v>
      </c>
      <c r="CA15" s="1" t="s">
        <v>71</v>
      </c>
      <c r="CB15" s="1" t="s">
        <v>18</v>
      </c>
      <c r="CC15" s="1" t="s">
        <v>132</v>
      </c>
      <c r="CE15" t="str">
        <f>IF(GN[[#This Row],[Part Type]]=0,"",GN[[#This Row],[Part Type]])</f>
        <v>Grand Nut</v>
      </c>
      <c r="CF15" t="str">
        <f>IF(GN[[#This Row],[Name]]=0,"",GN[[#This Row],[Name]])</f>
        <v>New 1"</v>
      </c>
      <c r="CG15" s="52" t="str">
        <f>GN[[#This Row],[UID]]</f>
        <v>GN-Q</v>
      </c>
      <c r="CK15" t="str">
        <f>IF(GN[[#This Row],[Status]]=0,"",GN[[#This Row],[Status]])</f>
        <v>Active</v>
      </c>
    </row>
    <row r="16" spans="1:89">
      <c r="A16" s="31" t="s">
        <v>120</v>
      </c>
      <c r="B16" s="31" t="s">
        <v>61</v>
      </c>
      <c r="C16" s="31" t="s">
        <v>867</v>
      </c>
      <c r="D16" s="31" t="s">
        <v>182</v>
      </c>
      <c r="E16" s="31" t="s">
        <v>123</v>
      </c>
      <c r="F16" s="32">
        <v>200</v>
      </c>
      <c r="G16" s="32">
        <v>29008</v>
      </c>
      <c r="H16" s="32">
        <v>600</v>
      </c>
      <c r="I16" s="31" t="s">
        <v>124</v>
      </c>
      <c r="J16" s="31" t="s">
        <v>125</v>
      </c>
      <c r="K16" s="31" t="s">
        <v>126</v>
      </c>
      <c r="L16" s="32">
        <v>221015</v>
      </c>
      <c r="M16" s="11">
        <v>2308.87</v>
      </c>
      <c r="N16" s="5" t="s">
        <v>861</v>
      </c>
      <c r="O16" s="31" t="s">
        <v>862</v>
      </c>
      <c r="P16" s="79" t="s">
        <v>863</v>
      </c>
      <c r="CA16" s="1" t="s">
        <v>71</v>
      </c>
      <c r="CB16" s="1" t="s">
        <v>18</v>
      </c>
      <c r="CC16" s="1" t="s">
        <v>132</v>
      </c>
      <c r="CE16" t="str">
        <f>IF(GN[[#This Row],[Part Type]]=0,"",GN[[#This Row],[Part Type]])</f>
        <v>Grand Nut</v>
      </c>
      <c r="CF16" t="str">
        <f>IF(GN[[#This Row],[Name]]=0,"",GN[[#This Row],[Name]])</f>
        <v>New 1"</v>
      </c>
      <c r="CG16" s="52" t="str">
        <f>GN[[#This Row],[UID]]</f>
        <v>GN-R</v>
      </c>
      <c r="CK16" t="str">
        <f>IF(GN[[#This Row],[Status]]=0,"",GN[[#This Row],[Status]])</f>
        <v>Active</v>
      </c>
    </row>
    <row r="17" spans="1:89">
      <c r="A17" s="31" t="s">
        <v>128</v>
      </c>
      <c r="B17" s="31" t="s">
        <v>61</v>
      </c>
      <c r="C17" s="31" t="s">
        <v>868</v>
      </c>
      <c r="D17" s="31" t="s">
        <v>223</v>
      </c>
      <c r="E17" s="31" t="s">
        <v>128</v>
      </c>
      <c r="F17" s="32">
        <v>270</v>
      </c>
      <c r="G17" s="32">
        <v>43511</v>
      </c>
      <c r="H17" s="32">
        <v>600</v>
      </c>
      <c r="I17" s="31" t="s">
        <v>124</v>
      </c>
      <c r="J17" s="31" t="s">
        <v>125</v>
      </c>
      <c r="K17" s="31" t="s">
        <v>126</v>
      </c>
      <c r="L17" s="31" t="s">
        <v>129</v>
      </c>
      <c r="M17" s="11" t="s">
        <v>129</v>
      </c>
      <c r="N17" s="31" t="s">
        <v>129</v>
      </c>
      <c r="O17" s="31" t="s">
        <v>129</v>
      </c>
      <c r="P17" s="99" t="s">
        <v>869</v>
      </c>
      <c r="CA17" s="1" t="s">
        <v>71</v>
      </c>
      <c r="CB17" s="1" t="s">
        <v>18</v>
      </c>
      <c r="CC17" s="1" t="s">
        <v>132</v>
      </c>
      <c r="CE17" t="str">
        <f>IF(GN[[#This Row],[Part Type]]=0,"",GN[[#This Row],[Part Type]])</f>
        <v>Grand Nut</v>
      </c>
      <c r="CF17" t="str">
        <f>IF(GN[[#This Row],[Name]]=0,"",GN[[#This Row],[Name]])</f>
        <v>2"</v>
      </c>
      <c r="CG17" s="52" t="str">
        <f>GN[[#This Row],[UID]]</f>
        <v>GN-Z</v>
      </c>
      <c r="CK17" t="str">
        <f>IF(GN[[#This Row],[Status]]=0,"",GN[[#This Row],[Status]])</f>
        <v>UCSB</v>
      </c>
    </row>
    <row r="18" spans="1:89">
      <c r="A18" s="31" t="s">
        <v>120</v>
      </c>
      <c r="B18" s="31" t="s">
        <v>61</v>
      </c>
      <c r="C18" s="31" t="s">
        <v>870</v>
      </c>
      <c r="D18" s="31" t="s">
        <v>182</v>
      </c>
      <c r="E18" s="31" t="s">
        <v>123</v>
      </c>
      <c r="F18" s="32">
        <v>200</v>
      </c>
      <c r="G18" s="32">
        <v>29008</v>
      </c>
      <c r="H18" s="32">
        <v>600</v>
      </c>
      <c r="I18" s="31" t="s">
        <v>124</v>
      </c>
      <c r="J18" s="31" t="s">
        <v>125</v>
      </c>
      <c r="K18" s="31" t="s">
        <v>126</v>
      </c>
      <c r="L18" s="31" t="s">
        <v>843</v>
      </c>
      <c r="M18" s="11">
        <v>2305.3150000000001</v>
      </c>
      <c r="N18" s="5" t="s">
        <v>861</v>
      </c>
      <c r="O18" s="31" t="s">
        <v>862</v>
      </c>
      <c r="P18" s="79" t="s">
        <v>863</v>
      </c>
      <c r="CA18" s="1" t="s">
        <v>71</v>
      </c>
      <c r="CB18" s="1" t="s">
        <v>18</v>
      </c>
      <c r="CC18" s="1" t="s">
        <v>132</v>
      </c>
      <c r="CE18" t="str">
        <f>IF(GN[[#This Row],[Part Type]]=0,"",GN[[#This Row],[Part Type]])</f>
        <v>Grand Nut</v>
      </c>
      <c r="CF18" t="str">
        <f>IF(GN[[#This Row],[Name]]=0,"",GN[[#This Row],[Name]])</f>
        <v>New 1"</v>
      </c>
      <c r="CG18" s="52" t="str">
        <f>GN[[#This Row],[UID]]</f>
        <v>GN-S</v>
      </c>
      <c r="CK18" t="str">
        <f>IF(GN[[#This Row],[Status]]=0,"",GN[[#This Row],[Status]])</f>
        <v>Active</v>
      </c>
    </row>
    <row r="19" spans="1:89">
      <c r="A19" s="31" t="s">
        <v>120</v>
      </c>
      <c r="B19" s="31" t="s">
        <v>61</v>
      </c>
      <c r="C19" s="31" t="s">
        <v>871</v>
      </c>
      <c r="D19" s="31" t="s">
        <v>188</v>
      </c>
      <c r="E19" s="31" t="s">
        <v>123</v>
      </c>
      <c r="F19" s="106"/>
      <c r="G19" s="106"/>
      <c r="H19" s="106"/>
      <c r="I19" s="105"/>
      <c r="J19" s="105"/>
      <c r="K19" s="105"/>
      <c r="L19" s="108"/>
      <c r="M19" s="109"/>
      <c r="N19" s="31" t="s">
        <v>129</v>
      </c>
      <c r="O19" s="31" t="s">
        <v>129</v>
      </c>
      <c r="P19" s="80" t="s">
        <v>189</v>
      </c>
      <c r="CA19" s="1" t="s">
        <v>71</v>
      </c>
      <c r="CB19" s="1" t="s">
        <v>18</v>
      </c>
      <c r="CC19" s="1" t="s">
        <v>132</v>
      </c>
      <c r="CE19" t="str">
        <f>IF(GN[[#This Row],[Part Type]]=0,"",GN[[#This Row],[Part Type]])</f>
        <v>Grand Nut</v>
      </c>
      <c r="CF19" t="str">
        <f>IF(GN[[#This Row],[Name]]=0,"",GN[[#This Row],[Name]])</f>
        <v>Parr 4"</v>
      </c>
      <c r="CG19" s="52" t="str">
        <f>GN[[#This Row],[UID]]</f>
        <v>GN-Parr</v>
      </c>
      <c r="CK19" t="str">
        <f>IF(GN[[#This Row],[Status]]=0,"",GN[[#This Row],[Status]])</f>
        <v>Active</v>
      </c>
    </row>
    <row r="20" spans="1:89">
      <c r="A20" s="31" t="s">
        <v>140</v>
      </c>
      <c r="B20" s="31" t="s">
        <v>61</v>
      </c>
      <c r="C20" s="31" t="s">
        <v>872</v>
      </c>
      <c r="D20" s="31" t="s">
        <v>873</v>
      </c>
      <c r="E20" s="31" t="s">
        <v>123</v>
      </c>
      <c r="F20" s="32">
        <v>200</v>
      </c>
      <c r="G20" s="32">
        <v>29008</v>
      </c>
      <c r="H20" s="32">
        <v>650</v>
      </c>
      <c r="I20" s="31" t="s">
        <v>136</v>
      </c>
      <c r="J20" s="31" t="s">
        <v>874</v>
      </c>
      <c r="K20" s="31"/>
      <c r="L20" s="105"/>
      <c r="M20" s="11"/>
      <c r="N20" s="31" t="s">
        <v>129</v>
      </c>
      <c r="O20" s="155" t="s">
        <v>875</v>
      </c>
      <c r="P20" s="31"/>
      <c r="CA20" s="1" t="s">
        <v>71</v>
      </c>
      <c r="CB20" s="1" t="s">
        <v>18</v>
      </c>
      <c r="CC20" s="1" t="s">
        <v>132</v>
      </c>
      <c r="CE20" t="str">
        <f>IF(GN[[#This Row],[Part Type]]=0,"",GN[[#This Row],[Part Type]])</f>
        <v>Grand Nut</v>
      </c>
      <c r="CF20" t="str">
        <f>IF(GN[[#This Row],[Name]]=0,"",GN[[#This Row],[Name]])</f>
        <v>TZM 3"</v>
      </c>
      <c r="CG20" s="52" t="str">
        <f>GN[[#This Row],[UID]]</f>
        <v>GN-AD</v>
      </c>
      <c r="CK20" t="str">
        <f>IF(GN[[#This Row],[Status]]=0,"",GN[[#This Row],[Status]])</f>
        <v>New</v>
      </c>
    </row>
    <row r="21" spans="1:89">
      <c r="A21" s="31" t="s">
        <v>140</v>
      </c>
      <c r="B21" s="31" t="s">
        <v>61</v>
      </c>
      <c r="C21" s="31" t="s">
        <v>876</v>
      </c>
      <c r="D21" s="31" t="s">
        <v>873</v>
      </c>
      <c r="E21" s="31" t="s">
        <v>123</v>
      </c>
      <c r="F21" s="32">
        <v>200</v>
      </c>
      <c r="G21" s="32">
        <v>29008</v>
      </c>
      <c r="H21" s="32">
        <v>650</v>
      </c>
      <c r="I21" s="31" t="s">
        <v>136</v>
      </c>
      <c r="J21" s="31" t="s">
        <v>874</v>
      </c>
      <c r="K21" s="31"/>
      <c r="L21" s="105"/>
      <c r="M21" s="11"/>
      <c r="N21" s="31"/>
      <c r="O21" s="155" t="s">
        <v>875</v>
      </c>
      <c r="P21" s="31"/>
      <c r="CA21" s="1" t="s">
        <v>71</v>
      </c>
      <c r="CB21" s="1" t="s">
        <v>18</v>
      </c>
      <c r="CC21" s="1" t="s">
        <v>132</v>
      </c>
      <c r="CE21" t="str">
        <f>IF(GN[[#This Row],[Part Type]]=0,"",GN[[#This Row],[Part Type]])</f>
        <v>Grand Nut</v>
      </c>
      <c r="CF21" t="str">
        <f>IF(GN[[#This Row],[Name]]=0,"",GN[[#This Row],[Name]])</f>
        <v>TZM 3"</v>
      </c>
      <c r="CG21" s="52" t="str">
        <f>GN[[#This Row],[UID]]</f>
        <v>GN-AE</v>
      </c>
      <c r="CK21" t="str">
        <f>IF(GN[[#This Row],[Status]]=0,"",GN[[#This Row],[Status]])</f>
        <v>New</v>
      </c>
    </row>
    <row r="22" spans="1:89">
      <c r="A22" s="31" t="s">
        <v>140</v>
      </c>
      <c r="B22" s="31" t="s">
        <v>61</v>
      </c>
      <c r="C22" s="31" t="s">
        <v>877</v>
      </c>
      <c r="D22" s="31" t="s">
        <v>878</v>
      </c>
      <c r="E22" s="31" t="s">
        <v>123</v>
      </c>
      <c r="F22" s="32">
        <v>10</v>
      </c>
      <c r="G22" s="32">
        <v>1400</v>
      </c>
      <c r="H22" s="32">
        <v>1050</v>
      </c>
      <c r="I22" s="31" t="s">
        <v>136</v>
      </c>
      <c r="J22" s="31" t="s">
        <v>874</v>
      </c>
      <c r="K22" s="31"/>
      <c r="L22" s="105"/>
      <c r="M22" s="11"/>
      <c r="N22" s="31"/>
      <c r="O22" s="31" t="s">
        <v>862</v>
      </c>
      <c r="P22" s="31"/>
      <c r="CA22" s="1" t="s">
        <v>71</v>
      </c>
      <c r="CB22" s="1" t="s">
        <v>18</v>
      </c>
      <c r="CC22" s="1" t="s">
        <v>132</v>
      </c>
      <c r="CE22" t="str">
        <f>IF(GN[[#This Row],[Part Type]]=0,"",GN[[#This Row],[Part Type]])</f>
        <v>Grand Nut</v>
      </c>
      <c r="CF22" t="str">
        <f>IF(GN[[#This Row],[Name]]=0,"",GN[[#This Row],[Name]])</f>
        <v>TZM 3.5"</v>
      </c>
      <c r="CG22" s="52" t="str">
        <f>GN[[#This Row],[UID]]</f>
        <v>GN-AF</v>
      </c>
      <c r="CK22" t="str">
        <f>IF(GN[[#This Row],[Status]]=0,"",GN[[#This Row],[Status]])</f>
        <v>New</v>
      </c>
    </row>
    <row r="23" spans="1:89">
      <c r="A23" s="31"/>
      <c r="B23" s="31"/>
      <c r="C23" s="31"/>
      <c r="D23" s="31"/>
      <c r="E23" s="31"/>
      <c r="F23" s="32"/>
      <c r="G23" s="32"/>
      <c r="H23" s="32"/>
      <c r="I23" s="31"/>
      <c r="J23" s="31"/>
      <c r="K23" s="31"/>
      <c r="L23" s="105"/>
      <c r="M23" s="11"/>
      <c r="N23" s="31"/>
      <c r="O23" s="31"/>
      <c r="P23" s="31"/>
      <c r="CA23" s="1" t="s">
        <v>71</v>
      </c>
      <c r="CB23" s="1" t="s">
        <v>18</v>
      </c>
      <c r="CC23" s="1" t="s">
        <v>132</v>
      </c>
      <c r="CE23" t="str">
        <f>IF(GN[[#This Row],[Part Type]]=0,"",GN[[#This Row],[Part Type]])</f>
        <v/>
      </c>
      <c r="CF23" t="str">
        <f>IF(GN[[#This Row],[Name]]=0,"",GN[[#This Row],[Name]])</f>
        <v/>
      </c>
      <c r="CG23" s="52">
        <f>GN[[#This Row],[UID]]</f>
        <v>0</v>
      </c>
      <c r="CK23" t="str">
        <f>IF(GN[[#This Row],[Status]]=0,"",GN[[#This Row],[Status]])</f>
        <v/>
      </c>
    </row>
    <row r="24" spans="1:89">
      <c r="A24" s="31"/>
      <c r="B24" s="31"/>
      <c r="C24" s="31"/>
      <c r="D24" s="31"/>
      <c r="E24" s="31"/>
      <c r="F24" s="32"/>
      <c r="G24" s="32"/>
      <c r="H24" s="32"/>
      <c r="I24" s="31"/>
      <c r="J24" s="31"/>
      <c r="K24" s="31"/>
      <c r="L24" s="105"/>
      <c r="M24" s="11"/>
      <c r="N24" s="31"/>
      <c r="O24" s="31"/>
      <c r="P24" s="31"/>
      <c r="CA24" s="1" t="s">
        <v>71</v>
      </c>
      <c r="CB24" s="1" t="s">
        <v>18</v>
      </c>
      <c r="CC24" s="1" t="s">
        <v>132</v>
      </c>
      <c r="CE24" t="str">
        <f>IF(GN[[#This Row],[Part Type]]=0,"",GN[[#This Row],[Part Type]])</f>
        <v/>
      </c>
      <c r="CF24" t="str">
        <f>IF(GN[[#This Row],[Name]]=0,"",GN[[#This Row],[Name]])</f>
        <v/>
      </c>
      <c r="CG24" s="52">
        <f>GN[[#This Row],[UID]]</f>
        <v>0</v>
      </c>
      <c r="CK24" t="str">
        <f>IF(GN[[#This Row],[Status]]=0,"",GN[[#This Row],[Status]])</f>
        <v/>
      </c>
    </row>
    <row r="25" spans="1:89">
      <c r="A25" s="31"/>
      <c r="B25" s="31"/>
      <c r="C25" s="31"/>
      <c r="D25" s="31"/>
      <c r="E25" s="31"/>
      <c r="F25" s="32"/>
      <c r="G25" s="32"/>
      <c r="H25" s="32"/>
      <c r="I25" s="31"/>
      <c r="J25" s="31"/>
      <c r="K25" s="31"/>
      <c r="L25" s="105"/>
      <c r="M25" s="11"/>
      <c r="N25" s="31"/>
      <c r="O25" s="31"/>
      <c r="P25" s="31"/>
      <c r="CA25" s="1" t="s">
        <v>71</v>
      </c>
      <c r="CB25" s="1" t="s">
        <v>18</v>
      </c>
      <c r="CC25" s="1" t="s">
        <v>132</v>
      </c>
      <c r="CE25" t="str">
        <f>IF(GN[[#This Row],[Part Type]]=0,"",GN[[#This Row],[Part Type]])</f>
        <v/>
      </c>
      <c r="CF25" t="str">
        <f>IF(GN[[#This Row],[Name]]=0,"",GN[[#This Row],[Name]])</f>
        <v/>
      </c>
      <c r="CG25" s="52">
        <f>GN[[#This Row],[UID]]</f>
        <v>0</v>
      </c>
      <c r="CK25" t="str">
        <f>IF(GN[[#This Row],[Status]]=0,"",GN[[#This Row],[Status]])</f>
        <v/>
      </c>
    </row>
    <row r="26" spans="1:89">
      <c r="A26" s="31"/>
      <c r="B26" s="31"/>
      <c r="C26" s="31"/>
      <c r="D26" s="31"/>
      <c r="E26" s="31"/>
      <c r="F26" s="32"/>
      <c r="G26" s="32"/>
      <c r="H26" s="32"/>
      <c r="I26" s="31"/>
      <c r="J26" s="31"/>
      <c r="K26" s="31"/>
      <c r="L26" s="105"/>
      <c r="M26" s="11"/>
      <c r="N26" s="31"/>
      <c r="O26" s="31"/>
      <c r="P26" s="31"/>
      <c r="CA26" s="1" t="s">
        <v>71</v>
      </c>
      <c r="CB26" s="1" t="s">
        <v>18</v>
      </c>
      <c r="CC26" s="1" t="s">
        <v>132</v>
      </c>
      <c r="CE26" t="str">
        <f>IF(GN[[#This Row],[Part Type]]=0,"",GN[[#This Row],[Part Type]])</f>
        <v/>
      </c>
      <c r="CF26" t="str">
        <f>IF(GN[[#This Row],[Name]]=0,"",GN[[#This Row],[Name]])</f>
        <v/>
      </c>
      <c r="CG26" s="52">
        <f>GN[[#This Row],[UID]]</f>
        <v>0</v>
      </c>
      <c r="CK26" t="str">
        <f>IF(GN[[#This Row],[Status]]=0,"",GN[[#This Row],[Status]])</f>
        <v/>
      </c>
    </row>
    <row r="27" spans="1:89">
      <c r="A27" s="31"/>
      <c r="B27" s="31"/>
      <c r="C27" s="31"/>
      <c r="D27" s="31"/>
      <c r="E27" s="31"/>
      <c r="F27" s="32"/>
      <c r="G27" s="32"/>
      <c r="H27" s="32"/>
      <c r="I27" s="31"/>
      <c r="J27" s="31"/>
      <c r="K27" s="31"/>
      <c r="L27" s="105"/>
      <c r="M27" s="11"/>
      <c r="N27" s="31"/>
      <c r="O27" s="31"/>
      <c r="P27" s="31"/>
      <c r="CA27" s="1" t="s">
        <v>71</v>
      </c>
      <c r="CB27" s="1" t="s">
        <v>18</v>
      </c>
      <c r="CC27" s="1" t="s">
        <v>132</v>
      </c>
      <c r="CE27" t="str">
        <f>IF(GN[[#This Row],[Part Type]]=0,"",GN[[#This Row],[Part Type]])</f>
        <v/>
      </c>
      <c r="CF27" t="str">
        <f>IF(GN[[#This Row],[Name]]=0,"",GN[[#This Row],[Name]])</f>
        <v/>
      </c>
      <c r="CG27" s="52">
        <f>GN[[#This Row],[UID]]</f>
        <v>0</v>
      </c>
      <c r="CK27" t="str">
        <f>IF(GN[[#This Row],[Status]]=0,"",GN[[#This Row],[Status]])</f>
        <v/>
      </c>
    </row>
    <row r="28" spans="1:89">
      <c r="A28" s="31"/>
      <c r="B28" s="31"/>
      <c r="C28" s="31"/>
      <c r="D28" s="31"/>
      <c r="E28" s="31"/>
      <c r="F28" s="32"/>
      <c r="G28" s="32"/>
      <c r="H28" s="32"/>
      <c r="I28" s="31"/>
      <c r="J28" s="31"/>
      <c r="K28" s="31"/>
      <c r="L28" s="105"/>
      <c r="M28" s="11"/>
      <c r="N28" s="31"/>
      <c r="O28" s="31"/>
      <c r="P28" s="31"/>
      <c r="CA28" s="1" t="s">
        <v>71</v>
      </c>
      <c r="CB28" s="1" t="s">
        <v>18</v>
      </c>
      <c r="CC28" s="1" t="s">
        <v>132</v>
      </c>
      <c r="CE28" t="str">
        <f>IF(GN[[#This Row],[Part Type]]=0,"",GN[[#This Row],[Part Type]])</f>
        <v/>
      </c>
      <c r="CF28" t="str">
        <f>IF(GN[[#This Row],[Name]]=0,"",GN[[#This Row],[Name]])</f>
        <v/>
      </c>
      <c r="CG28" s="52">
        <f>GN[[#This Row],[UID]]</f>
        <v>0</v>
      </c>
      <c r="CK28" t="str">
        <f>IF(GN[[#This Row],[Status]]=0,"",GN[[#This Row],[Status]])</f>
        <v/>
      </c>
    </row>
    <row r="29" spans="1:89">
      <c r="A29" s="31"/>
      <c r="B29" s="31"/>
      <c r="C29" s="31"/>
      <c r="D29" s="31"/>
      <c r="E29" s="31"/>
      <c r="F29" s="32"/>
      <c r="G29" s="32"/>
      <c r="H29" s="32"/>
      <c r="I29" s="31"/>
      <c r="J29" s="31"/>
      <c r="K29" s="31"/>
      <c r="L29" s="105"/>
      <c r="M29" s="11"/>
      <c r="N29" s="31"/>
      <c r="O29" s="31"/>
      <c r="P29" s="31"/>
      <c r="CA29" s="1" t="s">
        <v>71</v>
      </c>
      <c r="CB29" s="1" t="s">
        <v>18</v>
      </c>
      <c r="CC29" s="1" t="s">
        <v>132</v>
      </c>
      <c r="CE29" t="str">
        <f>IF(GN[[#This Row],[Part Type]]=0,"",GN[[#This Row],[Part Type]])</f>
        <v/>
      </c>
      <c r="CF29" t="str">
        <f>IF(GN[[#This Row],[Name]]=0,"",GN[[#This Row],[Name]])</f>
        <v/>
      </c>
      <c r="CG29" s="52">
        <f>GN[[#This Row],[UID]]</f>
        <v>0</v>
      </c>
      <c r="CK29" t="str">
        <f>IF(GN[[#This Row],[Status]]=0,"",GN[[#This Row],[Status]])</f>
        <v/>
      </c>
    </row>
    <row r="30" spans="1:89">
      <c r="A30" s="31"/>
      <c r="B30" s="31"/>
      <c r="C30" s="31"/>
      <c r="D30" s="31"/>
      <c r="E30" s="31"/>
      <c r="F30" s="32"/>
      <c r="G30" s="32"/>
      <c r="H30" s="32"/>
      <c r="I30" s="31"/>
      <c r="J30" s="31"/>
      <c r="K30" s="31"/>
      <c r="L30" s="105"/>
      <c r="M30" s="11"/>
      <c r="N30" s="31"/>
      <c r="O30" s="31"/>
      <c r="P30" s="31"/>
      <c r="CA30" s="1" t="s">
        <v>71</v>
      </c>
      <c r="CB30" s="1" t="s">
        <v>18</v>
      </c>
      <c r="CC30" s="1" t="s">
        <v>132</v>
      </c>
      <c r="CE30" t="str">
        <f>IF(GN[[#This Row],[Part Type]]=0,"",GN[[#This Row],[Part Type]])</f>
        <v/>
      </c>
      <c r="CF30" t="str">
        <f>IF(GN[[#This Row],[Name]]=0,"",GN[[#This Row],[Name]])</f>
        <v/>
      </c>
      <c r="CG30" s="52">
        <f>GN[[#This Row],[UID]]</f>
        <v>0</v>
      </c>
      <c r="CK30" t="str">
        <f>IF(GN[[#This Row],[Status]]=0,"",GN[[#This Row],[Status]])</f>
        <v/>
      </c>
    </row>
    <row r="31" spans="1:89">
      <c r="A31" s="31"/>
      <c r="B31" s="31"/>
      <c r="C31" s="31"/>
      <c r="D31" s="31"/>
      <c r="E31" s="31"/>
      <c r="F31" s="32"/>
      <c r="G31" s="32"/>
      <c r="H31" s="32"/>
      <c r="I31" s="31"/>
      <c r="J31" s="31"/>
      <c r="K31" s="31"/>
      <c r="L31" s="105"/>
      <c r="M31" s="11"/>
      <c r="N31" s="31"/>
      <c r="O31" s="31"/>
      <c r="P31" s="31"/>
      <c r="CA31" s="1" t="s">
        <v>71</v>
      </c>
      <c r="CB31" s="1" t="s">
        <v>18</v>
      </c>
      <c r="CC31" s="1" t="s">
        <v>132</v>
      </c>
      <c r="CE31" t="str">
        <f>IF(GN[[#This Row],[Part Type]]=0,"",GN[[#This Row],[Part Type]])</f>
        <v/>
      </c>
      <c r="CF31" t="str">
        <f>IF(GN[[#This Row],[Name]]=0,"",GN[[#This Row],[Name]])</f>
        <v/>
      </c>
      <c r="CG31" s="52">
        <f>GN[[#This Row],[UID]]</f>
        <v>0</v>
      </c>
      <c r="CK31" t="str">
        <f>IF(GN[[#This Row],[Status]]=0,"",GN[[#This Row],[Status]])</f>
        <v/>
      </c>
    </row>
    <row r="32" spans="1:89">
      <c r="A32" s="31"/>
      <c r="B32" s="31"/>
      <c r="C32" s="31"/>
      <c r="D32" s="31"/>
      <c r="E32" s="31"/>
      <c r="F32" s="32"/>
      <c r="G32" s="32"/>
      <c r="H32" s="32"/>
      <c r="I32" s="31"/>
      <c r="J32" s="31"/>
      <c r="K32" s="31"/>
      <c r="L32" s="105"/>
      <c r="M32" s="11"/>
      <c r="N32" s="31"/>
      <c r="O32" s="31"/>
      <c r="P32" s="31"/>
      <c r="CA32" s="1" t="s">
        <v>71</v>
      </c>
      <c r="CB32" s="1" t="s">
        <v>18</v>
      </c>
      <c r="CC32" s="1" t="s">
        <v>132</v>
      </c>
      <c r="CE32" t="str">
        <f>IF(GN[[#This Row],[Part Type]]=0,"",GN[[#This Row],[Part Type]])</f>
        <v/>
      </c>
      <c r="CF32" t="str">
        <f>IF(GN[[#This Row],[Name]]=0,"",GN[[#This Row],[Name]])</f>
        <v/>
      </c>
      <c r="CG32" s="52">
        <f>GN[[#This Row],[UID]]</f>
        <v>0</v>
      </c>
      <c r="CK32" t="str">
        <f>IF(GN[[#This Row],[Status]]=0,"",GN[[#This Row],[Status]])</f>
        <v/>
      </c>
    </row>
    <row r="33" spans="1:89">
      <c r="A33" s="31"/>
      <c r="B33" s="31"/>
      <c r="C33" s="31"/>
      <c r="D33" s="31"/>
      <c r="E33" s="31"/>
      <c r="F33" s="32"/>
      <c r="G33" s="32"/>
      <c r="H33" s="32"/>
      <c r="I33" s="31"/>
      <c r="J33" s="31"/>
      <c r="K33" s="31"/>
      <c r="L33" s="105"/>
      <c r="M33" s="11"/>
      <c r="N33" s="31"/>
      <c r="O33" s="31"/>
      <c r="P33" s="31"/>
      <c r="CA33" s="1" t="s">
        <v>71</v>
      </c>
      <c r="CB33" s="1" t="s">
        <v>18</v>
      </c>
      <c r="CC33" s="1" t="s">
        <v>132</v>
      </c>
      <c r="CE33" t="str">
        <f>IF(GN[[#This Row],[Part Type]]=0,"",GN[[#This Row],[Part Type]])</f>
        <v/>
      </c>
      <c r="CF33" t="str">
        <f>IF(GN[[#This Row],[Name]]=0,"",GN[[#This Row],[Name]])</f>
        <v/>
      </c>
      <c r="CG33" s="52">
        <f>GN[[#This Row],[UID]]</f>
        <v>0</v>
      </c>
      <c r="CK33" t="str">
        <f>IF(GN[[#This Row],[Status]]=0,"",GN[[#This Row],[Status]])</f>
        <v/>
      </c>
    </row>
    <row r="34" spans="1:89">
      <c r="A34" s="31"/>
      <c r="B34" s="31"/>
      <c r="C34" s="31"/>
      <c r="D34" s="31"/>
      <c r="E34" s="31"/>
      <c r="F34" s="32"/>
      <c r="G34" s="32"/>
      <c r="H34" s="32"/>
      <c r="I34" s="31"/>
      <c r="J34" s="31"/>
      <c r="K34" s="31"/>
      <c r="L34" s="105"/>
      <c r="M34" s="11"/>
      <c r="N34" s="31"/>
      <c r="O34" s="31"/>
      <c r="P34" s="31"/>
      <c r="CA34" s="1" t="s">
        <v>71</v>
      </c>
      <c r="CB34" s="1" t="s">
        <v>18</v>
      </c>
      <c r="CC34" s="1" t="s">
        <v>132</v>
      </c>
      <c r="CE34" t="str">
        <f>IF(GN[[#This Row],[Part Type]]=0,"",GN[[#This Row],[Part Type]])</f>
        <v/>
      </c>
      <c r="CF34" t="str">
        <f>IF(GN[[#This Row],[Name]]=0,"",GN[[#This Row],[Name]])</f>
        <v/>
      </c>
      <c r="CG34" s="52">
        <f>GN[[#This Row],[UID]]</f>
        <v>0</v>
      </c>
      <c r="CK34" t="str">
        <f>IF(GN[[#This Row],[Status]]=0,"",GN[[#This Row],[Status]])</f>
        <v/>
      </c>
    </row>
    <row r="35" spans="1:89">
      <c r="A35" s="31"/>
      <c r="B35" s="31"/>
      <c r="C35" s="31"/>
      <c r="D35" s="31"/>
      <c r="E35" s="31"/>
      <c r="F35" s="32"/>
      <c r="G35" s="32"/>
      <c r="H35" s="32"/>
      <c r="I35" s="31"/>
      <c r="J35" s="31"/>
      <c r="K35" s="31"/>
      <c r="L35" s="105"/>
      <c r="M35" s="11"/>
      <c r="N35" s="31"/>
      <c r="O35" s="31"/>
      <c r="P35" s="31"/>
      <c r="CA35" s="1" t="s">
        <v>71</v>
      </c>
      <c r="CB35" s="1" t="s">
        <v>18</v>
      </c>
      <c r="CC35" s="1" t="s">
        <v>132</v>
      </c>
      <c r="CE35" t="str">
        <f>IF(GN[[#This Row],[Part Type]]=0,"",GN[[#This Row],[Part Type]])</f>
        <v/>
      </c>
      <c r="CF35" t="str">
        <f>IF(GN[[#This Row],[Name]]=0,"",GN[[#This Row],[Name]])</f>
        <v/>
      </c>
      <c r="CG35" s="52">
        <f>GN[[#This Row],[UID]]</f>
        <v>0</v>
      </c>
      <c r="CK35" t="str">
        <f>IF(GN[[#This Row],[Status]]=0,"",GN[[#This Row],[Status]])</f>
        <v/>
      </c>
    </row>
    <row r="36" spans="1:89">
      <c r="A36" s="31"/>
      <c r="B36" s="31"/>
      <c r="C36" s="31"/>
      <c r="D36" s="31"/>
      <c r="E36" s="31"/>
      <c r="F36" s="32"/>
      <c r="G36" s="32"/>
      <c r="H36" s="32"/>
      <c r="I36" s="31"/>
      <c r="J36" s="31"/>
      <c r="K36" s="31"/>
      <c r="L36" s="105"/>
      <c r="M36" s="11"/>
      <c r="N36" s="31"/>
      <c r="O36" s="31"/>
      <c r="P36" s="31"/>
      <c r="CA36" s="1" t="s">
        <v>71</v>
      </c>
      <c r="CB36" s="1" t="s">
        <v>18</v>
      </c>
      <c r="CC36" s="1" t="s">
        <v>132</v>
      </c>
      <c r="CE36" t="str">
        <f>IF(GN[[#This Row],[Part Type]]=0,"",GN[[#This Row],[Part Type]])</f>
        <v/>
      </c>
      <c r="CF36" t="str">
        <f>IF(GN[[#This Row],[Name]]=0,"",GN[[#This Row],[Name]])</f>
        <v/>
      </c>
      <c r="CG36" s="52">
        <f>GN[[#This Row],[UID]]</f>
        <v>0</v>
      </c>
      <c r="CK36" t="str">
        <f>IF(GN[[#This Row],[Status]]=0,"",GN[[#This Row],[Status]])</f>
        <v/>
      </c>
    </row>
    <row r="37" spans="1:89">
      <c r="A37" s="31"/>
      <c r="B37" s="31"/>
      <c r="C37" s="31"/>
      <c r="D37" s="31"/>
      <c r="E37" s="31"/>
      <c r="F37" s="32"/>
      <c r="G37" s="32"/>
      <c r="H37" s="32"/>
      <c r="I37" s="31"/>
      <c r="J37" s="31"/>
      <c r="K37" s="31"/>
      <c r="L37" s="105"/>
      <c r="M37" s="11"/>
      <c r="N37" s="31"/>
      <c r="O37" s="31"/>
      <c r="P37" s="31"/>
      <c r="CA37" s="1" t="s">
        <v>71</v>
      </c>
      <c r="CB37" s="1" t="s">
        <v>18</v>
      </c>
      <c r="CC37" s="1" t="s">
        <v>132</v>
      </c>
      <c r="CE37" t="str">
        <f>IF(GN[[#This Row],[Part Type]]=0,"",GN[[#This Row],[Part Type]])</f>
        <v/>
      </c>
      <c r="CF37" t="str">
        <f>IF(GN[[#This Row],[Name]]=0,"",GN[[#This Row],[Name]])</f>
        <v/>
      </c>
      <c r="CG37" s="52">
        <f>GN[[#This Row],[UID]]</f>
        <v>0</v>
      </c>
      <c r="CK37" t="str">
        <f>IF(GN[[#This Row],[Status]]=0,"",GN[[#This Row],[Status]])</f>
        <v/>
      </c>
    </row>
    <row r="38" spans="1:89">
      <c r="A38" s="31"/>
      <c r="B38" s="31"/>
      <c r="C38" s="31"/>
      <c r="D38" s="31"/>
      <c r="E38" s="31"/>
      <c r="F38" s="32"/>
      <c r="G38" s="32"/>
      <c r="H38" s="32"/>
      <c r="I38" s="31"/>
      <c r="J38" s="31"/>
      <c r="K38" s="31"/>
      <c r="L38" s="105"/>
      <c r="M38" s="11"/>
      <c r="N38" s="31"/>
      <c r="O38" s="31"/>
      <c r="P38" s="31"/>
      <c r="CA38" s="1" t="s">
        <v>71</v>
      </c>
      <c r="CB38" s="1" t="s">
        <v>18</v>
      </c>
      <c r="CC38" s="1" t="s">
        <v>132</v>
      </c>
      <c r="CE38" t="str">
        <f>IF(GN[[#This Row],[Part Type]]=0,"",GN[[#This Row],[Part Type]])</f>
        <v/>
      </c>
      <c r="CF38" t="str">
        <f>IF(GN[[#This Row],[Name]]=0,"",GN[[#This Row],[Name]])</f>
        <v/>
      </c>
      <c r="CG38" s="52">
        <f>GN[[#This Row],[UID]]</f>
        <v>0</v>
      </c>
      <c r="CK38" t="str">
        <f>IF(GN[[#This Row],[Status]]=0,"",GN[[#This Row],[Status]])</f>
        <v/>
      </c>
    </row>
    <row r="39" spans="1:89">
      <c r="A39" s="31"/>
      <c r="B39" s="31"/>
      <c r="C39" s="31"/>
      <c r="D39" s="31"/>
      <c r="E39" s="31"/>
      <c r="F39" s="32"/>
      <c r="G39" s="32"/>
      <c r="H39" s="32"/>
      <c r="I39" s="31"/>
      <c r="J39" s="31"/>
      <c r="K39" s="31"/>
      <c r="L39" s="105"/>
      <c r="M39" s="11"/>
      <c r="N39" s="31"/>
      <c r="O39" s="31"/>
      <c r="P39" s="31"/>
      <c r="CA39" s="1" t="s">
        <v>71</v>
      </c>
      <c r="CB39" s="1" t="s">
        <v>18</v>
      </c>
      <c r="CC39" s="1" t="s">
        <v>132</v>
      </c>
      <c r="CE39" t="str">
        <f>IF(GN[[#This Row],[Part Type]]=0,"",GN[[#This Row],[Part Type]])</f>
        <v/>
      </c>
      <c r="CF39" t="str">
        <f>IF(GN[[#This Row],[Name]]=0,"",GN[[#This Row],[Name]])</f>
        <v/>
      </c>
      <c r="CG39" s="52">
        <f>GN[[#This Row],[UID]]</f>
        <v>0</v>
      </c>
      <c r="CK39" t="str">
        <f>IF(GN[[#This Row],[Status]]=0,"",GN[[#This Row],[Status]])</f>
        <v/>
      </c>
    </row>
    <row r="40" spans="1:89">
      <c r="A40" s="31"/>
      <c r="B40" s="31"/>
      <c r="C40" s="31"/>
      <c r="D40" s="31"/>
      <c r="E40" s="31"/>
      <c r="F40" s="32"/>
      <c r="G40" s="32"/>
      <c r="H40" s="32"/>
      <c r="I40" s="31"/>
      <c r="J40" s="31"/>
      <c r="K40" s="31"/>
      <c r="L40" s="105"/>
      <c r="M40" s="11"/>
      <c r="N40" s="31"/>
      <c r="O40" s="31"/>
      <c r="P40" s="31"/>
      <c r="CA40" s="1" t="s">
        <v>71</v>
      </c>
      <c r="CB40" s="1" t="s">
        <v>18</v>
      </c>
      <c r="CC40" s="1" t="s">
        <v>132</v>
      </c>
      <c r="CE40" t="str">
        <f>IF(GN[[#This Row],[Part Type]]=0,"",GN[[#This Row],[Part Type]])</f>
        <v/>
      </c>
      <c r="CF40" t="str">
        <f>IF(GN[[#This Row],[Name]]=0,"",GN[[#This Row],[Name]])</f>
        <v/>
      </c>
      <c r="CG40" s="52">
        <f>GN[[#This Row],[UID]]</f>
        <v>0</v>
      </c>
      <c r="CK40" t="str">
        <f>IF(GN[[#This Row],[Status]]=0,"",GN[[#This Row],[Status]])</f>
        <v/>
      </c>
    </row>
    <row r="41" spans="1:89">
      <c r="A41" s="31"/>
      <c r="B41" s="31"/>
      <c r="C41" s="31"/>
      <c r="D41" s="31"/>
      <c r="E41" s="31"/>
      <c r="F41" s="32"/>
      <c r="G41" s="32"/>
      <c r="H41" s="32"/>
      <c r="I41" s="31"/>
      <c r="J41" s="31"/>
      <c r="K41" s="31"/>
      <c r="L41" s="105"/>
      <c r="M41" s="11"/>
      <c r="N41" s="31"/>
      <c r="O41" s="31"/>
      <c r="P41" s="31"/>
      <c r="CA41" s="1" t="s">
        <v>71</v>
      </c>
      <c r="CB41" s="1" t="s">
        <v>18</v>
      </c>
      <c r="CC41" s="1" t="s">
        <v>132</v>
      </c>
      <c r="CE41" t="str">
        <f>IF(GN[[#This Row],[Part Type]]=0,"",GN[[#This Row],[Part Type]])</f>
        <v/>
      </c>
      <c r="CF41" t="str">
        <f>IF(GN[[#This Row],[Name]]=0,"",GN[[#This Row],[Name]])</f>
        <v/>
      </c>
      <c r="CG41" s="52">
        <f>GN[[#This Row],[UID]]</f>
        <v>0</v>
      </c>
      <c r="CK41" t="str">
        <f>IF(GN[[#This Row],[Status]]=0,"",GN[[#This Row],[Status]])</f>
        <v/>
      </c>
    </row>
    <row r="42" spans="1:89">
      <c r="A42" s="31"/>
      <c r="B42" s="31"/>
      <c r="C42" s="31"/>
      <c r="D42" s="31"/>
      <c r="E42" s="31"/>
      <c r="F42" s="32"/>
      <c r="G42" s="32"/>
      <c r="H42" s="32"/>
      <c r="I42" s="31"/>
      <c r="J42" s="31"/>
      <c r="K42" s="31"/>
      <c r="L42" s="105"/>
      <c r="M42" s="11"/>
      <c r="N42" s="31"/>
      <c r="O42" s="31"/>
      <c r="P42" s="31"/>
      <c r="CA42" s="1" t="s">
        <v>71</v>
      </c>
      <c r="CB42" s="1" t="s">
        <v>18</v>
      </c>
      <c r="CC42" s="1" t="s">
        <v>132</v>
      </c>
      <c r="CE42" t="str">
        <f>IF(GN[[#This Row],[Part Type]]=0,"",GN[[#This Row],[Part Type]])</f>
        <v/>
      </c>
      <c r="CF42" t="str">
        <f>IF(GN[[#This Row],[Name]]=0,"",GN[[#This Row],[Name]])</f>
        <v/>
      </c>
      <c r="CG42" s="52">
        <f>GN[[#This Row],[UID]]</f>
        <v>0</v>
      </c>
      <c r="CK42" t="str">
        <f>IF(GN[[#This Row],[Status]]=0,"",GN[[#This Row],[Status]])</f>
        <v/>
      </c>
    </row>
    <row r="43" spans="1:89">
      <c r="A43" s="31"/>
      <c r="B43" s="31"/>
      <c r="C43" s="31"/>
      <c r="D43" s="31"/>
      <c r="E43" s="31"/>
      <c r="F43" s="32"/>
      <c r="G43" s="32"/>
      <c r="H43" s="32"/>
      <c r="I43" s="31"/>
      <c r="J43" s="31"/>
      <c r="K43" s="31"/>
      <c r="L43" s="105"/>
      <c r="M43" s="11"/>
      <c r="N43" s="31"/>
      <c r="O43" s="31"/>
      <c r="P43" s="31"/>
      <c r="CA43" s="1" t="s">
        <v>71</v>
      </c>
      <c r="CB43" s="1" t="s">
        <v>18</v>
      </c>
      <c r="CC43" s="1" t="s">
        <v>132</v>
      </c>
      <c r="CE43" t="str">
        <f>IF(GN[[#This Row],[Part Type]]=0,"",GN[[#This Row],[Part Type]])</f>
        <v/>
      </c>
      <c r="CF43" t="str">
        <f>IF(GN[[#This Row],[Name]]=0,"",GN[[#This Row],[Name]])</f>
        <v/>
      </c>
      <c r="CG43" s="52">
        <f>GN[[#This Row],[UID]]</f>
        <v>0</v>
      </c>
      <c r="CK43" t="str">
        <f>IF(GN[[#This Row],[Status]]=0,"",GN[[#This Row],[Status]])</f>
        <v/>
      </c>
    </row>
    <row r="44" spans="1:89">
      <c r="A44" s="31"/>
      <c r="B44" s="31"/>
      <c r="C44" s="31"/>
      <c r="D44" s="31"/>
      <c r="E44" s="31"/>
      <c r="F44" s="32"/>
      <c r="G44" s="32"/>
      <c r="H44" s="32"/>
      <c r="I44" s="31"/>
      <c r="J44" s="31"/>
      <c r="K44" s="31"/>
      <c r="L44" s="105"/>
      <c r="M44" s="11"/>
      <c r="N44" s="31"/>
      <c r="O44" s="31"/>
      <c r="P44" s="31"/>
      <c r="CA44" s="1" t="s">
        <v>71</v>
      </c>
      <c r="CB44" s="1" t="s">
        <v>18</v>
      </c>
      <c r="CC44" s="1" t="s">
        <v>132</v>
      </c>
      <c r="CE44" t="str">
        <f>IF(GN[[#This Row],[Part Type]]=0,"",GN[[#This Row],[Part Type]])</f>
        <v/>
      </c>
      <c r="CF44" t="str">
        <f>IF(GN[[#This Row],[Name]]=0,"",GN[[#This Row],[Name]])</f>
        <v/>
      </c>
      <c r="CG44" s="52">
        <f>GN[[#This Row],[UID]]</f>
        <v>0</v>
      </c>
      <c r="CK44" t="str">
        <f>IF(GN[[#This Row],[Status]]=0,"",GN[[#This Row],[Status]])</f>
        <v/>
      </c>
    </row>
    <row r="45" spans="1:89">
      <c r="A45" s="31"/>
      <c r="B45" s="31"/>
      <c r="C45" s="31"/>
      <c r="D45" s="31"/>
      <c r="E45" s="31"/>
      <c r="F45" s="32"/>
      <c r="G45" s="32"/>
      <c r="H45" s="32"/>
      <c r="I45" s="31"/>
      <c r="J45" s="31"/>
      <c r="K45" s="31"/>
      <c r="L45" s="105"/>
      <c r="M45" s="11"/>
      <c r="N45" s="31"/>
      <c r="O45" s="31"/>
      <c r="P45" s="31"/>
      <c r="CA45" s="1" t="s">
        <v>71</v>
      </c>
      <c r="CB45" s="1" t="s">
        <v>18</v>
      </c>
      <c r="CC45" s="1" t="s">
        <v>132</v>
      </c>
      <c r="CE45" t="str">
        <f>IF(GN[[#This Row],[Part Type]]=0,"",GN[[#This Row],[Part Type]])</f>
        <v/>
      </c>
      <c r="CF45" t="str">
        <f>IF(GN[[#This Row],[Name]]=0,"",GN[[#This Row],[Name]])</f>
        <v/>
      </c>
      <c r="CG45" s="52">
        <f>GN[[#This Row],[UID]]</f>
        <v>0</v>
      </c>
      <c r="CK45" t="str">
        <f>IF(GN[[#This Row],[Status]]=0,"",GN[[#This Row],[Status]])</f>
        <v/>
      </c>
    </row>
    <row r="46" spans="1:89">
      <c r="A46" s="31"/>
      <c r="B46" s="31"/>
      <c r="C46" s="31"/>
      <c r="D46" s="31"/>
      <c r="E46" s="31"/>
      <c r="F46" s="32"/>
      <c r="G46" s="32"/>
      <c r="H46" s="32"/>
      <c r="I46" s="31"/>
      <c r="J46" s="31"/>
      <c r="K46" s="31"/>
      <c r="L46" s="105"/>
      <c r="M46" s="11"/>
      <c r="N46" s="31"/>
      <c r="O46" s="31"/>
      <c r="P46" s="31"/>
      <c r="CA46" s="1" t="s">
        <v>71</v>
      </c>
      <c r="CB46" s="1" t="s">
        <v>18</v>
      </c>
      <c r="CC46" s="1" t="s">
        <v>132</v>
      </c>
      <c r="CE46" t="str">
        <f>IF(GN[[#This Row],[Part Type]]=0,"",GN[[#This Row],[Part Type]])</f>
        <v/>
      </c>
      <c r="CF46" t="str">
        <f>IF(GN[[#This Row],[Name]]=0,"",GN[[#This Row],[Name]])</f>
        <v/>
      </c>
      <c r="CG46" s="52">
        <f>GN[[#This Row],[UID]]</f>
        <v>0</v>
      </c>
      <c r="CK46" t="str">
        <f>IF(GN[[#This Row],[Status]]=0,"",GN[[#This Row],[Status]])</f>
        <v/>
      </c>
    </row>
    <row r="47" spans="1:89">
      <c r="A47" s="31"/>
      <c r="B47" s="31"/>
      <c r="C47" s="31"/>
      <c r="D47" s="31"/>
      <c r="E47" s="31"/>
      <c r="F47" s="32"/>
      <c r="G47" s="32"/>
      <c r="H47" s="32"/>
      <c r="I47" s="31"/>
      <c r="J47" s="31"/>
      <c r="K47" s="31"/>
      <c r="L47" s="105"/>
      <c r="M47" s="11"/>
      <c r="N47" s="31"/>
      <c r="O47" s="31"/>
      <c r="P47" s="31"/>
      <c r="CA47" s="1" t="s">
        <v>71</v>
      </c>
      <c r="CB47" s="1" t="s">
        <v>18</v>
      </c>
      <c r="CC47" s="1" t="s">
        <v>132</v>
      </c>
      <c r="CE47" t="str">
        <f>IF(GN[[#This Row],[Part Type]]=0,"",GN[[#This Row],[Part Type]])</f>
        <v/>
      </c>
      <c r="CF47" t="str">
        <f>IF(GN[[#This Row],[Name]]=0,"",GN[[#This Row],[Name]])</f>
        <v/>
      </c>
      <c r="CG47" s="52">
        <f>GN[[#This Row],[UID]]</f>
        <v>0</v>
      </c>
      <c r="CK47" t="str">
        <f>IF(GN[[#This Row],[Status]]=0,"",GN[[#This Row],[Status]])</f>
        <v/>
      </c>
    </row>
    <row r="48" spans="1:89">
      <c r="A48" s="31"/>
      <c r="B48" s="31"/>
      <c r="C48" s="31"/>
      <c r="D48" s="31"/>
      <c r="E48" s="31"/>
      <c r="F48" s="32"/>
      <c r="G48" s="32"/>
      <c r="H48" s="32"/>
      <c r="I48" s="31"/>
      <c r="J48" s="31"/>
      <c r="K48" s="31"/>
      <c r="L48" s="105"/>
      <c r="M48" s="11"/>
      <c r="N48" s="31"/>
      <c r="O48" s="31"/>
      <c r="P48" s="31"/>
      <c r="CA48" s="1" t="s">
        <v>71</v>
      </c>
      <c r="CB48" s="1" t="s">
        <v>18</v>
      </c>
      <c r="CC48" s="1" t="s">
        <v>132</v>
      </c>
      <c r="CE48" t="str">
        <f>IF(GN[[#This Row],[Part Type]]=0,"",GN[[#This Row],[Part Type]])</f>
        <v/>
      </c>
      <c r="CF48" t="str">
        <f>IF(GN[[#This Row],[Name]]=0,"",GN[[#This Row],[Name]])</f>
        <v/>
      </c>
      <c r="CG48" s="52">
        <f>GN[[#This Row],[UID]]</f>
        <v>0</v>
      </c>
      <c r="CK48" t="str">
        <f>IF(GN[[#This Row],[Status]]=0,"",GN[[#This Row],[Status]])</f>
        <v/>
      </c>
    </row>
    <row r="49" spans="1:89">
      <c r="A49" s="31"/>
      <c r="B49" s="31"/>
      <c r="C49" s="31"/>
      <c r="D49" s="31"/>
      <c r="E49" s="31"/>
      <c r="F49" s="32"/>
      <c r="G49" s="32"/>
      <c r="H49" s="32"/>
      <c r="I49" s="31"/>
      <c r="J49" s="31"/>
      <c r="K49" s="31"/>
      <c r="L49" s="105"/>
      <c r="M49" s="11"/>
      <c r="N49" s="31"/>
      <c r="O49" s="31"/>
      <c r="P49" s="31"/>
      <c r="CA49" s="1" t="s">
        <v>71</v>
      </c>
      <c r="CB49" s="1" t="s">
        <v>18</v>
      </c>
      <c r="CC49" s="1" t="s">
        <v>132</v>
      </c>
      <c r="CE49" t="str">
        <f>IF(GN[[#This Row],[Part Type]]=0,"",GN[[#This Row],[Part Type]])</f>
        <v/>
      </c>
      <c r="CF49" t="str">
        <f>IF(GN[[#This Row],[Name]]=0,"",GN[[#This Row],[Name]])</f>
        <v/>
      </c>
      <c r="CG49" s="52">
        <f>GN[[#This Row],[UID]]</f>
        <v>0</v>
      </c>
      <c r="CK49" t="str">
        <f>IF(GN[[#This Row],[Status]]=0,"",GN[[#This Row],[Status]])</f>
        <v/>
      </c>
    </row>
    <row r="50" spans="1:89">
      <c r="A50" s="31"/>
      <c r="B50" s="31"/>
      <c r="C50" s="31"/>
      <c r="D50" s="31"/>
      <c r="E50" s="31"/>
      <c r="F50" s="32"/>
      <c r="G50" s="32"/>
      <c r="H50" s="32"/>
      <c r="I50" s="31"/>
      <c r="J50" s="31"/>
      <c r="K50" s="31"/>
      <c r="L50" s="105"/>
      <c r="M50" s="11"/>
      <c r="N50" s="31"/>
      <c r="O50" s="31"/>
      <c r="P50" s="31"/>
      <c r="CA50" s="1" t="s">
        <v>71</v>
      </c>
      <c r="CB50" s="1" t="s">
        <v>18</v>
      </c>
      <c r="CC50" s="1" t="s">
        <v>132</v>
      </c>
      <c r="CE50" t="str">
        <f>IF(GN[[#This Row],[Part Type]]=0,"",GN[[#This Row],[Part Type]])</f>
        <v/>
      </c>
      <c r="CF50" t="str">
        <f>IF(GN[[#This Row],[Name]]=0,"",GN[[#This Row],[Name]])</f>
        <v/>
      </c>
      <c r="CG50" s="52">
        <f>GN[[#This Row],[UID]]</f>
        <v>0</v>
      </c>
      <c r="CK50" t="str">
        <f>IF(GN[[#This Row],[Status]]=0,"",GN[[#This Row],[Status]])</f>
        <v/>
      </c>
    </row>
    <row r="51" spans="1:89">
      <c r="A51" s="31"/>
      <c r="B51" s="31"/>
      <c r="C51" s="31"/>
      <c r="D51" s="31"/>
      <c r="E51" s="31"/>
      <c r="F51" s="32"/>
      <c r="G51" s="32"/>
      <c r="H51" s="32"/>
      <c r="I51" s="31"/>
      <c r="J51" s="31"/>
      <c r="K51" s="31"/>
      <c r="L51" s="105"/>
      <c r="M51" s="11"/>
      <c r="N51" s="31"/>
      <c r="O51" s="31"/>
      <c r="P51" s="31"/>
      <c r="CA51" s="1" t="s">
        <v>71</v>
      </c>
      <c r="CB51" s="1" t="s">
        <v>18</v>
      </c>
      <c r="CC51" s="1" t="s">
        <v>132</v>
      </c>
      <c r="CE51" t="str">
        <f>IF(GN[[#This Row],[Part Type]]=0,"",GN[[#This Row],[Part Type]])</f>
        <v/>
      </c>
      <c r="CF51" t="str">
        <f>IF(GN[[#This Row],[Name]]=0,"",GN[[#This Row],[Name]])</f>
        <v/>
      </c>
      <c r="CG51" s="52">
        <f>GN[[#This Row],[UID]]</f>
        <v>0</v>
      </c>
      <c r="CK51" t="str">
        <f>IF(GN[[#This Row],[Status]]=0,"",GN[[#This Row],[Status]])</f>
        <v/>
      </c>
    </row>
    <row r="52" spans="1:89">
      <c r="A52" s="31"/>
      <c r="B52" s="31"/>
      <c r="C52" s="31"/>
      <c r="D52" s="31"/>
      <c r="E52" s="31"/>
      <c r="F52" s="32"/>
      <c r="G52" s="32"/>
      <c r="H52" s="32"/>
      <c r="I52" s="31"/>
      <c r="J52" s="31"/>
      <c r="K52" s="31"/>
      <c r="L52" s="105"/>
      <c r="M52" s="11"/>
      <c r="N52" s="31"/>
      <c r="O52" s="31"/>
      <c r="P52" s="31"/>
      <c r="CA52" s="1" t="s">
        <v>71</v>
      </c>
      <c r="CB52" s="1" t="s">
        <v>18</v>
      </c>
      <c r="CC52" s="1" t="s">
        <v>132</v>
      </c>
      <c r="CE52" t="str">
        <f>IF(GN[[#This Row],[Part Type]]=0,"",GN[[#This Row],[Part Type]])</f>
        <v/>
      </c>
      <c r="CF52" t="str">
        <f>IF(GN[[#This Row],[Name]]=0,"",GN[[#This Row],[Name]])</f>
        <v/>
      </c>
      <c r="CG52" s="52">
        <f>GN[[#This Row],[UID]]</f>
        <v>0</v>
      </c>
      <c r="CK52" t="str">
        <f>IF(GN[[#This Row],[Status]]=0,"",GN[[#This Row],[Status]])</f>
        <v/>
      </c>
    </row>
    <row r="53" spans="1:89">
      <c r="A53" s="31"/>
      <c r="B53" s="31"/>
      <c r="C53" s="31"/>
      <c r="D53" s="31"/>
      <c r="E53" s="31"/>
      <c r="F53" s="32"/>
      <c r="G53" s="32"/>
      <c r="H53" s="32"/>
      <c r="I53" s="31"/>
      <c r="J53" s="31"/>
      <c r="K53" s="31"/>
      <c r="L53" s="105"/>
      <c r="M53" s="11"/>
      <c r="N53" s="31"/>
      <c r="O53" s="31"/>
      <c r="P53" s="31"/>
      <c r="CA53" s="1" t="s">
        <v>71</v>
      </c>
      <c r="CB53" s="1" t="s">
        <v>18</v>
      </c>
      <c r="CC53" s="1" t="s">
        <v>132</v>
      </c>
      <c r="CE53" t="str">
        <f>IF(GN[[#This Row],[Part Type]]=0,"",GN[[#This Row],[Part Type]])</f>
        <v/>
      </c>
      <c r="CF53" t="str">
        <f>IF(GN[[#This Row],[Name]]=0,"",GN[[#This Row],[Name]])</f>
        <v/>
      </c>
      <c r="CG53" s="52">
        <f>GN[[#This Row],[UID]]</f>
        <v>0</v>
      </c>
      <c r="CK53" t="str">
        <f>IF(GN[[#This Row],[Status]]=0,"",GN[[#This Row],[Status]])</f>
        <v/>
      </c>
    </row>
    <row r="54" spans="1:89">
      <c r="A54" s="31"/>
      <c r="B54" s="31"/>
      <c r="C54" s="31"/>
      <c r="D54" s="31"/>
      <c r="E54" s="31"/>
      <c r="F54" s="32"/>
      <c r="G54" s="32"/>
      <c r="H54" s="32"/>
      <c r="I54" s="31"/>
      <c r="J54" s="31"/>
      <c r="K54" s="31"/>
      <c r="L54" s="105"/>
      <c r="M54" s="11"/>
      <c r="N54" s="31"/>
      <c r="O54" s="31"/>
      <c r="P54" s="31"/>
      <c r="CA54" s="1" t="s">
        <v>71</v>
      </c>
      <c r="CB54" s="1" t="s">
        <v>18</v>
      </c>
      <c r="CC54" s="1" t="s">
        <v>132</v>
      </c>
      <c r="CE54" t="str">
        <f>IF(GN[[#This Row],[Part Type]]=0,"",GN[[#This Row],[Part Type]])</f>
        <v/>
      </c>
      <c r="CF54" t="str">
        <f>IF(GN[[#This Row],[Name]]=0,"",GN[[#This Row],[Name]])</f>
        <v/>
      </c>
      <c r="CG54" s="52">
        <f>GN[[#This Row],[UID]]</f>
        <v>0</v>
      </c>
      <c r="CK54" t="str">
        <f>IF(GN[[#This Row],[Status]]=0,"",GN[[#This Row],[Status]])</f>
        <v/>
      </c>
    </row>
    <row r="55" spans="1:89">
      <c r="A55" s="31"/>
      <c r="B55" s="31"/>
      <c r="C55" s="31"/>
      <c r="D55" s="31"/>
      <c r="E55" s="31"/>
      <c r="F55" s="32"/>
      <c r="G55" s="32"/>
      <c r="H55" s="32"/>
      <c r="I55" s="31"/>
      <c r="J55" s="31"/>
      <c r="K55" s="31"/>
      <c r="L55" s="105"/>
      <c r="M55" s="11"/>
      <c r="N55" s="31"/>
      <c r="O55" s="31"/>
      <c r="P55" s="31"/>
      <c r="CA55" s="1" t="s">
        <v>71</v>
      </c>
      <c r="CB55" s="1" t="s">
        <v>18</v>
      </c>
      <c r="CC55" s="1" t="s">
        <v>132</v>
      </c>
      <c r="CE55" t="str">
        <f>IF(GN[[#This Row],[Part Type]]=0,"",GN[[#This Row],[Part Type]])</f>
        <v/>
      </c>
      <c r="CF55" t="str">
        <f>IF(GN[[#This Row],[Name]]=0,"",GN[[#This Row],[Name]])</f>
        <v/>
      </c>
      <c r="CG55" s="52">
        <f>GN[[#This Row],[UID]]</f>
        <v>0</v>
      </c>
      <c r="CK55" t="str">
        <f>IF(GN[[#This Row],[Status]]=0,"",GN[[#This Row],[Status]])</f>
        <v/>
      </c>
    </row>
    <row r="56" spans="1:89">
      <c r="A56" s="31"/>
      <c r="B56" s="31"/>
      <c r="C56" s="31"/>
      <c r="D56" s="31"/>
      <c r="E56" s="31"/>
      <c r="F56" s="32"/>
      <c r="G56" s="32"/>
      <c r="H56" s="32"/>
      <c r="I56" s="31"/>
      <c r="J56" s="31"/>
      <c r="K56" s="31"/>
      <c r="L56" s="105"/>
      <c r="M56" s="11"/>
      <c r="N56" s="31"/>
      <c r="O56" s="31"/>
      <c r="P56" s="31"/>
      <c r="CA56" s="1" t="s">
        <v>71</v>
      </c>
      <c r="CB56" s="1" t="s">
        <v>18</v>
      </c>
      <c r="CC56" s="1" t="s">
        <v>132</v>
      </c>
      <c r="CE56" t="str">
        <f>IF(GN[[#This Row],[Part Type]]=0,"",GN[[#This Row],[Part Type]])</f>
        <v/>
      </c>
      <c r="CF56" t="str">
        <f>IF(GN[[#This Row],[Name]]=0,"",GN[[#This Row],[Name]])</f>
        <v/>
      </c>
      <c r="CG56" s="52">
        <f>GN[[#This Row],[UID]]</f>
        <v>0</v>
      </c>
      <c r="CK56" t="str">
        <f>IF(GN[[#This Row],[Status]]=0,"",GN[[#This Row],[Status]])</f>
        <v/>
      </c>
    </row>
    <row r="57" spans="1:89">
      <c r="A57" s="31"/>
      <c r="B57" s="31"/>
      <c r="C57" s="31"/>
      <c r="D57" s="31"/>
      <c r="E57" s="31"/>
      <c r="F57" s="32"/>
      <c r="G57" s="32"/>
      <c r="H57" s="32"/>
      <c r="I57" s="31"/>
      <c r="J57" s="31"/>
      <c r="K57" s="31"/>
      <c r="L57" s="105"/>
      <c r="M57" s="11"/>
      <c r="N57" s="31"/>
      <c r="O57" s="31"/>
      <c r="P57" s="31"/>
      <c r="CA57" s="1" t="s">
        <v>71</v>
      </c>
      <c r="CB57" s="1" t="s">
        <v>18</v>
      </c>
      <c r="CC57" s="1" t="s">
        <v>132</v>
      </c>
      <c r="CE57" t="str">
        <f>IF(GN[[#This Row],[Part Type]]=0,"",GN[[#This Row],[Part Type]])</f>
        <v/>
      </c>
      <c r="CF57" t="str">
        <f>IF(GN[[#This Row],[Name]]=0,"",GN[[#This Row],[Name]])</f>
        <v/>
      </c>
      <c r="CG57" s="52">
        <f>GN[[#This Row],[UID]]</f>
        <v>0</v>
      </c>
      <c r="CK57" t="str">
        <f>IF(GN[[#This Row],[Status]]=0,"",GN[[#This Row],[Status]])</f>
        <v/>
      </c>
    </row>
    <row r="58" spans="1:89">
      <c r="A58" s="31"/>
      <c r="B58" s="31"/>
      <c r="C58" s="31"/>
      <c r="D58" s="31"/>
      <c r="E58" s="31"/>
      <c r="F58" s="32"/>
      <c r="G58" s="32"/>
      <c r="H58" s="32"/>
      <c r="I58" s="31"/>
      <c r="J58" s="31"/>
      <c r="K58" s="31"/>
      <c r="L58" s="105"/>
      <c r="M58" s="11"/>
      <c r="N58" s="31"/>
      <c r="O58" s="31"/>
      <c r="P58" s="31"/>
      <c r="CA58" s="1" t="s">
        <v>71</v>
      </c>
      <c r="CB58" s="1" t="s">
        <v>18</v>
      </c>
      <c r="CC58" s="1" t="s">
        <v>132</v>
      </c>
      <c r="CE58" t="str">
        <f>IF(GN[[#This Row],[Part Type]]=0,"",GN[[#This Row],[Part Type]])</f>
        <v/>
      </c>
      <c r="CF58" t="str">
        <f>IF(GN[[#This Row],[Name]]=0,"",GN[[#This Row],[Name]])</f>
        <v/>
      </c>
      <c r="CG58" s="52">
        <f>GN[[#This Row],[UID]]</f>
        <v>0</v>
      </c>
      <c r="CK58" t="str">
        <f>IF(GN[[#This Row],[Status]]=0,"",GN[[#This Row],[Status]])</f>
        <v/>
      </c>
    </row>
    <row r="59" spans="1:89">
      <c r="A59" s="31"/>
      <c r="B59" s="31"/>
      <c r="C59" s="31"/>
      <c r="D59" s="31"/>
      <c r="E59" s="31"/>
      <c r="F59" s="32"/>
      <c r="G59" s="32"/>
      <c r="H59" s="32"/>
      <c r="I59" s="31"/>
      <c r="J59" s="31"/>
      <c r="K59" s="31"/>
      <c r="L59" s="105"/>
      <c r="M59" s="11"/>
      <c r="N59" s="31"/>
      <c r="O59" s="31"/>
      <c r="P59" s="31"/>
      <c r="CA59" s="1" t="s">
        <v>71</v>
      </c>
      <c r="CB59" s="1" t="s">
        <v>18</v>
      </c>
      <c r="CC59" s="1" t="s">
        <v>132</v>
      </c>
      <c r="CE59" t="str">
        <f>IF(GN[[#This Row],[Part Type]]=0,"",GN[[#This Row],[Part Type]])</f>
        <v/>
      </c>
      <c r="CF59" t="str">
        <f>IF(GN[[#This Row],[Name]]=0,"",GN[[#This Row],[Name]])</f>
        <v/>
      </c>
      <c r="CG59" s="52">
        <f>GN[[#This Row],[UID]]</f>
        <v>0</v>
      </c>
      <c r="CK59" t="str">
        <f>IF(GN[[#This Row],[Status]]=0,"",GN[[#This Row],[Status]])</f>
        <v/>
      </c>
    </row>
    <row r="60" spans="1:89">
      <c r="A60" s="31"/>
      <c r="B60" s="31"/>
      <c r="C60" s="31"/>
      <c r="D60" s="31"/>
      <c r="E60" s="31"/>
      <c r="F60" s="32"/>
      <c r="G60" s="32"/>
      <c r="H60" s="32"/>
      <c r="I60" s="31"/>
      <c r="J60" s="31"/>
      <c r="K60" s="31"/>
      <c r="L60" s="105"/>
      <c r="M60" s="11"/>
      <c r="N60" s="31"/>
      <c r="O60" s="31"/>
      <c r="P60" s="31"/>
      <c r="CA60" s="1" t="s">
        <v>71</v>
      </c>
      <c r="CB60" s="1" t="s">
        <v>18</v>
      </c>
      <c r="CC60" s="1" t="s">
        <v>132</v>
      </c>
      <c r="CE60" t="str">
        <f>IF(GN[[#This Row],[Part Type]]=0,"",GN[[#This Row],[Part Type]])</f>
        <v/>
      </c>
      <c r="CF60" t="str">
        <f>IF(GN[[#This Row],[Name]]=0,"",GN[[#This Row],[Name]])</f>
        <v/>
      </c>
      <c r="CG60" s="52">
        <f>GN[[#This Row],[UID]]</f>
        <v>0</v>
      </c>
      <c r="CK60" t="str">
        <f>IF(GN[[#This Row],[Status]]=0,"",GN[[#This Row],[Status]])</f>
        <v/>
      </c>
    </row>
    <row r="61" spans="1:89">
      <c r="A61" s="31"/>
      <c r="B61" s="31"/>
      <c r="C61" s="31"/>
      <c r="D61" s="31"/>
      <c r="E61" s="31"/>
      <c r="F61" s="32"/>
      <c r="G61" s="32"/>
      <c r="H61" s="32"/>
      <c r="I61" s="31"/>
      <c r="J61" s="31"/>
      <c r="K61" s="31"/>
      <c r="L61" s="105"/>
      <c r="M61" s="11"/>
      <c r="N61" s="31"/>
      <c r="O61" s="31"/>
      <c r="P61" s="31"/>
      <c r="CA61" s="1" t="s">
        <v>71</v>
      </c>
      <c r="CB61" s="1" t="s">
        <v>18</v>
      </c>
      <c r="CC61" s="1" t="s">
        <v>132</v>
      </c>
      <c r="CE61" t="str">
        <f>IF(GN[[#This Row],[Part Type]]=0,"",GN[[#This Row],[Part Type]])</f>
        <v/>
      </c>
      <c r="CF61" t="str">
        <f>IF(GN[[#This Row],[Name]]=0,"",GN[[#This Row],[Name]])</f>
        <v/>
      </c>
      <c r="CG61" s="52">
        <f>GN[[#This Row],[UID]]</f>
        <v>0</v>
      </c>
      <c r="CK61" t="str">
        <f>IF(GN[[#This Row],[Status]]=0,"",GN[[#This Row],[Status]])</f>
        <v/>
      </c>
    </row>
    <row r="62" spans="1:89">
      <c r="A62" s="31"/>
      <c r="B62" s="31"/>
      <c r="C62" s="31"/>
      <c r="D62" s="31"/>
      <c r="E62" s="31"/>
      <c r="F62" s="32"/>
      <c r="G62" s="32"/>
      <c r="H62" s="32"/>
      <c r="I62" s="31"/>
      <c r="J62" s="31"/>
      <c r="K62" s="31"/>
      <c r="L62" s="105"/>
      <c r="M62" s="11"/>
      <c r="N62" s="31"/>
      <c r="O62" s="31"/>
      <c r="P62" s="31"/>
      <c r="CA62" s="1" t="s">
        <v>71</v>
      </c>
      <c r="CB62" s="1" t="s">
        <v>18</v>
      </c>
      <c r="CC62" s="1" t="s">
        <v>132</v>
      </c>
      <c r="CE62" t="str">
        <f>IF(GN[[#This Row],[Part Type]]=0,"",GN[[#This Row],[Part Type]])</f>
        <v/>
      </c>
      <c r="CF62" t="str">
        <f>IF(GN[[#This Row],[Name]]=0,"",GN[[#This Row],[Name]])</f>
        <v/>
      </c>
      <c r="CG62" s="52">
        <f>GN[[#This Row],[UID]]</f>
        <v>0</v>
      </c>
      <c r="CK62" t="str">
        <f>IF(GN[[#This Row],[Status]]=0,"",GN[[#This Row],[Status]])</f>
        <v/>
      </c>
    </row>
    <row r="63" spans="1:89">
      <c r="A63" s="31"/>
      <c r="B63" s="31"/>
      <c r="C63" s="31"/>
      <c r="D63" s="31"/>
      <c r="E63" s="31"/>
      <c r="F63" s="32"/>
      <c r="G63" s="32"/>
      <c r="H63" s="32"/>
      <c r="I63" s="31"/>
      <c r="J63" s="31"/>
      <c r="K63" s="31"/>
      <c r="L63" s="105"/>
      <c r="M63" s="11"/>
      <c r="N63" s="31"/>
      <c r="O63" s="31"/>
      <c r="P63" s="31"/>
      <c r="CA63" s="1" t="s">
        <v>71</v>
      </c>
      <c r="CB63" s="1" t="s">
        <v>18</v>
      </c>
      <c r="CC63" s="1" t="s">
        <v>132</v>
      </c>
      <c r="CE63" t="str">
        <f>IF(GN[[#This Row],[Part Type]]=0,"",GN[[#This Row],[Part Type]])</f>
        <v/>
      </c>
      <c r="CF63" t="str">
        <f>IF(GN[[#This Row],[Name]]=0,"",GN[[#This Row],[Name]])</f>
        <v/>
      </c>
      <c r="CG63" s="52">
        <f>GN[[#This Row],[UID]]</f>
        <v>0</v>
      </c>
      <c r="CK63" t="str">
        <f>IF(GN[[#This Row],[Status]]=0,"",GN[[#This Row],[Status]])</f>
        <v/>
      </c>
    </row>
    <row r="64" spans="1:89">
      <c r="A64" s="31"/>
      <c r="B64" s="31"/>
      <c r="C64" s="31"/>
      <c r="D64" s="31"/>
      <c r="E64" s="31"/>
      <c r="F64" s="32"/>
      <c r="G64" s="32"/>
      <c r="H64" s="32"/>
      <c r="I64" s="31"/>
      <c r="J64" s="31"/>
      <c r="K64" s="31"/>
      <c r="L64" s="105"/>
      <c r="M64" s="11"/>
      <c r="N64" s="31"/>
      <c r="O64" s="31"/>
      <c r="P64" s="31"/>
      <c r="CA64" s="1" t="s">
        <v>71</v>
      </c>
      <c r="CB64" s="1" t="s">
        <v>18</v>
      </c>
      <c r="CC64" s="1" t="s">
        <v>132</v>
      </c>
      <c r="CE64" t="str">
        <f>IF(GN[[#This Row],[Part Type]]=0,"",GN[[#This Row],[Part Type]])</f>
        <v/>
      </c>
      <c r="CF64" t="str">
        <f>IF(GN[[#This Row],[Name]]=0,"",GN[[#This Row],[Name]])</f>
        <v/>
      </c>
      <c r="CG64" s="52">
        <f>GN[[#This Row],[UID]]</f>
        <v>0</v>
      </c>
      <c r="CK64" t="str">
        <f>IF(GN[[#This Row],[Status]]=0,"",GN[[#This Row],[Status]])</f>
        <v/>
      </c>
    </row>
    <row r="65" spans="1:89">
      <c r="A65" s="31"/>
      <c r="B65" s="31"/>
      <c r="C65" s="31"/>
      <c r="D65" s="31"/>
      <c r="E65" s="31"/>
      <c r="F65" s="32"/>
      <c r="G65" s="32"/>
      <c r="H65" s="32"/>
      <c r="I65" s="31"/>
      <c r="J65" s="31"/>
      <c r="K65" s="31"/>
      <c r="L65" s="105"/>
      <c r="M65" s="11"/>
      <c r="N65" s="31"/>
      <c r="O65" s="31"/>
      <c r="P65" s="31"/>
      <c r="CA65" s="1" t="s">
        <v>71</v>
      </c>
      <c r="CB65" s="1" t="s">
        <v>18</v>
      </c>
      <c r="CC65" s="1" t="s">
        <v>132</v>
      </c>
      <c r="CE65" t="str">
        <f>IF(GN[[#This Row],[Part Type]]=0,"",GN[[#This Row],[Part Type]])</f>
        <v/>
      </c>
      <c r="CF65" t="str">
        <f>IF(GN[[#This Row],[Name]]=0,"",GN[[#This Row],[Name]])</f>
        <v/>
      </c>
      <c r="CG65" s="52">
        <f>GN[[#This Row],[UID]]</f>
        <v>0</v>
      </c>
      <c r="CK65" t="str">
        <f>IF(GN[[#This Row],[Status]]=0,"",GN[[#This Row],[Status]])</f>
        <v/>
      </c>
    </row>
    <row r="66" spans="1:89">
      <c r="A66" s="31"/>
      <c r="B66" s="31"/>
      <c r="C66" s="31"/>
      <c r="D66" s="31"/>
      <c r="E66" s="31"/>
      <c r="F66" s="32"/>
      <c r="G66" s="32"/>
      <c r="H66" s="32"/>
      <c r="I66" s="31"/>
      <c r="J66" s="31"/>
      <c r="K66" s="31"/>
      <c r="L66" s="105"/>
      <c r="M66" s="11"/>
      <c r="N66" s="31"/>
      <c r="O66" s="31"/>
      <c r="P66" s="31"/>
      <c r="CA66" s="1" t="s">
        <v>71</v>
      </c>
      <c r="CB66" s="1" t="s">
        <v>18</v>
      </c>
      <c r="CC66" s="1" t="s">
        <v>132</v>
      </c>
      <c r="CE66" t="str">
        <f>IF(GN[[#This Row],[Part Type]]=0,"",GN[[#This Row],[Part Type]])</f>
        <v/>
      </c>
      <c r="CF66" t="str">
        <f>IF(GN[[#This Row],[Name]]=0,"",GN[[#This Row],[Name]])</f>
        <v/>
      </c>
      <c r="CG66" s="52">
        <f>GN[[#This Row],[UID]]</f>
        <v>0</v>
      </c>
      <c r="CK66" t="str">
        <f>IF(GN[[#This Row],[Status]]=0,"",GN[[#This Row],[Status]])</f>
        <v/>
      </c>
    </row>
    <row r="67" spans="1:89">
      <c r="A67" s="31"/>
      <c r="B67" s="31"/>
      <c r="C67" s="31"/>
      <c r="D67" s="31"/>
      <c r="E67" s="31"/>
      <c r="F67" s="32"/>
      <c r="G67" s="32"/>
      <c r="H67" s="32"/>
      <c r="I67" s="31"/>
      <c r="J67" s="31"/>
      <c r="K67" s="31"/>
      <c r="L67" s="105"/>
      <c r="M67" s="11"/>
      <c r="N67" s="31"/>
      <c r="O67" s="31"/>
      <c r="P67" s="31"/>
      <c r="CA67" s="1" t="s">
        <v>71</v>
      </c>
      <c r="CB67" s="1" t="s">
        <v>18</v>
      </c>
      <c r="CC67" s="1" t="s">
        <v>132</v>
      </c>
      <c r="CE67" t="str">
        <f>IF(GN[[#This Row],[Part Type]]=0,"",GN[[#This Row],[Part Type]])</f>
        <v/>
      </c>
      <c r="CF67" t="str">
        <f>IF(GN[[#This Row],[Name]]=0,"",GN[[#This Row],[Name]])</f>
        <v/>
      </c>
      <c r="CG67" s="52">
        <f>GN[[#This Row],[UID]]</f>
        <v>0</v>
      </c>
      <c r="CK67" t="str">
        <f>IF(GN[[#This Row],[Status]]=0,"",GN[[#This Row],[Status]])</f>
        <v/>
      </c>
    </row>
    <row r="68" spans="1:89">
      <c r="A68" s="31"/>
      <c r="B68" s="31"/>
      <c r="C68" s="31"/>
      <c r="D68" s="31"/>
      <c r="E68" s="31"/>
      <c r="F68" s="32"/>
      <c r="G68" s="32"/>
      <c r="H68" s="32"/>
      <c r="I68" s="31"/>
      <c r="J68" s="31"/>
      <c r="K68" s="31"/>
      <c r="L68" s="105"/>
      <c r="M68" s="11"/>
      <c r="N68" s="31"/>
      <c r="O68" s="31"/>
      <c r="P68" s="31"/>
      <c r="CA68" s="1" t="s">
        <v>71</v>
      </c>
      <c r="CB68" s="1" t="s">
        <v>18</v>
      </c>
      <c r="CC68" s="1" t="s">
        <v>132</v>
      </c>
      <c r="CE68" t="str">
        <f>IF(GN[[#This Row],[Part Type]]=0,"",GN[[#This Row],[Part Type]])</f>
        <v/>
      </c>
      <c r="CF68" t="str">
        <f>IF(GN[[#This Row],[Name]]=0,"",GN[[#This Row],[Name]])</f>
        <v/>
      </c>
      <c r="CG68" s="52">
        <f>GN[[#This Row],[UID]]</f>
        <v>0</v>
      </c>
      <c r="CK68" t="str">
        <f>IF(GN[[#This Row],[Status]]=0,"",GN[[#This Row],[Status]])</f>
        <v/>
      </c>
    </row>
    <row r="69" spans="1:89">
      <c r="A69" s="31"/>
      <c r="B69" s="31"/>
      <c r="C69" s="31"/>
      <c r="D69" s="31"/>
      <c r="E69" s="31"/>
      <c r="F69" s="32"/>
      <c r="G69" s="32"/>
      <c r="H69" s="32"/>
      <c r="I69" s="31"/>
      <c r="J69" s="31"/>
      <c r="K69" s="31"/>
      <c r="L69" s="105"/>
      <c r="M69" s="11"/>
      <c r="N69" s="31"/>
      <c r="O69" s="31"/>
      <c r="P69" s="31"/>
      <c r="CA69" s="1" t="s">
        <v>71</v>
      </c>
      <c r="CB69" s="1" t="s">
        <v>18</v>
      </c>
      <c r="CC69" s="1" t="s">
        <v>132</v>
      </c>
      <c r="CE69" t="str">
        <f>IF(GN[[#This Row],[Part Type]]=0,"",GN[[#This Row],[Part Type]])</f>
        <v/>
      </c>
      <c r="CF69" t="str">
        <f>IF(GN[[#This Row],[Name]]=0,"",GN[[#This Row],[Name]])</f>
        <v/>
      </c>
      <c r="CG69" s="52">
        <f>GN[[#This Row],[UID]]</f>
        <v>0</v>
      </c>
      <c r="CK69" t="str">
        <f>IF(GN[[#This Row],[Status]]=0,"",GN[[#This Row],[Status]])</f>
        <v/>
      </c>
    </row>
    <row r="70" spans="1:89">
      <c r="A70" s="31"/>
      <c r="B70" s="31"/>
      <c r="C70" s="31"/>
      <c r="D70" s="31"/>
      <c r="E70" s="31"/>
      <c r="F70" s="32"/>
      <c r="G70" s="32"/>
      <c r="H70" s="32"/>
      <c r="I70" s="31"/>
      <c r="J70" s="31"/>
      <c r="K70" s="31"/>
      <c r="L70" s="105"/>
      <c r="M70" s="11"/>
      <c r="N70" s="31"/>
      <c r="O70" s="31"/>
      <c r="P70" s="31"/>
      <c r="CA70" s="1" t="s">
        <v>71</v>
      </c>
      <c r="CB70" s="1" t="s">
        <v>18</v>
      </c>
      <c r="CC70" s="1" t="s">
        <v>132</v>
      </c>
      <c r="CE70" t="str">
        <f>IF(GN[[#This Row],[Part Type]]=0,"",GN[[#This Row],[Part Type]])</f>
        <v/>
      </c>
      <c r="CF70" t="str">
        <f>IF(GN[[#This Row],[Name]]=0,"",GN[[#This Row],[Name]])</f>
        <v/>
      </c>
      <c r="CG70" s="52">
        <f>GN[[#This Row],[UID]]</f>
        <v>0</v>
      </c>
      <c r="CK70" t="str">
        <f>IF(GN[[#This Row],[Status]]=0,"",GN[[#This Row],[Status]])</f>
        <v/>
      </c>
    </row>
    <row r="71" spans="1:89">
      <c r="A71" s="31"/>
      <c r="B71" s="31"/>
      <c r="C71" s="31"/>
      <c r="D71" s="31"/>
      <c r="E71" s="31"/>
      <c r="F71" s="32"/>
      <c r="G71" s="32"/>
      <c r="H71" s="32"/>
      <c r="I71" s="31"/>
      <c r="J71" s="31"/>
      <c r="K71" s="31"/>
      <c r="L71" s="105"/>
      <c r="M71" s="11"/>
      <c r="N71" s="31"/>
      <c r="O71" s="31"/>
      <c r="P71" s="31"/>
      <c r="CA71" s="1" t="s">
        <v>71</v>
      </c>
      <c r="CB71" s="1" t="s">
        <v>18</v>
      </c>
      <c r="CC71" s="1" t="s">
        <v>132</v>
      </c>
      <c r="CE71" t="str">
        <f>IF(GN[[#This Row],[Part Type]]=0,"",GN[[#This Row],[Part Type]])</f>
        <v/>
      </c>
      <c r="CF71" t="str">
        <f>IF(GN[[#This Row],[Name]]=0,"",GN[[#This Row],[Name]])</f>
        <v/>
      </c>
      <c r="CG71" s="52">
        <f>GN[[#This Row],[UID]]</f>
        <v>0</v>
      </c>
      <c r="CK71" t="str">
        <f>IF(GN[[#This Row],[Status]]=0,"",GN[[#This Row],[Status]])</f>
        <v/>
      </c>
    </row>
    <row r="72" spans="1:89">
      <c r="A72" s="31"/>
      <c r="B72" s="31"/>
      <c r="C72" s="31"/>
      <c r="D72" s="31"/>
      <c r="E72" s="31"/>
      <c r="F72" s="32"/>
      <c r="G72" s="32"/>
      <c r="H72" s="32"/>
      <c r="I72" s="31"/>
      <c r="J72" s="31"/>
      <c r="K72" s="31"/>
      <c r="L72" s="105"/>
      <c r="M72" s="11"/>
      <c r="N72" s="31"/>
      <c r="O72" s="31"/>
      <c r="P72" s="31"/>
      <c r="CA72" s="1" t="s">
        <v>71</v>
      </c>
      <c r="CB72" s="1" t="s">
        <v>18</v>
      </c>
      <c r="CC72" s="1" t="s">
        <v>132</v>
      </c>
      <c r="CE72" t="str">
        <f>IF(GN[[#This Row],[Part Type]]=0,"",GN[[#This Row],[Part Type]])</f>
        <v/>
      </c>
      <c r="CF72" t="str">
        <f>IF(GN[[#This Row],[Name]]=0,"",GN[[#This Row],[Name]])</f>
        <v/>
      </c>
      <c r="CG72" s="52">
        <f>GN[[#This Row],[UID]]</f>
        <v>0</v>
      </c>
      <c r="CK72" t="str">
        <f>IF(GN[[#This Row],[Status]]=0,"",GN[[#This Row],[Status]])</f>
        <v/>
      </c>
    </row>
    <row r="73" spans="1:89">
      <c r="A73" s="31"/>
      <c r="B73" s="31"/>
      <c r="C73" s="31"/>
      <c r="D73" s="31"/>
      <c r="E73" s="31"/>
      <c r="F73" s="32"/>
      <c r="G73" s="32"/>
      <c r="H73" s="32"/>
      <c r="I73" s="31"/>
      <c r="J73" s="31"/>
      <c r="K73" s="31"/>
      <c r="L73" s="105"/>
      <c r="M73" s="11"/>
      <c r="N73" s="31"/>
      <c r="O73" s="31"/>
      <c r="P73" s="31"/>
      <c r="CA73" s="1" t="s">
        <v>71</v>
      </c>
      <c r="CB73" s="1" t="s">
        <v>18</v>
      </c>
      <c r="CC73" s="1" t="s">
        <v>132</v>
      </c>
      <c r="CE73" t="str">
        <f>IF(GN[[#This Row],[Part Type]]=0,"",GN[[#This Row],[Part Type]])</f>
        <v/>
      </c>
      <c r="CF73" t="str">
        <f>IF(GN[[#This Row],[Name]]=0,"",GN[[#This Row],[Name]])</f>
        <v/>
      </c>
      <c r="CG73" s="52">
        <f>GN[[#This Row],[UID]]</f>
        <v>0</v>
      </c>
      <c r="CK73" t="str">
        <f>IF(GN[[#This Row],[Status]]=0,"",GN[[#This Row],[Status]])</f>
        <v/>
      </c>
    </row>
    <row r="74" spans="1:89">
      <c r="A74" s="31"/>
      <c r="B74" s="31"/>
      <c r="C74" s="31"/>
      <c r="D74" s="31"/>
      <c r="E74" s="31"/>
      <c r="F74" s="32"/>
      <c r="G74" s="32"/>
      <c r="H74" s="32"/>
      <c r="I74" s="31"/>
      <c r="J74" s="31"/>
      <c r="K74" s="31"/>
      <c r="L74" s="105"/>
      <c r="M74" s="11"/>
      <c r="N74" s="31"/>
      <c r="O74" s="31"/>
      <c r="P74" s="31"/>
      <c r="CA74" s="1" t="s">
        <v>71</v>
      </c>
      <c r="CB74" s="1" t="s">
        <v>18</v>
      </c>
      <c r="CC74" s="1" t="s">
        <v>132</v>
      </c>
      <c r="CE74" t="str">
        <f>IF(GN[[#This Row],[Part Type]]=0,"",GN[[#This Row],[Part Type]])</f>
        <v/>
      </c>
      <c r="CF74" t="str">
        <f>IF(GN[[#This Row],[Name]]=0,"",GN[[#This Row],[Name]])</f>
        <v/>
      </c>
      <c r="CG74" s="52">
        <f>GN[[#This Row],[UID]]</f>
        <v>0</v>
      </c>
      <c r="CK74" t="str">
        <f>IF(GN[[#This Row],[Status]]=0,"",GN[[#This Row],[Status]])</f>
        <v/>
      </c>
    </row>
    <row r="75" spans="1:89">
      <c r="A75" s="31"/>
      <c r="B75" s="31"/>
      <c r="C75" s="31"/>
      <c r="D75" s="31"/>
      <c r="E75" s="31"/>
      <c r="F75" s="32"/>
      <c r="G75" s="32"/>
      <c r="H75" s="32"/>
      <c r="I75" s="31"/>
      <c r="J75" s="31"/>
      <c r="K75" s="31"/>
      <c r="L75" s="105"/>
      <c r="M75" s="11"/>
      <c r="N75" s="31"/>
      <c r="O75" s="31"/>
      <c r="P75" s="31"/>
      <c r="CA75" s="1" t="s">
        <v>71</v>
      </c>
      <c r="CB75" s="1" t="s">
        <v>18</v>
      </c>
      <c r="CC75" s="1" t="s">
        <v>132</v>
      </c>
      <c r="CE75" t="str">
        <f>IF(GN[[#This Row],[Part Type]]=0,"",GN[[#This Row],[Part Type]])</f>
        <v/>
      </c>
      <c r="CF75" t="str">
        <f>IF(GN[[#This Row],[Name]]=0,"",GN[[#This Row],[Name]])</f>
        <v/>
      </c>
      <c r="CG75" s="52">
        <f>GN[[#This Row],[UID]]</f>
        <v>0</v>
      </c>
      <c r="CK75" t="str">
        <f>IF(GN[[#This Row],[Status]]=0,"",GN[[#This Row],[Status]])</f>
        <v/>
      </c>
    </row>
    <row r="76" spans="1:89">
      <c r="A76" s="31"/>
      <c r="B76" s="31"/>
      <c r="C76" s="31"/>
      <c r="D76" s="31"/>
      <c r="E76" s="31"/>
      <c r="F76" s="32"/>
      <c r="G76" s="32"/>
      <c r="H76" s="32"/>
      <c r="I76" s="31"/>
      <c r="J76" s="31"/>
      <c r="K76" s="31"/>
      <c r="L76" s="105"/>
      <c r="M76" s="11"/>
      <c r="N76" s="31"/>
      <c r="O76" s="31"/>
      <c r="P76" s="31"/>
      <c r="CA76" s="1" t="s">
        <v>71</v>
      </c>
      <c r="CB76" s="1" t="s">
        <v>18</v>
      </c>
      <c r="CC76" s="1" t="s">
        <v>132</v>
      </c>
      <c r="CE76" t="str">
        <f>IF(GN[[#This Row],[Part Type]]=0,"",GN[[#This Row],[Part Type]])</f>
        <v/>
      </c>
      <c r="CF76" t="str">
        <f>IF(GN[[#This Row],[Name]]=0,"",GN[[#This Row],[Name]])</f>
        <v/>
      </c>
      <c r="CG76" s="52">
        <f>GN[[#This Row],[UID]]</f>
        <v>0</v>
      </c>
      <c r="CK76" t="str">
        <f>IF(GN[[#This Row],[Status]]=0,"",GN[[#This Row],[Status]])</f>
        <v/>
      </c>
    </row>
    <row r="77" spans="1:89">
      <c r="A77" s="31"/>
      <c r="B77" s="31"/>
      <c r="C77" s="31"/>
      <c r="D77" s="31"/>
      <c r="E77" s="31"/>
      <c r="F77" s="32"/>
      <c r="G77" s="32"/>
      <c r="H77" s="32"/>
      <c r="I77" s="31"/>
      <c r="J77" s="31"/>
      <c r="K77" s="31"/>
      <c r="L77" s="105"/>
      <c r="M77" s="11"/>
      <c r="N77" s="31"/>
      <c r="O77" s="31"/>
      <c r="P77" s="31"/>
      <c r="CA77" s="1" t="s">
        <v>71</v>
      </c>
      <c r="CB77" s="1" t="s">
        <v>18</v>
      </c>
      <c r="CC77" s="1" t="s">
        <v>132</v>
      </c>
      <c r="CE77" t="str">
        <f>IF(GN[[#This Row],[Part Type]]=0,"",GN[[#This Row],[Part Type]])</f>
        <v/>
      </c>
      <c r="CF77" t="str">
        <f>IF(GN[[#This Row],[Name]]=0,"",GN[[#This Row],[Name]])</f>
        <v/>
      </c>
      <c r="CG77" s="52">
        <f>GN[[#This Row],[UID]]</f>
        <v>0</v>
      </c>
      <c r="CK77" t="str">
        <f>IF(GN[[#This Row],[Status]]=0,"",GN[[#This Row],[Status]])</f>
        <v/>
      </c>
    </row>
    <row r="78" spans="1:89">
      <c r="A78" s="31"/>
      <c r="B78" s="31"/>
      <c r="C78" s="31"/>
      <c r="D78" s="31"/>
      <c r="E78" s="31"/>
      <c r="F78" s="32"/>
      <c r="G78" s="32"/>
      <c r="H78" s="32"/>
      <c r="I78" s="31"/>
      <c r="J78" s="31"/>
      <c r="K78" s="31"/>
      <c r="L78" s="105"/>
      <c r="M78" s="11"/>
      <c r="N78" s="31"/>
      <c r="O78" s="31"/>
      <c r="P78" s="31"/>
      <c r="CA78" s="1" t="s">
        <v>71</v>
      </c>
      <c r="CB78" s="1" t="s">
        <v>18</v>
      </c>
      <c r="CC78" s="1" t="s">
        <v>132</v>
      </c>
      <c r="CE78" t="str">
        <f>IF(GN[[#This Row],[Part Type]]=0,"",GN[[#This Row],[Part Type]])</f>
        <v/>
      </c>
      <c r="CF78" t="str">
        <f>IF(GN[[#This Row],[Name]]=0,"",GN[[#This Row],[Name]])</f>
        <v/>
      </c>
      <c r="CG78" s="52">
        <f>GN[[#This Row],[UID]]</f>
        <v>0</v>
      </c>
      <c r="CK78" t="str">
        <f>IF(GN[[#This Row],[Status]]=0,"",GN[[#This Row],[Status]])</f>
        <v/>
      </c>
    </row>
    <row r="79" spans="1:89">
      <c r="A79" s="31"/>
      <c r="B79" s="31"/>
      <c r="C79" s="31"/>
      <c r="D79" s="31"/>
      <c r="E79" s="31"/>
      <c r="F79" s="32"/>
      <c r="G79" s="32"/>
      <c r="H79" s="32"/>
      <c r="I79" s="31"/>
      <c r="J79" s="31"/>
      <c r="K79" s="31"/>
      <c r="L79" s="105"/>
      <c r="M79" s="11"/>
      <c r="N79" s="31"/>
      <c r="O79" s="31"/>
      <c r="P79" s="31"/>
      <c r="CA79" s="1" t="s">
        <v>71</v>
      </c>
      <c r="CB79" s="1" t="s">
        <v>18</v>
      </c>
      <c r="CC79" s="1" t="s">
        <v>132</v>
      </c>
      <c r="CE79" t="str">
        <f>IF(GN[[#This Row],[Part Type]]=0,"",GN[[#This Row],[Part Type]])</f>
        <v/>
      </c>
      <c r="CF79" t="str">
        <f>IF(GN[[#This Row],[Name]]=0,"",GN[[#This Row],[Name]])</f>
        <v/>
      </c>
      <c r="CG79" s="52">
        <f>GN[[#This Row],[UID]]</f>
        <v>0</v>
      </c>
      <c r="CK79" t="str">
        <f>IF(GN[[#This Row],[Status]]=0,"",GN[[#This Row],[Status]])</f>
        <v/>
      </c>
    </row>
    <row r="80" spans="1:89">
      <c r="A80" s="31"/>
      <c r="B80" s="31"/>
      <c r="C80" s="31"/>
      <c r="D80" s="31"/>
      <c r="E80" s="31"/>
      <c r="F80" s="32"/>
      <c r="G80" s="32"/>
      <c r="H80" s="32"/>
      <c r="I80" s="31"/>
      <c r="J80" s="31"/>
      <c r="K80" s="31"/>
      <c r="L80" s="105"/>
      <c r="M80" s="11"/>
      <c r="N80" s="31"/>
      <c r="O80" s="31"/>
      <c r="P80" s="31"/>
      <c r="CA80" s="1" t="s">
        <v>71</v>
      </c>
      <c r="CB80" s="1" t="s">
        <v>18</v>
      </c>
      <c r="CC80" s="1" t="s">
        <v>132</v>
      </c>
      <c r="CE80" t="str">
        <f>IF(GN[[#This Row],[Part Type]]=0,"",GN[[#This Row],[Part Type]])</f>
        <v/>
      </c>
      <c r="CF80" t="str">
        <f>IF(GN[[#This Row],[Name]]=0,"",GN[[#This Row],[Name]])</f>
        <v/>
      </c>
      <c r="CG80" s="52">
        <f>GN[[#This Row],[UID]]</f>
        <v>0</v>
      </c>
      <c r="CK80" t="str">
        <f>IF(GN[[#This Row],[Status]]=0,"",GN[[#This Row],[Status]])</f>
        <v/>
      </c>
    </row>
    <row r="81" spans="1:89">
      <c r="A81" s="31"/>
      <c r="B81" s="31"/>
      <c r="C81" s="31"/>
      <c r="D81" s="31"/>
      <c r="E81" s="31"/>
      <c r="F81" s="32"/>
      <c r="G81" s="32"/>
      <c r="H81" s="32"/>
      <c r="I81" s="31"/>
      <c r="J81" s="31"/>
      <c r="K81" s="31"/>
      <c r="L81" s="105"/>
      <c r="M81" s="11"/>
      <c r="N81" s="31"/>
      <c r="O81" s="31"/>
      <c r="P81" s="31"/>
      <c r="CA81" s="1" t="s">
        <v>71</v>
      </c>
      <c r="CB81" s="1" t="s">
        <v>18</v>
      </c>
      <c r="CC81" s="1" t="s">
        <v>132</v>
      </c>
      <c r="CE81" t="str">
        <f>IF(GN[[#This Row],[Part Type]]=0,"",GN[[#This Row],[Part Type]])</f>
        <v/>
      </c>
      <c r="CF81" t="str">
        <f>IF(GN[[#This Row],[Name]]=0,"",GN[[#This Row],[Name]])</f>
        <v/>
      </c>
      <c r="CG81" s="52">
        <f>GN[[#This Row],[UID]]</f>
        <v>0</v>
      </c>
      <c r="CK81" t="str">
        <f>IF(GN[[#This Row],[Status]]=0,"",GN[[#This Row],[Status]])</f>
        <v/>
      </c>
    </row>
    <row r="82" spans="1:89">
      <c r="A82" s="31"/>
      <c r="B82" s="31"/>
      <c r="C82" s="31"/>
      <c r="D82" s="31"/>
      <c r="E82" s="31"/>
      <c r="F82" s="32"/>
      <c r="G82" s="32"/>
      <c r="H82" s="32"/>
      <c r="I82" s="31"/>
      <c r="J82" s="31"/>
      <c r="K82" s="31"/>
      <c r="L82" s="105"/>
      <c r="M82" s="11"/>
      <c r="N82" s="31"/>
      <c r="O82" s="31"/>
      <c r="P82" s="31"/>
      <c r="CA82" s="1" t="s">
        <v>71</v>
      </c>
      <c r="CB82" s="1" t="s">
        <v>18</v>
      </c>
      <c r="CC82" s="1" t="s">
        <v>132</v>
      </c>
      <c r="CE82" t="str">
        <f>IF(GN[[#This Row],[Part Type]]=0,"",GN[[#This Row],[Part Type]])</f>
        <v/>
      </c>
      <c r="CF82" t="str">
        <f>IF(GN[[#This Row],[Name]]=0,"",GN[[#This Row],[Name]])</f>
        <v/>
      </c>
      <c r="CG82" s="52">
        <f>GN[[#This Row],[UID]]</f>
        <v>0</v>
      </c>
      <c r="CK82" t="str">
        <f>IF(GN[[#This Row],[Status]]=0,"",GN[[#This Row],[Status]])</f>
        <v/>
      </c>
    </row>
    <row r="83" spans="1:89">
      <c r="A83" s="31"/>
      <c r="B83" s="31"/>
      <c r="C83" s="31"/>
      <c r="D83" s="31"/>
      <c r="E83" s="31"/>
      <c r="F83" s="32"/>
      <c r="G83" s="32"/>
      <c r="H83" s="32"/>
      <c r="I83" s="31"/>
      <c r="J83" s="31"/>
      <c r="K83" s="31"/>
      <c r="L83" s="105"/>
      <c r="M83" s="11"/>
      <c r="N83" s="31"/>
      <c r="O83" s="31"/>
      <c r="P83" s="31"/>
      <c r="CA83" s="1" t="s">
        <v>71</v>
      </c>
      <c r="CB83" s="1" t="s">
        <v>18</v>
      </c>
      <c r="CC83" s="1" t="s">
        <v>132</v>
      </c>
      <c r="CE83" t="str">
        <f>IF(GN[[#This Row],[Part Type]]=0,"",GN[[#This Row],[Part Type]])</f>
        <v/>
      </c>
      <c r="CF83" t="str">
        <f>IF(GN[[#This Row],[Name]]=0,"",GN[[#This Row],[Name]])</f>
        <v/>
      </c>
      <c r="CG83" s="52">
        <f>GN[[#This Row],[UID]]</f>
        <v>0</v>
      </c>
      <c r="CK83" t="str">
        <f>IF(GN[[#This Row],[Status]]=0,"",GN[[#This Row],[Status]])</f>
        <v/>
      </c>
    </row>
    <row r="84" spans="1:89">
      <c r="A84" s="31"/>
      <c r="B84" s="31"/>
      <c r="C84" s="31"/>
      <c r="D84" s="31"/>
      <c r="E84" s="31"/>
      <c r="F84" s="32"/>
      <c r="G84" s="32"/>
      <c r="H84" s="32"/>
      <c r="I84" s="31"/>
      <c r="J84" s="31"/>
      <c r="K84" s="31"/>
      <c r="L84" s="105"/>
      <c r="M84" s="11"/>
      <c r="N84" s="31"/>
      <c r="O84" s="31"/>
      <c r="P84" s="31"/>
      <c r="CA84" s="1" t="s">
        <v>71</v>
      </c>
      <c r="CB84" s="1" t="s">
        <v>18</v>
      </c>
      <c r="CC84" s="1" t="s">
        <v>132</v>
      </c>
      <c r="CE84" t="str">
        <f>IF(GN[[#This Row],[Part Type]]=0,"",GN[[#This Row],[Part Type]])</f>
        <v/>
      </c>
      <c r="CF84" t="str">
        <f>IF(GN[[#This Row],[Name]]=0,"",GN[[#This Row],[Name]])</f>
        <v/>
      </c>
      <c r="CG84" s="52">
        <f>GN[[#This Row],[UID]]</f>
        <v>0</v>
      </c>
      <c r="CK84" t="str">
        <f>IF(GN[[#This Row],[Status]]=0,"",GN[[#This Row],[Status]])</f>
        <v/>
      </c>
    </row>
    <row r="85" spans="1:89">
      <c r="A85" s="31"/>
      <c r="B85" s="31"/>
      <c r="C85" s="31"/>
      <c r="D85" s="31"/>
      <c r="E85" s="31"/>
      <c r="F85" s="32"/>
      <c r="G85" s="32"/>
      <c r="H85" s="32"/>
      <c r="I85" s="31"/>
      <c r="J85" s="31"/>
      <c r="K85" s="31"/>
      <c r="L85" s="105"/>
      <c r="M85" s="11"/>
      <c r="N85" s="31"/>
      <c r="O85" s="31"/>
      <c r="P85" s="31"/>
      <c r="CA85" s="1" t="s">
        <v>71</v>
      </c>
      <c r="CB85" s="1" t="s">
        <v>18</v>
      </c>
      <c r="CC85" s="1" t="s">
        <v>132</v>
      </c>
      <c r="CE85" t="str">
        <f>IF(GN[[#This Row],[Part Type]]=0,"",GN[[#This Row],[Part Type]])</f>
        <v/>
      </c>
      <c r="CF85" t="str">
        <f>IF(GN[[#This Row],[Name]]=0,"",GN[[#This Row],[Name]])</f>
        <v/>
      </c>
      <c r="CG85" s="52">
        <f>GN[[#This Row],[UID]]</f>
        <v>0</v>
      </c>
      <c r="CK85" t="str">
        <f>IF(GN[[#This Row],[Status]]=0,"",GN[[#This Row],[Status]])</f>
        <v/>
      </c>
    </row>
    <row r="86" spans="1:89">
      <c r="A86" s="31"/>
      <c r="B86" s="31"/>
      <c r="C86" s="31"/>
      <c r="D86" s="31"/>
      <c r="E86" s="31"/>
      <c r="F86" s="32"/>
      <c r="G86" s="32"/>
      <c r="H86" s="32"/>
      <c r="I86" s="31"/>
      <c r="J86" s="31"/>
      <c r="K86" s="31"/>
      <c r="L86" s="105"/>
      <c r="M86" s="11"/>
      <c r="N86" s="31"/>
      <c r="O86" s="31"/>
      <c r="P86" s="31"/>
      <c r="CA86" s="1" t="s">
        <v>71</v>
      </c>
      <c r="CB86" s="1" t="s">
        <v>18</v>
      </c>
      <c r="CC86" s="1" t="s">
        <v>132</v>
      </c>
      <c r="CE86" t="str">
        <f>IF(GN[[#This Row],[Part Type]]=0,"",GN[[#This Row],[Part Type]])</f>
        <v/>
      </c>
      <c r="CF86" t="str">
        <f>IF(GN[[#This Row],[Name]]=0,"",GN[[#This Row],[Name]])</f>
        <v/>
      </c>
      <c r="CG86" s="52">
        <f>GN[[#This Row],[UID]]</f>
        <v>0</v>
      </c>
      <c r="CK86" t="str">
        <f>IF(GN[[#This Row],[Status]]=0,"",GN[[#This Row],[Status]])</f>
        <v/>
      </c>
    </row>
    <row r="87" spans="1:89">
      <c r="A87" s="31"/>
      <c r="B87" s="31"/>
      <c r="C87" s="31"/>
      <c r="D87" s="31"/>
      <c r="E87" s="31"/>
      <c r="F87" s="32"/>
      <c r="G87" s="32"/>
      <c r="H87" s="32"/>
      <c r="I87" s="31"/>
      <c r="J87" s="31"/>
      <c r="K87" s="31"/>
      <c r="L87" s="105"/>
      <c r="M87" s="11"/>
      <c r="N87" s="31"/>
      <c r="O87" s="31"/>
      <c r="P87" s="31"/>
      <c r="CA87" s="1" t="s">
        <v>71</v>
      </c>
      <c r="CB87" s="1" t="s">
        <v>18</v>
      </c>
      <c r="CC87" s="1" t="s">
        <v>132</v>
      </c>
      <c r="CE87" t="str">
        <f>IF(GN[[#This Row],[Part Type]]=0,"",GN[[#This Row],[Part Type]])</f>
        <v/>
      </c>
      <c r="CF87" t="str">
        <f>IF(GN[[#This Row],[Name]]=0,"",GN[[#This Row],[Name]])</f>
        <v/>
      </c>
      <c r="CG87" s="52">
        <f>GN[[#This Row],[UID]]</f>
        <v>0</v>
      </c>
      <c r="CK87" t="str">
        <f>IF(GN[[#This Row],[Status]]=0,"",GN[[#This Row],[Status]])</f>
        <v/>
      </c>
    </row>
    <row r="88" spans="1:89">
      <c r="A88" s="31"/>
      <c r="B88" s="31"/>
      <c r="C88" s="31"/>
      <c r="D88" s="31"/>
      <c r="E88" s="31"/>
      <c r="F88" s="32"/>
      <c r="G88" s="32"/>
      <c r="H88" s="32"/>
      <c r="I88" s="31"/>
      <c r="J88" s="31"/>
      <c r="K88" s="31"/>
      <c r="L88" s="105"/>
      <c r="M88" s="11"/>
      <c r="N88" s="31"/>
      <c r="O88" s="31"/>
      <c r="P88" s="31"/>
      <c r="CA88" s="1" t="s">
        <v>71</v>
      </c>
      <c r="CB88" s="1" t="s">
        <v>18</v>
      </c>
      <c r="CC88" s="1" t="s">
        <v>132</v>
      </c>
      <c r="CE88" t="str">
        <f>IF(GN[[#This Row],[Part Type]]=0,"",GN[[#This Row],[Part Type]])</f>
        <v/>
      </c>
      <c r="CF88" t="str">
        <f>IF(GN[[#This Row],[Name]]=0,"",GN[[#This Row],[Name]])</f>
        <v/>
      </c>
      <c r="CG88" s="52">
        <f>GN[[#This Row],[UID]]</f>
        <v>0</v>
      </c>
      <c r="CK88" t="str">
        <f>IF(GN[[#This Row],[Status]]=0,"",GN[[#This Row],[Status]])</f>
        <v/>
      </c>
    </row>
    <row r="89" spans="1:89">
      <c r="A89" s="31"/>
      <c r="B89" s="31"/>
      <c r="C89" s="31"/>
      <c r="D89" s="31"/>
      <c r="E89" s="31"/>
      <c r="F89" s="32"/>
      <c r="G89" s="32"/>
      <c r="H89" s="32"/>
      <c r="I89" s="31"/>
      <c r="J89" s="31"/>
      <c r="K89" s="31"/>
      <c r="L89" s="105"/>
      <c r="M89" s="11"/>
      <c r="N89" s="31"/>
      <c r="O89" s="31"/>
      <c r="P89" s="31"/>
      <c r="CA89" s="1" t="s">
        <v>71</v>
      </c>
      <c r="CB89" s="1" t="s">
        <v>18</v>
      </c>
      <c r="CC89" s="1" t="s">
        <v>132</v>
      </c>
      <c r="CE89" t="str">
        <f>IF(GN[[#This Row],[Part Type]]=0,"",GN[[#This Row],[Part Type]])</f>
        <v/>
      </c>
      <c r="CF89" t="str">
        <f>IF(GN[[#This Row],[Name]]=0,"",GN[[#This Row],[Name]])</f>
        <v/>
      </c>
      <c r="CG89" s="52">
        <f>GN[[#This Row],[UID]]</f>
        <v>0</v>
      </c>
      <c r="CK89" t="str">
        <f>IF(GN[[#This Row],[Status]]=0,"",GN[[#This Row],[Status]])</f>
        <v/>
      </c>
    </row>
    <row r="90" spans="1:89">
      <c r="A90" s="31"/>
      <c r="B90" s="31"/>
      <c r="C90" s="31"/>
      <c r="D90" s="31"/>
      <c r="E90" s="31"/>
      <c r="F90" s="32"/>
      <c r="G90" s="32"/>
      <c r="H90" s="32"/>
      <c r="I90" s="31"/>
      <c r="J90" s="31"/>
      <c r="K90" s="31"/>
      <c r="L90" s="105"/>
      <c r="M90" s="11"/>
      <c r="N90" s="31"/>
      <c r="O90" s="31"/>
      <c r="P90" s="31"/>
      <c r="CA90" s="1" t="s">
        <v>71</v>
      </c>
      <c r="CB90" s="1" t="s">
        <v>18</v>
      </c>
      <c r="CC90" s="1" t="s">
        <v>132</v>
      </c>
      <c r="CE90" t="str">
        <f>IF(GN[[#This Row],[Part Type]]=0,"",GN[[#This Row],[Part Type]])</f>
        <v/>
      </c>
      <c r="CF90" t="str">
        <f>IF(GN[[#This Row],[Name]]=0,"",GN[[#This Row],[Name]])</f>
        <v/>
      </c>
      <c r="CG90" s="52">
        <f>GN[[#This Row],[UID]]</f>
        <v>0</v>
      </c>
      <c r="CK90" t="str">
        <f>IF(GN[[#This Row],[Status]]=0,"",GN[[#This Row],[Status]])</f>
        <v/>
      </c>
    </row>
    <row r="91" spans="1:89">
      <c r="A91" s="31"/>
      <c r="B91" s="31"/>
      <c r="C91" s="31"/>
      <c r="D91" s="31"/>
      <c r="E91" s="31"/>
      <c r="F91" s="32"/>
      <c r="G91" s="32"/>
      <c r="H91" s="32"/>
      <c r="I91" s="31"/>
      <c r="J91" s="31"/>
      <c r="K91" s="31"/>
      <c r="L91" s="105"/>
      <c r="M91" s="11"/>
      <c r="N91" s="31"/>
      <c r="O91" s="31"/>
      <c r="P91" s="31"/>
      <c r="CA91" s="1" t="s">
        <v>71</v>
      </c>
      <c r="CB91" s="1" t="s">
        <v>18</v>
      </c>
      <c r="CC91" s="1" t="s">
        <v>132</v>
      </c>
      <c r="CE91" t="str">
        <f>IF(GN[[#This Row],[Part Type]]=0,"",GN[[#This Row],[Part Type]])</f>
        <v/>
      </c>
      <c r="CF91" t="str">
        <f>IF(GN[[#This Row],[Name]]=0,"",GN[[#This Row],[Name]])</f>
        <v/>
      </c>
      <c r="CG91" s="52">
        <f>GN[[#This Row],[UID]]</f>
        <v>0</v>
      </c>
      <c r="CK91" t="str">
        <f>IF(GN[[#This Row],[Status]]=0,"",GN[[#This Row],[Status]])</f>
        <v/>
      </c>
    </row>
    <row r="92" spans="1:89">
      <c r="A92" s="31"/>
      <c r="B92" s="31"/>
      <c r="C92" s="31"/>
      <c r="D92" s="31"/>
      <c r="E92" s="31"/>
      <c r="F92" s="32"/>
      <c r="G92" s="32"/>
      <c r="H92" s="32"/>
      <c r="I92" s="31"/>
      <c r="J92" s="31"/>
      <c r="K92" s="31"/>
      <c r="L92" s="105"/>
      <c r="M92" s="11"/>
      <c r="N92" s="31"/>
      <c r="O92" s="31"/>
      <c r="P92" s="31"/>
      <c r="CA92" s="1" t="s">
        <v>71</v>
      </c>
      <c r="CB92" s="1" t="s">
        <v>18</v>
      </c>
      <c r="CC92" s="1" t="s">
        <v>132</v>
      </c>
      <c r="CE92" t="str">
        <f>IF(GN[[#This Row],[Part Type]]=0,"",GN[[#This Row],[Part Type]])</f>
        <v/>
      </c>
      <c r="CF92" t="str">
        <f>IF(GN[[#This Row],[Name]]=0,"",GN[[#This Row],[Name]])</f>
        <v/>
      </c>
      <c r="CG92" s="52">
        <f>GN[[#This Row],[UID]]</f>
        <v>0</v>
      </c>
      <c r="CK92" t="str">
        <f>IF(GN[[#This Row],[Status]]=0,"",GN[[#This Row],[Status]])</f>
        <v/>
      </c>
    </row>
    <row r="93" spans="1:89">
      <c r="A93" s="31"/>
      <c r="B93" s="31"/>
      <c r="C93" s="31"/>
      <c r="D93" s="31"/>
      <c r="E93" s="31"/>
      <c r="F93" s="32"/>
      <c r="G93" s="32"/>
      <c r="H93" s="32"/>
      <c r="I93" s="31"/>
      <c r="J93" s="31"/>
      <c r="K93" s="31"/>
      <c r="L93" s="105"/>
      <c r="M93" s="11"/>
      <c r="N93" s="31"/>
      <c r="O93" s="31"/>
      <c r="P93" s="31"/>
      <c r="CA93" s="1" t="s">
        <v>71</v>
      </c>
      <c r="CB93" s="1" t="s">
        <v>18</v>
      </c>
      <c r="CC93" s="1" t="s">
        <v>132</v>
      </c>
      <c r="CE93" t="str">
        <f>IF(GN[[#This Row],[Part Type]]=0,"",GN[[#This Row],[Part Type]])</f>
        <v/>
      </c>
      <c r="CF93" t="str">
        <f>IF(GN[[#This Row],[Name]]=0,"",GN[[#This Row],[Name]])</f>
        <v/>
      </c>
      <c r="CG93" s="52">
        <f>GN[[#This Row],[UID]]</f>
        <v>0</v>
      </c>
      <c r="CK93" t="str">
        <f>IF(GN[[#This Row],[Status]]=0,"",GN[[#This Row],[Status]])</f>
        <v/>
      </c>
    </row>
    <row r="94" spans="1:89">
      <c r="A94" s="31"/>
      <c r="B94" s="31"/>
      <c r="C94" s="31"/>
      <c r="D94" s="31"/>
      <c r="E94" s="31"/>
      <c r="F94" s="32"/>
      <c r="G94" s="32"/>
      <c r="H94" s="32"/>
      <c r="I94" s="31"/>
      <c r="J94" s="31"/>
      <c r="K94" s="31"/>
      <c r="L94" s="105"/>
      <c r="M94" s="11"/>
      <c r="N94" s="31"/>
      <c r="O94" s="31"/>
      <c r="P94" s="31"/>
      <c r="CA94" s="1" t="s">
        <v>71</v>
      </c>
      <c r="CB94" s="1" t="s">
        <v>18</v>
      </c>
      <c r="CC94" s="1" t="s">
        <v>132</v>
      </c>
      <c r="CE94" t="str">
        <f>IF(GN[[#This Row],[Part Type]]=0,"",GN[[#This Row],[Part Type]])</f>
        <v/>
      </c>
      <c r="CF94" t="str">
        <f>IF(GN[[#This Row],[Name]]=0,"",GN[[#This Row],[Name]])</f>
        <v/>
      </c>
      <c r="CG94" s="52">
        <f>GN[[#This Row],[UID]]</f>
        <v>0</v>
      </c>
      <c r="CK94" t="str">
        <f>IF(GN[[#This Row],[Status]]=0,"",GN[[#This Row],[Status]])</f>
        <v/>
      </c>
    </row>
    <row r="95" spans="1:89">
      <c r="A95" s="31"/>
      <c r="B95" s="31"/>
      <c r="C95" s="31"/>
      <c r="D95" s="31"/>
      <c r="E95" s="31"/>
      <c r="F95" s="32"/>
      <c r="G95" s="32"/>
      <c r="H95" s="32"/>
      <c r="I95" s="31"/>
      <c r="J95" s="31"/>
      <c r="K95" s="31"/>
      <c r="L95" s="105"/>
      <c r="M95" s="11"/>
      <c r="N95" s="31"/>
      <c r="O95" s="31"/>
      <c r="P95" s="31"/>
      <c r="CA95" s="1" t="s">
        <v>71</v>
      </c>
      <c r="CB95" s="1" t="s">
        <v>18</v>
      </c>
      <c r="CC95" s="1" t="s">
        <v>132</v>
      </c>
      <c r="CE95" t="str">
        <f>IF(GN[[#This Row],[Part Type]]=0,"",GN[[#This Row],[Part Type]])</f>
        <v/>
      </c>
      <c r="CF95" t="str">
        <f>IF(GN[[#This Row],[Name]]=0,"",GN[[#This Row],[Name]])</f>
        <v/>
      </c>
      <c r="CG95" s="52">
        <f>GN[[#This Row],[UID]]</f>
        <v>0</v>
      </c>
      <c r="CK95" t="str">
        <f>IF(GN[[#This Row],[Status]]=0,"",GN[[#This Row],[Status]])</f>
        <v/>
      </c>
    </row>
    <row r="96" spans="1:89">
      <c r="A96" s="31"/>
      <c r="B96" s="31"/>
      <c r="C96" s="31"/>
      <c r="D96" s="31"/>
      <c r="E96" s="31"/>
      <c r="F96" s="32"/>
      <c r="G96" s="32"/>
      <c r="H96" s="32"/>
      <c r="I96" s="31"/>
      <c r="J96" s="31"/>
      <c r="K96" s="31"/>
      <c r="L96" s="105"/>
      <c r="M96" s="11"/>
      <c r="N96" s="31"/>
      <c r="O96" s="31"/>
      <c r="P96" s="31"/>
      <c r="CA96" s="1" t="s">
        <v>71</v>
      </c>
      <c r="CB96" s="1" t="s">
        <v>18</v>
      </c>
      <c r="CC96" s="1" t="s">
        <v>132</v>
      </c>
      <c r="CE96" t="str">
        <f>IF(GN[[#This Row],[Part Type]]=0,"",GN[[#This Row],[Part Type]])</f>
        <v/>
      </c>
      <c r="CF96" t="str">
        <f>IF(GN[[#This Row],[Name]]=0,"",GN[[#This Row],[Name]])</f>
        <v/>
      </c>
      <c r="CG96" s="52">
        <f>GN[[#This Row],[UID]]</f>
        <v>0</v>
      </c>
      <c r="CK96" t="str">
        <f>IF(GN[[#This Row],[Status]]=0,"",GN[[#This Row],[Status]])</f>
        <v/>
      </c>
    </row>
    <row r="97" spans="1:89">
      <c r="A97" s="31"/>
      <c r="B97" s="31"/>
      <c r="C97" s="31"/>
      <c r="D97" s="31"/>
      <c r="E97" s="31"/>
      <c r="F97" s="32"/>
      <c r="G97" s="32"/>
      <c r="H97" s="32"/>
      <c r="I97" s="31"/>
      <c r="J97" s="31"/>
      <c r="K97" s="31"/>
      <c r="L97" s="105"/>
      <c r="M97" s="11"/>
      <c r="N97" s="31"/>
      <c r="O97" s="31"/>
      <c r="P97" s="31"/>
      <c r="CA97" s="1" t="s">
        <v>71</v>
      </c>
      <c r="CB97" s="1" t="s">
        <v>18</v>
      </c>
      <c r="CC97" s="1" t="s">
        <v>132</v>
      </c>
      <c r="CE97" t="str">
        <f>IF(GN[[#This Row],[Part Type]]=0,"",GN[[#This Row],[Part Type]])</f>
        <v/>
      </c>
      <c r="CF97" t="str">
        <f>IF(GN[[#This Row],[Name]]=0,"",GN[[#This Row],[Name]])</f>
        <v/>
      </c>
      <c r="CG97" s="52">
        <f>GN[[#This Row],[UID]]</f>
        <v>0</v>
      </c>
      <c r="CK97" t="str">
        <f>IF(GN[[#This Row],[Status]]=0,"",GN[[#This Row],[Status]])</f>
        <v/>
      </c>
    </row>
    <row r="98" spans="1:89">
      <c r="A98" s="31"/>
      <c r="B98" s="31"/>
      <c r="C98" s="31"/>
      <c r="D98" s="31"/>
      <c r="E98" s="31"/>
      <c r="F98" s="32"/>
      <c r="G98" s="32"/>
      <c r="H98" s="32"/>
      <c r="I98" s="31"/>
      <c r="J98" s="31"/>
      <c r="K98" s="31"/>
      <c r="L98" s="105"/>
      <c r="M98" s="11"/>
      <c r="N98" s="31"/>
      <c r="O98" s="31"/>
      <c r="P98" s="31"/>
      <c r="CA98" s="1" t="s">
        <v>71</v>
      </c>
      <c r="CB98" s="1" t="s">
        <v>18</v>
      </c>
      <c r="CC98" s="1" t="s">
        <v>132</v>
      </c>
      <c r="CE98" t="str">
        <f>IF(GN[[#This Row],[Part Type]]=0,"",GN[[#This Row],[Part Type]])</f>
        <v/>
      </c>
      <c r="CF98" t="str">
        <f>IF(GN[[#This Row],[Name]]=0,"",GN[[#This Row],[Name]])</f>
        <v/>
      </c>
      <c r="CG98" s="52">
        <f>GN[[#This Row],[UID]]</f>
        <v>0</v>
      </c>
      <c r="CK98" t="str">
        <f>IF(GN[[#This Row],[Status]]=0,"",GN[[#This Row],[Status]])</f>
        <v/>
      </c>
    </row>
    <row r="99" spans="1:89">
      <c r="A99" s="31"/>
      <c r="B99" s="31"/>
      <c r="C99" s="31"/>
      <c r="D99" s="31"/>
      <c r="E99" s="31"/>
      <c r="F99" s="32"/>
      <c r="G99" s="32"/>
      <c r="H99" s="32"/>
      <c r="I99" s="31"/>
      <c r="J99" s="31"/>
      <c r="K99" s="31"/>
      <c r="L99" s="105"/>
      <c r="M99" s="11"/>
      <c r="N99" s="31"/>
      <c r="O99" s="31"/>
      <c r="P99" s="31"/>
      <c r="CA99" s="1" t="s">
        <v>71</v>
      </c>
      <c r="CB99" s="1" t="s">
        <v>18</v>
      </c>
      <c r="CC99" s="1" t="s">
        <v>132</v>
      </c>
      <c r="CE99" t="str">
        <f>IF(GN[[#This Row],[Part Type]]=0,"",GN[[#This Row],[Part Type]])</f>
        <v/>
      </c>
      <c r="CF99" t="str">
        <f>IF(GN[[#This Row],[Name]]=0,"",GN[[#This Row],[Name]])</f>
        <v/>
      </c>
      <c r="CG99" s="52">
        <f>GN[[#This Row],[UID]]</f>
        <v>0</v>
      </c>
      <c r="CK99" t="str">
        <f>IF(GN[[#This Row],[Status]]=0,"",GN[[#This Row],[Status]])</f>
        <v/>
      </c>
    </row>
    <row r="100" spans="1:89">
      <c r="A100" s="31"/>
      <c r="B100" s="31"/>
      <c r="C100" s="31"/>
      <c r="D100" s="31"/>
      <c r="E100" s="31"/>
      <c r="F100" s="32"/>
      <c r="G100" s="32"/>
      <c r="H100" s="32"/>
      <c r="I100" s="31"/>
      <c r="J100" s="31"/>
      <c r="K100" s="31"/>
      <c r="L100" s="105"/>
      <c r="M100" s="11"/>
      <c r="N100" s="31"/>
      <c r="O100" s="31"/>
      <c r="P100" s="31"/>
      <c r="CA100" s="1" t="s">
        <v>71</v>
      </c>
      <c r="CB100" s="1" t="s">
        <v>18</v>
      </c>
      <c r="CC100" s="1" t="s">
        <v>132</v>
      </c>
      <c r="CE100" t="str">
        <f>IF(GN[[#This Row],[Part Type]]=0,"",GN[[#This Row],[Part Type]])</f>
        <v/>
      </c>
      <c r="CF100" t="str">
        <f>IF(GN[[#This Row],[Name]]=0,"",GN[[#This Row],[Name]])</f>
        <v/>
      </c>
      <c r="CG100" s="52">
        <f>GN[[#This Row],[UID]]</f>
        <v>0</v>
      </c>
      <c r="CK100" t="str">
        <f>IF(GN[[#This Row],[Status]]=0,"",GN[[#This Row],[Status]])</f>
        <v/>
      </c>
    </row>
    <row r="101" spans="1:89">
      <c r="A101" s="31"/>
      <c r="B101" s="31"/>
      <c r="C101" s="31"/>
      <c r="D101" s="31"/>
      <c r="E101" s="31"/>
      <c r="F101" s="32"/>
      <c r="G101" s="32"/>
      <c r="H101" s="32"/>
      <c r="I101" s="31"/>
      <c r="J101" s="31"/>
      <c r="K101" s="31"/>
      <c r="L101" s="105"/>
      <c r="M101" s="11"/>
      <c r="N101" s="31"/>
      <c r="O101" s="31"/>
      <c r="P101" s="31"/>
      <c r="CA101" s="1" t="s">
        <v>71</v>
      </c>
      <c r="CB101" s="1" t="s">
        <v>18</v>
      </c>
      <c r="CC101" s="1" t="s">
        <v>132</v>
      </c>
      <c r="CE101" t="str">
        <f>IF(GN[[#This Row],[Part Type]]=0,"",GN[[#This Row],[Part Type]])</f>
        <v/>
      </c>
      <c r="CF101" t="str">
        <f>IF(GN[[#This Row],[Name]]=0,"",GN[[#This Row],[Name]])</f>
        <v/>
      </c>
      <c r="CG101" s="52">
        <f>GN[[#This Row],[UID]]</f>
        <v>0</v>
      </c>
      <c r="CK101" t="str">
        <f>IF(GN[[#This Row],[Status]]=0,"",GN[[#This Row],[Status]])</f>
        <v/>
      </c>
    </row>
  </sheetData>
  <hyperlinks>
    <hyperlink ref="P9" r:id="rId1" xr:uid="{2167014D-BDEC-0B41-9385-0D1696FC5840}"/>
    <hyperlink ref="P3" r:id="rId2" xr:uid="{C4A5C8C3-5377-934C-ADF2-408232B77358}"/>
    <hyperlink ref="P4:P8" r:id="rId3" display="https://drive.google.com/open?id=12VXsR5wZ2EJWMuvo-lTkzbdP_tqeneW1&amp;authuser=jrd419%40lehigh.edu&amp;usp=drive_fs " xr:uid="{36BC8C41-943E-414D-A395-84350373BEFC}"/>
    <hyperlink ref="P2" r:id="rId4" xr:uid="{BFA3EA53-5040-2A4E-8448-2ED676A80501}"/>
    <hyperlink ref="P14" r:id="rId5" xr:uid="{6A049DD7-6F02-844E-884B-4C3EEC87A47D}"/>
    <hyperlink ref="P15" r:id="rId6" xr:uid="{8B73B2E8-0B7F-4143-908F-425E05B87FF2}"/>
    <hyperlink ref="P16" r:id="rId7" xr:uid="{D16B0059-EBE2-EF40-8A70-BA3D16D3B798}"/>
    <hyperlink ref="P18" r:id="rId8" xr:uid="{CA2A6FEF-CC97-DD45-BC16-D3E43A45512B}"/>
    <hyperlink ref="P10" r:id="rId9" xr:uid="{45C8A086-0A71-FB48-878D-20540E483911}"/>
    <hyperlink ref="P11" r:id="rId10" xr:uid="{3414CB08-7AC1-7549-9940-069EE2660096}"/>
    <hyperlink ref="P17" r:id="rId11" xr:uid="{B67B3670-B753-FF4E-9651-DD0A97B1CA66}"/>
    <hyperlink ref="P12" r:id="rId12" xr:uid="{E5A35EBF-7EB8-F04C-BA85-B825F0F20CFD}"/>
    <hyperlink ref="P13" r:id="rId13" xr:uid="{F79493D2-89AF-0846-933E-1D31B1E2AD6A}"/>
    <hyperlink ref="P19" r:id="rId14" xr:uid="{EA51A8D9-889D-A949-87BA-566C1FD72774}"/>
  </hyperlinks>
  <pageMargins left="0.7" right="0.7" top="0.75" bottom="0.75" header="0.3" footer="0.3"/>
  <tableParts count="2">
    <tablePart r:id="rId15"/>
    <tablePart r:id="rId1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5EED8-8A6F-284B-99F0-336714F90CA2}">
  <sheetPr codeName="Sheet16"/>
  <dimension ref="A1:CJ135"/>
  <sheetViews>
    <sheetView topLeftCell="B1" zoomScaleNormal="100" workbookViewId="0">
      <selection activeCell="B1" sqref="B1"/>
    </sheetView>
  </sheetViews>
  <sheetFormatPr defaultColWidth="10.875" defaultRowHeight="15.95"/>
  <cols>
    <col min="1" max="1" width="11.375" style="18" bestFit="1" customWidth="1"/>
    <col min="2" max="2" width="25" style="18" bestFit="1" customWidth="1"/>
    <col min="4" max="4" width="23.625" style="18" bestFit="1" customWidth="1"/>
    <col min="5" max="5" width="16.625" style="18" bestFit="1" customWidth="1"/>
    <col min="6" max="6" width="22.375" style="18" bestFit="1" customWidth="1"/>
    <col min="7" max="7" width="18.625" style="18" bestFit="1" customWidth="1"/>
    <col min="8" max="8" width="18.625" style="18" customWidth="1"/>
    <col min="9" max="9" width="24" style="18" bestFit="1" customWidth="1"/>
    <col min="10" max="10" width="24.125" style="18" bestFit="1" customWidth="1"/>
    <col min="11" max="11" width="23.625" style="18" bestFit="1" customWidth="1"/>
    <col min="12" max="12" width="23.625" style="18" customWidth="1"/>
    <col min="13" max="13" width="13.625" style="18" bestFit="1" customWidth="1"/>
    <col min="14" max="14" width="26.5" style="18" customWidth="1"/>
    <col min="15" max="15" width="18.875" style="18" bestFit="1" customWidth="1"/>
    <col min="16" max="16" width="14" style="18" bestFit="1" customWidth="1"/>
    <col min="17" max="17" width="16.625" style="18" customWidth="1"/>
    <col min="18" max="18" width="10.875" style="18" customWidth="1"/>
    <col min="19" max="20" width="23.875" style="18" customWidth="1"/>
    <col min="21" max="21" width="16.875" style="19" customWidth="1"/>
    <col min="22" max="23" width="16.375" style="19" customWidth="1"/>
    <col min="24" max="24" width="21.875" style="19" bestFit="1" customWidth="1"/>
    <col min="25" max="25" width="13.125" style="22" bestFit="1" customWidth="1"/>
    <col min="26" max="26" width="21.125" style="18" bestFit="1" customWidth="1"/>
    <col min="27" max="27" width="15.5" style="18" bestFit="1" customWidth="1"/>
    <col min="28" max="28" width="18" style="18" bestFit="1" customWidth="1"/>
    <col min="29" max="29" width="11" style="18"/>
    <col min="30" max="30" width="12" style="8" bestFit="1" customWidth="1"/>
    <col min="31" max="31" width="15" style="8" customWidth="1"/>
    <col min="32" max="78" width="10.875" style="8"/>
    <col min="79" max="79" width="18.375" style="8" customWidth="1"/>
    <col min="80" max="80" width="14.875" style="8" customWidth="1"/>
    <col min="81" max="81" width="12.5" style="8" customWidth="1"/>
    <col min="82" max="82" width="14.5" style="8" customWidth="1"/>
    <col min="83" max="83" width="12.125" style="8" customWidth="1"/>
    <col min="84" max="84" width="12.375" style="8" customWidth="1"/>
    <col min="85" max="85" width="11.875" style="8" customWidth="1"/>
    <col min="86" max="86" width="16.625" style="8" customWidth="1"/>
    <col min="87" max="16384" width="10.875" style="8"/>
  </cols>
  <sheetData>
    <row r="1" spans="1:88">
      <c r="A1" s="18" t="s">
        <v>12</v>
      </c>
      <c r="B1" s="178" t="s">
        <v>94</v>
      </c>
      <c r="C1" s="18" t="s">
        <v>98</v>
      </c>
      <c r="D1" s="18" t="s">
        <v>879</v>
      </c>
      <c r="E1" s="18" t="s">
        <v>880</v>
      </c>
      <c r="F1" s="18" t="s">
        <v>881</v>
      </c>
      <c r="G1" s="18" t="s">
        <v>882</v>
      </c>
      <c r="H1" s="18" t="s">
        <v>883</v>
      </c>
      <c r="I1" s="18" t="s">
        <v>884</v>
      </c>
      <c r="J1" s="18" t="s">
        <v>885</v>
      </c>
      <c r="K1" s="18" t="s">
        <v>886</v>
      </c>
      <c r="L1" s="18" t="s">
        <v>887</v>
      </c>
      <c r="M1" s="18" t="s">
        <v>888</v>
      </c>
      <c r="N1" s="18" t="s">
        <v>889</v>
      </c>
      <c r="O1" s="18" t="s">
        <v>890</v>
      </c>
      <c r="P1" s="18" t="s">
        <v>891</v>
      </c>
      <c r="Q1" s="19"/>
      <c r="R1" s="19"/>
      <c r="S1" s="19"/>
      <c r="T1" s="19"/>
      <c r="V1" s="18"/>
      <c r="W1" s="18"/>
      <c r="X1" s="18"/>
      <c r="Y1" s="18"/>
      <c r="AB1" s="8"/>
      <c r="AC1" s="8"/>
      <c r="BZ1" s="8" t="s">
        <v>119</v>
      </c>
      <c r="CA1" s="123" t="s">
        <v>892</v>
      </c>
      <c r="CB1" s="124" t="s">
        <v>893</v>
      </c>
      <c r="CC1" s="124" t="s">
        <v>894</v>
      </c>
      <c r="CD1" s="124" t="s">
        <v>895</v>
      </c>
      <c r="CE1" s="124" t="s">
        <v>896</v>
      </c>
      <c r="CF1" s="124" t="s">
        <v>897</v>
      </c>
      <c r="CG1" s="124" t="s">
        <v>898</v>
      </c>
      <c r="CH1" s="124" t="s">
        <v>899</v>
      </c>
      <c r="CI1" s="124" t="s">
        <v>900</v>
      </c>
      <c r="CJ1" s="125" t="s">
        <v>12</v>
      </c>
    </row>
    <row r="2" spans="1:88">
      <c r="A2" s="36" t="s">
        <v>260</v>
      </c>
      <c r="B2" s="36" t="s">
        <v>901</v>
      </c>
      <c r="C2" s="18">
        <v>47000</v>
      </c>
      <c r="D2" s="18" t="s">
        <v>902</v>
      </c>
      <c r="E2" s="19" t="s">
        <v>903</v>
      </c>
      <c r="F2" s="19" t="s">
        <v>306</v>
      </c>
      <c r="G2" s="18" t="s">
        <v>129</v>
      </c>
      <c r="H2" s="18" t="s">
        <v>904</v>
      </c>
      <c r="I2" s="18" t="s">
        <v>904</v>
      </c>
      <c r="J2" s="18" t="s">
        <v>904</v>
      </c>
      <c r="K2" s="18">
        <v>20</v>
      </c>
      <c r="L2" s="36" t="s">
        <v>905</v>
      </c>
      <c r="M2" s="18" t="s">
        <v>121</v>
      </c>
      <c r="N2" s="18" t="s">
        <v>129</v>
      </c>
      <c r="O2" s="18" t="s">
        <v>129</v>
      </c>
      <c r="P2" s="58">
        <v>40605</v>
      </c>
      <c r="Q2" s="19"/>
      <c r="R2" s="19"/>
      <c r="S2" s="19"/>
      <c r="T2" s="19"/>
      <c r="V2" s="18"/>
      <c r="W2" s="18"/>
      <c r="X2" s="18"/>
      <c r="Y2" s="18"/>
      <c r="AA2" s="20"/>
      <c r="AB2" s="8"/>
      <c r="AC2" s="8"/>
      <c r="BZ2" s="8" t="s">
        <v>131</v>
      </c>
      <c r="CA2" s="127" t="str">
        <f>HDA[[#This Row],[UID]]</f>
        <v>HDA-A1</v>
      </c>
      <c r="CB2" s="126" t="str">
        <f>HDA[[#This Row],[Valve UnitID]]</f>
        <v>60-12HF4</v>
      </c>
      <c r="CC2" s="129" t="str">
        <f>HDA[[#This Row],[Safety Head UnitID]]</f>
        <v>SH-A1</v>
      </c>
      <c r="CD2" s="129" t="str">
        <f>HDA[[#This Row],[Junction (Main) UnitID]]</f>
        <v>60-24HF4</v>
      </c>
      <c r="CE2" s="126" t="str">
        <f>HDA[[#This Row],[Tubing (to SH) UnitID]]</f>
        <v>60-HM4-2.75</v>
      </c>
      <c r="CF2" s="126" t="str">
        <f>HDA[[#This Row],[Tubing (to NV) UnitID]]</f>
        <v>60-HM4-2.75</v>
      </c>
      <c r="CG2" s="126" t="str">
        <f>HDA[[#This Row],[Tubing (to PT) UnitID]]</f>
        <v>60-HM4-2.75</v>
      </c>
      <c r="CH2" s="126" t="str">
        <f>HDA[[#This Row],[Default Autoclave Body UnitID]]</f>
        <v>AC-A</v>
      </c>
      <c r="CI2" s="126" t="str">
        <f>HDA[[#This Row],[PT UnitID]]</f>
        <v>-</v>
      </c>
      <c r="CJ2" s="126" t="str">
        <f>IF(HDA[[#This Row],[Status]]=0,"",HDA[[#This Row],[Status]])</f>
        <v>Retired</v>
      </c>
    </row>
    <row r="3" spans="1:88">
      <c r="A3" s="36" t="s">
        <v>260</v>
      </c>
      <c r="B3" s="36" t="s">
        <v>906</v>
      </c>
      <c r="C3" s="18">
        <v>47000</v>
      </c>
      <c r="D3" s="18" t="s">
        <v>902</v>
      </c>
      <c r="E3" s="19" t="s">
        <v>907</v>
      </c>
      <c r="F3" s="19" t="s">
        <v>306</v>
      </c>
      <c r="G3" s="18" t="s">
        <v>129</v>
      </c>
      <c r="H3" s="18" t="s">
        <v>904</v>
      </c>
      <c r="I3" s="18" t="s">
        <v>904</v>
      </c>
      <c r="J3" s="18" t="s">
        <v>904</v>
      </c>
      <c r="K3" s="18">
        <v>20</v>
      </c>
      <c r="L3" s="36" t="s">
        <v>905</v>
      </c>
      <c r="M3" s="18" t="s">
        <v>121</v>
      </c>
      <c r="N3" s="18" t="s">
        <v>129</v>
      </c>
      <c r="O3" s="18" t="s">
        <v>129</v>
      </c>
      <c r="P3" s="58">
        <v>40605</v>
      </c>
      <c r="Q3" s="19"/>
      <c r="R3" s="19"/>
      <c r="S3" s="19"/>
      <c r="T3" s="19"/>
      <c r="V3" s="18"/>
      <c r="W3" s="18"/>
      <c r="X3" s="18"/>
      <c r="Y3" s="18"/>
      <c r="AA3" s="20"/>
      <c r="AB3" s="8"/>
      <c r="AC3" s="8"/>
      <c r="CA3" s="127" t="str">
        <f>HDA[[#This Row],[UID]]</f>
        <v>HDA-A2</v>
      </c>
      <c r="CB3" s="126" t="str">
        <f>HDA[[#This Row],[Valve UnitID]]</f>
        <v>60-12HF4</v>
      </c>
      <c r="CC3" s="129" t="str">
        <f>HDA[[#This Row],[Safety Head UnitID]]</f>
        <v>SH-A2</v>
      </c>
      <c r="CD3" s="129" t="str">
        <f>HDA[[#This Row],[Junction (Main) UnitID]]</f>
        <v>60-24HF4</v>
      </c>
      <c r="CE3" s="126" t="str">
        <f>HDA[[#This Row],[Tubing (to SH) UnitID]]</f>
        <v>60-HM4-2.75</v>
      </c>
      <c r="CF3" s="126" t="str">
        <f>HDA[[#This Row],[Tubing (to NV) UnitID]]</f>
        <v>60-HM4-2.75</v>
      </c>
      <c r="CG3" s="126" t="str">
        <f>HDA[[#This Row],[Tubing (to PT) UnitID]]</f>
        <v>60-HM4-2.75</v>
      </c>
      <c r="CH3" s="126" t="str">
        <f>HDA[[#This Row],[Default Autoclave Body UnitID]]</f>
        <v>AC-A</v>
      </c>
      <c r="CI3" s="126" t="str">
        <f>HDA[[#This Row],[PT UnitID]]</f>
        <v>-</v>
      </c>
      <c r="CJ3" s="130" t="str">
        <f>IF(HDA[[#This Row],[Status]]=0,"",HDA[[#This Row],[Status]])</f>
        <v>Retired</v>
      </c>
    </row>
    <row r="4" spans="1:88">
      <c r="A4" s="36" t="s">
        <v>260</v>
      </c>
      <c r="B4" s="36" t="s">
        <v>908</v>
      </c>
      <c r="C4" s="18">
        <v>47000</v>
      </c>
      <c r="D4" s="18" t="s">
        <v>902</v>
      </c>
      <c r="E4" s="19" t="s">
        <v>909</v>
      </c>
      <c r="F4" s="19" t="s">
        <v>306</v>
      </c>
      <c r="G4" s="18" t="s">
        <v>129</v>
      </c>
      <c r="H4" s="18" t="s">
        <v>904</v>
      </c>
      <c r="I4" s="18" t="s">
        <v>904</v>
      </c>
      <c r="J4" s="18" t="s">
        <v>904</v>
      </c>
      <c r="K4" s="18">
        <v>20</v>
      </c>
      <c r="L4" s="36" t="s">
        <v>905</v>
      </c>
      <c r="M4" s="18" t="s">
        <v>153</v>
      </c>
      <c r="N4" s="18" t="s">
        <v>129</v>
      </c>
      <c r="O4" s="18" t="s">
        <v>129</v>
      </c>
      <c r="P4" s="58">
        <v>40605</v>
      </c>
      <c r="Q4" s="19"/>
      <c r="R4" s="19"/>
      <c r="S4" s="19"/>
      <c r="T4" s="19"/>
      <c r="V4" s="18"/>
      <c r="W4" s="18"/>
      <c r="X4" s="18"/>
      <c r="Y4" s="18"/>
      <c r="AA4" s="20"/>
      <c r="AB4" s="8"/>
      <c r="AC4" s="8"/>
      <c r="CA4" s="127" t="str">
        <f>HDA[[#This Row],[UID]]</f>
        <v>HDA-B1</v>
      </c>
      <c r="CB4" s="126" t="str">
        <f>HDA[[#This Row],[Valve UnitID]]</f>
        <v>60-12HF4</v>
      </c>
      <c r="CC4" s="129" t="str">
        <f>HDA[[#This Row],[Safety Head UnitID]]</f>
        <v>SH-B1</v>
      </c>
      <c r="CD4" s="129" t="str">
        <f>HDA[[#This Row],[Junction (Main) UnitID]]</f>
        <v>60-24HF4</v>
      </c>
      <c r="CE4" s="126" t="str">
        <f>HDA[[#This Row],[Tubing (to SH) UnitID]]</f>
        <v>60-HM4-2.75</v>
      </c>
      <c r="CF4" s="126" t="str">
        <f>HDA[[#This Row],[Tubing (to NV) UnitID]]</f>
        <v>60-HM4-2.75</v>
      </c>
      <c r="CG4" s="126" t="str">
        <f>HDA[[#This Row],[Tubing (to PT) UnitID]]</f>
        <v>60-HM4-2.75</v>
      </c>
      <c r="CH4" s="126" t="str">
        <f>HDA[[#This Row],[Default Autoclave Body UnitID]]</f>
        <v>AC-B</v>
      </c>
      <c r="CI4" s="126" t="str">
        <f>HDA[[#This Row],[PT UnitID]]</f>
        <v>-</v>
      </c>
      <c r="CJ4" s="130" t="str">
        <f>IF(HDA[[#This Row],[Status]]=0,"",HDA[[#This Row],[Status]])</f>
        <v>Retired</v>
      </c>
    </row>
    <row r="5" spans="1:88">
      <c r="A5" s="36" t="s">
        <v>260</v>
      </c>
      <c r="B5" s="36" t="s">
        <v>910</v>
      </c>
      <c r="C5" s="18">
        <v>51000</v>
      </c>
      <c r="D5" s="18" t="s">
        <v>902</v>
      </c>
      <c r="E5" s="19" t="s">
        <v>911</v>
      </c>
      <c r="F5" s="19" t="s">
        <v>306</v>
      </c>
      <c r="G5" s="18" t="s">
        <v>129</v>
      </c>
      <c r="H5" s="18" t="s">
        <v>904</v>
      </c>
      <c r="I5" s="18" t="s">
        <v>904</v>
      </c>
      <c r="J5" s="18" t="s">
        <v>904</v>
      </c>
      <c r="K5" s="18">
        <v>25</v>
      </c>
      <c r="L5" s="36" t="s">
        <v>912</v>
      </c>
      <c r="M5" s="18" t="s">
        <v>153</v>
      </c>
      <c r="N5" s="18" t="s">
        <v>129</v>
      </c>
      <c r="O5" s="18" t="s">
        <v>129</v>
      </c>
      <c r="P5" s="58">
        <v>40087</v>
      </c>
      <c r="Q5" s="19"/>
      <c r="R5" s="19"/>
      <c r="S5" s="19"/>
      <c r="T5" s="19"/>
      <c r="V5" s="18"/>
      <c r="W5" s="18"/>
      <c r="X5" s="18"/>
      <c r="Y5" s="18"/>
      <c r="AA5" s="20"/>
      <c r="AB5" s="8"/>
      <c r="AC5" s="8"/>
      <c r="CA5" s="128" t="str">
        <f>HDA[[#This Row],[UID]]</f>
        <v>HDA-B2</v>
      </c>
      <c r="CB5" s="8" t="str">
        <f>HDA[[#This Row],[Valve UnitID]]</f>
        <v>60-12HF4</v>
      </c>
      <c r="CC5" s="111" t="str">
        <f>HDA[[#This Row],[Safety Head UnitID]]</f>
        <v>SH-B2</v>
      </c>
      <c r="CD5" s="111" t="str">
        <f>HDA[[#This Row],[Junction (Main) UnitID]]</f>
        <v>60-24HF4</v>
      </c>
      <c r="CE5" s="8" t="str">
        <f>HDA[[#This Row],[Tubing (to SH) UnitID]]</f>
        <v>60-HM4-2.75</v>
      </c>
      <c r="CF5" s="8" t="str">
        <f>HDA[[#This Row],[Tubing (to NV) UnitID]]</f>
        <v>60-HM4-2.75</v>
      </c>
      <c r="CG5" s="8" t="str">
        <f>HDA[[#This Row],[Tubing (to PT) UnitID]]</f>
        <v>60-HM4-2.75</v>
      </c>
      <c r="CH5" s="8" t="str">
        <f>HDA[[#This Row],[Default Autoclave Body UnitID]]</f>
        <v>AC-B</v>
      </c>
      <c r="CI5" s="8" t="str">
        <f>HDA[[#This Row],[PT UnitID]]</f>
        <v>-</v>
      </c>
      <c r="CJ5" s="8" t="str">
        <f>IF(HDA[[#This Row],[Status]]=0,"",HDA[[#This Row],[Status]])</f>
        <v>Retired</v>
      </c>
    </row>
    <row r="6" spans="1:88">
      <c r="A6" s="36" t="s">
        <v>260</v>
      </c>
      <c r="B6" s="36" t="s">
        <v>913</v>
      </c>
      <c r="C6" s="18">
        <v>47000</v>
      </c>
      <c r="D6" s="18" t="s">
        <v>902</v>
      </c>
      <c r="E6" s="19" t="s">
        <v>914</v>
      </c>
      <c r="F6" s="19" t="s">
        <v>306</v>
      </c>
      <c r="G6" s="18" t="s">
        <v>129</v>
      </c>
      <c r="H6" s="18" t="s">
        <v>904</v>
      </c>
      <c r="I6" s="18" t="s">
        <v>904</v>
      </c>
      <c r="J6" s="18" t="s">
        <v>904</v>
      </c>
      <c r="K6" s="18">
        <v>20</v>
      </c>
      <c r="L6" s="36" t="s">
        <v>905</v>
      </c>
      <c r="M6" s="18" t="s">
        <v>157</v>
      </c>
      <c r="N6" s="18" t="s">
        <v>129</v>
      </c>
      <c r="O6" s="18" t="s">
        <v>129</v>
      </c>
      <c r="P6" s="58">
        <v>40605</v>
      </c>
      <c r="Q6" s="19"/>
      <c r="R6" s="19"/>
      <c r="S6" s="19"/>
      <c r="T6" s="19"/>
      <c r="V6" s="18"/>
      <c r="W6" s="18"/>
      <c r="X6" s="18"/>
      <c r="Y6" s="18"/>
      <c r="AA6" s="20"/>
      <c r="AB6" s="8"/>
      <c r="AC6" s="8"/>
      <c r="CA6" s="128" t="str">
        <f>HDA[[#This Row],[UID]]</f>
        <v>HDA-C1</v>
      </c>
      <c r="CB6" s="8" t="str">
        <f>HDA[[#This Row],[Valve UnitID]]</f>
        <v>60-12HF4</v>
      </c>
      <c r="CC6" s="111" t="str">
        <f>HDA[[#This Row],[Safety Head UnitID]]</f>
        <v>SH-C1</v>
      </c>
      <c r="CD6" s="111" t="str">
        <f>HDA[[#This Row],[Junction (Main) UnitID]]</f>
        <v>60-24HF4</v>
      </c>
      <c r="CE6" s="8" t="str">
        <f>HDA[[#This Row],[Tubing (to SH) UnitID]]</f>
        <v>60-HM4-2.75</v>
      </c>
      <c r="CF6" s="8" t="str">
        <f>HDA[[#This Row],[Tubing (to NV) UnitID]]</f>
        <v>60-HM4-2.75</v>
      </c>
      <c r="CG6" s="8" t="str">
        <f>HDA[[#This Row],[Tubing (to PT) UnitID]]</f>
        <v>60-HM4-2.75</v>
      </c>
      <c r="CH6" s="8" t="str">
        <f>HDA[[#This Row],[Default Autoclave Body UnitID]]</f>
        <v>AC-C</v>
      </c>
      <c r="CI6" s="8" t="str">
        <f>HDA[[#This Row],[PT UnitID]]</f>
        <v>-</v>
      </c>
      <c r="CJ6" s="8" t="str">
        <f>IF(HDA[[#This Row],[Status]]=0,"",HDA[[#This Row],[Status]])</f>
        <v>Retired</v>
      </c>
    </row>
    <row r="7" spans="1:88">
      <c r="A7" s="36" t="s">
        <v>260</v>
      </c>
      <c r="B7" s="36" t="s">
        <v>915</v>
      </c>
      <c r="C7" s="18">
        <v>51000</v>
      </c>
      <c r="D7" s="18" t="s">
        <v>902</v>
      </c>
      <c r="E7" s="19" t="s">
        <v>916</v>
      </c>
      <c r="F7" s="19" t="s">
        <v>306</v>
      </c>
      <c r="G7" s="18" t="s">
        <v>129</v>
      </c>
      <c r="H7" s="18" t="s">
        <v>904</v>
      </c>
      <c r="I7" s="18" t="s">
        <v>904</v>
      </c>
      <c r="J7" s="18" t="s">
        <v>904</v>
      </c>
      <c r="K7" s="18">
        <v>25</v>
      </c>
      <c r="L7" s="36" t="s">
        <v>912</v>
      </c>
      <c r="M7" s="18" t="s">
        <v>157</v>
      </c>
      <c r="N7" s="18" t="s">
        <v>129</v>
      </c>
      <c r="O7" s="18" t="s">
        <v>129</v>
      </c>
      <c r="P7" s="58">
        <v>40087</v>
      </c>
      <c r="Q7" s="19"/>
      <c r="R7" s="19"/>
      <c r="S7" s="19"/>
      <c r="T7" s="19"/>
      <c r="V7" s="18"/>
      <c r="W7" s="18"/>
      <c r="X7" s="18"/>
      <c r="Y7" s="18"/>
      <c r="AA7" s="20"/>
      <c r="AB7" s="8"/>
      <c r="AC7" s="8"/>
      <c r="CA7" s="128" t="str">
        <f>HDA[[#This Row],[UID]]</f>
        <v>HDA-C2</v>
      </c>
      <c r="CB7" s="8" t="str">
        <f>HDA[[#This Row],[Valve UnitID]]</f>
        <v>60-12HF4</v>
      </c>
      <c r="CC7" s="111" t="str">
        <f>HDA[[#This Row],[Safety Head UnitID]]</f>
        <v>SH-C2</v>
      </c>
      <c r="CD7" s="111" t="str">
        <f>HDA[[#This Row],[Junction (Main) UnitID]]</f>
        <v>60-24HF4</v>
      </c>
      <c r="CE7" s="8" t="str">
        <f>HDA[[#This Row],[Tubing (to SH) UnitID]]</f>
        <v>60-HM4-2.75</v>
      </c>
      <c r="CF7" s="8" t="str">
        <f>HDA[[#This Row],[Tubing (to NV) UnitID]]</f>
        <v>60-HM4-2.75</v>
      </c>
      <c r="CG7" s="8" t="str">
        <f>HDA[[#This Row],[Tubing (to PT) UnitID]]</f>
        <v>60-HM4-2.75</v>
      </c>
      <c r="CH7" s="8" t="str">
        <f>HDA[[#This Row],[Default Autoclave Body UnitID]]</f>
        <v>AC-C</v>
      </c>
      <c r="CI7" s="8" t="str">
        <f>HDA[[#This Row],[PT UnitID]]</f>
        <v>-</v>
      </c>
      <c r="CJ7" s="8" t="str">
        <f>IF(HDA[[#This Row],[Status]]=0,"",HDA[[#This Row],[Status]])</f>
        <v>Retired</v>
      </c>
    </row>
    <row r="8" spans="1:88">
      <c r="A8" s="36" t="s">
        <v>260</v>
      </c>
      <c r="B8" s="36" t="s">
        <v>917</v>
      </c>
      <c r="C8" s="18">
        <v>51000</v>
      </c>
      <c r="D8" s="18" t="s">
        <v>902</v>
      </c>
      <c r="E8" s="19" t="s">
        <v>918</v>
      </c>
      <c r="F8" s="19" t="s">
        <v>306</v>
      </c>
      <c r="G8" s="18" t="s">
        <v>129</v>
      </c>
      <c r="H8" s="18" t="s">
        <v>904</v>
      </c>
      <c r="I8" s="18" t="s">
        <v>904</v>
      </c>
      <c r="J8" s="18" t="s">
        <v>904</v>
      </c>
      <c r="K8" s="18">
        <v>20</v>
      </c>
      <c r="L8" s="36" t="s">
        <v>905</v>
      </c>
      <c r="M8" s="18" t="s">
        <v>158</v>
      </c>
      <c r="N8" s="18" t="s">
        <v>129</v>
      </c>
      <c r="O8" s="18" t="s">
        <v>129</v>
      </c>
      <c r="P8" s="58">
        <v>40605</v>
      </c>
      <c r="Q8" s="19"/>
      <c r="R8" s="19"/>
      <c r="S8" s="19"/>
      <c r="T8" s="19"/>
      <c r="V8" s="18"/>
      <c r="W8" s="18"/>
      <c r="X8" s="18"/>
      <c r="Y8" s="18"/>
      <c r="AA8" s="20"/>
      <c r="AB8" s="8"/>
      <c r="AC8" s="8"/>
      <c r="CA8" s="128" t="str">
        <f>HDA[[#This Row],[UID]]</f>
        <v>HDA-D1</v>
      </c>
      <c r="CB8" s="8" t="str">
        <f>HDA[[#This Row],[Valve UnitID]]</f>
        <v>60-12HF4</v>
      </c>
      <c r="CC8" s="111" t="str">
        <f>HDA[[#This Row],[Safety Head UnitID]]</f>
        <v>SH-D1</v>
      </c>
      <c r="CD8" s="111" t="str">
        <f>HDA[[#This Row],[Junction (Main) UnitID]]</f>
        <v>60-24HF4</v>
      </c>
      <c r="CE8" s="8" t="str">
        <f>HDA[[#This Row],[Tubing (to SH) UnitID]]</f>
        <v>60-HM4-2.75</v>
      </c>
      <c r="CF8" s="8" t="str">
        <f>HDA[[#This Row],[Tubing (to NV) UnitID]]</f>
        <v>60-HM4-2.75</v>
      </c>
      <c r="CG8" s="8" t="str">
        <f>HDA[[#This Row],[Tubing (to PT) UnitID]]</f>
        <v>60-HM4-2.75</v>
      </c>
      <c r="CH8" s="8" t="str">
        <f>HDA[[#This Row],[Default Autoclave Body UnitID]]</f>
        <v>AC-D</v>
      </c>
      <c r="CI8" s="8" t="str">
        <f>HDA[[#This Row],[PT UnitID]]</f>
        <v>-</v>
      </c>
      <c r="CJ8" s="8" t="str">
        <f>IF(HDA[[#This Row],[Status]]=0,"",HDA[[#This Row],[Status]])</f>
        <v>Retired</v>
      </c>
    </row>
    <row r="9" spans="1:88">
      <c r="A9" s="36" t="s">
        <v>260</v>
      </c>
      <c r="B9" s="36" t="s">
        <v>919</v>
      </c>
      <c r="C9" s="18">
        <v>51000</v>
      </c>
      <c r="D9" s="18" t="s">
        <v>902</v>
      </c>
      <c r="E9" s="19" t="s">
        <v>920</v>
      </c>
      <c r="F9" s="19" t="s">
        <v>306</v>
      </c>
      <c r="G9" s="18" t="s">
        <v>129</v>
      </c>
      <c r="H9" s="18" t="s">
        <v>904</v>
      </c>
      <c r="I9" s="18" t="s">
        <v>904</v>
      </c>
      <c r="J9" s="18" t="s">
        <v>904</v>
      </c>
      <c r="K9" s="18">
        <v>25</v>
      </c>
      <c r="L9" s="36" t="s">
        <v>912</v>
      </c>
      <c r="M9" s="18" t="s">
        <v>158</v>
      </c>
      <c r="N9" s="18" t="s">
        <v>129</v>
      </c>
      <c r="O9" s="18" t="s">
        <v>129</v>
      </c>
      <c r="P9" s="58">
        <v>40087</v>
      </c>
      <c r="Q9" s="19"/>
      <c r="R9" s="19"/>
      <c r="S9" s="19"/>
      <c r="T9" s="19"/>
      <c r="V9" s="18"/>
      <c r="W9" s="18"/>
      <c r="X9" s="18"/>
      <c r="Y9" s="18"/>
      <c r="AA9" s="20"/>
      <c r="AB9" s="8"/>
      <c r="AC9" s="8"/>
      <c r="CA9" s="128" t="str">
        <f>HDA[[#This Row],[UID]]</f>
        <v>HDA-D2</v>
      </c>
      <c r="CB9" s="8" t="str">
        <f>HDA[[#This Row],[Valve UnitID]]</f>
        <v>60-12HF4</v>
      </c>
      <c r="CC9" s="111" t="str">
        <f>HDA[[#This Row],[Safety Head UnitID]]</f>
        <v>SH-D2</v>
      </c>
      <c r="CD9" s="111" t="str">
        <f>HDA[[#This Row],[Junction (Main) UnitID]]</f>
        <v>60-24HF4</v>
      </c>
      <c r="CE9" s="8" t="str">
        <f>HDA[[#This Row],[Tubing (to SH) UnitID]]</f>
        <v>60-HM4-2.75</v>
      </c>
      <c r="CF9" s="8" t="str">
        <f>HDA[[#This Row],[Tubing (to NV) UnitID]]</f>
        <v>60-HM4-2.75</v>
      </c>
      <c r="CG9" s="8" t="str">
        <f>HDA[[#This Row],[Tubing (to PT) UnitID]]</f>
        <v>60-HM4-2.75</v>
      </c>
      <c r="CH9" s="8" t="str">
        <f>HDA[[#This Row],[Default Autoclave Body UnitID]]</f>
        <v>AC-D</v>
      </c>
      <c r="CI9" s="8" t="str">
        <f>HDA[[#This Row],[PT UnitID]]</f>
        <v>-</v>
      </c>
      <c r="CJ9" s="8" t="str">
        <f>IF(HDA[[#This Row],[Status]]=0,"",HDA[[#This Row],[Status]])</f>
        <v>Retired</v>
      </c>
    </row>
    <row r="10" spans="1:88">
      <c r="A10" s="36" t="s">
        <v>260</v>
      </c>
      <c r="B10" s="36" t="s">
        <v>921</v>
      </c>
      <c r="C10" s="18">
        <v>22000</v>
      </c>
      <c r="D10" s="18" t="s">
        <v>902</v>
      </c>
      <c r="E10" s="19" t="s">
        <v>922</v>
      </c>
      <c r="F10" s="19" t="s">
        <v>306</v>
      </c>
      <c r="G10" s="18" t="s">
        <v>129</v>
      </c>
      <c r="H10" s="18" t="s">
        <v>904</v>
      </c>
      <c r="I10" s="18" t="s">
        <v>904</v>
      </c>
      <c r="J10" s="18" t="s">
        <v>904</v>
      </c>
      <c r="K10" s="18">
        <v>20</v>
      </c>
      <c r="L10" s="36" t="s">
        <v>905</v>
      </c>
      <c r="M10" s="18" t="s">
        <v>162</v>
      </c>
      <c r="N10" s="18" t="s">
        <v>129</v>
      </c>
      <c r="O10" s="18" t="s">
        <v>129</v>
      </c>
      <c r="P10" s="58">
        <v>40605</v>
      </c>
      <c r="Q10" s="19"/>
      <c r="R10" s="19"/>
      <c r="S10" s="19"/>
      <c r="T10" s="19"/>
      <c r="V10" s="18"/>
      <c r="W10" s="18"/>
      <c r="X10" s="18"/>
      <c r="Y10" s="18"/>
      <c r="AA10" s="20"/>
      <c r="AB10" s="8"/>
      <c r="AC10" s="8"/>
      <c r="CA10" s="128" t="str">
        <f>HDA[[#This Row],[UID]]</f>
        <v>HDA-E1</v>
      </c>
      <c r="CB10" s="8" t="str">
        <f>HDA[[#This Row],[Valve UnitID]]</f>
        <v>60-12HF4</v>
      </c>
      <c r="CC10" s="111" t="str">
        <f>HDA[[#This Row],[Safety Head UnitID]]</f>
        <v>SH-E1</v>
      </c>
      <c r="CD10" s="111" t="str">
        <f>HDA[[#This Row],[Junction (Main) UnitID]]</f>
        <v>60-24HF4</v>
      </c>
      <c r="CE10" s="8" t="str">
        <f>HDA[[#This Row],[Tubing (to SH) UnitID]]</f>
        <v>60-HM4-2.75</v>
      </c>
      <c r="CF10" s="8" t="str">
        <f>HDA[[#This Row],[Tubing (to NV) UnitID]]</f>
        <v>60-HM4-2.75</v>
      </c>
      <c r="CG10" s="8" t="str">
        <f>HDA[[#This Row],[Tubing (to PT) UnitID]]</f>
        <v>60-HM4-2.75</v>
      </c>
      <c r="CH10" s="8" t="str">
        <f>HDA[[#This Row],[Default Autoclave Body UnitID]]</f>
        <v>AC-E</v>
      </c>
      <c r="CI10" s="8" t="str">
        <f>HDA[[#This Row],[PT UnitID]]</f>
        <v>-</v>
      </c>
      <c r="CJ10" s="8" t="str">
        <f>IF(HDA[[#This Row],[Status]]=0,"",HDA[[#This Row],[Status]])</f>
        <v>Retired</v>
      </c>
    </row>
    <row r="11" spans="1:88">
      <c r="A11" s="36" t="s">
        <v>260</v>
      </c>
      <c r="B11" s="36" t="s">
        <v>923</v>
      </c>
      <c r="C11" s="18">
        <v>22000</v>
      </c>
      <c r="D11" s="18" t="s">
        <v>902</v>
      </c>
      <c r="E11" s="19" t="s">
        <v>924</v>
      </c>
      <c r="F11" s="19" t="s">
        <v>306</v>
      </c>
      <c r="G11" s="18" t="s">
        <v>129</v>
      </c>
      <c r="H11" s="18" t="s">
        <v>904</v>
      </c>
      <c r="I11" s="18" t="s">
        <v>904</v>
      </c>
      <c r="J11" s="18" t="s">
        <v>904</v>
      </c>
      <c r="K11" s="18">
        <v>25</v>
      </c>
      <c r="L11" s="36" t="s">
        <v>912</v>
      </c>
      <c r="M11" s="18" t="s">
        <v>162</v>
      </c>
      <c r="N11" s="18" t="s">
        <v>129</v>
      </c>
      <c r="O11" s="18" t="s">
        <v>129</v>
      </c>
      <c r="P11" s="58">
        <v>40087</v>
      </c>
      <c r="Q11" s="19"/>
      <c r="R11" s="19"/>
      <c r="S11" s="19"/>
      <c r="T11" s="19"/>
      <c r="V11" s="18"/>
      <c r="W11" s="18"/>
      <c r="X11" s="18"/>
      <c r="Y11" s="18"/>
      <c r="AA11" s="20"/>
      <c r="AB11" s="8"/>
      <c r="AC11" s="8"/>
      <c r="CA11" s="128" t="str">
        <f>HDA[[#This Row],[UID]]</f>
        <v>HDA-E2</v>
      </c>
      <c r="CB11" s="8" t="str">
        <f>HDA[[#This Row],[Valve UnitID]]</f>
        <v>60-12HF4</v>
      </c>
      <c r="CC11" s="111" t="str">
        <f>HDA[[#This Row],[Safety Head UnitID]]</f>
        <v>SH-E2</v>
      </c>
      <c r="CD11" s="111" t="str">
        <f>HDA[[#This Row],[Junction (Main) UnitID]]</f>
        <v>60-24HF4</v>
      </c>
      <c r="CE11" s="8" t="str">
        <f>HDA[[#This Row],[Tubing (to SH) UnitID]]</f>
        <v>60-HM4-2.75</v>
      </c>
      <c r="CF11" s="8" t="str">
        <f>HDA[[#This Row],[Tubing (to NV) UnitID]]</f>
        <v>60-HM4-2.75</v>
      </c>
      <c r="CG11" s="8" t="str">
        <f>HDA[[#This Row],[Tubing (to PT) UnitID]]</f>
        <v>60-HM4-2.75</v>
      </c>
      <c r="CH11" s="8" t="str">
        <f>HDA[[#This Row],[Default Autoclave Body UnitID]]</f>
        <v>AC-E</v>
      </c>
      <c r="CI11" s="8" t="str">
        <f>HDA[[#This Row],[PT UnitID]]</f>
        <v>-</v>
      </c>
      <c r="CJ11" s="8" t="str">
        <f>IF(HDA[[#This Row],[Status]]=0,"",HDA[[#This Row],[Status]])</f>
        <v>Retired</v>
      </c>
    </row>
    <row r="12" spans="1:88">
      <c r="A12" s="36" t="s">
        <v>260</v>
      </c>
      <c r="B12" s="36" t="s">
        <v>925</v>
      </c>
      <c r="C12" s="18">
        <v>22000</v>
      </c>
      <c r="D12" s="18" t="s">
        <v>902</v>
      </c>
      <c r="E12" s="19" t="s">
        <v>926</v>
      </c>
      <c r="F12" s="19" t="s">
        <v>306</v>
      </c>
      <c r="G12" s="18" t="s">
        <v>129</v>
      </c>
      <c r="H12" s="18" t="s">
        <v>904</v>
      </c>
      <c r="I12" s="18" t="s">
        <v>904</v>
      </c>
      <c r="J12" s="18" t="s">
        <v>904</v>
      </c>
      <c r="K12" s="18">
        <v>20</v>
      </c>
      <c r="L12" s="36" t="s">
        <v>905</v>
      </c>
      <c r="M12" s="18" t="s">
        <v>166</v>
      </c>
      <c r="N12" s="18" t="s">
        <v>129</v>
      </c>
      <c r="O12" s="18" t="s">
        <v>129</v>
      </c>
      <c r="P12" s="58">
        <v>40605</v>
      </c>
      <c r="Q12" s="19"/>
      <c r="R12" s="19"/>
      <c r="S12" s="19"/>
      <c r="T12" s="19"/>
      <c r="V12" s="18"/>
      <c r="W12" s="18"/>
      <c r="X12" s="18"/>
      <c r="Y12" s="18"/>
      <c r="AA12" s="20"/>
      <c r="AB12" s="8"/>
      <c r="AC12" s="8"/>
      <c r="CA12" s="128" t="str">
        <f>HDA[[#This Row],[UID]]</f>
        <v>HDA-F1</v>
      </c>
      <c r="CB12" s="8" t="str">
        <f>HDA[[#This Row],[Valve UnitID]]</f>
        <v>60-12HF4</v>
      </c>
      <c r="CC12" s="111" t="str">
        <f>HDA[[#This Row],[Safety Head UnitID]]</f>
        <v>SH-F1</v>
      </c>
      <c r="CD12" s="111" t="str">
        <f>HDA[[#This Row],[Junction (Main) UnitID]]</f>
        <v>60-24HF4</v>
      </c>
      <c r="CE12" s="8" t="str">
        <f>HDA[[#This Row],[Tubing (to SH) UnitID]]</f>
        <v>60-HM4-2.75</v>
      </c>
      <c r="CF12" s="8" t="str">
        <f>HDA[[#This Row],[Tubing (to NV) UnitID]]</f>
        <v>60-HM4-2.75</v>
      </c>
      <c r="CG12" s="8" t="str">
        <f>HDA[[#This Row],[Tubing (to PT) UnitID]]</f>
        <v>60-HM4-2.75</v>
      </c>
      <c r="CH12" s="8" t="str">
        <f>HDA[[#This Row],[Default Autoclave Body UnitID]]</f>
        <v>AC-F</v>
      </c>
      <c r="CI12" s="8" t="str">
        <f>HDA[[#This Row],[PT UnitID]]</f>
        <v>-</v>
      </c>
      <c r="CJ12" s="8" t="str">
        <f>IF(HDA[[#This Row],[Status]]=0,"",HDA[[#This Row],[Status]])</f>
        <v>Retired</v>
      </c>
    </row>
    <row r="13" spans="1:88">
      <c r="A13" s="36" t="s">
        <v>260</v>
      </c>
      <c r="B13" s="36" t="s">
        <v>927</v>
      </c>
      <c r="C13" s="18">
        <v>22000</v>
      </c>
      <c r="D13" s="18" t="s">
        <v>902</v>
      </c>
      <c r="E13" s="19" t="s">
        <v>928</v>
      </c>
      <c r="F13" s="19" t="s">
        <v>306</v>
      </c>
      <c r="G13" s="18" t="s">
        <v>129</v>
      </c>
      <c r="H13" s="18" t="s">
        <v>904</v>
      </c>
      <c r="I13" s="18" t="s">
        <v>904</v>
      </c>
      <c r="J13" s="18" t="s">
        <v>904</v>
      </c>
      <c r="K13" s="18">
        <v>25</v>
      </c>
      <c r="L13" s="36" t="s">
        <v>912</v>
      </c>
      <c r="M13" s="18" t="s">
        <v>166</v>
      </c>
      <c r="N13" s="18" t="s">
        <v>129</v>
      </c>
      <c r="O13" s="18" t="s">
        <v>129</v>
      </c>
      <c r="P13" s="58">
        <v>40087</v>
      </c>
      <c r="Q13" s="19"/>
      <c r="R13" s="19"/>
      <c r="S13" s="19"/>
      <c r="T13" s="19"/>
      <c r="V13" s="18"/>
      <c r="W13" s="18"/>
      <c r="X13" s="18"/>
      <c r="Y13" s="18"/>
      <c r="AA13" s="20"/>
      <c r="AB13" s="8"/>
      <c r="AC13" s="8"/>
      <c r="CA13" s="128" t="str">
        <f>HDA[[#This Row],[UID]]</f>
        <v>HDA-F2</v>
      </c>
      <c r="CB13" s="8" t="str">
        <f>HDA[[#This Row],[Valve UnitID]]</f>
        <v>60-12HF4</v>
      </c>
      <c r="CC13" s="111" t="str">
        <f>HDA[[#This Row],[Safety Head UnitID]]</f>
        <v>SH-F2</v>
      </c>
      <c r="CD13" s="111" t="str">
        <f>HDA[[#This Row],[Junction (Main) UnitID]]</f>
        <v>60-24HF4</v>
      </c>
      <c r="CE13" s="8" t="str">
        <f>HDA[[#This Row],[Tubing (to SH) UnitID]]</f>
        <v>60-HM4-2.75</v>
      </c>
      <c r="CF13" s="8" t="str">
        <f>HDA[[#This Row],[Tubing (to NV) UnitID]]</f>
        <v>60-HM4-2.75</v>
      </c>
      <c r="CG13" s="8" t="str">
        <f>HDA[[#This Row],[Tubing (to PT) UnitID]]</f>
        <v>60-HM4-2.75</v>
      </c>
      <c r="CH13" s="8" t="str">
        <f>HDA[[#This Row],[Default Autoclave Body UnitID]]</f>
        <v>AC-F</v>
      </c>
      <c r="CI13" s="8" t="str">
        <f>HDA[[#This Row],[PT UnitID]]</f>
        <v>-</v>
      </c>
      <c r="CJ13" s="8" t="str">
        <f>IF(HDA[[#This Row],[Status]]=0,"",HDA[[#This Row],[Status]])</f>
        <v>Retired</v>
      </c>
    </row>
    <row r="14" spans="1:88">
      <c r="A14" s="36" t="s">
        <v>260</v>
      </c>
      <c r="B14" s="36" t="s">
        <v>929</v>
      </c>
      <c r="C14" s="18">
        <v>22000</v>
      </c>
      <c r="D14" s="18" t="s">
        <v>902</v>
      </c>
      <c r="E14" s="19" t="s">
        <v>930</v>
      </c>
      <c r="F14" s="19" t="s">
        <v>306</v>
      </c>
      <c r="G14" s="18" t="s">
        <v>129</v>
      </c>
      <c r="H14" s="18" t="s">
        <v>904</v>
      </c>
      <c r="I14" s="18" t="s">
        <v>904</v>
      </c>
      <c r="J14" s="18" t="s">
        <v>904</v>
      </c>
      <c r="K14" s="18">
        <v>20</v>
      </c>
      <c r="L14" s="36" t="s">
        <v>905</v>
      </c>
      <c r="M14" s="18" t="s">
        <v>167</v>
      </c>
      <c r="N14" s="18" t="s">
        <v>129</v>
      </c>
      <c r="O14" s="18" t="s">
        <v>129</v>
      </c>
      <c r="P14" s="58">
        <v>40605</v>
      </c>
      <c r="Q14" s="19"/>
      <c r="R14" s="19"/>
      <c r="S14" s="19"/>
      <c r="T14" s="19"/>
      <c r="V14" s="18"/>
      <c r="W14" s="18"/>
      <c r="X14" s="18"/>
      <c r="Y14" s="18"/>
      <c r="AA14" s="20"/>
      <c r="AB14" s="8"/>
      <c r="AC14" s="8"/>
      <c r="CA14" s="128" t="str">
        <f>HDA[[#This Row],[UID]]</f>
        <v>HDA-G1</v>
      </c>
      <c r="CB14" s="8" t="str">
        <f>HDA[[#This Row],[Valve UnitID]]</f>
        <v>60-12HF4</v>
      </c>
      <c r="CC14" s="111" t="str">
        <f>HDA[[#This Row],[Safety Head UnitID]]</f>
        <v>SH-G1</v>
      </c>
      <c r="CD14" s="111" t="str">
        <f>HDA[[#This Row],[Junction (Main) UnitID]]</f>
        <v>60-24HF4</v>
      </c>
      <c r="CE14" s="8" t="str">
        <f>HDA[[#This Row],[Tubing (to SH) UnitID]]</f>
        <v>60-HM4-2.75</v>
      </c>
      <c r="CF14" s="8" t="str">
        <f>HDA[[#This Row],[Tubing (to NV) UnitID]]</f>
        <v>60-HM4-2.75</v>
      </c>
      <c r="CG14" s="8" t="str">
        <f>HDA[[#This Row],[Tubing (to PT) UnitID]]</f>
        <v>60-HM4-2.75</v>
      </c>
      <c r="CH14" s="8" t="str">
        <f>HDA[[#This Row],[Default Autoclave Body UnitID]]</f>
        <v>AC-G</v>
      </c>
      <c r="CI14" s="8" t="str">
        <f>HDA[[#This Row],[PT UnitID]]</f>
        <v>-</v>
      </c>
      <c r="CJ14" s="8" t="str">
        <f>IF(HDA[[#This Row],[Status]]=0,"",HDA[[#This Row],[Status]])</f>
        <v>Retired</v>
      </c>
    </row>
    <row r="15" spans="1:88">
      <c r="A15" s="36" t="s">
        <v>260</v>
      </c>
      <c r="B15" s="36" t="s">
        <v>931</v>
      </c>
      <c r="C15" s="18">
        <v>22000</v>
      </c>
      <c r="D15" s="18" t="s">
        <v>902</v>
      </c>
      <c r="E15" s="19" t="s">
        <v>932</v>
      </c>
      <c r="F15" s="19" t="s">
        <v>306</v>
      </c>
      <c r="G15" s="18" t="s">
        <v>129</v>
      </c>
      <c r="H15" s="18" t="s">
        <v>904</v>
      </c>
      <c r="I15" s="18" t="s">
        <v>904</v>
      </c>
      <c r="J15" s="18" t="s">
        <v>904</v>
      </c>
      <c r="K15" s="18">
        <v>25</v>
      </c>
      <c r="L15" s="36" t="s">
        <v>912</v>
      </c>
      <c r="M15" s="18" t="s">
        <v>167</v>
      </c>
      <c r="N15" s="18" t="s">
        <v>129</v>
      </c>
      <c r="O15" s="18" t="s">
        <v>129</v>
      </c>
      <c r="P15" s="58">
        <v>40087</v>
      </c>
      <c r="Q15" s="19"/>
      <c r="R15" s="19"/>
      <c r="S15" s="19"/>
      <c r="T15" s="19"/>
      <c r="V15" s="18"/>
      <c r="W15" s="18"/>
      <c r="X15" s="18"/>
      <c r="Y15" s="18"/>
      <c r="AA15" s="20"/>
      <c r="AB15" s="8"/>
      <c r="AC15" s="8"/>
      <c r="CA15" s="128" t="str">
        <f>HDA[[#This Row],[UID]]</f>
        <v>HDA-G2</v>
      </c>
      <c r="CB15" s="8" t="str">
        <f>HDA[[#This Row],[Valve UnitID]]</f>
        <v>60-12HF4</v>
      </c>
      <c r="CC15" s="111" t="str">
        <f>HDA[[#This Row],[Safety Head UnitID]]</f>
        <v>SH-G2</v>
      </c>
      <c r="CD15" s="111" t="str">
        <f>HDA[[#This Row],[Junction (Main) UnitID]]</f>
        <v>60-24HF4</v>
      </c>
      <c r="CE15" s="8" t="str">
        <f>HDA[[#This Row],[Tubing (to SH) UnitID]]</f>
        <v>60-HM4-2.75</v>
      </c>
      <c r="CF15" s="8" t="str">
        <f>HDA[[#This Row],[Tubing (to NV) UnitID]]</f>
        <v>60-HM4-2.75</v>
      </c>
      <c r="CG15" s="8" t="str">
        <f>HDA[[#This Row],[Tubing (to PT) UnitID]]</f>
        <v>60-HM4-2.75</v>
      </c>
      <c r="CH15" s="8" t="str">
        <f>HDA[[#This Row],[Default Autoclave Body UnitID]]</f>
        <v>AC-G</v>
      </c>
      <c r="CI15" s="8" t="str">
        <f>HDA[[#This Row],[PT UnitID]]</f>
        <v>-</v>
      </c>
      <c r="CJ15" s="8" t="str">
        <f>IF(HDA[[#This Row],[Status]]=0,"",HDA[[#This Row],[Status]])</f>
        <v>Retired</v>
      </c>
    </row>
    <row r="16" spans="1:88">
      <c r="A16" s="36" t="s">
        <v>260</v>
      </c>
      <c r="B16" s="36" t="s">
        <v>933</v>
      </c>
      <c r="C16" s="18">
        <v>60000</v>
      </c>
      <c r="D16" s="18" t="s">
        <v>902</v>
      </c>
      <c r="E16" s="19" t="s">
        <v>129</v>
      </c>
      <c r="F16" s="19" t="s">
        <v>306</v>
      </c>
      <c r="G16" s="18" t="s">
        <v>129</v>
      </c>
      <c r="H16" s="18" t="s">
        <v>904</v>
      </c>
      <c r="I16" s="18" t="s">
        <v>904</v>
      </c>
      <c r="J16" s="18" t="s">
        <v>904</v>
      </c>
      <c r="K16" s="18">
        <v>25</v>
      </c>
      <c r="L16" s="36" t="s">
        <v>912</v>
      </c>
      <c r="M16" s="18" t="s">
        <v>168</v>
      </c>
      <c r="N16" s="18" t="s">
        <v>129</v>
      </c>
      <c r="O16" s="18" t="s">
        <v>129</v>
      </c>
      <c r="P16" s="58">
        <v>40605</v>
      </c>
      <c r="Q16" s="19"/>
      <c r="R16" s="19"/>
      <c r="S16" s="19"/>
      <c r="T16" s="19"/>
      <c r="V16" s="18"/>
      <c r="W16" s="18"/>
      <c r="X16" s="18"/>
      <c r="Y16" s="18"/>
      <c r="AA16" s="20"/>
      <c r="AB16" s="8"/>
      <c r="AC16" s="8"/>
      <c r="CA16" s="128" t="str">
        <f>HDA[[#This Row],[UID]]</f>
        <v>HDA-H1</v>
      </c>
      <c r="CB16" s="8" t="str">
        <f>HDA[[#This Row],[Valve UnitID]]</f>
        <v>60-12HF4</v>
      </c>
      <c r="CC16" s="111" t="str">
        <f>HDA[[#This Row],[Safety Head UnitID]]</f>
        <v>-</v>
      </c>
      <c r="CD16" s="111" t="str">
        <f>HDA[[#This Row],[Junction (Main) UnitID]]</f>
        <v>60-24HF4</v>
      </c>
      <c r="CE16" s="8" t="str">
        <f>HDA[[#This Row],[Tubing (to SH) UnitID]]</f>
        <v>60-HM4-2.75</v>
      </c>
      <c r="CF16" s="8" t="str">
        <f>HDA[[#This Row],[Tubing (to NV) UnitID]]</f>
        <v>60-HM4-2.75</v>
      </c>
      <c r="CG16" s="8" t="str">
        <f>HDA[[#This Row],[Tubing (to PT) UnitID]]</f>
        <v>60-HM4-2.75</v>
      </c>
      <c r="CH16" s="8" t="str">
        <f>HDA[[#This Row],[Default Autoclave Body UnitID]]</f>
        <v>AC-H</v>
      </c>
      <c r="CI16" s="8" t="str">
        <f>HDA[[#This Row],[PT UnitID]]</f>
        <v>-</v>
      </c>
      <c r="CJ16" s="8" t="str">
        <f>IF(HDA[[#This Row],[Status]]=0,"",HDA[[#This Row],[Status]])</f>
        <v>Retired</v>
      </c>
    </row>
    <row r="17" spans="1:88">
      <c r="A17" s="36" t="s">
        <v>260</v>
      </c>
      <c r="B17" s="36" t="s">
        <v>934</v>
      </c>
      <c r="C17" s="18">
        <v>60000</v>
      </c>
      <c r="D17" s="18" t="s">
        <v>902</v>
      </c>
      <c r="E17" s="19" t="s">
        <v>129</v>
      </c>
      <c r="F17" s="19" t="s">
        <v>306</v>
      </c>
      <c r="G17" s="18" t="s">
        <v>129</v>
      </c>
      <c r="H17" s="18" t="s">
        <v>904</v>
      </c>
      <c r="I17" s="18" t="s">
        <v>904</v>
      </c>
      <c r="J17" s="18" t="s">
        <v>904</v>
      </c>
      <c r="K17" s="18">
        <v>25</v>
      </c>
      <c r="L17" s="36" t="s">
        <v>912</v>
      </c>
      <c r="M17" s="18" t="s">
        <v>168</v>
      </c>
      <c r="N17" s="18" t="s">
        <v>129</v>
      </c>
      <c r="O17" s="18" t="s">
        <v>129</v>
      </c>
      <c r="P17" s="58">
        <v>40087</v>
      </c>
      <c r="Q17" s="19"/>
      <c r="R17" s="19"/>
      <c r="S17" s="19"/>
      <c r="T17" s="19"/>
      <c r="V17" s="18"/>
      <c r="W17" s="18"/>
      <c r="X17" s="18"/>
      <c r="Y17" s="18"/>
      <c r="AA17" s="20"/>
      <c r="AB17" s="8"/>
      <c r="AC17" s="8"/>
      <c r="CA17" s="128" t="str">
        <f>HDA[[#This Row],[UID]]</f>
        <v>HDA-H2</v>
      </c>
      <c r="CB17" s="8" t="str">
        <f>HDA[[#This Row],[Valve UnitID]]</f>
        <v>60-12HF4</v>
      </c>
      <c r="CC17" s="111" t="str">
        <f>HDA[[#This Row],[Safety Head UnitID]]</f>
        <v>-</v>
      </c>
      <c r="CD17" s="111" t="str">
        <f>HDA[[#This Row],[Junction (Main) UnitID]]</f>
        <v>60-24HF4</v>
      </c>
      <c r="CE17" s="8" t="str">
        <f>HDA[[#This Row],[Tubing (to SH) UnitID]]</f>
        <v>60-HM4-2.75</v>
      </c>
      <c r="CF17" s="8" t="str">
        <f>HDA[[#This Row],[Tubing (to NV) UnitID]]</f>
        <v>60-HM4-2.75</v>
      </c>
      <c r="CG17" s="8" t="str">
        <f>HDA[[#This Row],[Tubing (to PT) UnitID]]</f>
        <v>60-HM4-2.75</v>
      </c>
      <c r="CH17" s="8" t="str">
        <f>HDA[[#This Row],[Default Autoclave Body UnitID]]</f>
        <v>AC-H</v>
      </c>
      <c r="CI17" s="8" t="str">
        <f>HDA[[#This Row],[PT UnitID]]</f>
        <v>-</v>
      </c>
      <c r="CJ17" s="8" t="str">
        <f>IF(HDA[[#This Row],[Status]]=0,"",HDA[[#This Row],[Status]])</f>
        <v>Retired</v>
      </c>
    </row>
    <row r="18" spans="1:88">
      <c r="A18" s="36" t="s">
        <v>260</v>
      </c>
      <c r="B18" s="36" t="s">
        <v>935</v>
      </c>
      <c r="C18" s="18">
        <v>60000</v>
      </c>
      <c r="D18" s="18" t="s">
        <v>902</v>
      </c>
      <c r="E18" s="19" t="s">
        <v>936</v>
      </c>
      <c r="F18" s="19" t="s">
        <v>306</v>
      </c>
      <c r="G18" s="19" t="s">
        <v>241</v>
      </c>
      <c r="H18" s="18" t="s">
        <v>904</v>
      </c>
      <c r="I18" s="18" t="s">
        <v>904</v>
      </c>
      <c r="J18" s="18" t="s">
        <v>904</v>
      </c>
      <c r="K18" s="18">
        <v>20</v>
      </c>
      <c r="L18" s="36" t="s">
        <v>905</v>
      </c>
      <c r="M18" s="18" t="s">
        <v>175</v>
      </c>
      <c r="N18" s="18" t="s">
        <v>129</v>
      </c>
      <c r="O18" s="18" t="s">
        <v>129</v>
      </c>
      <c r="P18" s="58">
        <v>40605</v>
      </c>
      <c r="Q18" s="19"/>
      <c r="R18" s="19"/>
      <c r="S18" s="19"/>
      <c r="T18" s="19"/>
      <c r="V18" s="18"/>
      <c r="W18" s="18"/>
      <c r="X18" s="18"/>
      <c r="Y18" s="18"/>
      <c r="AA18" s="20"/>
      <c r="AB18" s="8"/>
      <c r="AC18" s="8"/>
      <c r="CA18" s="128" t="str">
        <f>HDA[[#This Row],[UID]]</f>
        <v>HDA-K1</v>
      </c>
      <c r="CB18" s="8" t="str">
        <f>HDA[[#This Row],[Valve UnitID]]</f>
        <v>60-12HF4</v>
      </c>
      <c r="CC18" s="111" t="str">
        <f>HDA[[#This Row],[Safety Head UnitID]]</f>
        <v>SH-K1</v>
      </c>
      <c r="CD18" s="111" t="str">
        <f>HDA[[#This Row],[Junction (Main) UnitID]]</f>
        <v>60-24HF4</v>
      </c>
      <c r="CE18" s="8" t="str">
        <f>HDA[[#This Row],[Tubing (to SH) UnitID]]</f>
        <v>60-HM4-2.75</v>
      </c>
      <c r="CF18" s="8" t="str">
        <f>HDA[[#This Row],[Tubing (to NV) UnitID]]</f>
        <v>60-HM4-2.75</v>
      </c>
      <c r="CG18" s="8" t="str">
        <f>HDA[[#This Row],[Tubing (to PT) UnitID]]</f>
        <v>60-HM4-2.75</v>
      </c>
      <c r="CH18" s="8" t="str">
        <f>HDA[[#This Row],[Default Autoclave Body UnitID]]</f>
        <v>AC-K</v>
      </c>
      <c r="CI18" s="8" t="str">
        <f>HDA[[#This Row],[PT UnitID]]</f>
        <v>-</v>
      </c>
      <c r="CJ18" s="8" t="str">
        <f>IF(HDA[[#This Row],[Status]]=0,"",HDA[[#This Row],[Status]])</f>
        <v>Retired</v>
      </c>
    </row>
    <row r="19" spans="1:88">
      <c r="A19" s="36" t="s">
        <v>260</v>
      </c>
      <c r="B19" s="36" t="s">
        <v>937</v>
      </c>
      <c r="C19" s="18">
        <v>60000</v>
      </c>
      <c r="D19" s="18" t="s">
        <v>902</v>
      </c>
      <c r="E19" s="19" t="s">
        <v>938</v>
      </c>
      <c r="F19" s="19" t="s">
        <v>306</v>
      </c>
      <c r="G19" s="19" t="s">
        <v>241</v>
      </c>
      <c r="H19" s="18" t="s">
        <v>904</v>
      </c>
      <c r="I19" s="18" t="s">
        <v>904</v>
      </c>
      <c r="J19" s="18" t="s">
        <v>904</v>
      </c>
      <c r="K19" s="18">
        <v>45</v>
      </c>
      <c r="L19" s="36" t="s">
        <v>912</v>
      </c>
      <c r="M19" s="18" t="s">
        <v>175</v>
      </c>
      <c r="N19" s="18" t="s">
        <v>129</v>
      </c>
      <c r="O19" s="18" t="s">
        <v>129</v>
      </c>
      <c r="P19" s="58">
        <v>40087</v>
      </c>
      <c r="Q19" s="19"/>
      <c r="R19" s="19"/>
      <c r="S19" s="19"/>
      <c r="T19" s="19"/>
      <c r="V19" s="18"/>
      <c r="W19" s="18"/>
      <c r="X19" s="18"/>
      <c r="Y19" s="18"/>
      <c r="AA19" s="20"/>
      <c r="AB19" s="8"/>
      <c r="AC19" s="8"/>
      <c r="CA19" s="128" t="str">
        <f>HDA[[#This Row],[UID]]</f>
        <v>HDA-K2</v>
      </c>
      <c r="CB19" s="8" t="str">
        <f>HDA[[#This Row],[Valve UnitID]]</f>
        <v>60-12HF4</v>
      </c>
      <c r="CC19" s="111" t="str">
        <f>HDA[[#This Row],[Safety Head UnitID]]</f>
        <v>SH-K2</v>
      </c>
      <c r="CD19" s="111" t="str">
        <f>HDA[[#This Row],[Junction (Main) UnitID]]</f>
        <v>60-24HF4</v>
      </c>
      <c r="CE19" s="8" t="str">
        <f>HDA[[#This Row],[Tubing (to SH) UnitID]]</f>
        <v>60-HM4-2.75</v>
      </c>
      <c r="CF19" s="8" t="str">
        <f>HDA[[#This Row],[Tubing (to NV) UnitID]]</f>
        <v>60-HM4-2.75</v>
      </c>
      <c r="CG19" s="8" t="str">
        <f>HDA[[#This Row],[Tubing (to PT) UnitID]]</f>
        <v>60-HM4-2.75</v>
      </c>
      <c r="CH19" s="8" t="str">
        <f>HDA[[#This Row],[Default Autoclave Body UnitID]]</f>
        <v>AC-K</v>
      </c>
      <c r="CI19" s="8" t="str">
        <f>HDA[[#This Row],[PT UnitID]]</f>
        <v>-</v>
      </c>
      <c r="CJ19" s="8" t="str">
        <f>IF(HDA[[#This Row],[Status]]=0,"",HDA[[#This Row],[Status]])</f>
        <v>Retired</v>
      </c>
    </row>
    <row r="20" spans="1:88">
      <c r="A20" s="36" t="s">
        <v>260</v>
      </c>
      <c r="B20" s="36" t="s">
        <v>939</v>
      </c>
      <c r="C20" s="18">
        <v>60000</v>
      </c>
      <c r="D20" s="18" t="s">
        <v>902</v>
      </c>
      <c r="E20" s="19" t="s">
        <v>940</v>
      </c>
      <c r="F20" s="19" t="s">
        <v>306</v>
      </c>
      <c r="G20" s="19" t="s">
        <v>241</v>
      </c>
      <c r="H20" s="18" t="s">
        <v>904</v>
      </c>
      <c r="I20" s="18" t="s">
        <v>904</v>
      </c>
      <c r="J20" s="18" t="s">
        <v>904</v>
      </c>
      <c r="K20" s="18">
        <v>20</v>
      </c>
      <c r="L20" s="36" t="s">
        <v>905</v>
      </c>
      <c r="M20" s="18" t="s">
        <v>180</v>
      </c>
      <c r="N20" s="18" t="s">
        <v>129</v>
      </c>
      <c r="O20" s="18" t="s">
        <v>129</v>
      </c>
      <c r="P20" s="58">
        <v>40605</v>
      </c>
      <c r="Q20" s="19"/>
      <c r="R20" s="19"/>
      <c r="S20" s="19"/>
      <c r="T20" s="19"/>
      <c r="V20" s="18"/>
      <c r="W20" s="18"/>
      <c r="X20" s="18"/>
      <c r="Y20" s="18"/>
      <c r="AA20" s="20"/>
      <c r="AB20" s="8"/>
      <c r="AC20" s="8"/>
      <c r="CA20" s="128" t="str">
        <f>HDA[[#This Row],[UID]]</f>
        <v>HDA-L1</v>
      </c>
      <c r="CB20" s="8" t="str">
        <f>HDA[[#This Row],[Valve UnitID]]</f>
        <v>60-12HF4</v>
      </c>
      <c r="CC20" s="111" t="str">
        <f>HDA[[#This Row],[Safety Head UnitID]]</f>
        <v>SH-L1</v>
      </c>
      <c r="CD20" s="111" t="str">
        <f>HDA[[#This Row],[Junction (Main) UnitID]]</f>
        <v>60-24HF4</v>
      </c>
      <c r="CE20" s="8" t="str">
        <f>HDA[[#This Row],[Tubing (to SH) UnitID]]</f>
        <v>60-HM4-2.75</v>
      </c>
      <c r="CF20" s="8" t="str">
        <f>HDA[[#This Row],[Tubing (to NV) UnitID]]</f>
        <v>60-HM4-2.75</v>
      </c>
      <c r="CG20" s="8" t="str">
        <f>HDA[[#This Row],[Tubing (to PT) UnitID]]</f>
        <v>60-HM4-2.75</v>
      </c>
      <c r="CH20" s="8" t="str">
        <f>HDA[[#This Row],[Default Autoclave Body UnitID]]</f>
        <v>AC-L</v>
      </c>
      <c r="CI20" s="8" t="str">
        <f>HDA[[#This Row],[PT UnitID]]</f>
        <v>-</v>
      </c>
      <c r="CJ20" s="8" t="str">
        <f>IF(HDA[[#This Row],[Status]]=0,"",HDA[[#This Row],[Status]])</f>
        <v>Retired</v>
      </c>
    </row>
    <row r="21" spans="1:88">
      <c r="A21" s="36" t="s">
        <v>260</v>
      </c>
      <c r="B21" s="36" t="s">
        <v>941</v>
      </c>
      <c r="C21" s="18">
        <v>60000</v>
      </c>
      <c r="D21" s="18" t="s">
        <v>902</v>
      </c>
      <c r="E21" s="19" t="s">
        <v>942</v>
      </c>
      <c r="F21" s="19" t="s">
        <v>306</v>
      </c>
      <c r="G21" s="19" t="s">
        <v>241</v>
      </c>
      <c r="H21" s="18" t="s">
        <v>904</v>
      </c>
      <c r="I21" s="18" t="s">
        <v>904</v>
      </c>
      <c r="J21" s="18" t="s">
        <v>904</v>
      </c>
      <c r="K21" s="18">
        <v>45</v>
      </c>
      <c r="L21" s="36" t="s">
        <v>912</v>
      </c>
      <c r="M21" s="18" t="s">
        <v>180</v>
      </c>
      <c r="N21" s="18" t="s">
        <v>129</v>
      </c>
      <c r="O21" s="18" t="s">
        <v>129</v>
      </c>
      <c r="P21" s="58">
        <v>40087</v>
      </c>
      <c r="Q21" s="19"/>
      <c r="R21" s="19"/>
      <c r="S21" s="19"/>
      <c r="T21" s="19"/>
      <c r="V21" s="18"/>
      <c r="W21" s="18"/>
      <c r="X21" s="18"/>
      <c r="Y21" s="18"/>
      <c r="AA21" s="20"/>
      <c r="AB21" s="8"/>
      <c r="AC21" s="8"/>
      <c r="CA21" s="128" t="str">
        <f>HDA[[#This Row],[UID]]</f>
        <v>HDA-L2</v>
      </c>
      <c r="CB21" s="8" t="str">
        <f>HDA[[#This Row],[Valve UnitID]]</f>
        <v>60-12HF4</v>
      </c>
      <c r="CC21" s="111" t="str">
        <f>HDA[[#This Row],[Safety Head UnitID]]</f>
        <v>SH-L2</v>
      </c>
      <c r="CD21" s="111" t="str">
        <f>HDA[[#This Row],[Junction (Main) UnitID]]</f>
        <v>60-24HF4</v>
      </c>
      <c r="CE21" s="8" t="str">
        <f>HDA[[#This Row],[Tubing (to SH) UnitID]]</f>
        <v>60-HM4-2.75</v>
      </c>
      <c r="CF21" s="8" t="str">
        <f>HDA[[#This Row],[Tubing (to NV) UnitID]]</f>
        <v>60-HM4-2.75</v>
      </c>
      <c r="CG21" s="8" t="str">
        <f>HDA[[#This Row],[Tubing (to PT) UnitID]]</f>
        <v>60-HM4-2.75</v>
      </c>
      <c r="CH21" s="8" t="str">
        <f>HDA[[#This Row],[Default Autoclave Body UnitID]]</f>
        <v>AC-L</v>
      </c>
      <c r="CI21" s="8" t="str">
        <f>HDA[[#This Row],[PT UnitID]]</f>
        <v>-</v>
      </c>
      <c r="CJ21" s="8" t="str">
        <f>IF(HDA[[#This Row],[Status]]=0,"",HDA[[#This Row],[Status]])</f>
        <v>Retired</v>
      </c>
    </row>
    <row r="22" spans="1:88">
      <c r="A22" s="36" t="s">
        <v>260</v>
      </c>
      <c r="B22" s="36" t="s">
        <v>943</v>
      </c>
      <c r="C22" s="18">
        <v>51000</v>
      </c>
      <c r="D22" s="18" t="s">
        <v>902</v>
      </c>
      <c r="E22" s="19" t="s">
        <v>944</v>
      </c>
      <c r="F22" s="19" t="s">
        <v>306</v>
      </c>
      <c r="G22" s="19" t="s">
        <v>241</v>
      </c>
      <c r="H22" s="18" t="s">
        <v>904</v>
      </c>
      <c r="I22" s="18" t="s">
        <v>904</v>
      </c>
      <c r="J22" s="18" t="s">
        <v>904</v>
      </c>
      <c r="K22" s="18">
        <v>20</v>
      </c>
      <c r="L22" s="36" t="s">
        <v>905</v>
      </c>
      <c r="M22" s="18" t="s">
        <v>181</v>
      </c>
      <c r="N22" s="18" t="s">
        <v>129</v>
      </c>
      <c r="O22" s="18" t="s">
        <v>129</v>
      </c>
      <c r="P22" s="58">
        <v>40605</v>
      </c>
      <c r="Q22" s="19"/>
      <c r="R22" s="19"/>
      <c r="S22" s="19"/>
      <c r="T22" s="19"/>
      <c r="V22" s="18"/>
      <c r="W22" s="18"/>
      <c r="X22" s="18"/>
      <c r="Y22" s="18"/>
      <c r="AA22" s="20"/>
      <c r="AB22" s="8"/>
      <c r="AC22" s="8"/>
      <c r="CA22" s="128" t="str">
        <f>HDA[[#This Row],[UID]]</f>
        <v>HDA-M1</v>
      </c>
      <c r="CB22" s="8" t="str">
        <f>HDA[[#This Row],[Valve UnitID]]</f>
        <v>60-12HF4</v>
      </c>
      <c r="CC22" s="111" t="str">
        <f>HDA[[#This Row],[Safety Head UnitID]]</f>
        <v>SH-M1</v>
      </c>
      <c r="CD22" s="111" t="str">
        <f>HDA[[#This Row],[Junction (Main) UnitID]]</f>
        <v>60-24HF4</v>
      </c>
      <c r="CE22" s="8" t="str">
        <f>HDA[[#This Row],[Tubing (to SH) UnitID]]</f>
        <v>60-HM4-2.75</v>
      </c>
      <c r="CF22" s="8" t="str">
        <f>HDA[[#This Row],[Tubing (to NV) UnitID]]</f>
        <v>60-HM4-2.75</v>
      </c>
      <c r="CG22" s="8" t="str">
        <f>HDA[[#This Row],[Tubing (to PT) UnitID]]</f>
        <v>60-HM4-2.75</v>
      </c>
      <c r="CH22" s="8" t="str">
        <f>HDA[[#This Row],[Default Autoclave Body UnitID]]</f>
        <v>AC-M</v>
      </c>
      <c r="CI22" s="8" t="str">
        <f>HDA[[#This Row],[PT UnitID]]</f>
        <v>-</v>
      </c>
      <c r="CJ22" s="8" t="str">
        <f>IF(HDA[[#This Row],[Status]]=0,"",HDA[[#This Row],[Status]])</f>
        <v>Retired</v>
      </c>
    </row>
    <row r="23" spans="1:88">
      <c r="A23" s="36" t="s">
        <v>260</v>
      </c>
      <c r="B23" s="36" t="s">
        <v>945</v>
      </c>
      <c r="C23" s="18">
        <v>51000</v>
      </c>
      <c r="D23" s="18" t="s">
        <v>902</v>
      </c>
      <c r="E23" s="19" t="s">
        <v>946</v>
      </c>
      <c r="F23" s="19" t="s">
        <v>306</v>
      </c>
      <c r="G23" s="19" t="s">
        <v>241</v>
      </c>
      <c r="H23" s="18" t="s">
        <v>904</v>
      </c>
      <c r="I23" s="18" t="s">
        <v>904</v>
      </c>
      <c r="J23" s="18" t="s">
        <v>904</v>
      </c>
      <c r="K23" s="18">
        <v>20</v>
      </c>
      <c r="L23" s="36" t="s">
        <v>905</v>
      </c>
      <c r="M23" s="18" t="s">
        <v>181</v>
      </c>
      <c r="N23" s="18" t="s">
        <v>129</v>
      </c>
      <c r="O23" s="18" t="s">
        <v>129</v>
      </c>
      <c r="P23" s="58">
        <v>40605</v>
      </c>
      <c r="Q23" s="19"/>
      <c r="R23" s="19"/>
      <c r="S23" s="19"/>
      <c r="T23" s="19"/>
      <c r="V23" s="18"/>
      <c r="W23" s="18"/>
      <c r="X23" s="18"/>
      <c r="Y23" s="18"/>
      <c r="AA23" s="20"/>
      <c r="AB23" s="8"/>
      <c r="AC23" s="8"/>
      <c r="CA23" s="128" t="str">
        <f>HDA[[#This Row],[UID]]</f>
        <v>HDA-M2</v>
      </c>
      <c r="CB23" s="8" t="str">
        <f>HDA[[#This Row],[Valve UnitID]]</f>
        <v>60-12HF4</v>
      </c>
      <c r="CC23" s="111" t="str">
        <f>HDA[[#This Row],[Safety Head UnitID]]</f>
        <v>SH-M2</v>
      </c>
      <c r="CD23" s="111" t="str">
        <f>HDA[[#This Row],[Junction (Main) UnitID]]</f>
        <v>60-24HF4</v>
      </c>
      <c r="CE23" s="8" t="str">
        <f>HDA[[#This Row],[Tubing (to SH) UnitID]]</f>
        <v>60-HM4-2.75</v>
      </c>
      <c r="CF23" s="8" t="str">
        <f>HDA[[#This Row],[Tubing (to NV) UnitID]]</f>
        <v>60-HM4-2.75</v>
      </c>
      <c r="CG23" s="8" t="str">
        <f>HDA[[#This Row],[Tubing (to PT) UnitID]]</f>
        <v>60-HM4-2.75</v>
      </c>
      <c r="CH23" s="8" t="str">
        <f>HDA[[#This Row],[Default Autoclave Body UnitID]]</f>
        <v>AC-M</v>
      </c>
      <c r="CI23" s="8" t="str">
        <f>HDA[[#This Row],[PT UnitID]]</f>
        <v>-</v>
      </c>
      <c r="CJ23" s="8" t="str">
        <f>IF(HDA[[#This Row],[Status]]=0,"",HDA[[#This Row],[Status]])</f>
        <v>Retired</v>
      </c>
    </row>
    <row r="24" spans="1:88">
      <c r="A24" s="36" t="s">
        <v>260</v>
      </c>
      <c r="B24" s="36" t="s">
        <v>947</v>
      </c>
      <c r="C24" s="18">
        <v>51000</v>
      </c>
      <c r="D24" s="18" t="s">
        <v>902</v>
      </c>
      <c r="E24" s="19" t="s">
        <v>948</v>
      </c>
      <c r="F24" s="19" t="s">
        <v>306</v>
      </c>
      <c r="G24" s="19" t="s">
        <v>241</v>
      </c>
      <c r="H24" s="18" t="s">
        <v>904</v>
      </c>
      <c r="I24" s="18" t="s">
        <v>904</v>
      </c>
      <c r="J24" s="18" t="s">
        <v>904</v>
      </c>
      <c r="K24" s="18">
        <v>25</v>
      </c>
      <c r="L24" s="36" t="s">
        <v>912</v>
      </c>
      <c r="M24" s="18" t="s">
        <v>185</v>
      </c>
      <c r="N24" s="18" t="s">
        <v>129</v>
      </c>
      <c r="O24" s="18" t="s">
        <v>129</v>
      </c>
      <c r="P24" s="58">
        <v>40087</v>
      </c>
      <c r="Q24" s="19"/>
      <c r="R24" s="19"/>
      <c r="S24" s="19"/>
      <c r="T24" s="19"/>
      <c r="V24" s="18"/>
      <c r="W24" s="18"/>
      <c r="X24" s="18"/>
      <c r="Y24" s="18"/>
      <c r="AA24" s="20"/>
      <c r="AB24" s="8"/>
      <c r="AC24" s="8"/>
      <c r="CA24" s="128" t="str">
        <f>HDA[[#This Row],[UID]]</f>
        <v>HDA-N1</v>
      </c>
      <c r="CB24" s="8" t="str">
        <f>HDA[[#This Row],[Valve UnitID]]</f>
        <v>60-12HF4</v>
      </c>
      <c r="CC24" s="111" t="str">
        <f>HDA[[#This Row],[Safety Head UnitID]]</f>
        <v>SH-N1</v>
      </c>
      <c r="CD24" s="111" t="str">
        <f>HDA[[#This Row],[Junction (Main) UnitID]]</f>
        <v>60-24HF4</v>
      </c>
      <c r="CE24" s="8" t="str">
        <f>HDA[[#This Row],[Tubing (to SH) UnitID]]</f>
        <v>60-HM4-2.75</v>
      </c>
      <c r="CF24" s="8" t="str">
        <f>HDA[[#This Row],[Tubing (to NV) UnitID]]</f>
        <v>60-HM4-2.75</v>
      </c>
      <c r="CG24" s="8" t="str">
        <f>HDA[[#This Row],[Tubing (to PT) UnitID]]</f>
        <v>60-HM4-2.75</v>
      </c>
      <c r="CH24" s="8" t="str">
        <f>HDA[[#This Row],[Default Autoclave Body UnitID]]</f>
        <v>AC-N</v>
      </c>
      <c r="CI24" s="8" t="str">
        <f>HDA[[#This Row],[PT UnitID]]</f>
        <v>-</v>
      </c>
      <c r="CJ24" s="8" t="str">
        <f>IF(HDA[[#This Row],[Status]]=0,"",HDA[[#This Row],[Status]])</f>
        <v>Retired</v>
      </c>
    </row>
    <row r="25" spans="1:88">
      <c r="A25" s="36" t="s">
        <v>260</v>
      </c>
      <c r="B25" s="36" t="s">
        <v>949</v>
      </c>
      <c r="C25" s="18">
        <v>51000</v>
      </c>
      <c r="D25" s="18" t="s">
        <v>902</v>
      </c>
      <c r="E25" s="19" t="s">
        <v>950</v>
      </c>
      <c r="F25" s="19" t="s">
        <v>306</v>
      </c>
      <c r="G25" s="19" t="s">
        <v>241</v>
      </c>
      <c r="H25" s="18" t="s">
        <v>904</v>
      </c>
      <c r="I25" s="18" t="s">
        <v>904</v>
      </c>
      <c r="J25" s="18" t="s">
        <v>904</v>
      </c>
      <c r="K25" s="18">
        <v>20</v>
      </c>
      <c r="L25" s="36" t="s">
        <v>905</v>
      </c>
      <c r="M25" s="18" t="s">
        <v>185</v>
      </c>
      <c r="N25" s="18" t="s">
        <v>129</v>
      </c>
      <c r="O25" s="18" t="s">
        <v>129</v>
      </c>
      <c r="P25" s="58">
        <v>40605</v>
      </c>
      <c r="Q25" s="19"/>
      <c r="R25" s="19"/>
      <c r="S25" s="19"/>
      <c r="T25" s="19"/>
      <c r="V25" s="18"/>
      <c r="W25" s="18"/>
      <c r="X25" s="18"/>
      <c r="Y25" s="18"/>
      <c r="AA25" s="20"/>
      <c r="AB25" s="8"/>
      <c r="AC25" s="8"/>
      <c r="CA25" s="128" t="str">
        <f>HDA[[#This Row],[UID]]</f>
        <v>HDA-N2</v>
      </c>
      <c r="CB25" s="8" t="str">
        <f>HDA[[#This Row],[Valve UnitID]]</f>
        <v>60-12HF4</v>
      </c>
      <c r="CC25" s="111" t="str">
        <f>HDA[[#This Row],[Safety Head UnitID]]</f>
        <v>SH-N2</v>
      </c>
      <c r="CD25" s="111" t="str">
        <f>HDA[[#This Row],[Junction (Main) UnitID]]</f>
        <v>60-24HF4</v>
      </c>
      <c r="CE25" s="8" t="str">
        <f>HDA[[#This Row],[Tubing (to SH) UnitID]]</f>
        <v>60-HM4-2.75</v>
      </c>
      <c r="CF25" s="8" t="str">
        <f>HDA[[#This Row],[Tubing (to NV) UnitID]]</f>
        <v>60-HM4-2.75</v>
      </c>
      <c r="CG25" s="8" t="str">
        <f>HDA[[#This Row],[Tubing (to PT) UnitID]]</f>
        <v>60-HM4-2.75</v>
      </c>
      <c r="CH25" s="8" t="str">
        <f>HDA[[#This Row],[Default Autoclave Body UnitID]]</f>
        <v>AC-N</v>
      </c>
      <c r="CI25" s="8" t="str">
        <f>HDA[[#This Row],[PT UnitID]]</f>
        <v>-</v>
      </c>
      <c r="CJ25" s="8" t="str">
        <f>IF(HDA[[#This Row],[Status]]=0,"",HDA[[#This Row],[Status]])</f>
        <v>Retired</v>
      </c>
    </row>
    <row r="26" spans="1:88">
      <c r="A26" s="36" t="s">
        <v>260</v>
      </c>
      <c r="B26" s="36" t="s">
        <v>951</v>
      </c>
      <c r="C26" s="18">
        <v>60000</v>
      </c>
      <c r="D26" s="18" t="s">
        <v>902</v>
      </c>
      <c r="E26" s="19" t="s">
        <v>129</v>
      </c>
      <c r="F26" s="19" t="s">
        <v>306</v>
      </c>
      <c r="G26" s="19" t="s">
        <v>241</v>
      </c>
      <c r="H26" s="18" t="s">
        <v>904</v>
      </c>
      <c r="I26" s="18" t="s">
        <v>904</v>
      </c>
      <c r="J26" s="18" t="s">
        <v>904</v>
      </c>
      <c r="K26" s="18">
        <v>20</v>
      </c>
      <c r="L26" s="36" t="s">
        <v>905</v>
      </c>
      <c r="M26" s="18" t="s">
        <v>185</v>
      </c>
      <c r="N26" s="18" t="s">
        <v>129</v>
      </c>
      <c r="O26" s="18" t="s">
        <v>129</v>
      </c>
      <c r="P26" s="58">
        <v>40605</v>
      </c>
      <c r="Q26" s="19"/>
      <c r="R26" s="19"/>
      <c r="S26" s="19"/>
      <c r="T26" s="19"/>
      <c r="V26" s="18"/>
      <c r="W26" s="18"/>
      <c r="X26" s="18"/>
      <c r="Y26" s="18"/>
      <c r="AA26" s="20"/>
      <c r="CA26" s="128" t="str">
        <f>HDA[[#This Row],[UID]]</f>
        <v>HDA-N3</v>
      </c>
      <c r="CB26" s="8" t="str">
        <f>HDA[[#This Row],[Valve UnitID]]</f>
        <v>60-12HF4</v>
      </c>
      <c r="CC26" s="111" t="str">
        <f>HDA[[#This Row],[Safety Head UnitID]]</f>
        <v>-</v>
      </c>
      <c r="CD26" s="111" t="str">
        <f>HDA[[#This Row],[Junction (Main) UnitID]]</f>
        <v>60-24HF4</v>
      </c>
      <c r="CE26" s="8" t="str">
        <f>HDA[[#This Row],[Tubing (to SH) UnitID]]</f>
        <v>60-HM4-2.75</v>
      </c>
      <c r="CF26" s="8" t="str">
        <f>HDA[[#This Row],[Tubing (to NV) UnitID]]</f>
        <v>60-HM4-2.75</v>
      </c>
      <c r="CG26" s="8" t="str">
        <f>HDA[[#This Row],[Tubing (to PT) UnitID]]</f>
        <v>60-HM4-2.75</v>
      </c>
      <c r="CH26" s="8" t="str">
        <f>HDA[[#This Row],[Default Autoclave Body UnitID]]</f>
        <v>AC-N</v>
      </c>
      <c r="CI26" s="8" t="str">
        <f>HDA[[#This Row],[PT UnitID]]</f>
        <v>-</v>
      </c>
      <c r="CJ26" s="8" t="str">
        <f>IF(HDA[[#This Row],[Status]]=0,"",HDA[[#This Row],[Status]])</f>
        <v>Retired</v>
      </c>
    </row>
    <row r="27" spans="1:88">
      <c r="A27" s="36" t="s">
        <v>260</v>
      </c>
      <c r="B27" s="36" t="s">
        <v>952</v>
      </c>
      <c r="C27" s="18">
        <v>45000</v>
      </c>
      <c r="D27" s="18" t="s">
        <v>902</v>
      </c>
      <c r="E27" s="19" t="s">
        <v>953</v>
      </c>
      <c r="F27" s="19" t="s">
        <v>306</v>
      </c>
      <c r="G27" s="19" t="s">
        <v>241</v>
      </c>
      <c r="H27" s="18" t="s">
        <v>904</v>
      </c>
      <c r="I27" s="18" t="s">
        <v>904</v>
      </c>
      <c r="J27" s="18" t="s">
        <v>904</v>
      </c>
      <c r="K27" s="18">
        <v>17</v>
      </c>
      <c r="L27" s="36" t="s">
        <v>905</v>
      </c>
      <c r="M27" s="18" t="s">
        <v>186</v>
      </c>
      <c r="N27" s="18" t="s">
        <v>129</v>
      </c>
      <c r="O27" s="18" t="s">
        <v>129</v>
      </c>
      <c r="P27" s="58">
        <v>40605</v>
      </c>
      <c r="Q27" s="19"/>
      <c r="R27" s="19"/>
      <c r="S27" s="19"/>
      <c r="T27" s="19"/>
      <c r="V27" s="18"/>
      <c r="W27" s="18"/>
      <c r="X27" s="18"/>
      <c r="Y27" s="18"/>
      <c r="AA27" s="20"/>
      <c r="CA27" s="128" t="str">
        <f>HDA[[#This Row],[UID]]</f>
        <v>HDA-P1</v>
      </c>
      <c r="CB27" s="8" t="str">
        <f>HDA[[#This Row],[Valve UnitID]]</f>
        <v>60-12HF4</v>
      </c>
      <c r="CC27" s="111" t="str">
        <f>HDA[[#This Row],[Safety Head UnitID]]</f>
        <v>SH-P1</v>
      </c>
      <c r="CD27" s="111" t="str">
        <f>HDA[[#This Row],[Junction (Main) UnitID]]</f>
        <v>60-24HF4</v>
      </c>
      <c r="CE27" s="8" t="str">
        <f>HDA[[#This Row],[Tubing (to SH) UnitID]]</f>
        <v>60-HM4-2.75</v>
      </c>
      <c r="CF27" s="8" t="str">
        <f>HDA[[#This Row],[Tubing (to NV) UnitID]]</f>
        <v>60-HM4-2.75</v>
      </c>
      <c r="CG27" s="8" t="str">
        <f>HDA[[#This Row],[Tubing (to PT) UnitID]]</f>
        <v>60-HM4-2.75</v>
      </c>
      <c r="CH27" s="8" t="str">
        <f>HDA[[#This Row],[Default Autoclave Body UnitID]]</f>
        <v>AC-P</v>
      </c>
      <c r="CI27" s="8" t="str">
        <f>HDA[[#This Row],[PT UnitID]]</f>
        <v>-</v>
      </c>
      <c r="CJ27" s="8" t="str">
        <f>IF(HDA[[#This Row],[Status]]=0,"",HDA[[#This Row],[Status]])</f>
        <v>Retired</v>
      </c>
    </row>
    <row r="28" spans="1:88">
      <c r="A28" s="36" t="s">
        <v>260</v>
      </c>
      <c r="B28" s="36" t="s">
        <v>954</v>
      </c>
      <c r="C28" s="18">
        <v>45000</v>
      </c>
      <c r="D28" s="18" t="s">
        <v>902</v>
      </c>
      <c r="E28" s="19" t="s">
        <v>955</v>
      </c>
      <c r="F28" s="19" t="s">
        <v>306</v>
      </c>
      <c r="G28" s="19" t="s">
        <v>241</v>
      </c>
      <c r="H28" s="18" t="s">
        <v>904</v>
      </c>
      <c r="I28" s="18" t="s">
        <v>904</v>
      </c>
      <c r="J28" s="18" t="s">
        <v>904</v>
      </c>
      <c r="K28" s="18">
        <v>17</v>
      </c>
      <c r="L28" s="36" t="s">
        <v>905</v>
      </c>
      <c r="M28" s="18" t="s">
        <v>190</v>
      </c>
      <c r="N28" s="18" t="s">
        <v>129</v>
      </c>
      <c r="O28" s="18" t="s">
        <v>129</v>
      </c>
      <c r="P28" s="58">
        <v>40605</v>
      </c>
      <c r="Q28" s="19"/>
      <c r="R28" s="19"/>
      <c r="S28" s="19"/>
      <c r="T28" s="19"/>
      <c r="V28" s="18"/>
      <c r="W28" s="18"/>
      <c r="X28" s="18"/>
      <c r="Y28" s="18"/>
      <c r="AA28" s="20"/>
      <c r="CA28" s="128" t="str">
        <f>HDA[[#This Row],[UID]]</f>
        <v>HDA-Q1</v>
      </c>
      <c r="CB28" s="8" t="str">
        <f>HDA[[#This Row],[Valve UnitID]]</f>
        <v>60-12HF4</v>
      </c>
      <c r="CC28" s="111" t="str">
        <f>HDA[[#This Row],[Safety Head UnitID]]</f>
        <v>SH-Q1</v>
      </c>
      <c r="CD28" s="111" t="str">
        <f>HDA[[#This Row],[Junction (Main) UnitID]]</f>
        <v>60-24HF4</v>
      </c>
      <c r="CE28" s="8" t="str">
        <f>HDA[[#This Row],[Tubing (to SH) UnitID]]</f>
        <v>60-HM4-2.75</v>
      </c>
      <c r="CF28" s="8" t="str">
        <f>HDA[[#This Row],[Tubing (to NV) UnitID]]</f>
        <v>60-HM4-2.75</v>
      </c>
      <c r="CG28" s="8" t="str">
        <f>HDA[[#This Row],[Tubing (to PT) UnitID]]</f>
        <v>60-HM4-2.75</v>
      </c>
      <c r="CH28" s="8" t="str">
        <f>HDA[[#This Row],[Default Autoclave Body UnitID]]</f>
        <v>AC-Q</v>
      </c>
      <c r="CI28" s="8" t="str">
        <f>HDA[[#This Row],[PT UnitID]]</f>
        <v>-</v>
      </c>
      <c r="CJ28" s="8" t="str">
        <f>IF(HDA[[#This Row],[Status]]=0,"",HDA[[#This Row],[Status]])</f>
        <v>Retired</v>
      </c>
    </row>
    <row r="29" spans="1:88">
      <c r="A29" s="36" t="s">
        <v>260</v>
      </c>
      <c r="B29" s="36" t="s">
        <v>956</v>
      </c>
      <c r="C29" s="18">
        <v>45000</v>
      </c>
      <c r="D29" s="18" t="s">
        <v>902</v>
      </c>
      <c r="E29" s="19" t="s">
        <v>957</v>
      </c>
      <c r="F29" s="19" t="s">
        <v>306</v>
      </c>
      <c r="G29" s="19" t="s">
        <v>241</v>
      </c>
      <c r="H29" s="18" t="s">
        <v>904</v>
      </c>
      <c r="I29" s="18" t="s">
        <v>904</v>
      </c>
      <c r="J29" s="18" t="s">
        <v>904</v>
      </c>
      <c r="K29" s="18">
        <v>17</v>
      </c>
      <c r="L29" s="36" t="s">
        <v>905</v>
      </c>
      <c r="M29" s="18" t="s">
        <v>191</v>
      </c>
      <c r="N29" s="18" t="s">
        <v>129</v>
      </c>
      <c r="O29" s="18" t="s">
        <v>129</v>
      </c>
      <c r="P29" s="58">
        <v>40605</v>
      </c>
      <c r="Q29" s="19"/>
      <c r="R29" s="19"/>
      <c r="S29" s="19"/>
      <c r="T29" s="19"/>
      <c r="V29" s="18"/>
      <c r="W29" s="18"/>
      <c r="X29" s="18"/>
      <c r="Y29" s="18"/>
      <c r="AA29" s="20"/>
      <c r="AC29" s="8"/>
      <c r="CA29" s="128" t="str">
        <f>HDA[[#This Row],[UID]]</f>
        <v>HDA-R1</v>
      </c>
      <c r="CB29" s="8" t="str">
        <f>HDA[[#This Row],[Valve UnitID]]</f>
        <v>60-12HF4</v>
      </c>
      <c r="CC29" s="111" t="str">
        <f>HDA[[#This Row],[Safety Head UnitID]]</f>
        <v>SH-R1</v>
      </c>
      <c r="CD29" s="111" t="str">
        <f>HDA[[#This Row],[Junction (Main) UnitID]]</f>
        <v>60-24HF4</v>
      </c>
      <c r="CE29" s="8" t="str">
        <f>HDA[[#This Row],[Tubing (to SH) UnitID]]</f>
        <v>60-HM4-2.75</v>
      </c>
      <c r="CF29" s="8" t="str">
        <f>HDA[[#This Row],[Tubing (to NV) UnitID]]</f>
        <v>60-HM4-2.75</v>
      </c>
      <c r="CG29" s="8" t="str">
        <f>HDA[[#This Row],[Tubing (to PT) UnitID]]</f>
        <v>60-HM4-2.75</v>
      </c>
      <c r="CH29" s="8" t="str">
        <f>HDA[[#This Row],[Default Autoclave Body UnitID]]</f>
        <v>AC-R</v>
      </c>
      <c r="CI29" s="8" t="str">
        <f>HDA[[#This Row],[PT UnitID]]</f>
        <v>-</v>
      </c>
      <c r="CJ29" s="8" t="str">
        <f>IF(HDA[[#This Row],[Status]]=0,"",HDA[[#This Row],[Status]])</f>
        <v>Retired</v>
      </c>
    </row>
    <row r="30" spans="1:88">
      <c r="A30" s="36" t="s">
        <v>260</v>
      </c>
      <c r="B30" s="36" t="s">
        <v>958</v>
      </c>
      <c r="C30" s="18">
        <v>58000</v>
      </c>
      <c r="D30" s="18" t="s">
        <v>902</v>
      </c>
      <c r="E30" s="19" t="s">
        <v>959</v>
      </c>
      <c r="F30" s="19" t="s">
        <v>306</v>
      </c>
      <c r="G30" s="19" t="s">
        <v>241</v>
      </c>
      <c r="H30" s="18" t="s">
        <v>904</v>
      </c>
      <c r="I30" s="18" t="s">
        <v>904</v>
      </c>
      <c r="J30" s="18" t="s">
        <v>904</v>
      </c>
      <c r="K30" s="18">
        <v>25</v>
      </c>
      <c r="L30" s="36" t="s">
        <v>912</v>
      </c>
      <c r="M30" s="18" t="s">
        <v>222</v>
      </c>
      <c r="N30" s="18" t="s">
        <v>129</v>
      </c>
      <c r="O30" s="18" t="s">
        <v>129</v>
      </c>
      <c r="P30" s="58">
        <v>40087</v>
      </c>
      <c r="Q30" s="19"/>
      <c r="R30" s="19"/>
      <c r="S30" s="19"/>
      <c r="T30" s="19"/>
      <c r="X30" s="22"/>
      <c r="Y30" s="18"/>
      <c r="AC30" s="8"/>
      <c r="CA30" s="128" t="str">
        <f>HDA[[#This Row],[UID]]</f>
        <v>HDA-Z1</v>
      </c>
      <c r="CB30" s="8" t="str">
        <f>HDA[[#This Row],[Valve UnitID]]</f>
        <v>60-12HF4</v>
      </c>
      <c r="CC30" s="111" t="str">
        <f>HDA[[#This Row],[Safety Head UnitID]]</f>
        <v>SH-Z1</v>
      </c>
      <c r="CD30" s="111" t="str">
        <f>HDA[[#This Row],[Junction (Main) UnitID]]</f>
        <v>60-24HF4</v>
      </c>
      <c r="CE30" s="8" t="str">
        <f>HDA[[#This Row],[Tubing (to SH) UnitID]]</f>
        <v>60-HM4-2.75</v>
      </c>
      <c r="CF30" s="8" t="str">
        <f>HDA[[#This Row],[Tubing (to NV) UnitID]]</f>
        <v>60-HM4-2.75</v>
      </c>
      <c r="CG30" s="8" t="str">
        <f>HDA[[#This Row],[Tubing (to PT) UnitID]]</f>
        <v>60-HM4-2.75</v>
      </c>
      <c r="CH30" s="8" t="str">
        <f>HDA[[#This Row],[Default Autoclave Body UnitID]]</f>
        <v>AC-Z</v>
      </c>
      <c r="CI30" s="8" t="str">
        <f>HDA[[#This Row],[PT UnitID]]</f>
        <v>-</v>
      </c>
      <c r="CJ30" s="8" t="str">
        <f>IF(HDA[[#This Row],[Status]]=0,"",HDA[[#This Row],[Status]])</f>
        <v>Retired</v>
      </c>
    </row>
    <row r="31" spans="1:88">
      <c r="A31" s="36" t="s">
        <v>260</v>
      </c>
      <c r="B31" s="36" t="s">
        <v>960</v>
      </c>
      <c r="C31" s="18">
        <v>58000</v>
      </c>
      <c r="D31" s="18" t="s">
        <v>902</v>
      </c>
      <c r="E31" s="19" t="s">
        <v>961</v>
      </c>
      <c r="F31" s="19" t="s">
        <v>306</v>
      </c>
      <c r="G31" s="19" t="s">
        <v>241</v>
      </c>
      <c r="H31" s="18" t="s">
        <v>904</v>
      </c>
      <c r="I31" s="18" t="s">
        <v>904</v>
      </c>
      <c r="J31" s="18" t="s">
        <v>904</v>
      </c>
      <c r="K31" s="18">
        <v>25</v>
      </c>
      <c r="L31" s="36" t="s">
        <v>912</v>
      </c>
      <c r="M31" s="18" t="s">
        <v>222</v>
      </c>
      <c r="N31" s="18" t="s">
        <v>129</v>
      </c>
      <c r="O31" s="18" t="s">
        <v>129</v>
      </c>
      <c r="P31" s="58">
        <v>40087</v>
      </c>
      <c r="Q31" s="19"/>
      <c r="R31" s="19"/>
      <c r="S31" s="19"/>
      <c r="T31" s="19"/>
      <c r="X31" s="22"/>
      <c r="Y31" s="18"/>
      <c r="AC31" s="8"/>
      <c r="CA31" s="128" t="str">
        <f>HDA[[#This Row],[UID]]</f>
        <v>HDA-Z2</v>
      </c>
      <c r="CB31" s="8" t="str">
        <f>HDA[[#This Row],[Valve UnitID]]</f>
        <v>60-12HF4</v>
      </c>
      <c r="CC31" s="111" t="str">
        <f>HDA[[#This Row],[Safety Head UnitID]]</f>
        <v>SH-Z2</v>
      </c>
      <c r="CD31" s="111" t="str">
        <f>HDA[[#This Row],[Junction (Main) UnitID]]</f>
        <v>60-24HF4</v>
      </c>
      <c r="CE31" s="8" t="str">
        <f>HDA[[#This Row],[Tubing (to SH) UnitID]]</f>
        <v>60-HM4-2.75</v>
      </c>
      <c r="CF31" s="8" t="str">
        <f>HDA[[#This Row],[Tubing (to NV) UnitID]]</f>
        <v>60-HM4-2.75</v>
      </c>
      <c r="CG31" s="8" t="str">
        <f>HDA[[#This Row],[Tubing (to PT) UnitID]]</f>
        <v>60-HM4-2.75</v>
      </c>
      <c r="CH31" s="8" t="str">
        <f>HDA[[#This Row],[Default Autoclave Body UnitID]]</f>
        <v>AC-Z</v>
      </c>
      <c r="CI31" s="8" t="str">
        <f>HDA[[#This Row],[PT UnitID]]</f>
        <v>-</v>
      </c>
      <c r="CJ31" s="8" t="str">
        <f>IF(HDA[[#This Row],[Status]]=0,"",HDA[[#This Row],[Status]])</f>
        <v>Retired</v>
      </c>
    </row>
    <row r="32" spans="1:88">
      <c r="A32" s="36" t="s">
        <v>260</v>
      </c>
      <c r="B32" s="18" t="s">
        <v>962</v>
      </c>
      <c r="C32" s="28">
        <v>51000</v>
      </c>
      <c r="D32" s="18" t="s">
        <v>902</v>
      </c>
      <c r="E32" s="19" t="s">
        <v>963</v>
      </c>
      <c r="F32" s="19" t="s">
        <v>306</v>
      </c>
      <c r="G32" s="19" t="s">
        <v>129</v>
      </c>
      <c r="H32" s="18" t="s">
        <v>904</v>
      </c>
      <c r="I32" s="18" t="s">
        <v>904</v>
      </c>
      <c r="J32" s="18" t="s">
        <v>904</v>
      </c>
      <c r="K32" s="18">
        <v>17</v>
      </c>
      <c r="L32" s="18" t="s">
        <v>905</v>
      </c>
      <c r="M32" s="18" t="s">
        <v>157</v>
      </c>
      <c r="N32" s="18" t="s">
        <v>129</v>
      </c>
      <c r="O32" s="18" t="s">
        <v>129</v>
      </c>
      <c r="P32" s="59">
        <v>41900</v>
      </c>
      <c r="Q32" s="19"/>
      <c r="R32" s="19"/>
      <c r="S32" s="19"/>
      <c r="T32" s="19"/>
      <c r="X32" s="22"/>
      <c r="Y32" s="18"/>
      <c r="AC32" s="8"/>
      <c r="CA32" s="128" t="str">
        <f>HDA[[#This Row],[UID]]</f>
        <v>HDA-C3</v>
      </c>
      <c r="CB32" s="8" t="str">
        <f>HDA[[#This Row],[Valve UnitID]]</f>
        <v>60-12HF4</v>
      </c>
      <c r="CC32" s="111" t="str">
        <f>HDA[[#This Row],[Safety Head UnitID]]</f>
        <v>SH-C3</v>
      </c>
      <c r="CD32" s="111" t="str">
        <f>HDA[[#This Row],[Junction (Main) UnitID]]</f>
        <v>60-24HF4</v>
      </c>
      <c r="CE32" s="8" t="str">
        <f>HDA[[#This Row],[Tubing (to SH) UnitID]]</f>
        <v>60-HM4-2.75</v>
      </c>
      <c r="CF32" s="8" t="str">
        <f>HDA[[#This Row],[Tubing (to NV) UnitID]]</f>
        <v>60-HM4-2.75</v>
      </c>
      <c r="CG32" s="8" t="str">
        <f>HDA[[#This Row],[Tubing (to PT) UnitID]]</f>
        <v>60-HM4-2.75</v>
      </c>
      <c r="CH32" s="8" t="str">
        <f>HDA[[#This Row],[Default Autoclave Body UnitID]]</f>
        <v>AC-C</v>
      </c>
      <c r="CI32" s="8" t="str">
        <f>HDA[[#This Row],[PT UnitID]]</f>
        <v>-</v>
      </c>
      <c r="CJ32" s="8" t="str">
        <f>IF(HDA[[#This Row],[Status]]=0,"",HDA[[#This Row],[Status]])</f>
        <v>Retired</v>
      </c>
    </row>
    <row r="33" spans="1:88">
      <c r="A33" s="36" t="s">
        <v>260</v>
      </c>
      <c r="B33" s="36" t="s">
        <v>964</v>
      </c>
      <c r="C33" s="18">
        <v>51000</v>
      </c>
      <c r="D33" s="18" t="s">
        <v>902</v>
      </c>
      <c r="E33" s="19" t="s">
        <v>965</v>
      </c>
      <c r="F33" s="19" t="s">
        <v>306</v>
      </c>
      <c r="G33" s="19" t="s">
        <v>129</v>
      </c>
      <c r="H33" s="18" t="s">
        <v>904</v>
      </c>
      <c r="I33" s="18" t="s">
        <v>904</v>
      </c>
      <c r="J33" s="18" t="s">
        <v>904</v>
      </c>
      <c r="K33" s="28">
        <v>17</v>
      </c>
      <c r="L33" s="36" t="s">
        <v>905</v>
      </c>
      <c r="M33" s="18" t="s">
        <v>121</v>
      </c>
      <c r="N33" s="18" t="s">
        <v>129</v>
      </c>
      <c r="O33" s="18" t="s">
        <v>129</v>
      </c>
      <c r="P33" s="58">
        <v>42090</v>
      </c>
      <c r="Q33" s="19"/>
      <c r="R33" s="19"/>
      <c r="S33" s="19"/>
      <c r="T33" s="19"/>
      <c r="X33" s="22"/>
      <c r="Y33" s="18"/>
      <c r="AC33" s="8"/>
      <c r="CA33" s="128" t="str">
        <f>HDA[[#This Row],[UID]]</f>
        <v>HDA-A3</v>
      </c>
      <c r="CB33" s="8" t="str">
        <f>HDA[[#This Row],[Valve UnitID]]</f>
        <v>60-12HF4</v>
      </c>
      <c r="CC33" s="111" t="str">
        <f>HDA[[#This Row],[Safety Head UnitID]]</f>
        <v>SH-A3</v>
      </c>
      <c r="CD33" s="111" t="str">
        <f>HDA[[#This Row],[Junction (Main) UnitID]]</f>
        <v>60-24HF4</v>
      </c>
      <c r="CE33" s="8" t="str">
        <f>HDA[[#This Row],[Tubing (to SH) UnitID]]</f>
        <v>60-HM4-2.75</v>
      </c>
      <c r="CF33" s="8" t="str">
        <f>HDA[[#This Row],[Tubing (to NV) UnitID]]</f>
        <v>60-HM4-2.75</v>
      </c>
      <c r="CG33" s="8" t="str">
        <f>HDA[[#This Row],[Tubing (to PT) UnitID]]</f>
        <v>60-HM4-2.75</v>
      </c>
      <c r="CH33" s="8" t="str">
        <f>HDA[[#This Row],[Default Autoclave Body UnitID]]</f>
        <v>AC-A</v>
      </c>
      <c r="CI33" s="8" t="str">
        <f>HDA[[#This Row],[PT UnitID]]</f>
        <v>-</v>
      </c>
      <c r="CJ33" s="8" t="str">
        <f>IF(HDA[[#This Row],[Status]]=0,"",HDA[[#This Row],[Status]])</f>
        <v>Retired</v>
      </c>
    </row>
    <row r="34" spans="1:88">
      <c r="A34" s="18" t="s">
        <v>239</v>
      </c>
      <c r="B34" s="18" t="s">
        <v>966</v>
      </c>
      <c r="C34" s="18">
        <v>51000</v>
      </c>
      <c r="D34" s="18" t="s">
        <v>967</v>
      </c>
      <c r="E34" s="18" t="s">
        <v>968</v>
      </c>
      <c r="F34" s="18" t="s">
        <v>316</v>
      </c>
      <c r="G34" s="18" t="s">
        <v>129</v>
      </c>
      <c r="H34" s="18" t="s">
        <v>969</v>
      </c>
      <c r="I34" s="18" t="s">
        <v>970</v>
      </c>
      <c r="J34" s="18" t="s">
        <v>971</v>
      </c>
      <c r="K34" s="18">
        <v>17</v>
      </c>
      <c r="L34" s="18" t="s">
        <v>905</v>
      </c>
      <c r="M34" s="18" t="s">
        <v>121</v>
      </c>
      <c r="N34" s="18" t="s">
        <v>964</v>
      </c>
      <c r="O34" s="18">
        <v>1270323</v>
      </c>
      <c r="P34" s="58">
        <v>44866</v>
      </c>
      <c r="Q34" s="19"/>
      <c r="R34" s="19"/>
      <c r="S34" s="19"/>
      <c r="T34" s="19"/>
      <c r="X34" s="22"/>
      <c r="Y34" s="18"/>
      <c r="AC34" s="8"/>
      <c r="CA34" s="128" t="str">
        <f>HDA[[#This Row],[UID]]</f>
        <v>HDA-1</v>
      </c>
      <c r="CB34" s="8" t="str">
        <f>HDA[[#This Row],[Valve UnitID]]</f>
        <v>NV-24</v>
      </c>
      <c r="CC34" s="111" t="str">
        <f>HDA[[#This Row],[Safety Head UnitID]]</f>
        <v>SH-1</v>
      </c>
      <c r="CD34" s="111" t="str">
        <f>HDA[[#This Row],[Junction (Main) UnitID]]</f>
        <v>CR-9</v>
      </c>
      <c r="CE34" s="8" t="str">
        <f>HDA[[#This Row],[Tubing (to SH) UnitID]]</f>
        <v>TU-36</v>
      </c>
      <c r="CF34" s="8" t="str">
        <f>HDA[[#This Row],[Tubing (to NV) UnitID]]</f>
        <v>TU-7</v>
      </c>
      <c r="CG34" s="8" t="str">
        <f>HDA[[#This Row],[Tubing (to PT) UnitID]]</f>
        <v>TU-51</v>
      </c>
      <c r="CH34" s="8" t="str">
        <f>HDA[[#This Row],[Default Autoclave Body UnitID]]</f>
        <v>AC-A</v>
      </c>
      <c r="CI34" s="8">
        <f>HDA[[#This Row],[PT UnitID]]</f>
        <v>1270323</v>
      </c>
      <c r="CJ34" s="8" t="str">
        <f>IF(HDA[[#This Row],[Status]]=0,"",HDA[[#This Row],[Status]])</f>
        <v>Superceded</v>
      </c>
    </row>
    <row r="35" spans="1:88">
      <c r="A35" s="18" t="s">
        <v>120</v>
      </c>
      <c r="B35" s="18" t="s">
        <v>972</v>
      </c>
      <c r="C35" s="18">
        <v>47000</v>
      </c>
      <c r="D35" s="18" t="s">
        <v>973</v>
      </c>
      <c r="E35" s="18" t="s">
        <v>974</v>
      </c>
      <c r="F35" s="18" t="s">
        <v>317</v>
      </c>
      <c r="G35" s="18" t="s">
        <v>129</v>
      </c>
      <c r="H35" s="18" t="s">
        <v>975</v>
      </c>
      <c r="I35" s="18" t="s">
        <v>976</v>
      </c>
      <c r="J35" s="18" t="s">
        <v>977</v>
      </c>
      <c r="K35" s="18">
        <v>17</v>
      </c>
      <c r="L35" s="18" t="s">
        <v>905</v>
      </c>
      <c r="M35" s="18" t="s">
        <v>153</v>
      </c>
      <c r="N35" s="18" t="s">
        <v>908</v>
      </c>
      <c r="O35" s="18">
        <v>1270324</v>
      </c>
      <c r="P35" s="18" t="s">
        <v>129</v>
      </c>
      <c r="Q35" s="19"/>
      <c r="R35" s="19"/>
      <c r="S35" s="19"/>
      <c r="T35" s="19"/>
      <c r="X35" s="22"/>
      <c r="Y35" s="18"/>
      <c r="AC35" s="8"/>
      <c r="CA35" s="128" t="str">
        <f>HDA[[#This Row],[UID]]</f>
        <v>HDA-2</v>
      </c>
      <c r="CB35" s="8" t="str">
        <f>HDA[[#This Row],[Valve UnitID]]</f>
        <v>NV-1</v>
      </c>
      <c r="CC35" s="111" t="str">
        <f>HDA[[#This Row],[Safety Head UnitID]]</f>
        <v>SH-3</v>
      </c>
      <c r="CD35" s="111" t="str">
        <f>HDA[[#This Row],[Junction (Main) UnitID]]</f>
        <v>CR-10</v>
      </c>
      <c r="CE35" s="8" t="str">
        <f>HDA[[#This Row],[Tubing (to SH) UnitID]]</f>
        <v>TU-24</v>
      </c>
      <c r="CF35" s="8" t="str">
        <f>HDA[[#This Row],[Tubing (to NV) UnitID]]</f>
        <v>TU-32</v>
      </c>
      <c r="CG35" s="8" t="str">
        <f>HDA[[#This Row],[Tubing (to PT) UnitID]]</f>
        <v>TU-45</v>
      </c>
      <c r="CH35" s="8" t="str">
        <f>HDA[[#This Row],[Default Autoclave Body UnitID]]</f>
        <v>AC-B</v>
      </c>
      <c r="CI35" s="8">
        <f>HDA[[#This Row],[PT UnitID]]</f>
        <v>1270324</v>
      </c>
      <c r="CJ35" s="8" t="str">
        <f>IF(HDA[[#This Row],[Status]]=0,"",HDA[[#This Row],[Status]])</f>
        <v>Active</v>
      </c>
    </row>
    <row r="36" spans="1:88">
      <c r="A36" s="18" t="s">
        <v>120</v>
      </c>
      <c r="B36" s="18" t="s">
        <v>978</v>
      </c>
      <c r="C36" s="18">
        <v>51000</v>
      </c>
      <c r="D36" s="18" t="s">
        <v>979</v>
      </c>
      <c r="E36" s="18" t="s">
        <v>980</v>
      </c>
      <c r="F36" s="18" t="s">
        <v>318</v>
      </c>
      <c r="G36" s="18" t="s">
        <v>129</v>
      </c>
      <c r="H36" s="18" t="s">
        <v>981</v>
      </c>
      <c r="I36" s="18" t="s">
        <v>982</v>
      </c>
      <c r="J36" s="18" t="s">
        <v>983</v>
      </c>
      <c r="K36" s="18">
        <v>17</v>
      </c>
      <c r="L36" s="18" t="s">
        <v>905</v>
      </c>
      <c r="M36" s="18" t="s">
        <v>157</v>
      </c>
      <c r="N36" s="18" t="s">
        <v>915</v>
      </c>
      <c r="O36" s="18">
        <v>1270325</v>
      </c>
      <c r="P36" s="18" t="s">
        <v>129</v>
      </c>
      <c r="Q36" s="19"/>
      <c r="R36" s="19"/>
      <c r="S36" s="19"/>
      <c r="T36" s="19"/>
      <c r="X36" s="22"/>
      <c r="Y36" s="18"/>
      <c r="AC36" s="8"/>
      <c r="CA36" s="128" t="str">
        <f>HDA[[#This Row],[UID]]</f>
        <v>HDA-3</v>
      </c>
      <c r="CB36" s="8" t="str">
        <f>HDA[[#This Row],[Valve UnitID]]</f>
        <v>NV-3</v>
      </c>
      <c r="CC36" s="111" t="str">
        <f>HDA[[#This Row],[Safety Head UnitID]]</f>
        <v>SH-5</v>
      </c>
      <c r="CD36" s="111" t="str">
        <f>HDA[[#This Row],[Junction (Main) UnitID]]</f>
        <v>CR-11</v>
      </c>
      <c r="CE36" s="8" t="str">
        <f>HDA[[#This Row],[Tubing (to SH) UnitID]]</f>
        <v>TU-30</v>
      </c>
      <c r="CF36" s="8" t="str">
        <f>HDA[[#This Row],[Tubing (to NV) UnitID]]</f>
        <v>TU-54</v>
      </c>
      <c r="CG36" s="8" t="str">
        <f>HDA[[#This Row],[Tubing (to PT) UnitID]]</f>
        <v>TU-43</v>
      </c>
      <c r="CH36" s="8" t="str">
        <f>HDA[[#This Row],[Default Autoclave Body UnitID]]</f>
        <v>AC-C</v>
      </c>
      <c r="CI36" s="8">
        <f>HDA[[#This Row],[PT UnitID]]</f>
        <v>1270325</v>
      </c>
      <c r="CJ36" s="8" t="str">
        <f>IF(HDA[[#This Row],[Status]]=0,"",HDA[[#This Row],[Status]])</f>
        <v>Active</v>
      </c>
    </row>
    <row r="37" spans="1:88">
      <c r="A37" s="18" t="s">
        <v>120</v>
      </c>
      <c r="B37" s="18" t="s">
        <v>984</v>
      </c>
      <c r="C37" s="18">
        <v>51000</v>
      </c>
      <c r="D37" s="18" t="s">
        <v>985</v>
      </c>
      <c r="E37" s="18" t="s">
        <v>986</v>
      </c>
      <c r="F37" s="18" t="s">
        <v>319</v>
      </c>
      <c r="G37" s="18" t="s">
        <v>129</v>
      </c>
      <c r="H37" s="18" t="s">
        <v>987</v>
      </c>
      <c r="I37" s="18" t="s">
        <v>988</v>
      </c>
      <c r="J37" s="18" t="s">
        <v>989</v>
      </c>
      <c r="K37" s="18">
        <v>17</v>
      </c>
      <c r="L37" s="18" t="s">
        <v>905</v>
      </c>
      <c r="M37" s="18" t="s">
        <v>158</v>
      </c>
      <c r="N37" s="18" t="s">
        <v>919</v>
      </c>
      <c r="O37" s="18">
        <v>1270326</v>
      </c>
      <c r="P37" s="18" t="s">
        <v>129</v>
      </c>
      <c r="Q37" s="19"/>
      <c r="R37" s="19"/>
      <c r="S37" s="19"/>
      <c r="T37" s="19"/>
      <c r="X37" s="22"/>
      <c r="Y37" s="18"/>
      <c r="AC37" s="8"/>
      <c r="CA37" s="128" t="str">
        <f>HDA[[#This Row],[UID]]</f>
        <v>HDA-4</v>
      </c>
      <c r="CB37" s="8" t="str">
        <f>HDA[[#This Row],[Valve UnitID]]</f>
        <v>NV-4</v>
      </c>
      <c r="CC37" s="111" t="str">
        <f>HDA[[#This Row],[Safety Head UnitID]]</f>
        <v>SH-6</v>
      </c>
      <c r="CD37" s="111" t="str">
        <f>HDA[[#This Row],[Junction (Main) UnitID]]</f>
        <v>CR-12</v>
      </c>
      <c r="CE37" s="8" t="str">
        <f>HDA[[#This Row],[Tubing (to SH) UnitID]]</f>
        <v>TU-50</v>
      </c>
      <c r="CF37" s="8" t="str">
        <f>HDA[[#This Row],[Tubing (to NV) UnitID]]</f>
        <v>TU-55</v>
      </c>
      <c r="CG37" s="8" t="str">
        <f>HDA[[#This Row],[Tubing (to PT) UnitID]]</f>
        <v>TU-40</v>
      </c>
      <c r="CH37" s="8" t="str">
        <f>HDA[[#This Row],[Default Autoclave Body UnitID]]</f>
        <v>AC-D</v>
      </c>
      <c r="CI37" s="8">
        <f>HDA[[#This Row],[PT UnitID]]</f>
        <v>1270326</v>
      </c>
      <c r="CJ37" s="8" t="str">
        <f>IF(HDA[[#This Row],[Status]]=0,"",HDA[[#This Row],[Status]])</f>
        <v>Active</v>
      </c>
    </row>
    <row r="38" spans="1:88">
      <c r="A38" s="18" t="s">
        <v>120</v>
      </c>
      <c r="B38" s="18" t="s">
        <v>990</v>
      </c>
      <c r="C38" s="18">
        <v>22000</v>
      </c>
      <c r="D38" s="18" t="s">
        <v>991</v>
      </c>
      <c r="E38" s="18" t="s">
        <v>992</v>
      </c>
      <c r="F38" s="18" t="s">
        <v>320</v>
      </c>
      <c r="G38" s="18" t="s">
        <v>129</v>
      </c>
      <c r="H38" s="18" t="s">
        <v>993</v>
      </c>
      <c r="I38" s="18" t="s">
        <v>994</v>
      </c>
      <c r="J38" s="18" t="s">
        <v>129</v>
      </c>
      <c r="K38" s="18">
        <v>17</v>
      </c>
      <c r="L38" s="18" t="s">
        <v>905</v>
      </c>
      <c r="M38" s="18" t="s">
        <v>162</v>
      </c>
      <c r="N38" s="18" t="s">
        <v>925</v>
      </c>
      <c r="O38" s="18" t="s">
        <v>129</v>
      </c>
      <c r="P38" s="18" t="s">
        <v>129</v>
      </c>
      <c r="Q38" s="19"/>
      <c r="R38" s="19"/>
      <c r="S38" s="19"/>
      <c r="T38" s="19"/>
      <c r="X38" s="22"/>
      <c r="Y38" s="18"/>
      <c r="AC38" s="8"/>
      <c r="CA38" s="128" t="str">
        <f>HDA[[#This Row],[UID]]</f>
        <v>HDA-5</v>
      </c>
      <c r="CB38" s="8" t="str">
        <f>HDA[[#This Row],[Valve UnitID]]</f>
        <v>NV-5</v>
      </c>
      <c r="CC38" s="111" t="str">
        <f>HDA[[#This Row],[Safety Head UnitID]]</f>
        <v>SH-8</v>
      </c>
      <c r="CD38" s="111" t="str">
        <f>HDA[[#This Row],[Junction (Main) UnitID]]</f>
        <v>CR-13</v>
      </c>
      <c r="CE38" s="8" t="str">
        <f>HDA[[#This Row],[Tubing (to SH) UnitID]]</f>
        <v>TU-9</v>
      </c>
      <c r="CF38" s="8" t="str">
        <f>HDA[[#This Row],[Tubing (to NV) UnitID]]</f>
        <v>TU-29</v>
      </c>
      <c r="CG38" s="8" t="str">
        <f>HDA[[#This Row],[Tubing (to PT) UnitID]]</f>
        <v>-</v>
      </c>
      <c r="CH38" s="8" t="str">
        <f>HDA[[#This Row],[Default Autoclave Body UnitID]]</f>
        <v>AC-E</v>
      </c>
      <c r="CI38" s="8" t="str">
        <f>HDA[[#This Row],[PT UnitID]]</f>
        <v>-</v>
      </c>
      <c r="CJ38" s="8" t="str">
        <f>IF(HDA[[#This Row],[Status]]=0,"",HDA[[#This Row],[Status]])</f>
        <v>Active</v>
      </c>
    </row>
    <row r="39" spans="1:88">
      <c r="A39" s="18" t="s">
        <v>120</v>
      </c>
      <c r="B39" s="18" t="s">
        <v>995</v>
      </c>
      <c r="C39" s="18">
        <v>22000</v>
      </c>
      <c r="D39" s="18" t="s">
        <v>996</v>
      </c>
      <c r="E39" s="18" t="s">
        <v>997</v>
      </c>
      <c r="F39" s="18" t="s">
        <v>321</v>
      </c>
      <c r="G39" s="18" t="s">
        <v>129</v>
      </c>
      <c r="H39" s="18" t="s">
        <v>998</v>
      </c>
      <c r="I39" s="18" t="s">
        <v>999</v>
      </c>
      <c r="J39" s="18" t="s">
        <v>129</v>
      </c>
      <c r="K39" s="18">
        <v>17</v>
      </c>
      <c r="L39" s="18" t="s">
        <v>905</v>
      </c>
      <c r="M39" s="18" t="s">
        <v>166</v>
      </c>
      <c r="N39" s="18" t="s">
        <v>129</v>
      </c>
      <c r="O39" s="18" t="s">
        <v>129</v>
      </c>
      <c r="P39" s="18" t="s">
        <v>129</v>
      </c>
      <c r="Q39" s="19"/>
      <c r="R39" s="19"/>
      <c r="S39" s="19"/>
      <c r="T39" s="19"/>
      <c r="X39" s="22"/>
      <c r="Y39" s="18"/>
      <c r="AC39" s="8"/>
      <c r="CA39" s="128" t="str">
        <f>HDA[[#This Row],[UID]]</f>
        <v>HDA-6</v>
      </c>
      <c r="CB39" s="8" t="str">
        <f>HDA[[#This Row],[Valve UnitID]]</f>
        <v>NV-23</v>
      </c>
      <c r="CC39" s="111" t="str">
        <f>HDA[[#This Row],[Safety Head UnitID]]</f>
        <v>SH-10</v>
      </c>
      <c r="CD39" s="111" t="str">
        <f>HDA[[#This Row],[Junction (Main) UnitID]]</f>
        <v>CR-14</v>
      </c>
      <c r="CE39" s="8" t="str">
        <f>HDA[[#This Row],[Tubing (to SH) UnitID]]</f>
        <v>TU-34</v>
      </c>
      <c r="CF39" s="8" t="str">
        <f>HDA[[#This Row],[Tubing (to NV) UnitID]]</f>
        <v>TU-21</v>
      </c>
      <c r="CG39" s="8" t="str">
        <f>HDA[[#This Row],[Tubing (to PT) UnitID]]</f>
        <v>-</v>
      </c>
      <c r="CH39" s="8" t="str">
        <f>HDA[[#This Row],[Default Autoclave Body UnitID]]</f>
        <v>AC-F</v>
      </c>
      <c r="CI39" s="8" t="str">
        <f>HDA[[#This Row],[PT UnitID]]</f>
        <v>-</v>
      </c>
      <c r="CJ39" s="8" t="str">
        <f>IF(HDA[[#This Row],[Status]]=0,"",HDA[[#This Row],[Status]])</f>
        <v>Active</v>
      </c>
    </row>
    <row r="40" spans="1:88">
      <c r="A40" s="18" t="s">
        <v>120</v>
      </c>
      <c r="B40" s="18" t="s">
        <v>1000</v>
      </c>
      <c r="C40" s="18">
        <v>22000</v>
      </c>
      <c r="D40" s="18" t="s">
        <v>1001</v>
      </c>
      <c r="E40" s="18" t="s">
        <v>1002</v>
      </c>
      <c r="F40" s="18" t="s">
        <v>322</v>
      </c>
      <c r="G40" s="18" t="s">
        <v>129</v>
      </c>
      <c r="H40" s="18" t="s">
        <v>1003</v>
      </c>
      <c r="I40" s="18" t="s">
        <v>1004</v>
      </c>
      <c r="J40" s="18" t="s">
        <v>129</v>
      </c>
      <c r="K40" s="18">
        <v>17</v>
      </c>
      <c r="L40" s="18" t="s">
        <v>905</v>
      </c>
      <c r="M40" s="18" t="s">
        <v>167</v>
      </c>
      <c r="N40" s="18" t="s">
        <v>929</v>
      </c>
      <c r="O40" s="18" t="s">
        <v>129</v>
      </c>
      <c r="P40" s="18" t="s">
        <v>129</v>
      </c>
      <c r="Q40" s="19"/>
      <c r="R40" s="19"/>
      <c r="S40" s="19"/>
      <c r="T40" s="19"/>
      <c r="X40" s="22"/>
      <c r="Y40" s="18"/>
      <c r="AC40" s="8"/>
      <c r="CA40" s="128" t="str">
        <f>HDA[[#This Row],[UID]]</f>
        <v>HDA-7</v>
      </c>
      <c r="CB40" s="8" t="str">
        <f>HDA[[#This Row],[Valve UnitID]]</f>
        <v>NV-7</v>
      </c>
      <c r="CC40" s="111" t="str">
        <f>HDA[[#This Row],[Safety Head UnitID]]</f>
        <v>SH-12</v>
      </c>
      <c r="CD40" s="111" t="str">
        <f>HDA[[#This Row],[Junction (Main) UnitID]]</f>
        <v>CR-15</v>
      </c>
      <c r="CE40" s="8" t="str">
        <f>HDA[[#This Row],[Tubing (to SH) UnitID]]</f>
        <v>TU-52</v>
      </c>
      <c r="CF40" s="8" t="str">
        <f>HDA[[#This Row],[Tubing (to NV) UnitID]]</f>
        <v>TU-37</v>
      </c>
      <c r="CG40" s="8" t="str">
        <f>HDA[[#This Row],[Tubing (to PT) UnitID]]</f>
        <v>-</v>
      </c>
      <c r="CH40" s="8" t="str">
        <f>HDA[[#This Row],[Default Autoclave Body UnitID]]</f>
        <v>AC-G</v>
      </c>
      <c r="CI40" s="8" t="str">
        <f>HDA[[#This Row],[PT UnitID]]</f>
        <v>-</v>
      </c>
      <c r="CJ40" s="8" t="str">
        <f>IF(HDA[[#This Row],[Status]]=0,"",HDA[[#This Row],[Status]])</f>
        <v>Active</v>
      </c>
    </row>
    <row r="41" spans="1:88">
      <c r="A41" s="18" t="s">
        <v>239</v>
      </c>
      <c r="B41" s="18" t="s">
        <v>1005</v>
      </c>
      <c r="C41" s="18">
        <v>45000</v>
      </c>
      <c r="D41" s="18" t="s">
        <v>1006</v>
      </c>
      <c r="E41" s="18" t="s">
        <v>1007</v>
      </c>
      <c r="F41" s="18" t="s">
        <v>314</v>
      </c>
      <c r="G41" s="18" t="s">
        <v>261</v>
      </c>
      <c r="H41" s="18" t="s">
        <v>1008</v>
      </c>
      <c r="I41" s="18" t="s">
        <v>1009</v>
      </c>
      <c r="J41" s="18" t="s">
        <v>1010</v>
      </c>
      <c r="K41" s="18">
        <v>17</v>
      </c>
      <c r="L41" s="18" t="s">
        <v>905</v>
      </c>
      <c r="M41" s="18" t="s">
        <v>186</v>
      </c>
      <c r="N41" s="18" t="s">
        <v>952</v>
      </c>
      <c r="O41" s="18">
        <v>1265579</v>
      </c>
      <c r="P41" s="58">
        <v>44866</v>
      </c>
      <c r="Q41" s="19"/>
      <c r="R41" s="19"/>
      <c r="S41" s="19"/>
      <c r="T41" s="19"/>
      <c r="X41" s="22"/>
      <c r="Y41" s="18"/>
      <c r="AC41" s="8"/>
      <c r="CA41" s="128" t="str">
        <f>HDA[[#This Row],[UID]]</f>
        <v>HDA-8</v>
      </c>
      <c r="CB41" s="8" t="str">
        <f>HDA[[#This Row],[Valve UnitID]]</f>
        <v>NV-18</v>
      </c>
      <c r="CC41" s="111" t="str">
        <f>HDA[[#This Row],[Safety Head UnitID]]</f>
        <v>SH-20</v>
      </c>
      <c r="CD41" s="111" t="str">
        <f>HDA[[#This Row],[Junction (Main) UnitID]]</f>
        <v>CR-7</v>
      </c>
      <c r="CE41" s="8" t="str">
        <f>HDA[[#This Row],[Tubing (to SH) UnitID]]</f>
        <v>TU-38</v>
      </c>
      <c r="CF41" s="8" t="str">
        <f>HDA[[#This Row],[Tubing (to NV) UnitID]]</f>
        <v>TU-53</v>
      </c>
      <c r="CG41" s="8" t="str">
        <f>HDA[[#This Row],[Tubing (to PT) UnitID]]</f>
        <v>TU-47</v>
      </c>
      <c r="CH41" s="8" t="str">
        <f>HDA[[#This Row],[Default Autoclave Body UnitID]]</f>
        <v>AC-P</v>
      </c>
      <c r="CI41" s="8">
        <f>HDA[[#This Row],[PT UnitID]]</f>
        <v>1265579</v>
      </c>
      <c r="CJ41" s="8" t="str">
        <f>IF(HDA[[#This Row],[Status]]=0,"",HDA[[#This Row],[Status]])</f>
        <v>Superceded</v>
      </c>
    </row>
    <row r="42" spans="1:88">
      <c r="A42" s="18" t="s">
        <v>239</v>
      </c>
      <c r="B42" s="18" t="s">
        <v>1011</v>
      </c>
      <c r="C42" s="18">
        <v>51000</v>
      </c>
      <c r="D42" s="18" t="s">
        <v>1012</v>
      </c>
      <c r="E42" s="18" t="s">
        <v>1013</v>
      </c>
      <c r="F42" s="18" t="s">
        <v>312</v>
      </c>
      <c r="G42" s="18" t="s">
        <v>258</v>
      </c>
      <c r="H42" s="18" t="s">
        <v>1014</v>
      </c>
      <c r="I42" s="18" t="s">
        <v>1015</v>
      </c>
      <c r="J42" s="18" t="s">
        <v>1016</v>
      </c>
      <c r="K42" s="18">
        <v>17</v>
      </c>
      <c r="L42" s="18" t="s">
        <v>905</v>
      </c>
      <c r="M42" s="18" t="s">
        <v>190</v>
      </c>
      <c r="N42" s="18" t="s">
        <v>1017</v>
      </c>
      <c r="O42" s="18">
        <v>1265420</v>
      </c>
      <c r="P42" s="58">
        <v>44866</v>
      </c>
      <c r="Q42" s="19"/>
      <c r="R42" s="19"/>
      <c r="S42" s="19"/>
      <c r="T42" s="19"/>
      <c r="X42" s="22"/>
      <c r="Y42" s="18"/>
      <c r="AC42" s="8"/>
      <c r="CA42" s="128" t="str">
        <f>HDA[[#This Row],[UID]]</f>
        <v>HDA-9</v>
      </c>
      <c r="CB42" s="8" t="str">
        <f>HDA[[#This Row],[Valve UnitID]]</f>
        <v>NV-19</v>
      </c>
      <c r="CC42" s="111" t="str">
        <f>HDA[[#This Row],[Safety Head UnitID]]</f>
        <v>SH-23</v>
      </c>
      <c r="CD42" s="111" t="str">
        <f>HDA[[#This Row],[Junction (Main) UnitID]]</f>
        <v>CR-5</v>
      </c>
      <c r="CE42" s="8" t="str">
        <f>HDA[[#This Row],[Tubing (to SH) UnitID]]</f>
        <v>TU-1</v>
      </c>
      <c r="CF42" s="8" t="str">
        <f>HDA[[#This Row],[Tubing (to NV) UnitID]]</f>
        <v>TU-33</v>
      </c>
      <c r="CG42" s="8" t="str">
        <f>HDA[[#This Row],[Tubing (to PT) UnitID]]</f>
        <v>TU-58</v>
      </c>
      <c r="CH42" s="8" t="str">
        <f>HDA[[#This Row],[Default Autoclave Body UnitID]]</f>
        <v>AC-Q</v>
      </c>
      <c r="CI42" s="8">
        <f>HDA[[#This Row],[PT UnitID]]</f>
        <v>1265420</v>
      </c>
      <c r="CJ42" s="8" t="str">
        <f>IF(HDA[[#This Row],[Status]]=0,"",HDA[[#This Row],[Status]])</f>
        <v>Superceded</v>
      </c>
    </row>
    <row r="43" spans="1:88">
      <c r="A43" s="18" t="s">
        <v>120</v>
      </c>
      <c r="B43" s="18" t="s">
        <v>1018</v>
      </c>
      <c r="C43" s="18">
        <v>51000</v>
      </c>
      <c r="D43" s="18" t="s">
        <v>1019</v>
      </c>
      <c r="E43" s="18" t="s">
        <v>1020</v>
      </c>
      <c r="F43" s="18" t="s">
        <v>1021</v>
      </c>
      <c r="G43" s="18" t="s">
        <v>251</v>
      </c>
      <c r="H43" s="18" t="s">
        <v>1022</v>
      </c>
      <c r="I43" s="18" t="s">
        <v>969</v>
      </c>
      <c r="J43" s="18" t="s">
        <v>1023</v>
      </c>
      <c r="K43" s="18">
        <v>17</v>
      </c>
      <c r="L43" s="18" t="s">
        <v>905</v>
      </c>
      <c r="M43" s="18" t="s">
        <v>191</v>
      </c>
      <c r="N43" s="18" t="s">
        <v>956</v>
      </c>
      <c r="O43" s="18">
        <v>1265580</v>
      </c>
      <c r="P43" s="58">
        <v>44866</v>
      </c>
      <c r="Q43" s="19"/>
      <c r="R43" s="19"/>
      <c r="S43" s="19"/>
      <c r="T43" s="19"/>
      <c r="X43" s="22"/>
      <c r="Y43" s="18"/>
      <c r="AC43" s="8"/>
      <c r="CA43" s="128" t="str">
        <f>HDA[[#This Row],[UID]]</f>
        <v>HDA-10</v>
      </c>
      <c r="CB43" s="8" t="str">
        <f>HDA[[#This Row],[Valve UnitID]]</f>
        <v>NV-20</v>
      </c>
      <c r="CC43" s="111" t="str">
        <f>HDA[[#This Row],[Safety Head UnitID]]</f>
        <v>SH-25</v>
      </c>
      <c r="CD43" s="111" t="str">
        <f>HDA[[#This Row],[Junction (Main) UnitID]]</f>
        <v xml:space="preserve">CR-1 </v>
      </c>
      <c r="CE43" s="8" t="str">
        <f>HDA[[#This Row],[Tubing (to SH) UnitID]]</f>
        <v>TU-39</v>
      </c>
      <c r="CF43" s="8" t="str">
        <f>HDA[[#This Row],[Tubing (to NV) UnitID]]</f>
        <v>TU-36</v>
      </c>
      <c r="CG43" s="8" t="str">
        <f>HDA[[#This Row],[Tubing (to PT) UnitID]]</f>
        <v>TU-48</v>
      </c>
      <c r="CH43" s="8" t="str">
        <f>HDA[[#This Row],[Default Autoclave Body UnitID]]</f>
        <v>AC-R</v>
      </c>
      <c r="CI43" s="8">
        <f>HDA[[#This Row],[PT UnitID]]</f>
        <v>1265580</v>
      </c>
      <c r="CJ43" s="8" t="str">
        <f>IF(HDA[[#This Row],[Status]]=0,"",HDA[[#This Row],[Status]])</f>
        <v>Active</v>
      </c>
    </row>
    <row r="44" spans="1:88">
      <c r="A44" s="8" t="s">
        <v>120</v>
      </c>
      <c r="B44" s="18" t="s">
        <v>1024</v>
      </c>
      <c r="C44" s="18">
        <v>51000</v>
      </c>
      <c r="D44" s="18" t="s">
        <v>1012</v>
      </c>
      <c r="E44" s="18" t="s">
        <v>1013</v>
      </c>
      <c r="F44" s="18" t="s">
        <v>312</v>
      </c>
      <c r="G44" s="18" t="s">
        <v>258</v>
      </c>
      <c r="H44" s="18" t="s">
        <v>1014</v>
      </c>
      <c r="I44" s="18" t="s">
        <v>1015</v>
      </c>
      <c r="J44" s="18" t="s">
        <v>1025</v>
      </c>
      <c r="K44" s="18">
        <v>17</v>
      </c>
      <c r="L44" s="18" t="s">
        <v>905</v>
      </c>
      <c r="M44" s="18" t="s">
        <v>190</v>
      </c>
      <c r="N44" s="18" t="s">
        <v>1011</v>
      </c>
      <c r="O44" s="18">
        <v>1265578</v>
      </c>
      <c r="P44" s="58">
        <v>45015</v>
      </c>
      <c r="R44" s="19"/>
      <c r="S44" s="19"/>
      <c r="T44" s="19"/>
      <c r="CA44" s="128" t="str">
        <f>HDA[[#This Row],[UID]]</f>
        <v>HAD-11</v>
      </c>
      <c r="CB44" s="8" t="str">
        <f>HDA[[#This Row],[Valve UnitID]]</f>
        <v>NV-19</v>
      </c>
      <c r="CC44" s="111" t="str">
        <f>HDA[[#This Row],[Safety Head UnitID]]</f>
        <v>SH-23</v>
      </c>
      <c r="CD44" s="111" t="str">
        <f>HDA[[#This Row],[Junction (Main) UnitID]]</f>
        <v>CR-5</v>
      </c>
      <c r="CE44" s="8" t="str">
        <f>HDA[[#This Row],[Tubing (to SH) UnitID]]</f>
        <v>TU-1</v>
      </c>
      <c r="CF44" s="8" t="str">
        <f>HDA[[#This Row],[Tubing (to NV) UnitID]]</f>
        <v>TU-33</v>
      </c>
      <c r="CG44" s="8" t="str">
        <f>HDA[[#This Row],[Tubing (to PT) UnitID]]</f>
        <v>TU-46</v>
      </c>
      <c r="CH44" s="8" t="str">
        <f>HDA[[#This Row],[Default Autoclave Body UnitID]]</f>
        <v>AC-Q</v>
      </c>
      <c r="CI44" s="8">
        <f>HDA[[#This Row],[PT UnitID]]</f>
        <v>1265578</v>
      </c>
      <c r="CJ44" s="8" t="str">
        <f>IF(HDA[[#This Row],[Status]]=0,"",HDA[[#This Row],[Status]])</f>
        <v>Active</v>
      </c>
    </row>
    <row r="45" spans="1:88">
      <c r="A45" s="8" t="s">
        <v>120</v>
      </c>
      <c r="B45" s="18" t="s">
        <v>1026</v>
      </c>
      <c r="C45" s="18">
        <v>51000</v>
      </c>
      <c r="D45" s="18" t="s">
        <v>967</v>
      </c>
      <c r="E45" s="18" t="s">
        <v>968</v>
      </c>
      <c r="F45" s="18" t="s">
        <v>316</v>
      </c>
      <c r="G45" s="18" t="s">
        <v>129</v>
      </c>
      <c r="H45" s="18" t="s">
        <v>969</v>
      </c>
      <c r="I45" s="18" t="s">
        <v>970</v>
      </c>
      <c r="J45" s="18" t="s">
        <v>1027</v>
      </c>
      <c r="K45" s="18">
        <v>17</v>
      </c>
      <c r="L45" s="18" t="s">
        <v>905</v>
      </c>
      <c r="M45" s="18" t="s">
        <v>121</v>
      </c>
      <c r="N45" s="18" t="s">
        <v>966</v>
      </c>
      <c r="O45" s="18">
        <v>1456312</v>
      </c>
      <c r="P45" s="58">
        <v>44657</v>
      </c>
      <c r="CA45" s="128" t="str">
        <f>HDA[[#This Row],[UID]]</f>
        <v>HDA-12</v>
      </c>
      <c r="CB45" s="8" t="str">
        <f>HDA[[#This Row],[Valve UnitID]]</f>
        <v>NV-24</v>
      </c>
      <c r="CC45" s="111" t="str">
        <f>HDA[[#This Row],[Safety Head UnitID]]</f>
        <v>SH-1</v>
      </c>
      <c r="CD45" s="111" t="str">
        <f>HDA[[#This Row],[Junction (Main) UnitID]]</f>
        <v>CR-9</v>
      </c>
      <c r="CE45" s="8" t="str">
        <f>HDA[[#This Row],[Tubing (to SH) UnitID]]</f>
        <v>TU-36</v>
      </c>
      <c r="CF45" s="8" t="str">
        <f>HDA[[#This Row],[Tubing (to NV) UnitID]]</f>
        <v>TU-7</v>
      </c>
      <c r="CG45" s="8" t="str">
        <f>HDA[[#This Row],[Tubing (to PT) UnitID]]</f>
        <v>TU-42</v>
      </c>
      <c r="CH45" s="8" t="str">
        <f>HDA[[#This Row],[Default Autoclave Body UnitID]]</f>
        <v>AC-A</v>
      </c>
      <c r="CI45" s="8">
        <f>HDA[[#This Row],[PT UnitID]]</f>
        <v>1456312</v>
      </c>
      <c r="CJ45" s="8" t="str">
        <f>IF(HDA[[#This Row],[Status]]=0,"",HDA[[#This Row],[Status]])</f>
        <v>Active</v>
      </c>
    </row>
    <row r="46" spans="1:88">
      <c r="A46" s="8" t="s">
        <v>120</v>
      </c>
      <c r="B46" s="18" t="s">
        <v>1028</v>
      </c>
      <c r="C46" s="18">
        <v>45000</v>
      </c>
      <c r="D46" s="18" t="s">
        <v>1006</v>
      </c>
      <c r="E46" s="18" t="s">
        <v>1007</v>
      </c>
      <c r="F46" s="18" t="s">
        <v>314</v>
      </c>
      <c r="G46" s="18" t="s">
        <v>263</v>
      </c>
      <c r="H46" s="18" t="s">
        <v>1008</v>
      </c>
      <c r="I46" s="18" t="s">
        <v>1009</v>
      </c>
      <c r="J46" s="18" t="s">
        <v>1010</v>
      </c>
      <c r="K46" s="18">
        <v>17</v>
      </c>
      <c r="L46" s="18" t="s">
        <v>905</v>
      </c>
      <c r="M46" s="18" t="s">
        <v>186</v>
      </c>
      <c r="N46" s="18" t="s">
        <v>1005</v>
      </c>
      <c r="O46" s="18">
        <v>1265579</v>
      </c>
      <c r="P46" s="58">
        <v>45044</v>
      </c>
      <c r="CA46" s="128" t="str">
        <f>HDA[[#This Row],[UID]]</f>
        <v>HDA-13</v>
      </c>
      <c r="CB46" s="8" t="str">
        <f>HDA[[#This Row],[Valve UnitID]]</f>
        <v>NV-18</v>
      </c>
      <c r="CC46" s="111" t="str">
        <f>HDA[[#This Row],[Safety Head UnitID]]</f>
        <v>SH-20</v>
      </c>
      <c r="CD46" s="111" t="str">
        <f>HDA[[#This Row],[Junction (Main) UnitID]]</f>
        <v>CR-7</v>
      </c>
      <c r="CE46" s="8" t="str">
        <f>HDA[[#This Row],[Tubing (to SH) UnitID]]</f>
        <v>TU-38</v>
      </c>
      <c r="CF46" s="8" t="str">
        <f>HDA[[#This Row],[Tubing (to NV) UnitID]]</f>
        <v>TU-53</v>
      </c>
      <c r="CG46" s="8" t="str">
        <f>HDA[[#This Row],[Tubing (to PT) UnitID]]</f>
        <v>TU-47</v>
      </c>
      <c r="CH46" s="8" t="str">
        <f>HDA[[#This Row],[Default Autoclave Body UnitID]]</f>
        <v>AC-P</v>
      </c>
      <c r="CI46" s="8">
        <f>HDA[[#This Row],[PT UnitID]]</f>
        <v>1265579</v>
      </c>
      <c r="CJ46" s="8" t="str">
        <f>IF(HDA[[#This Row],[Status]]=0,"",HDA[[#This Row],[Status]])</f>
        <v>Active</v>
      </c>
    </row>
    <row r="47" spans="1:88">
      <c r="A47" s="8"/>
      <c r="C47" s="18"/>
      <c r="E47" s="19"/>
      <c r="F47" s="19"/>
      <c r="CA47" s="128">
        <f>HDA[[#This Row],[UID]]</f>
        <v>0</v>
      </c>
      <c r="CB47" s="8">
        <f>HDA[[#This Row],[Valve UnitID]]</f>
        <v>0</v>
      </c>
      <c r="CC47" s="111">
        <f>HDA[[#This Row],[Safety Head UnitID]]</f>
        <v>0</v>
      </c>
      <c r="CD47" s="111">
        <f>HDA[[#This Row],[Junction (Main) UnitID]]</f>
        <v>0</v>
      </c>
      <c r="CE47" s="8">
        <f>HDA[[#This Row],[Tubing (to SH) UnitID]]</f>
        <v>0</v>
      </c>
      <c r="CF47" s="8">
        <f>HDA[[#This Row],[Tubing (to NV) UnitID]]</f>
        <v>0</v>
      </c>
      <c r="CG47" s="8">
        <f>HDA[[#This Row],[Tubing (to PT) UnitID]]</f>
        <v>0</v>
      </c>
      <c r="CH47" s="8">
        <f>HDA[[#This Row],[Default Autoclave Body UnitID]]</f>
        <v>0</v>
      </c>
      <c r="CI47" s="8">
        <f>HDA[[#This Row],[PT UnitID]]</f>
        <v>0</v>
      </c>
      <c r="CJ47" s="8" t="str">
        <f>IF(HDA[[#This Row],[Status]]=0,"",HDA[[#This Row],[Status]])</f>
        <v/>
      </c>
    </row>
    <row r="48" spans="1:88">
      <c r="A48" s="8"/>
      <c r="C48" s="18"/>
      <c r="E48" s="19"/>
      <c r="F48" s="19"/>
      <c r="CA48" s="128">
        <f>HDA[[#This Row],[UID]]</f>
        <v>0</v>
      </c>
      <c r="CB48" s="8">
        <f>HDA[[#This Row],[Valve UnitID]]</f>
        <v>0</v>
      </c>
      <c r="CC48" s="111">
        <f>HDA[[#This Row],[Safety Head UnitID]]</f>
        <v>0</v>
      </c>
      <c r="CD48" s="111">
        <f>HDA[[#This Row],[Junction (Main) UnitID]]</f>
        <v>0</v>
      </c>
      <c r="CE48" s="8">
        <f>HDA[[#This Row],[Tubing (to SH) UnitID]]</f>
        <v>0</v>
      </c>
      <c r="CF48" s="8">
        <f>HDA[[#This Row],[Tubing (to NV) UnitID]]</f>
        <v>0</v>
      </c>
      <c r="CG48" s="8">
        <f>HDA[[#This Row],[Tubing (to PT) UnitID]]</f>
        <v>0</v>
      </c>
      <c r="CH48" s="8">
        <f>HDA[[#This Row],[Default Autoclave Body UnitID]]</f>
        <v>0</v>
      </c>
      <c r="CI48" s="8">
        <f>HDA[[#This Row],[PT UnitID]]</f>
        <v>0</v>
      </c>
      <c r="CJ48" s="8" t="str">
        <f>IF(HDA[[#This Row],[Status]]=0,"",HDA[[#This Row],[Status]])</f>
        <v/>
      </c>
    </row>
    <row r="49" spans="1:88">
      <c r="A49" s="8"/>
      <c r="C49" s="18"/>
      <c r="E49" s="19"/>
      <c r="F49" s="19"/>
      <c r="CA49" s="128">
        <f>HDA[[#This Row],[UID]]</f>
        <v>0</v>
      </c>
      <c r="CB49" s="8">
        <f>HDA[[#This Row],[Valve UnitID]]</f>
        <v>0</v>
      </c>
      <c r="CC49" s="111">
        <f>HDA[[#This Row],[Safety Head UnitID]]</f>
        <v>0</v>
      </c>
      <c r="CD49" s="111">
        <f>HDA[[#This Row],[Junction (Main) UnitID]]</f>
        <v>0</v>
      </c>
      <c r="CE49" s="8">
        <f>HDA[[#This Row],[Tubing (to SH) UnitID]]</f>
        <v>0</v>
      </c>
      <c r="CF49" s="8">
        <f>HDA[[#This Row],[Tubing (to NV) UnitID]]</f>
        <v>0</v>
      </c>
      <c r="CG49" s="8">
        <f>HDA[[#This Row],[Tubing (to PT) UnitID]]</f>
        <v>0</v>
      </c>
      <c r="CH49" s="8">
        <f>HDA[[#This Row],[Default Autoclave Body UnitID]]</f>
        <v>0</v>
      </c>
      <c r="CI49" s="8">
        <f>HDA[[#This Row],[PT UnitID]]</f>
        <v>0</v>
      </c>
      <c r="CJ49" s="8" t="str">
        <f>IF(HDA[[#This Row],[Status]]=0,"",HDA[[#This Row],[Status]])</f>
        <v/>
      </c>
    </row>
    <row r="50" spans="1:88">
      <c r="A50" s="8"/>
      <c r="C50" s="18"/>
      <c r="E50" s="19"/>
      <c r="F50" s="19"/>
      <c r="CA50" s="128">
        <f>HDA[[#This Row],[UID]]</f>
        <v>0</v>
      </c>
      <c r="CB50" s="8">
        <f>HDA[[#This Row],[Valve UnitID]]</f>
        <v>0</v>
      </c>
      <c r="CC50" s="111">
        <f>HDA[[#This Row],[Safety Head UnitID]]</f>
        <v>0</v>
      </c>
      <c r="CD50" s="111">
        <f>HDA[[#This Row],[Junction (Main) UnitID]]</f>
        <v>0</v>
      </c>
      <c r="CE50" s="8">
        <f>HDA[[#This Row],[Tubing (to SH) UnitID]]</f>
        <v>0</v>
      </c>
      <c r="CF50" s="8">
        <f>HDA[[#This Row],[Tubing (to NV) UnitID]]</f>
        <v>0</v>
      </c>
      <c r="CG50" s="8">
        <f>HDA[[#This Row],[Tubing (to PT) UnitID]]</f>
        <v>0</v>
      </c>
      <c r="CH50" s="8">
        <f>HDA[[#This Row],[Default Autoclave Body UnitID]]</f>
        <v>0</v>
      </c>
      <c r="CI50" s="8">
        <f>HDA[[#This Row],[PT UnitID]]</f>
        <v>0</v>
      </c>
      <c r="CJ50" s="8" t="str">
        <f>IF(HDA[[#This Row],[Status]]=0,"",HDA[[#This Row],[Status]])</f>
        <v/>
      </c>
    </row>
    <row r="51" spans="1:88">
      <c r="A51" s="8"/>
      <c r="C51" s="18"/>
      <c r="E51" s="19"/>
      <c r="F51" s="19"/>
      <c r="CA51" s="128">
        <f>HDA[[#This Row],[UID]]</f>
        <v>0</v>
      </c>
      <c r="CB51" s="8">
        <f>HDA[[#This Row],[Valve UnitID]]</f>
        <v>0</v>
      </c>
      <c r="CC51" s="111">
        <f>HDA[[#This Row],[Safety Head UnitID]]</f>
        <v>0</v>
      </c>
      <c r="CD51" s="111">
        <f>HDA[[#This Row],[Junction (Main) UnitID]]</f>
        <v>0</v>
      </c>
      <c r="CE51" s="8">
        <f>HDA[[#This Row],[Tubing (to SH) UnitID]]</f>
        <v>0</v>
      </c>
      <c r="CF51" s="8">
        <f>HDA[[#This Row],[Tubing (to NV) UnitID]]</f>
        <v>0</v>
      </c>
      <c r="CG51" s="8">
        <f>HDA[[#This Row],[Tubing (to PT) UnitID]]</f>
        <v>0</v>
      </c>
      <c r="CH51" s="8">
        <f>HDA[[#This Row],[Default Autoclave Body UnitID]]</f>
        <v>0</v>
      </c>
      <c r="CI51" s="8">
        <f>HDA[[#This Row],[PT UnitID]]</f>
        <v>0</v>
      </c>
      <c r="CJ51" s="8" t="str">
        <f>IF(HDA[[#This Row],[Status]]=0,"",HDA[[#This Row],[Status]])</f>
        <v/>
      </c>
    </row>
    <row r="52" spans="1:88">
      <c r="A52" s="8"/>
      <c r="C52" s="18"/>
      <c r="E52" s="19"/>
      <c r="F52" s="19"/>
      <c r="CA52" s="128">
        <f>HDA[[#This Row],[UID]]</f>
        <v>0</v>
      </c>
      <c r="CB52" s="8">
        <f>HDA[[#This Row],[Valve UnitID]]</f>
        <v>0</v>
      </c>
      <c r="CC52" s="111">
        <f>HDA[[#This Row],[Safety Head UnitID]]</f>
        <v>0</v>
      </c>
      <c r="CD52" s="111">
        <f>HDA[[#This Row],[Junction (Main) UnitID]]</f>
        <v>0</v>
      </c>
      <c r="CE52" s="8">
        <f>HDA[[#This Row],[Tubing (to SH) UnitID]]</f>
        <v>0</v>
      </c>
      <c r="CF52" s="8">
        <f>HDA[[#This Row],[Tubing (to NV) UnitID]]</f>
        <v>0</v>
      </c>
      <c r="CG52" s="8">
        <f>HDA[[#This Row],[Tubing (to PT) UnitID]]</f>
        <v>0</v>
      </c>
      <c r="CH52" s="8">
        <f>HDA[[#This Row],[Default Autoclave Body UnitID]]</f>
        <v>0</v>
      </c>
      <c r="CI52" s="8">
        <f>HDA[[#This Row],[PT UnitID]]</f>
        <v>0</v>
      </c>
      <c r="CJ52" s="8" t="str">
        <f>IF(HDA[[#This Row],[Status]]=0,"",HDA[[#This Row],[Status]])</f>
        <v/>
      </c>
    </row>
    <row r="53" spans="1:88">
      <c r="A53" s="8"/>
      <c r="C53" s="18"/>
      <c r="E53" s="19"/>
      <c r="F53" s="19"/>
      <c r="CA53" s="128">
        <f>HDA[[#This Row],[UID]]</f>
        <v>0</v>
      </c>
      <c r="CB53" s="8">
        <f>HDA[[#This Row],[Valve UnitID]]</f>
        <v>0</v>
      </c>
      <c r="CC53" s="111">
        <f>HDA[[#This Row],[Safety Head UnitID]]</f>
        <v>0</v>
      </c>
      <c r="CD53" s="111">
        <f>HDA[[#This Row],[Junction (Main) UnitID]]</f>
        <v>0</v>
      </c>
      <c r="CE53" s="8">
        <f>HDA[[#This Row],[Tubing (to SH) UnitID]]</f>
        <v>0</v>
      </c>
      <c r="CF53" s="8">
        <f>HDA[[#This Row],[Tubing (to NV) UnitID]]</f>
        <v>0</v>
      </c>
      <c r="CG53" s="8">
        <f>HDA[[#This Row],[Tubing (to PT) UnitID]]</f>
        <v>0</v>
      </c>
      <c r="CH53" s="8">
        <f>HDA[[#This Row],[Default Autoclave Body UnitID]]</f>
        <v>0</v>
      </c>
      <c r="CI53" s="8">
        <f>HDA[[#This Row],[PT UnitID]]</f>
        <v>0</v>
      </c>
      <c r="CJ53" s="8" t="str">
        <f>IF(HDA[[#This Row],[Status]]=0,"",HDA[[#This Row],[Status]])</f>
        <v/>
      </c>
    </row>
    <row r="54" spans="1:88">
      <c r="A54" s="8"/>
      <c r="C54" s="18"/>
      <c r="E54" s="19"/>
      <c r="F54" s="19"/>
      <c r="CA54" s="128">
        <f>HDA[[#This Row],[UID]]</f>
        <v>0</v>
      </c>
      <c r="CB54" s="8">
        <f>HDA[[#This Row],[Valve UnitID]]</f>
        <v>0</v>
      </c>
      <c r="CC54" s="111">
        <f>HDA[[#This Row],[Safety Head UnitID]]</f>
        <v>0</v>
      </c>
      <c r="CD54" s="111">
        <f>HDA[[#This Row],[Junction (Main) UnitID]]</f>
        <v>0</v>
      </c>
      <c r="CE54" s="8">
        <f>HDA[[#This Row],[Tubing (to SH) UnitID]]</f>
        <v>0</v>
      </c>
      <c r="CF54" s="8">
        <f>HDA[[#This Row],[Tubing (to NV) UnitID]]</f>
        <v>0</v>
      </c>
      <c r="CG54" s="8">
        <f>HDA[[#This Row],[Tubing (to PT) UnitID]]</f>
        <v>0</v>
      </c>
      <c r="CH54" s="8">
        <f>HDA[[#This Row],[Default Autoclave Body UnitID]]</f>
        <v>0</v>
      </c>
      <c r="CI54" s="8">
        <f>HDA[[#This Row],[PT UnitID]]</f>
        <v>0</v>
      </c>
      <c r="CJ54" s="8" t="str">
        <f>IF(HDA[[#This Row],[Status]]=0,"",HDA[[#This Row],[Status]])</f>
        <v/>
      </c>
    </row>
    <row r="55" spans="1:88">
      <c r="A55" s="8"/>
      <c r="C55" s="18"/>
      <c r="E55" s="19"/>
      <c r="F55" s="19"/>
      <c r="CA55" s="128">
        <f>HDA[[#This Row],[UID]]</f>
        <v>0</v>
      </c>
      <c r="CB55" s="8">
        <f>HDA[[#This Row],[Valve UnitID]]</f>
        <v>0</v>
      </c>
      <c r="CC55" s="111">
        <f>HDA[[#This Row],[Safety Head UnitID]]</f>
        <v>0</v>
      </c>
      <c r="CD55" s="111">
        <f>HDA[[#This Row],[Junction (Main) UnitID]]</f>
        <v>0</v>
      </c>
      <c r="CE55" s="8">
        <f>HDA[[#This Row],[Tubing (to SH) UnitID]]</f>
        <v>0</v>
      </c>
      <c r="CF55" s="8">
        <f>HDA[[#This Row],[Tubing (to NV) UnitID]]</f>
        <v>0</v>
      </c>
      <c r="CG55" s="8">
        <f>HDA[[#This Row],[Tubing (to PT) UnitID]]</f>
        <v>0</v>
      </c>
      <c r="CH55" s="8">
        <f>HDA[[#This Row],[Default Autoclave Body UnitID]]</f>
        <v>0</v>
      </c>
      <c r="CI55" s="8">
        <f>HDA[[#This Row],[PT UnitID]]</f>
        <v>0</v>
      </c>
      <c r="CJ55" s="8" t="str">
        <f>IF(HDA[[#This Row],[Status]]=0,"",HDA[[#This Row],[Status]])</f>
        <v/>
      </c>
    </row>
    <row r="56" spans="1:88">
      <c r="A56" s="8"/>
      <c r="C56" s="18"/>
      <c r="E56" s="19"/>
      <c r="F56" s="19"/>
      <c r="CA56" s="128">
        <f>HDA[[#This Row],[UID]]</f>
        <v>0</v>
      </c>
      <c r="CB56" s="8">
        <f>HDA[[#This Row],[Valve UnitID]]</f>
        <v>0</v>
      </c>
      <c r="CC56" s="111">
        <f>HDA[[#This Row],[Safety Head UnitID]]</f>
        <v>0</v>
      </c>
      <c r="CD56" s="111">
        <f>HDA[[#This Row],[Junction (Main) UnitID]]</f>
        <v>0</v>
      </c>
      <c r="CE56" s="8">
        <f>HDA[[#This Row],[Tubing (to SH) UnitID]]</f>
        <v>0</v>
      </c>
      <c r="CF56" s="8">
        <f>HDA[[#This Row],[Tubing (to NV) UnitID]]</f>
        <v>0</v>
      </c>
      <c r="CG56" s="8">
        <f>HDA[[#This Row],[Tubing (to PT) UnitID]]</f>
        <v>0</v>
      </c>
      <c r="CH56" s="8">
        <f>HDA[[#This Row],[Default Autoclave Body UnitID]]</f>
        <v>0</v>
      </c>
      <c r="CI56" s="8">
        <f>HDA[[#This Row],[PT UnitID]]</f>
        <v>0</v>
      </c>
      <c r="CJ56" s="8" t="str">
        <f>IF(HDA[[#This Row],[Status]]=0,"",HDA[[#This Row],[Status]])</f>
        <v/>
      </c>
    </row>
    <row r="57" spans="1:88">
      <c r="A57" s="8"/>
      <c r="C57" s="18"/>
      <c r="E57" s="19"/>
      <c r="F57" s="19"/>
      <c r="CA57" s="128">
        <f>HDA[[#This Row],[UID]]</f>
        <v>0</v>
      </c>
      <c r="CB57" s="8">
        <f>HDA[[#This Row],[Valve UnitID]]</f>
        <v>0</v>
      </c>
      <c r="CC57" s="111">
        <f>HDA[[#This Row],[Safety Head UnitID]]</f>
        <v>0</v>
      </c>
      <c r="CD57" s="111">
        <f>HDA[[#This Row],[Junction (Main) UnitID]]</f>
        <v>0</v>
      </c>
      <c r="CE57" s="8">
        <f>HDA[[#This Row],[Tubing (to SH) UnitID]]</f>
        <v>0</v>
      </c>
      <c r="CF57" s="8">
        <f>HDA[[#This Row],[Tubing (to NV) UnitID]]</f>
        <v>0</v>
      </c>
      <c r="CG57" s="8">
        <f>HDA[[#This Row],[Tubing (to PT) UnitID]]</f>
        <v>0</v>
      </c>
      <c r="CH57" s="8">
        <f>HDA[[#This Row],[Default Autoclave Body UnitID]]</f>
        <v>0</v>
      </c>
      <c r="CI57" s="8">
        <f>HDA[[#This Row],[PT UnitID]]</f>
        <v>0</v>
      </c>
      <c r="CJ57" s="8" t="str">
        <f>IF(HDA[[#This Row],[Status]]=0,"",HDA[[#This Row],[Status]])</f>
        <v/>
      </c>
    </row>
    <row r="58" spans="1:88">
      <c r="A58" s="8"/>
      <c r="C58" s="18"/>
      <c r="E58" s="19"/>
      <c r="F58" s="19"/>
      <c r="CA58" s="128">
        <f>HDA[[#This Row],[UID]]</f>
        <v>0</v>
      </c>
      <c r="CB58" s="8">
        <f>HDA[[#This Row],[Valve UnitID]]</f>
        <v>0</v>
      </c>
      <c r="CC58" s="111">
        <f>HDA[[#This Row],[Safety Head UnitID]]</f>
        <v>0</v>
      </c>
      <c r="CD58" s="111">
        <f>HDA[[#This Row],[Junction (Main) UnitID]]</f>
        <v>0</v>
      </c>
      <c r="CE58" s="8">
        <f>HDA[[#This Row],[Tubing (to SH) UnitID]]</f>
        <v>0</v>
      </c>
      <c r="CF58" s="8">
        <f>HDA[[#This Row],[Tubing (to NV) UnitID]]</f>
        <v>0</v>
      </c>
      <c r="CG58" s="8">
        <f>HDA[[#This Row],[Tubing (to PT) UnitID]]</f>
        <v>0</v>
      </c>
      <c r="CH58" s="8">
        <f>HDA[[#This Row],[Default Autoclave Body UnitID]]</f>
        <v>0</v>
      </c>
      <c r="CI58" s="8">
        <f>HDA[[#This Row],[PT UnitID]]</f>
        <v>0</v>
      </c>
      <c r="CJ58" s="8" t="str">
        <f>IF(HDA[[#This Row],[Status]]=0,"",HDA[[#This Row],[Status]])</f>
        <v/>
      </c>
    </row>
    <row r="59" spans="1:88">
      <c r="A59" s="8"/>
      <c r="C59" s="18"/>
      <c r="E59" s="19"/>
      <c r="F59" s="19"/>
      <c r="CA59" s="128">
        <f>HDA[[#This Row],[UID]]</f>
        <v>0</v>
      </c>
      <c r="CB59" s="8">
        <f>HDA[[#This Row],[Valve UnitID]]</f>
        <v>0</v>
      </c>
      <c r="CC59" s="111">
        <f>HDA[[#This Row],[Safety Head UnitID]]</f>
        <v>0</v>
      </c>
      <c r="CD59" s="111">
        <f>HDA[[#This Row],[Junction (Main) UnitID]]</f>
        <v>0</v>
      </c>
      <c r="CE59" s="8">
        <f>HDA[[#This Row],[Tubing (to SH) UnitID]]</f>
        <v>0</v>
      </c>
      <c r="CF59" s="8">
        <f>HDA[[#This Row],[Tubing (to NV) UnitID]]</f>
        <v>0</v>
      </c>
      <c r="CG59" s="8">
        <f>HDA[[#This Row],[Tubing (to PT) UnitID]]</f>
        <v>0</v>
      </c>
      <c r="CH59" s="8">
        <f>HDA[[#This Row],[Default Autoclave Body UnitID]]</f>
        <v>0</v>
      </c>
      <c r="CI59" s="8">
        <f>HDA[[#This Row],[PT UnitID]]</f>
        <v>0</v>
      </c>
      <c r="CJ59" s="8" t="str">
        <f>IF(HDA[[#This Row],[Status]]=0,"",HDA[[#This Row],[Status]])</f>
        <v/>
      </c>
    </row>
    <row r="60" spans="1:88">
      <c r="A60" s="8"/>
      <c r="C60" s="18"/>
      <c r="E60" s="19"/>
      <c r="F60" s="19"/>
      <c r="CA60" s="128">
        <f>HDA[[#This Row],[UID]]</f>
        <v>0</v>
      </c>
      <c r="CB60" s="8">
        <f>HDA[[#This Row],[Valve UnitID]]</f>
        <v>0</v>
      </c>
      <c r="CC60" s="111">
        <f>HDA[[#This Row],[Safety Head UnitID]]</f>
        <v>0</v>
      </c>
      <c r="CD60" s="111">
        <f>HDA[[#This Row],[Junction (Main) UnitID]]</f>
        <v>0</v>
      </c>
      <c r="CE60" s="8">
        <f>HDA[[#This Row],[Tubing (to SH) UnitID]]</f>
        <v>0</v>
      </c>
      <c r="CF60" s="8">
        <f>HDA[[#This Row],[Tubing (to NV) UnitID]]</f>
        <v>0</v>
      </c>
      <c r="CG60" s="8">
        <f>HDA[[#This Row],[Tubing (to PT) UnitID]]</f>
        <v>0</v>
      </c>
      <c r="CH60" s="8">
        <f>HDA[[#This Row],[Default Autoclave Body UnitID]]</f>
        <v>0</v>
      </c>
      <c r="CI60" s="8">
        <f>HDA[[#This Row],[PT UnitID]]</f>
        <v>0</v>
      </c>
      <c r="CJ60" s="8" t="str">
        <f>IF(HDA[[#This Row],[Status]]=0,"",HDA[[#This Row],[Status]])</f>
        <v/>
      </c>
    </row>
    <row r="61" spans="1:88">
      <c r="A61" s="8"/>
      <c r="C61" s="18"/>
      <c r="E61" s="19"/>
      <c r="F61" s="19"/>
      <c r="CA61" s="128">
        <f>HDA[[#This Row],[UID]]</f>
        <v>0</v>
      </c>
      <c r="CB61" s="8">
        <f>HDA[[#This Row],[Valve UnitID]]</f>
        <v>0</v>
      </c>
      <c r="CC61" s="111">
        <f>HDA[[#This Row],[Safety Head UnitID]]</f>
        <v>0</v>
      </c>
      <c r="CD61" s="111">
        <f>HDA[[#This Row],[Junction (Main) UnitID]]</f>
        <v>0</v>
      </c>
      <c r="CE61" s="8">
        <f>HDA[[#This Row],[Tubing (to SH) UnitID]]</f>
        <v>0</v>
      </c>
      <c r="CF61" s="8">
        <f>HDA[[#This Row],[Tubing (to NV) UnitID]]</f>
        <v>0</v>
      </c>
      <c r="CG61" s="8">
        <f>HDA[[#This Row],[Tubing (to PT) UnitID]]</f>
        <v>0</v>
      </c>
      <c r="CH61" s="8">
        <f>HDA[[#This Row],[Default Autoclave Body UnitID]]</f>
        <v>0</v>
      </c>
      <c r="CI61" s="8">
        <f>HDA[[#This Row],[PT UnitID]]</f>
        <v>0</v>
      </c>
      <c r="CJ61" s="8" t="str">
        <f>IF(HDA[[#This Row],[Status]]=0,"",HDA[[#This Row],[Status]])</f>
        <v/>
      </c>
    </row>
    <row r="62" spans="1:88">
      <c r="A62" s="8"/>
      <c r="C62" s="18"/>
      <c r="E62" s="19"/>
      <c r="F62" s="19"/>
      <c r="CA62" s="128">
        <f>HDA[[#This Row],[UID]]</f>
        <v>0</v>
      </c>
      <c r="CB62" s="8">
        <f>HDA[[#This Row],[Valve UnitID]]</f>
        <v>0</v>
      </c>
      <c r="CC62" s="111">
        <f>HDA[[#This Row],[Safety Head UnitID]]</f>
        <v>0</v>
      </c>
      <c r="CD62" s="111">
        <f>HDA[[#This Row],[Junction (Main) UnitID]]</f>
        <v>0</v>
      </c>
      <c r="CE62" s="8">
        <f>HDA[[#This Row],[Tubing (to SH) UnitID]]</f>
        <v>0</v>
      </c>
      <c r="CF62" s="8">
        <f>HDA[[#This Row],[Tubing (to NV) UnitID]]</f>
        <v>0</v>
      </c>
      <c r="CG62" s="8">
        <f>HDA[[#This Row],[Tubing (to PT) UnitID]]</f>
        <v>0</v>
      </c>
      <c r="CH62" s="8">
        <f>HDA[[#This Row],[Default Autoclave Body UnitID]]</f>
        <v>0</v>
      </c>
      <c r="CI62" s="8">
        <f>HDA[[#This Row],[PT UnitID]]</f>
        <v>0</v>
      </c>
      <c r="CJ62" s="8" t="str">
        <f>IF(HDA[[#This Row],[Status]]=0,"",HDA[[#This Row],[Status]])</f>
        <v/>
      </c>
    </row>
    <row r="63" spans="1:88">
      <c r="A63" s="8"/>
      <c r="C63" s="18"/>
      <c r="E63" s="19"/>
      <c r="F63" s="19"/>
      <c r="CA63" s="128">
        <f>HDA[[#This Row],[UID]]</f>
        <v>0</v>
      </c>
      <c r="CB63" s="8">
        <f>HDA[[#This Row],[Valve UnitID]]</f>
        <v>0</v>
      </c>
      <c r="CC63" s="111">
        <f>HDA[[#This Row],[Safety Head UnitID]]</f>
        <v>0</v>
      </c>
      <c r="CD63" s="111">
        <f>HDA[[#This Row],[Junction (Main) UnitID]]</f>
        <v>0</v>
      </c>
      <c r="CE63" s="8">
        <f>HDA[[#This Row],[Tubing (to SH) UnitID]]</f>
        <v>0</v>
      </c>
      <c r="CF63" s="8">
        <f>HDA[[#This Row],[Tubing (to NV) UnitID]]</f>
        <v>0</v>
      </c>
      <c r="CG63" s="8">
        <f>HDA[[#This Row],[Tubing (to PT) UnitID]]</f>
        <v>0</v>
      </c>
      <c r="CH63" s="8">
        <f>HDA[[#This Row],[Default Autoclave Body UnitID]]</f>
        <v>0</v>
      </c>
      <c r="CI63" s="8">
        <f>HDA[[#This Row],[PT UnitID]]</f>
        <v>0</v>
      </c>
      <c r="CJ63" s="8" t="str">
        <f>IF(HDA[[#This Row],[Status]]=0,"",HDA[[#This Row],[Status]])</f>
        <v/>
      </c>
    </row>
    <row r="64" spans="1:88">
      <c r="A64" s="8"/>
      <c r="C64" s="18"/>
      <c r="E64" s="19"/>
      <c r="F64" s="19"/>
      <c r="CA64" s="128">
        <f>HDA[[#This Row],[UID]]</f>
        <v>0</v>
      </c>
      <c r="CB64" s="8">
        <f>HDA[[#This Row],[Valve UnitID]]</f>
        <v>0</v>
      </c>
      <c r="CC64" s="111">
        <f>HDA[[#This Row],[Safety Head UnitID]]</f>
        <v>0</v>
      </c>
      <c r="CD64" s="111">
        <f>HDA[[#This Row],[Junction (Main) UnitID]]</f>
        <v>0</v>
      </c>
      <c r="CE64" s="8">
        <f>HDA[[#This Row],[Tubing (to SH) UnitID]]</f>
        <v>0</v>
      </c>
      <c r="CF64" s="8">
        <f>HDA[[#This Row],[Tubing (to NV) UnitID]]</f>
        <v>0</v>
      </c>
      <c r="CG64" s="8">
        <f>HDA[[#This Row],[Tubing (to PT) UnitID]]</f>
        <v>0</v>
      </c>
      <c r="CH64" s="8">
        <f>HDA[[#This Row],[Default Autoclave Body UnitID]]</f>
        <v>0</v>
      </c>
      <c r="CI64" s="8">
        <f>HDA[[#This Row],[PT UnitID]]</f>
        <v>0</v>
      </c>
      <c r="CJ64" s="8" t="str">
        <f>IF(HDA[[#This Row],[Status]]=0,"",HDA[[#This Row],[Status]])</f>
        <v/>
      </c>
    </row>
    <row r="65" spans="1:88">
      <c r="A65" s="8"/>
      <c r="C65" s="18"/>
      <c r="E65" s="19"/>
      <c r="F65" s="19"/>
      <c r="CA65" s="128">
        <f>HDA[[#This Row],[UID]]</f>
        <v>0</v>
      </c>
      <c r="CB65" s="8">
        <f>HDA[[#This Row],[Valve UnitID]]</f>
        <v>0</v>
      </c>
      <c r="CC65" s="111">
        <f>HDA[[#This Row],[Safety Head UnitID]]</f>
        <v>0</v>
      </c>
      <c r="CD65" s="111">
        <f>HDA[[#This Row],[Junction (Main) UnitID]]</f>
        <v>0</v>
      </c>
      <c r="CE65" s="8">
        <f>HDA[[#This Row],[Tubing (to SH) UnitID]]</f>
        <v>0</v>
      </c>
      <c r="CF65" s="8">
        <f>HDA[[#This Row],[Tubing (to NV) UnitID]]</f>
        <v>0</v>
      </c>
      <c r="CG65" s="8">
        <f>HDA[[#This Row],[Tubing (to PT) UnitID]]</f>
        <v>0</v>
      </c>
      <c r="CH65" s="8">
        <f>HDA[[#This Row],[Default Autoclave Body UnitID]]</f>
        <v>0</v>
      </c>
      <c r="CI65" s="8">
        <f>HDA[[#This Row],[PT UnitID]]</f>
        <v>0</v>
      </c>
      <c r="CJ65" s="8" t="str">
        <f>IF(HDA[[#This Row],[Status]]=0,"",HDA[[#This Row],[Status]])</f>
        <v/>
      </c>
    </row>
    <row r="66" spans="1:88">
      <c r="A66" s="8"/>
      <c r="C66" s="18"/>
      <c r="E66" s="19"/>
      <c r="F66" s="19"/>
      <c r="CA66" s="128">
        <f>HDA[[#This Row],[UID]]</f>
        <v>0</v>
      </c>
      <c r="CB66" s="8">
        <f>HDA[[#This Row],[Valve UnitID]]</f>
        <v>0</v>
      </c>
      <c r="CC66" s="111">
        <f>HDA[[#This Row],[Safety Head UnitID]]</f>
        <v>0</v>
      </c>
      <c r="CD66" s="111">
        <f>HDA[[#This Row],[Junction (Main) UnitID]]</f>
        <v>0</v>
      </c>
      <c r="CE66" s="8">
        <f>HDA[[#This Row],[Tubing (to SH) UnitID]]</f>
        <v>0</v>
      </c>
      <c r="CF66" s="8">
        <f>HDA[[#This Row],[Tubing (to NV) UnitID]]</f>
        <v>0</v>
      </c>
      <c r="CG66" s="8">
        <f>HDA[[#This Row],[Tubing (to PT) UnitID]]</f>
        <v>0</v>
      </c>
      <c r="CH66" s="8">
        <f>HDA[[#This Row],[Default Autoclave Body UnitID]]</f>
        <v>0</v>
      </c>
      <c r="CI66" s="8">
        <f>HDA[[#This Row],[PT UnitID]]</f>
        <v>0</v>
      </c>
      <c r="CJ66" s="8" t="str">
        <f>IF(HDA[[#This Row],[Status]]=0,"",HDA[[#This Row],[Status]])</f>
        <v/>
      </c>
    </row>
    <row r="67" spans="1:88">
      <c r="A67" s="8"/>
      <c r="C67" s="18"/>
      <c r="E67" s="19"/>
      <c r="F67" s="19"/>
      <c r="CA67" s="128">
        <f>HDA[[#This Row],[UID]]</f>
        <v>0</v>
      </c>
      <c r="CB67" s="8">
        <f>HDA[[#This Row],[Valve UnitID]]</f>
        <v>0</v>
      </c>
      <c r="CC67" s="111">
        <f>HDA[[#This Row],[Safety Head UnitID]]</f>
        <v>0</v>
      </c>
      <c r="CD67" s="111">
        <f>HDA[[#This Row],[Junction (Main) UnitID]]</f>
        <v>0</v>
      </c>
      <c r="CE67" s="8">
        <f>HDA[[#This Row],[Tubing (to SH) UnitID]]</f>
        <v>0</v>
      </c>
      <c r="CF67" s="8">
        <f>HDA[[#This Row],[Tubing (to NV) UnitID]]</f>
        <v>0</v>
      </c>
      <c r="CG67" s="8">
        <f>HDA[[#This Row],[Tubing (to PT) UnitID]]</f>
        <v>0</v>
      </c>
      <c r="CH67" s="8">
        <f>HDA[[#This Row],[Default Autoclave Body UnitID]]</f>
        <v>0</v>
      </c>
      <c r="CI67" s="8">
        <f>HDA[[#This Row],[PT UnitID]]</f>
        <v>0</v>
      </c>
      <c r="CJ67" s="8" t="str">
        <f>IF(HDA[[#This Row],[Status]]=0,"",HDA[[#This Row],[Status]])</f>
        <v/>
      </c>
    </row>
    <row r="68" spans="1:88">
      <c r="A68" s="8"/>
      <c r="C68" s="18"/>
      <c r="E68" s="19"/>
      <c r="F68" s="19"/>
      <c r="CA68" s="128">
        <f>HDA[[#This Row],[UID]]</f>
        <v>0</v>
      </c>
      <c r="CB68" s="8">
        <f>HDA[[#This Row],[Valve UnitID]]</f>
        <v>0</v>
      </c>
      <c r="CC68" s="111">
        <f>HDA[[#This Row],[Safety Head UnitID]]</f>
        <v>0</v>
      </c>
      <c r="CD68" s="111">
        <f>HDA[[#This Row],[Junction (Main) UnitID]]</f>
        <v>0</v>
      </c>
      <c r="CE68" s="8">
        <f>HDA[[#This Row],[Tubing (to SH) UnitID]]</f>
        <v>0</v>
      </c>
      <c r="CF68" s="8">
        <f>HDA[[#This Row],[Tubing (to NV) UnitID]]</f>
        <v>0</v>
      </c>
      <c r="CG68" s="8">
        <f>HDA[[#This Row],[Tubing (to PT) UnitID]]</f>
        <v>0</v>
      </c>
      <c r="CH68" s="8">
        <f>HDA[[#This Row],[Default Autoclave Body UnitID]]</f>
        <v>0</v>
      </c>
      <c r="CI68" s="8">
        <f>HDA[[#This Row],[PT UnitID]]</f>
        <v>0</v>
      </c>
      <c r="CJ68" s="8" t="str">
        <f>IF(HDA[[#This Row],[Status]]=0,"",HDA[[#This Row],[Status]])</f>
        <v/>
      </c>
    </row>
    <row r="69" spans="1:88">
      <c r="A69" s="8"/>
      <c r="C69" s="18"/>
      <c r="E69" s="19"/>
      <c r="F69" s="19"/>
      <c r="CA69" s="128">
        <f>HDA[[#This Row],[UID]]</f>
        <v>0</v>
      </c>
      <c r="CB69" s="8">
        <f>HDA[[#This Row],[Valve UnitID]]</f>
        <v>0</v>
      </c>
      <c r="CC69" s="111">
        <f>HDA[[#This Row],[Safety Head UnitID]]</f>
        <v>0</v>
      </c>
      <c r="CD69" s="111">
        <f>HDA[[#This Row],[Junction (Main) UnitID]]</f>
        <v>0</v>
      </c>
      <c r="CE69" s="8">
        <f>HDA[[#This Row],[Tubing (to SH) UnitID]]</f>
        <v>0</v>
      </c>
      <c r="CF69" s="8">
        <f>HDA[[#This Row],[Tubing (to NV) UnitID]]</f>
        <v>0</v>
      </c>
      <c r="CG69" s="8">
        <f>HDA[[#This Row],[Tubing (to PT) UnitID]]</f>
        <v>0</v>
      </c>
      <c r="CH69" s="8">
        <f>HDA[[#This Row],[Default Autoclave Body UnitID]]</f>
        <v>0</v>
      </c>
      <c r="CI69" s="8">
        <f>HDA[[#This Row],[PT UnitID]]</f>
        <v>0</v>
      </c>
      <c r="CJ69" s="8" t="str">
        <f>IF(HDA[[#This Row],[Status]]=0,"",HDA[[#This Row],[Status]])</f>
        <v/>
      </c>
    </row>
    <row r="70" spans="1:88">
      <c r="A70" s="8"/>
      <c r="C70" s="18"/>
      <c r="E70" s="19"/>
      <c r="F70" s="19"/>
      <c r="CA70" s="128">
        <f>HDA[[#This Row],[UID]]</f>
        <v>0</v>
      </c>
      <c r="CB70" s="8">
        <f>HDA[[#This Row],[Valve UnitID]]</f>
        <v>0</v>
      </c>
      <c r="CC70" s="111">
        <f>HDA[[#This Row],[Safety Head UnitID]]</f>
        <v>0</v>
      </c>
      <c r="CD70" s="111">
        <f>HDA[[#This Row],[Junction (Main) UnitID]]</f>
        <v>0</v>
      </c>
      <c r="CE70" s="8">
        <f>HDA[[#This Row],[Tubing (to SH) UnitID]]</f>
        <v>0</v>
      </c>
      <c r="CF70" s="8">
        <f>HDA[[#This Row],[Tubing (to NV) UnitID]]</f>
        <v>0</v>
      </c>
      <c r="CG70" s="8">
        <f>HDA[[#This Row],[Tubing (to PT) UnitID]]</f>
        <v>0</v>
      </c>
      <c r="CH70" s="8">
        <f>HDA[[#This Row],[Default Autoclave Body UnitID]]</f>
        <v>0</v>
      </c>
      <c r="CI70" s="8">
        <f>HDA[[#This Row],[PT UnitID]]</f>
        <v>0</v>
      </c>
      <c r="CJ70" s="8" t="str">
        <f>IF(HDA[[#This Row],[Status]]=0,"",HDA[[#This Row],[Status]])</f>
        <v/>
      </c>
    </row>
    <row r="71" spans="1:88">
      <c r="A71" s="8"/>
      <c r="C71" s="18"/>
      <c r="E71" s="19"/>
      <c r="F71" s="19"/>
      <c r="CA71" s="128">
        <f>HDA[[#This Row],[UID]]</f>
        <v>0</v>
      </c>
      <c r="CB71" s="8">
        <f>HDA[[#This Row],[Valve UnitID]]</f>
        <v>0</v>
      </c>
      <c r="CC71" s="111">
        <f>HDA[[#This Row],[Safety Head UnitID]]</f>
        <v>0</v>
      </c>
      <c r="CD71" s="111">
        <f>HDA[[#This Row],[Junction (Main) UnitID]]</f>
        <v>0</v>
      </c>
      <c r="CE71" s="8">
        <f>HDA[[#This Row],[Tubing (to SH) UnitID]]</f>
        <v>0</v>
      </c>
      <c r="CF71" s="8">
        <f>HDA[[#This Row],[Tubing (to NV) UnitID]]</f>
        <v>0</v>
      </c>
      <c r="CG71" s="8">
        <f>HDA[[#This Row],[Tubing (to PT) UnitID]]</f>
        <v>0</v>
      </c>
      <c r="CH71" s="8">
        <f>HDA[[#This Row],[Default Autoclave Body UnitID]]</f>
        <v>0</v>
      </c>
      <c r="CI71" s="8">
        <f>HDA[[#This Row],[PT UnitID]]</f>
        <v>0</v>
      </c>
      <c r="CJ71" s="8" t="str">
        <f>IF(HDA[[#This Row],[Status]]=0,"",HDA[[#This Row],[Status]])</f>
        <v/>
      </c>
    </row>
    <row r="72" spans="1:88">
      <c r="A72" s="8"/>
      <c r="C72" s="18"/>
      <c r="E72" s="19"/>
      <c r="F72" s="19"/>
      <c r="CA72" s="128">
        <f>HDA[[#This Row],[UID]]</f>
        <v>0</v>
      </c>
      <c r="CB72" s="8">
        <f>HDA[[#This Row],[Valve UnitID]]</f>
        <v>0</v>
      </c>
      <c r="CC72" s="111">
        <f>HDA[[#This Row],[Safety Head UnitID]]</f>
        <v>0</v>
      </c>
      <c r="CD72" s="111">
        <f>HDA[[#This Row],[Junction (Main) UnitID]]</f>
        <v>0</v>
      </c>
      <c r="CE72" s="8">
        <f>HDA[[#This Row],[Tubing (to SH) UnitID]]</f>
        <v>0</v>
      </c>
      <c r="CF72" s="8">
        <f>HDA[[#This Row],[Tubing (to NV) UnitID]]</f>
        <v>0</v>
      </c>
      <c r="CG72" s="8">
        <f>HDA[[#This Row],[Tubing (to PT) UnitID]]</f>
        <v>0</v>
      </c>
      <c r="CH72" s="8">
        <f>HDA[[#This Row],[Default Autoclave Body UnitID]]</f>
        <v>0</v>
      </c>
      <c r="CI72" s="8">
        <f>HDA[[#This Row],[PT UnitID]]</f>
        <v>0</v>
      </c>
      <c r="CJ72" s="8" t="str">
        <f>IF(HDA[[#This Row],[Status]]=0,"",HDA[[#This Row],[Status]])</f>
        <v/>
      </c>
    </row>
    <row r="73" spans="1:88">
      <c r="A73" s="8"/>
      <c r="C73" s="18"/>
      <c r="E73" s="19"/>
      <c r="F73" s="19"/>
      <c r="CA73" s="128">
        <f>HDA[[#This Row],[UID]]</f>
        <v>0</v>
      </c>
      <c r="CB73" s="8">
        <f>HDA[[#This Row],[Valve UnitID]]</f>
        <v>0</v>
      </c>
      <c r="CC73" s="111">
        <f>HDA[[#This Row],[Safety Head UnitID]]</f>
        <v>0</v>
      </c>
      <c r="CD73" s="111">
        <f>HDA[[#This Row],[Junction (Main) UnitID]]</f>
        <v>0</v>
      </c>
      <c r="CE73" s="8">
        <f>HDA[[#This Row],[Tubing (to SH) UnitID]]</f>
        <v>0</v>
      </c>
      <c r="CF73" s="8">
        <f>HDA[[#This Row],[Tubing (to NV) UnitID]]</f>
        <v>0</v>
      </c>
      <c r="CG73" s="8">
        <f>HDA[[#This Row],[Tubing (to PT) UnitID]]</f>
        <v>0</v>
      </c>
      <c r="CH73" s="8">
        <f>HDA[[#This Row],[Default Autoclave Body UnitID]]</f>
        <v>0</v>
      </c>
      <c r="CI73" s="8">
        <f>HDA[[#This Row],[PT UnitID]]</f>
        <v>0</v>
      </c>
      <c r="CJ73" s="8" t="str">
        <f>IF(HDA[[#This Row],[Status]]=0,"",HDA[[#This Row],[Status]])</f>
        <v/>
      </c>
    </row>
    <row r="74" spans="1:88">
      <c r="A74" s="8"/>
      <c r="C74" s="18"/>
      <c r="E74" s="19"/>
      <c r="F74" s="19"/>
      <c r="CA74" s="128">
        <f>HDA[[#This Row],[UID]]</f>
        <v>0</v>
      </c>
      <c r="CB74" s="8">
        <f>HDA[[#This Row],[Valve UnitID]]</f>
        <v>0</v>
      </c>
      <c r="CC74" s="111">
        <f>HDA[[#This Row],[Safety Head UnitID]]</f>
        <v>0</v>
      </c>
      <c r="CD74" s="111">
        <f>HDA[[#This Row],[Junction (Main) UnitID]]</f>
        <v>0</v>
      </c>
      <c r="CE74" s="8">
        <f>HDA[[#This Row],[Tubing (to SH) UnitID]]</f>
        <v>0</v>
      </c>
      <c r="CF74" s="8">
        <f>HDA[[#This Row],[Tubing (to NV) UnitID]]</f>
        <v>0</v>
      </c>
      <c r="CG74" s="8">
        <f>HDA[[#This Row],[Tubing (to PT) UnitID]]</f>
        <v>0</v>
      </c>
      <c r="CH74" s="8">
        <f>HDA[[#This Row],[Default Autoclave Body UnitID]]</f>
        <v>0</v>
      </c>
      <c r="CI74" s="8">
        <f>HDA[[#This Row],[PT UnitID]]</f>
        <v>0</v>
      </c>
      <c r="CJ74" s="8" t="str">
        <f>IF(HDA[[#This Row],[Status]]=0,"",HDA[[#This Row],[Status]])</f>
        <v/>
      </c>
    </row>
    <row r="75" spans="1:88">
      <c r="A75" s="8"/>
      <c r="C75" s="18"/>
      <c r="E75" s="19"/>
      <c r="F75" s="19"/>
      <c r="CA75" s="128">
        <f>HDA[[#This Row],[UID]]</f>
        <v>0</v>
      </c>
      <c r="CB75" s="8">
        <f>HDA[[#This Row],[Valve UnitID]]</f>
        <v>0</v>
      </c>
      <c r="CC75" s="111">
        <f>HDA[[#This Row],[Safety Head UnitID]]</f>
        <v>0</v>
      </c>
      <c r="CD75" s="111">
        <f>HDA[[#This Row],[Junction (Main) UnitID]]</f>
        <v>0</v>
      </c>
      <c r="CE75" s="8">
        <f>HDA[[#This Row],[Tubing (to SH) UnitID]]</f>
        <v>0</v>
      </c>
      <c r="CF75" s="8">
        <f>HDA[[#This Row],[Tubing (to NV) UnitID]]</f>
        <v>0</v>
      </c>
      <c r="CG75" s="8">
        <f>HDA[[#This Row],[Tubing (to PT) UnitID]]</f>
        <v>0</v>
      </c>
      <c r="CH75" s="8">
        <f>HDA[[#This Row],[Default Autoclave Body UnitID]]</f>
        <v>0</v>
      </c>
      <c r="CI75" s="8">
        <f>HDA[[#This Row],[PT UnitID]]</f>
        <v>0</v>
      </c>
      <c r="CJ75" s="8" t="str">
        <f>IF(HDA[[#This Row],[Status]]=0,"",HDA[[#This Row],[Status]])</f>
        <v/>
      </c>
    </row>
    <row r="76" spans="1:88">
      <c r="A76" s="8"/>
      <c r="C76" s="18"/>
      <c r="E76" s="19"/>
      <c r="F76" s="19"/>
      <c r="CA76" s="128">
        <f>HDA[[#This Row],[UID]]</f>
        <v>0</v>
      </c>
      <c r="CB76" s="8">
        <f>HDA[[#This Row],[Valve UnitID]]</f>
        <v>0</v>
      </c>
      <c r="CC76" s="111">
        <f>HDA[[#This Row],[Safety Head UnitID]]</f>
        <v>0</v>
      </c>
      <c r="CD76" s="111">
        <f>HDA[[#This Row],[Junction (Main) UnitID]]</f>
        <v>0</v>
      </c>
      <c r="CE76" s="8">
        <f>HDA[[#This Row],[Tubing (to SH) UnitID]]</f>
        <v>0</v>
      </c>
      <c r="CF76" s="8">
        <f>HDA[[#This Row],[Tubing (to NV) UnitID]]</f>
        <v>0</v>
      </c>
      <c r="CG76" s="8">
        <f>HDA[[#This Row],[Tubing (to PT) UnitID]]</f>
        <v>0</v>
      </c>
      <c r="CH76" s="8">
        <f>HDA[[#This Row],[Default Autoclave Body UnitID]]</f>
        <v>0</v>
      </c>
      <c r="CI76" s="8">
        <f>HDA[[#This Row],[PT UnitID]]</f>
        <v>0</v>
      </c>
      <c r="CJ76" s="8" t="str">
        <f>IF(HDA[[#This Row],[Status]]=0,"",HDA[[#This Row],[Status]])</f>
        <v/>
      </c>
    </row>
    <row r="77" spans="1:88">
      <c r="A77" s="8"/>
      <c r="C77" s="18"/>
      <c r="E77" s="19"/>
      <c r="F77" s="19"/>
      <c r="CA77" s="128">
        <f>HDA[[#This Row],[UID]]</f>
        <v>0</v>
      </c>
      <c r="CB77" s="8">
        <f>HDA[[#This Row],[Valve UnitID]]</f>
        <v>0</v>
      </c>
      <c r="CC77" s="111">
        <f>HDA[[#This Row],[Safety Head UnitID]]</f>
        <v>0</v>
      </c>
      <c r="CD77" s="111">
        <f>HDA[[#This Row],[Junction (Main) UnitID]]</f>
        <v>0</v>
      </c>
      <c r="CE77" s="8">
        <f>HDA[[#This Row],[Tubing (to SH) UnitID]]</f>
        <v>0</v>
      </c>
      <c r="CF77" s="8">
        <f>HDA[[#This Row],[Tubing (to NV) UnitID]]</f>
        <v>0</v>
      </c>
      <c r="CG77" s="8">
        <f>HDA[[#This Row],[Tubing (to PT) UnitID]]</f>
        <v>0</v>
      </c>
      <c r="CH77" s="8">
        <f>HDA[[#This Row],[Default Autoclave Body UnitID]]</f>
        <v>0</v>
      </c>
      <c r="CI77" s="8">
        <f>HDA[[#This Row],[PT UnitID]]</f>
        <v>0</v>
      </c>
      <c r="CJ77" s="8" t="str">
        <f>IF(HDA[[#This Row],[Status]]=0,"",HDA[[#This Row],[Status]])</f>
        <v/>
      </c>
    </row>
    <row r="78" spans="1:88">
      <c r="A78" s="8"/>
      <c r="C78" s="18"/>
      <c r="E78" s="19"/>
      <c r="F78" s="19"/>
      <c r="CA78" s="128">
        <f>HDA[[#This Row],[UID]]</f>
        <v>0</v>
      </c>
      <c r="CB78" s="8">
        <f>HDA[[#This Row],[Valve UnitID]]</f>
        <v>0</v>
      </c>
      <c r="CC78" s="111">
        <f>HDA[[#This Row],[Safety Head UnitID]]</f>
        <v>0</v>
      </c>
      <c r="CD78" s="111">
        <f>HDA[[#This Row],[Junction (Main) UnitID]]</f>
        <v>0</v>
      </c>
      <c r="CE78" s="8">
        <f>HDA[[#This Row],[Tubing (to SH) UnitID]]</f>
        <v>0</v>
      </c>
      <c r="CF78" s="8">
        <f>HDA[[#This Row],[Tubing (to NV) UnitID]]</f>
        <v>0</v>
      </c>
      <c r="CG78" s="8">
        <f>HDA[[#This Row],[Tubing (to PT) UnitID]]</f>
        <v>0</v>
      </c>
      <c r="CH78" s="8">
        <f>HDA[[#This Row],[Default Autoclave Body UnitID]]</f>
        <v>0</v>
      </c>
      <c r="CI78" s="8">
        <f>HDA[[#This Row],[PT UnitID]]</f>
        <v>0</v>
      </c>
      <c r="CJ78" s="8" t="str">
        <f>IF(HDA[[#This Row],[Status]]=0,"",HDA[[#This Row],[Status]])</f>
        <v/>
      </c>
    </row>
    <row r="79" spans="1:88">
      <c r="A79" s="8"/>
      <c r="C79" s="18"/>
      <c r="E79" s="19"/>
      <c r="F79" s="19"/>
      <c r="CA79" s="128">
        <f>HDA[[#This Row],[UID]]</f>
        <v>0</v>
      </c>
      <c r="CB79" s="8">
        <f>HDA[[#This Row],[Valve UnitID]]</f>
        <v>0</v>
      </c>
      <c r="CC79" s="111">
        <f>HDA[[#This Row],[Safety Head UnitID]]</f>
        <v>0</v>
      </c>
      <c r="CD79" s="111">
        <f>HDA[[#This Row],[Junction (Main) UnitID]]</f>
        <v>0</v>
      </c>
      <c r="CE79" s="8">
        <f>HDA[[#This Row],[Tubing (to SH) UnitID]]</f>
        <v>0</v>
      </c>
      <c r="CF79" s="8">
        <f>HDA[[#This Row],[Tubing (to NV) UnitID]]</f>
        <v>0</v>
      </c>
      <c r="CG79" s="8">
        <f>HDA[[#This Row],[Tubing (to PT) UnitID]]</f>
        <v>0</v>
      </c>
      <c r="CH79" s="8">
        <f>HDA[[#This Row],[Default Autoclave Body UnitID]]</f>
        <v>0</v>
      </c>
      <c r="CI79" s="8">
        <f>HDA[[#This Row],[PT UnitID]]</f>
        <v>0</v>
      </c>
      <c r="CJ79" s="8" t="str">
        <f>IF(HDA[[#This Row],[Status]]=0,"",HDA[[#This Row],[Status]])</f>
        <v/>
      </c>
    </row>
    <row r="80" spans="1:88">
      <c r="A80" s="8"/>
      <c r="C80" s="18"/>
      <c r="E80" s="19"/>
      <c r="F80" s="19"/>
      <c r="CA80" s="128">
        <f>HDA[[#This Row],[UID]]</f>
        <v>0</v>
      </c>
      <c r="CB80" s="8">
        <f>HDA[[#This Row],[Valve UnitID]]</f>
        <v>0</v>
      </c>
      <c r="CC80" s="111">
        <f>HDA[[#This Row],[Safety Head UnitID]]</f>
        <v>0</v>
      </c>
      <c r="CD80" s="111">
        <f>HDA[[#This Row],[Junction (Main) UnitID]]</f>
        <v>0</v>
      </c>
      <c r="CE80" s="8">
        <f>HDA[[#This Row],[Tubing (to SH) UnitID]]</f>
        <v>0</v>
      </c>
      <c r="CF80" s="8">
        <f>HDA[[#This Row],[Tubing (to NV) UnitID]]</f>
        <v>0</v>
      </c>
      <c r="CG80" s="8">
        <f>HDA[[#This Row],[Tubing (to PT) UnitID]]</f>
        <v>0</v>
      </c>
      <c r="CH80" s="8">
        <f>HDA[[#This Row],[Default Autoclave Body UnitID]]</f>
        <v>0</v>
      </c>
      <c r="CI80" s="8">
        <f>HDA[[#This Row],[PT UnitID]]</f>
        <v>0</v>
      </c>
      <c r="CJ80" s="8" t="str">
        <f>IF(HDA[[#This Row],[Status]]=0,"",HDA[[#This Row],[Status]])</f>
        <v/>
      </c>
    </row>
    <row r="81" spans="1:88">
      <c r="A81" s="8"/>
      <c r="C81" s="18"/>
      <c r="E81" s="19"/>
      <c r="F81" s="19"/>
      <c r="CA81" s="128">
        <f>HDA[[#This Row],[UID]]</f>
        <v>0</v>
      </c>
      <c r="CB81" s="8">
        <f>HDA[[#This Row],[Valve UnitID]]</f>
        <v>0</v>
      </c>
      <c r="CC81" s="111">
        <f>HDA[[#This Row],[Safety Head UnitID]]</f>
        <v>0</v>
      </c>
      <c r="CD81" s="111">
        <f>HDA[[#This Row],[Junction (Main) UnitID]]</f>
        <v>0</v>
      </c>
      <c r="CE81" s="8">
        <f>HDA[[#This Row],[Tubing (to SH) UnitID]]</f>
        <v>0</v>
      </c>
      <c r="CF81" s="8">
        <f>HDA[[#This Row],[Tubing (to NV) UnitID]]</f>
        <v>0</v>
      </c>
      <c r="CG81" s="8">
        <f>HDA[[#This Row],[Tubing (to PT) UnitID]]</f>
        <v>0</v>
      </c>
      <c r="CH81" s="8">
        <f>HDA[[#This Row],[Default Autoclave Body UnitID]]</f>
        <v>0</v>
      </c>
      <c r="CI81" s="8">
        <f>HDA[[#This Row],[PT UnitID]]</f>
        <v>0</v>
      </c>
      <c r="CJ81" s="8" t="str">
        <f>IF(HDA[[#This Row],[Status]]=0,"",HDA[[#This Row],[Status]])</f>
        <v/>
      </c>
    </row>
    <row r="82" spans="1:88">
      <c r="A82" s="8"/>
      <c r="C82" s="18"/>
      <c r="E82" s="19"/>
      <c r="F82" s="19"/>
      <c r="CA82" s="128">
        <f>HDA[[#This Row],[UID]]</f>
        <v>0</v>
      </c>
      <c r="CB82" s="8">
        <f>HDA[[#This Row],[Valve UnitID]]</f>
        <v>0</v>
      </c>
      <c r="CC82" s="111">
        <f>HDA[[#This Row],[Safety Head UnitID]]</f>
        <v>0</v>
      </c>
      <c r="CD82" s="111">
        <f>HDA[[#This Row],[Junction (Main) UnitID]]</f>
        <v>0</v>
      </c>
      <c r="CE82" s="8">
        <f>HDA[[#This Row],[Tubing (to SH) UnitID]]</f>
        <v>0</v>
      </c>
      <c r="CF82" s="8">
        <f>HDA[[#This Row],[Tubing (to NV) UnitID]]</f>
        <v>0</v>
      </c>
      <c r="CG82" s="8">
        <f>HDA[[#This Row],[Tubing (to PT) UnitID]]</f>
        <v>0</v>
      </c>
      <c r="CH82" s="8">
        <f>HDA[[#This Row],[Default Autoclave Body UnitID]]</f>
        <v>0</v>
      </c>
      <c r="CI82" s="8">
        <f>HDA[[#This Row],[PT UnitID]]</f>
        <v>0</v>
      </c>
      <c r="CJ82" s="8" t="str">
        <f>IF(HDA[[#This Row],[Status]]=0,"",HDA[[#This Row],[Status]])</f>
        <v/>
      </c>
    </row>
    <row r="83" spans="1:88">
      <c r="A83" s="8"/>
      <c r="C83" s="18"/>
      <c r="E83" s="19"/>
      <c r="F83" s="19"/>
      <c r="CA83" s="128">
        <f>HDA[[#This Row],[UID]]</f>
        <v>0</v>
      </c>
      <c r="CB83" s="8">
        <f>HDA[[#This Row],[Valve UnitID]]</f>
        <v>0</v>
      </c>
      <c r="CC83" s="111">
        <f>HDA[[#This Row],[Safety Head UnitID]]</f>
        <v>0</v>
      </c>
      <c r="CD83" s="111">
        <f>HDA[[#This Row],[Junction (Main) UnitID]]</f>
        <v>0</v>
      </c>
      <c r="CE83" s="8">
        <f>HDA[[#This Row],[Tubing (to SH) UnitID]]</f>
        <v>0</v>
      </c>
      <c r="CF83" s="8">
        <f>HDA[[#This Row],[Tubing (to NV) UnitID]]</f>
        <v>0</v>
      </c>
      <c r="CG83" s="8">
        <f>HDA[[#This Row],[Tubing (to PT) UnitID]]</f>
        <v>0</v>
      </c>
      <c r="CH83" s="8">
        <f>HDA[[#This Row],[Default Autoclave Body UnitID]]</f>
        <v>0</v>
      </c>
      <c r="CI83" s="8">
        <f>HDA[[#This Row],[PT UnitID]]</f>
        <v>0</v>
      </c>
      <c r="CJ83" s="8" t="str">
        <f>IF(HDA[[#This Row],[Status]]=0,"",HDA[[#This Row],[Status]])</f>
        <v/>
      </c>
    </row>
    <row r="84" spans="1:88">
      <c r="A84" s="8"/>
      <c r="C84" s="18"/>
      <c r="E84" s="19"/>
      <c r="F84" s="19"/>
      <c r="CA84" s="128">
        <f>HDA[[#This Row],[UID]]</f>
        <v>0</v>
      </c>
      <c r="CB84" s="8">
        <f>HDA[[#This Row],[Valve UnitID]]</f>
        <v>0</v>
      </c>
      <c r="CC84" s="111">
        <f>HDA[[#This Row],[Safety Head UnitID]]</f>
        <v>0</v>
      </c>
      <c r="CD84" s="111">
        <f>HDA[[#This Row],[Junction (Main) UnitID]]</f>
        <v>0</v>
      </c>
      <c r="CE84" s="8">
        <f>HDA[[#This Row],[Tubing (to SH) UnitID]]</f>
        <v>0</v>
      </c>
      <c r="CF84" s="8">
        <f>HDA[[#This Row],[Tubing (to NV) UnitID]]</f>
        <v>0</v>
      </c>
      <c r="CG84" s="8">
        <f>HDA[[#This Row],[Tubing (to PT) UnitID]]</f>
        <v>0</v>
      </c>
      <c r="CH84" s="8">
        <f>HDA[[#This Row],[Default Autoclave Body UnitID]]</f>
        <v>0</v>
      </c>
      <c r="CI84" s="8">
        <f>HDA[[#This Row],[PT UnitID]]</f>
        <v>0</v>
      </c>
      <c r="CJ84" s="8" t="str">
        <f>IF(HDA[[#This Row],[Status]]=0,"",HDA[[#This Row],[Status]])</f>
        <v/>
      </c>
    </row>
    <row r="85" spans="1:88">
      <c r="A85" s="8"/>
      <c r="C85" s="18"/>
      <c r="E85" s="19"/>
      <c r="F85" s="19"/>
      <c r="CA85" s="128">
        <f>HDA[[#This Row],[UID]]</f>
        <v>0</v>
      </c>
      <c r="CB85" s="8">
        <f>HDA[[#This Row],[Valve UnitID]]</f>
        <v>0</v>
      </c>
      <c r="CC85" s="111">
        <f>HDA[[#This Row],[Safety Head UnitID]]</f>
        <v>0</v>
      </c>
      <c r="CD85" s="111">
        <f>HDA[[#This Row],[Junction (Main) UnitID]]</f>
        <v>0</v>
      </c>
      <c r="CE85" s="8">
        <f>HDA[[#This Row],[Tubing (to SH) UnitID]]</f>
        <v>0</v>
      </c>
      <c r="CF85" s="8">
        <f>HDA[[#This Row],[Tubing (to NV) UnitID]]</f>
        <v>0</v>
      </c>
      <c r="CG85" s="8">
        <f>HDA[[#This Row],[Tubing (to PT) UnitID]]</f>
        <v>0</v>
      </c>
      <c r="CH85" s="8">
        <f>HDA[[#This Row],[Default Autoclave Body UnitID]]</f>
        <v>0</v>
      </c>
      <c r="CI85" s="8">
        <f>HDA[[#This Row],[PT UnitID]]</f>
        <v>0</v>
      </c>
      <c r="CJ85" s="8" t="str">
        <f>IF(HDA[[#This Row],[Status]]=0,"",HDA[[#This Row],[Status]])</f>
        <v/>
      </c>
    </row>
    <row r="86" spans="1:88">
      <c r="A86" s="8"/>
      <c r="C86" s="18"/>
      <c r="E86" s="19"/>
      <c r="F86" s="19"/>
      <c r="CA86" s="128">
        <f>HDA[[#This Row],[UID]]</f>
        <v>0</v>
      </c>
      <c r="CB86" s="8">
        <f>HDA[[#This Row],[Valve UnitID]]</f>
        <v>0</v>
      </c>
      <c r="CC86" s="111">
        <f>HDA[[#This Row],[Safety Head UnitID]]</f>
        <v>0</v>
      </c>
      <c r="CD86" s="111">
        <f>HDA[[#This Row],[Junction (Main) UnitID]]</f>
        <v>0</v>
      </c>
      <c r="CE86" s="8">
        <f>HDA[[#This Row],[Tubing (to SH) UnitID]]</f>
        <v>0</v>
      </c>
      <c r="CF86" s="8">
        <f>HDA[[#This Row],[Tubing (to NV) UnitID]]</f>
        <v>0</v>
      </c>
      <c r="CG86" s="8">
        <f>HDA[[#This Row],[Tubing (to PT) UnitID]]</f>
        <v>0</v>
      </c>
      <c r="CH86" s="8">
        <f>HDA[[#This Row],[Default Autoclave Body UnitID]]</f>
        <v>0</v>
      </c>
      <c r="CI86" s="8">
        <f>HDA[[#This Row],[PT UnitID]]</f>
        <v>0</v>
      </c>
      <c r="CJ86" s="8" t="str">
        <f>IF(HDA[[#This Row],[Status]]=0,"",HDA[[#This Row],[Status]])</f>
        <v/>
      </c>
    </row>
    <row r="87" spans="1:88">
      <c r="A87" s="8"/>
      <c r="C87" s="18"/>
      <c r="E87" s="19"/>
      <c r="F87" s="19"/>
      <c r="CA87" s="128">
        <f>HDA[[#This Row],[UID]]</f>
        <v>0</v>
      </c>
      <c r="CB87" s="8">
        <f>HDA[[#This Row],[Valve UnitID]]</f>
        <v>0</v>
      </c>
      <c r="CC87" s="111">
        <f>HDA[[#This Row],[Safety Head UnitID]]</f>
        <v>0</v>
      </c>
      <c r="CD87" s="111">
        <f>HDA[[#This Row],[Junction (Main) UnitID]]</f>
        <v>0</v>
      </c>
      <c r="CE87" s="8">
        <f>HDA[[#This Row],[Tubing (to SH) UnitID]]</f>
        <v>0</v>
      </c>
      <c r="CF87" s="8">
        <f>HDA[[#This Row],[Tubing (to NV) UnitID]]</f>
        <v>0</v>
      </c>
      <c r="CG87" s="8">
        <f>HDA[[#This Row],[Tubing (to PT) UnitID]]</f>
        <v>0</v>
      </c>
      <c r="CH87" s="8">
        <f>HDA[[#This Row],[Default Autoclave Body UnitID]]</f>
        <v>0</v>
      </c>
      <c r="CI87" s="8">
        <f>HDA[[#This Row],[PT UnitID]]</f>
        <v>0</v>
      </c>
      <c r="CJ87" s="8" t="str">
        <f>IF(HDA[[#This Row],[Status]]=0,"",HDA[[#This Row],[Status]])</f>
        <v/>
      </c>
    </row>
    <row r="88" spans="1:88">
      <c r="A88" s="8"/>
      <c r="C88" s="18"/>
      <c r="E88" s="19"/>
      <c r="F88" s="19"/>
      <c r="CA88" s="128">
        <f>HDA[[#This Row],[UID]]</f>
        <v>0</v>
      </c>
      <c r="CB88" s="8">
        <f>HDA[[#This Row],[Valve UnitID]]</f>
        <v>0</v>
      </c>
      <c r="CC88" s="111">
        <f>HDA[[#This Row],[Safety Head UnitID]]</f>
        <v>0</v>
      </c>
      <c r="CD88" s="111">
        <f>HDA[[#This Row],[Junction (Main) UnitID]]</f>
        <v>0</v>
      </c>
      <c r="CE88" s="8">
        <f>HDA[[#This Row],[Tubing (to SH) UnitID]]</f>
        <v>0</v>
      </c>
      <c r="CF88" s="8">
        <f>HDA[[#This Row],[Tubing (to NV) UnitID]]</f>
        <v>0</v>
      </c>
      <c r="CG88" s="8">
        <f>HDA[[#This Row],[Tubing (to PT) UnitID]]</f>
        <v>0</v>
      </c>
      <c r="CH88" s="8">
        <f>HDA[[#This Row],[Default Autoclave Body UnitID]]</f>
        <v>0</v>
      </c>
      <c r="CI88" s="8">
        <f>HDA[[#This Row],[PT UnitID]]</f>
        <v>0</v>
      </c>
      <c r="CJ88" s="8" t="str">
        <f>IF(HDA[[#This Row],[Status]]=0,"",HDA[[#This Row],[Status]])</f>
        <v/>
      </c>
    </row>
    <row r="89" spans="1:88">
      <c r="A89" s="8"/>
      <c r="C89" s="18"/>
      <c r="E89" s="19"/>
      <c r="F89" s="19"/>
      <c r="CA89" s="128">
        <f>HDA[[#This Row],[UID]]</f>
        <v>0</v>
      </c>
      <c r="CB89" s="8">
        <f>HDA[[#This Row],[Valve UnitID]]</f>
        <v>0</v>
      </c>
      <c r="CC89" s="111">
        <f>HDA[[#This Row],[Safety Head UnitID]]</f>
        <v>0</v>
      </c>
      <c r="CD89" s="111">
        <f>HDA[[#This Row],[Junction (Main) UnitID]]</f>
        <v>0</v>
      </c>
      <c r="CE89" s="8">
        <f>HDA[[#This Row],[Tubing (to SH) UnitID]]</f>
        <v>0</v>
      </c>
      <c r="CF89" s="8">
        <f>HDA[[#This Row],[Tubing (to NV) UnitID]]</f>
        <v>0</v>
      </c>
      <c r="CG89" s="8">
        <f>HDA[[#This Row],[Tubing (to PT) UnitID]]</f>
        <v>0</v>
      </c>
      <c r="CH89" s="8">
        <f>HDA[[#This Row],[Default Autoclave Body UnitID]]</f>
        <v>0</v>
      </c>
      <c r="CI89" s="8">
        <f>HDA[[#This Row],[PT UnitID]]</f>
        <v>0</v>
      </c>
      <c r="CJ89" s="8" t="str">
        <f>IF(HDA[[#This Row],[Status]]=0,"",HDA[[#This Row],[Status]])</f>
        <v/>
      </c>
    </row>
    <row r="90" spans="1:88">
      <c r="A90" s="8"/>
      <c r="C90" s="18"/>
      <c r="E90" s="19"/>
      <c r="F90" s="19"/>
      <c r="CA90" s="128">
        <f>HDA[[#This Row],[UID]]</f>
        <v>0</v>
      </c>
      <c r="CB90" s="8">
        <f>HDA[[#This Row],[Valve UnitID]]</f>
        <v>0</v>
      </c>
      <c r="CC90" s="111">
        <f>HDA[[#This Row],[Safety Head UnitID]]</f>
        <v>0</v>
      </c>
      <c r="CD90" s="111">
        <f>HDA[[#This Row],[Junction (Main) UnitID]]</f>
        <v>0</v>
      </c>
      <c r="CE90" s="8">
        <f>HDA[[#This Row],[Tubing (to SH) UnitID]]</f>
        <v>0</v>
      </c>
      <c r="CF90" s="8">
        <f>HDA[[#This Row],[Tubing (to NV) UnitID]]</f>
        <v>0</v>
      </c>
      <c r="CG90" s="8">
        <f>HDA[[#This Row],[Tubing (to PT) UnitID]]</f>
        <v>0</v>
      </c>
      <c r="CH90" s="8">
        <f>HDA[[#This Row],[Default Autoclave Body UnitID]]</f>
        <v>0</v>
      </c>
      <c r="CI90" s="8">
        <f>HDA[[#This Row],[PT UnitID]]</f>
        <v>0</v>
      </c>
      <c r="CJ90" s="8" t="str">
        <f>IF(HDA[[#This Row],[Status]]=0,"",HDA[[#This Row],[Status]])</f>
        <v/>
      </c>
    </row>
    <row r="91" spans="1:88">
      <c r="A91" s="8"/>
      <c r="C91" s="18"/>
      <c r="E91" s="19"/>
      <c r="F91" s="19"/>
      <c r="CA91" s="128">
        <f>HDA[[#This Row],[UID]]</f>
        <v>0</v>
      </c>
      <c r="CB91" s="8">
        <f>HDA[[#This Row],[Valve UnitID]]</f>
        <v>0</v>
      </c>
      <c r="CC91" s="111">
        <f>HDA[[#This Row],[Safety Head UnitID]]</f>
        <v>0</v>
      </c>
      <c r="CD91" s="111">
        <f>HDA[[#This Row],[Junction (Main) UnitID]]</f>
        <v>0</v>
      </c>
      <c r="CE91" s="8">
        <f>HDA[[#This Row],[Tubing (to SH) UnitID]]</f>
        <v>0</v>
      </c>
      <c r="CF91" s="8">
        <f>HDA[[#This Row],[Tubing (to NV) UnitID]]</f>
        <v>0</v>
      </c>
      <c r="CG91" s="8">
        <f>HDA[[#This Row],[Tubing (to PT) UnitID]]</f>
        <v>0</v>
      </c>
      <c r="CH91" s="8">
        <f>HDA[[#This Row],[Default Autoclave Body UnitID]]</f>
        <v>0</v>
      </c>
      <c r="CI91" s="8">
        <f>HDA[[#This Row],[PT UnitID]]</f>
        <v>0</v>
      </c>
      <c r="CJ91" s="8" t="str">
        <f>IF(HDA[[#This Row],[Status]]=0,"",HDA[[#This Row],[Status]])</f>
        <v/>
      </c>
    </row>
    <row r="92" spans="1:88">
      <c r="A92" s="8"/>
      <c r="C92" s="18"/>
      <c r="E92" s="19"/>
      <c r="F92" s="19"/>
      <c r="CA92" s="128">
        <f>HDA[[#This Row],[UID]]</f>
        <v>0</v>
      </c>
      <c r="CB92" s="8">
        <f>HDA[[#This Row],[Valve UnitID]]</f>
        <v>0</v>
      </c>
      <c r="CC92" s="111">
        <f>HDA[[#This Row],[Safety Head UnitID]]</f>
        <v>0</v>
      </c>
      <c r="CD92" s="111">
        <f>HDA[[#This Row],[Junction (Main) UnitID]]</f>
        <v>0</v>
      </c>
      <c r="CE92" s="8">
        <f>HDA[[#This Row],[Tubing (to SH) UnitID]]</f>
        <v>0</v>
      </c>
      <c r="CF92" s="8">
        <f>HDA[[#This Row],[Tubing (to NV) UnitID]]</f>
        <v>0</v>
      </c>
      <c r="CG92" s="8">
        <f>HDA[[#This Row],[Tubing (to PT) UnitID]]</f>
        <v>0</v>
      </c>
      <c r="CH92" s="8">
        <f>HDA[[#This Row],[Default Autoclave Body UnitID]]</f>
        <v>0</v>
      </c>
      <c r="CI92" s="8">
        <f>HDA[[#This Row],[PT UnitID]]</f>
        <v>0</v>
      </c>
      <c r="CJ92" s="8" t="str">
        <f>IF(HDA[[#This Row],[Status]]=0,"",HDA[[#This Row],[Status]])</f>
        <v/>
      </c>
    </row>
    <row r="93" spans="1:88">
      <c r="A93" s="8"/>
      <c r="C93" s="18"/>
      <c r="E93" s="19"/>
      <c r="F93" s="19"/>
      <c r="CA93" s="128">
        <f>HDA[[#This Row],[UID]]</f>
        <v>0</v>
      </c>
      <c r="CB93" s="8">
        <f>HDA[[#This Row],[Valve UnitID]]</f>
        <v>0</v>
      </c>
      <c r="CC93" s="111">
        <f>HDA[[#This Row],[Safety Head UnitID]]</f>
        <v>0</v>
      </c>
      <c r="CD93" s="111">
        <f>HDA[[#This Row],[Junction (Main) UnitID]]</f>
        <v>0</v>
      </c>
      <c r="CE93" s="8">
        <f>HDA[[#This Row],[Tubing (to SH) UnitID]]</f>
        <v>0</v>
      </c>
      <c r="CF93" s="8">
        <f>HDA[[#This Row],[Tubing (to NV) UnitID]]</f>
        <v>0</v>
      </c>
      <c r="CG93" s="8">
        <f>HDA[[#This Row],[Tubing (to PT) UnitID]]</f>
        <v>0</v>
      </c>
      <c r="CH93" s="8">
        <f>HDA[[#This Row],[Default Autoclave Body UnitID]]</f>
        <v>0</v>
      </c>
      <c r="CI93" s="8">
        <f>HDA[[#This Row],[PT UnitID]]</f>
        <v>0</v>
      </c>
      <c r="CJ93" s="8" t="str">
        <f>IF(HDA[[#This Row],[Status]]=0,"",HDA[[#This Row],[Status]])</f>
        <v/>
      </c>
    </row>
    <row r="94" spans="1:88">
      <c r="A94" s="8"/>
      <c r="C94" s="18"/>
      <c r="E94" s="19"/>
      <c r="F94" s="19"/>
      <c r="CA94" s="128">
        <f>HDA[[#This Row],[UID]]</f>
        <v>0</v>
      </c>
      <c r="CB94" s="8">
        <f>HDA[[#This Row],[Valve UnitID]]</f>
        <v>0</v>
      </c>
      <c r="CC94" s="111">
        <f>HDA[[#This Row],[Safety Head UnitID]]</f>
        <v>0</v>
      </c>
      <c r="CD94" s="111">
        <f>HDA[[#This Row],[Junction (Main) UnitID]]</f>
        <v>0</v>
      </c>
      <c r="CE94" s="8">
        <f>HDA[[#This Row],[Tubing (to SH) UnitID]]</f>
        <v>0</v>
      </c>
      <c r="CF94" s="8">
        <f>HDA[[#This Row],[Tubing (to NV) UnitID]]</f>
        <v>0</v>
      </c>
      <c r="CG94" s="8">
        <f>HDA[[#This Row],[Tubing (to PT) UnitID]]</f>
        <v>0</v>
      </c>
      <c r="CH94" s="8">
        <f>HDA[[#This Row],[Default Autoclave Body UnitID]]</f>
        <v>0</v>
      </c>
      <c r="CI94" s="8">
        <f>HDA[[#This Row],[PT UnitID]]</f>
        <v>0</v>
      </c>
      <c r="CJ94" s="8" t="str">
        <f>IF(HDA[[#This Row],[Status]]=0,"",HDA[[#This Row],[Status]])</f>
        <v/>
      </c>
    </row>
    <row r="95" spans="1:88">
      <c r="A95" s="8"/>
      <c r="C95" s="18"/>
      <c r="E95" s="19"/>
      <c r="F95" s="19"/>
      <c r="CA95" s="128">
        <f>HDA[[#This Row],[UID]]</f>
        <v>0</v>
      </c>
      <c r="CB95" s="8">
        <f>HDA[[#This Row],[Valve UnitID]]</f>
        <v>0</v>
      </c>
      <c r="CC95" s="111">
        <f>HDA[[#This Row],[Safety Head UnitID]]</f>
        <v>0</v>
      </c>
      <c r="CD95" s="111">
        <f>HDA[[#This Row],[Junction (Main) UnitID]]</f>
        <v>0</v>
      </c>
      <c r="CE95" s="8">
        <f>HDA[[#This Row],[Tubing (to SH) UnitID]]</f>
        <v>0</v>
      </c>
      <c r="CF95" s="8">
        <f>HDA[[#This Row],[Tubing (to NV) UnitID]]</f>
        <v>0</v>
      </c>
      <c r="CG95" s="8">
        <f>HDA[[#This Row],[Tubing (to PT) UnitID]]</f>
        <v>0</v>
      </c>
      <c r="CH95" s="8">
        <f>HDA[[#This Row],[Default Autoclave Body UnitID]]</f>
        <v>0</v>
      </c>
      <c r="CI95" s="8">
        <f>HDA[[#This Row],[PT UnitID]]</f>
        <v>0</v>
      </c>
      <c r="CJ95" s="8" t="str">
        <f>IF(HDA[[#This Row],[Status]]=0,"",HDA[[#This Row],[Status]])</f>
        <v/>
      </c>
    </row>
    <row r="96" spans="1:88">
      <c r="A96" s="8"/>
      <c r="C96" s="18"/>
      <c r="E96" s="19"/>
      <c r="F96" s="19"/>
      <c r="CA96" s="128">
        <f>HDA[[#This Row],[UID]]</f>
        <v>0</v>
      </c>
      <c r="CB96" s="8">
        <f>HDA[[#This Row],[Valve UnitID]]</f>
        <v>0</v>
      </c>
      <c r="CC96" s="111">
        <f>HDA[[#This Row],[Safety Head UnitID]]</f>
        <v>0</v>
      </c>
      <c r="CD96" s="111">
        <f>HDA[[#This Row],[Junction (Main) UnitID]]</f>
        <v>0</v>
      </c>
      <c r="CE96" s="8">
        <f>HDA[[#This Row],[Tubing (to SH) UnitID]]</f>
        <v>0</v>
      </c>
      <c r="CF96" s="8">
        <f>HDA[[#This Row],[Tubing (to NV) UnitID]]</f>
        <v>0</v>
      </c>
      <c r="CG96" s="8">
        <f>HDA[[#This Row],[Tubing (to PT) UnitID]]</f>
        <v>0</v>
      </c>
      <c r="CH96" s="8">
        <f>HDA[[#This Row],[Default Autoclave Body UnitID]]</f>
        <v>0</v>
      </c>
      <c r="CI96" s="8">
        <f>HDA[[#This Row],[PT UnitID]]</f>
        <v>0</v>
      </c>
      <c r="CJ96" s="8" t="str">
        <f>IF(HDA[[#This Row],[Status]]=0,"",HDA[[#This Row],[Status]])</f>
        <v/>
      </c>
    </row>
    <row r="97" spans="1:88">
      <c r="A97" s="8"/>
      <c r="C97" s="18"/>
      <c r="E97" s="19"/>
      <c r="F97" s="19"/>
      <c r="CA97" s="128">
        <f>HDA[[#This Row],[UID]]</f>
        <v>0</v>
      </c>
      <c r="CB97" s="8">
        <f>HDA[[#This Row],[Valve UnitID]]</f>
        <v>0</v>
      </c>
      <c r="CC97" s="111">
        <f>HDA[[#This Row],[Safety Head UnitID]]</f>
        <v>0</v>
      </c>
      <c r="CD97" s="111">
        <f>HDA[[#This Row],[Junction (Main) UnitID]]</f>
        <v>0</v>
      </c>
      <c r="CE97" s="8">
        <f>HDA[[#This Row],[Tubing (to SH) UnitID]]</f>
        <v>0</v>
      </c>
      <c r="CF97" s="8">
        <f>HDA[[#This Row],[Tubing (to NV) UnitID]]</f>
        <v>0</v>
      </c>
      <c r="CG97" s="8">
        <f>HDA[[#This Row],[Tubing (to PT) UnitID]]</f>
        <v>0</v>
      </c>
      <c r="CH97" s="8">
        <f>HDA[[#This Row],[Default Autoclave Body UnitID]]</f>
        <v>0</v>
      </c>
      <c r="CI97" s="8">
        <f>HDA[[#This Row],[PT UnitID]]</f>
        <v>0</v>
      </c>
      <c r="CJ97" s="8" t="str">
        <f>IF(HDA[[#This Row],[Status]]=0,"",HDA[[#This Row],[Status]])</f>
        <v/>
      </c>
    </row>
    <row r="98" spans="1:88">
      <c r="A98" s="8"/>
      <c r="C98" s="18"/>
      <c r="E98" s="19"/>
      <c r="F98" s="19"/>
      <c r="CA98" s="128">
        <f>HDA[[#This Row],[UID]]</f>
        <v>0</v>
      </c>
      <c r="CB98" s="8">
        <f>HDA[[#This Row],[Valve UnitID]]</f>
        <v>0</v>
      </c>
      <c r="CC98" s="111">
        <f>HDA[[#This Row],[Safety Head UnitID]]</f>
        <v>0</v>
      </c>
      <c r="CD98" s="111">
        <f>HDA[[#This Row],[Junction (Main) UnitID]]</f>
        <v>0</v>
      </c>
      <c r="CE98" s="8">
        <f>HDA[[#This Row],[Tubing (to SH) UnitID]]</f>
        <v>0</v>
      </c>
      <c r="CF98" s="8">
        <f>HDA[[#This Row],[Tubing (to NV) UnitID]]</f>
        <v>0</v>
      </c>
      <c r="CG98" s="8">
        <f>HDA[[#This Row],[Tubing (to PT) UnitID]]</f>
        <v>0</v>
      </c>
      <c r="CH98" s="8">
        <f>HDA[[#This Row],[Default Autoclave Body UnitID]]</f>
        <v>0</v>
      </c>
      <c r="CI98" s="8">
        <f>HDA[[#This Row],[PT UnitID]]</f>
        <v>0</v>
      </c>
      <c r="CJ98" s="8" t="str">
        <f>IF(HDA[[#This Row],[Status]]=0,"",HDA[[#This Row],[Status]])</f>
        <v/>
      </c>
    </row>
    <row r="99" spans="1:88">
      <c r="A99" s="8"/>
      <c r="C99" s="18"/>
      <c r="E99" s="19"/>
      <c r="F99" s="19"/>
      <c r="CA99" s="128">
        <f>HDA[[#This Row],[UID]]</f>
        <v>0</v>
      </c>
      <c r="CB99" s="8">
        <f>HDA[[#This Row],[Valve UnitID]]</f>
        <v>0</v>
      </c>
      <c r="CC99" s="111">
        <f>HDA[[#This Row],[Safety Head UnitID]]</f>
        <v>0</v>
      </c>
      <c r="CD99" s="111">
        <f>HDA[[#This Row],[Junction (Main) UnitID]]</f>
        <v>0</v>
      </c>
      <c r="CE99" s="8">
        <f>HDA[[#This Row],[Tubing (to SH) UnitID]]</f>
        <v>0</v>
      </c>
      <c r="CF99" s="8">
        <f>HDA[[#This Row],[Tubing (to NV) UnitID]]</f>
        <v>0</v>
      </c>
      <c r="CG99" s="8">
        <f>HDA[[#This Row],[Tubing (to PT) UnitID]]</f>
        <v>0</v>
      </c>
      <c r="CH99" s="8">
        <f>HDA[[#This Row],[Default Autoclave Body UnitID]]</f>
        <v>0</v>
      </c>
      <c r="CI99" s="8">
        <f>HDA[[#This Row],[PT UnitID]]</f>
        <v>0</v>
      </c>
      <c r="CJ99" s="8" t="str">
        <f>IF(HDA[[#This Row],[Status]]=0,"",HDA[[#This Row],[Status]])</f>
        <v/>
      </c>
    </row>
    <row r="100" spans="1:88">
      <c r="A100" s="8"/>
      <c r="C100" s="18"/>
      <c r="E100" s="19"/>
      <c r="F100" s="19"/>
      <c r="CA100" s="128">
        <f>HDA[[#This Row],[UID]]</f>
        <v>0</v>
      </c>
      <c r="CB100" s="8">
        <f>HDA[[#This Row],[Valve UnitID]]</f>
        <v>0</v>
      </c>
      <c r="CC100" s="111">
        <f>HDA[[#This Row],[Safety Head UnitID]]</f>
        <v>0</v>
      </c>
      <c r="CD100" s="111">
        <f>HDA[[#This Row],[Junction (Main) UnitID]]</f>
        <v>0</v>
      </c>
      <c r="CE100" s="8">
        <f>HDA[[#This Row],[Tubing (to SH) UnitID]]</f>
        <v>0</v>
      </c>
      <c r="CF100" s="8">
        <f>HDA[[#This Row],[Tubing (to NV) UnitID]]</f>
        <v>0</v>
      </c>
      <c r="CG100" s="8">
        <f>HDA[[#This Row],[Tubing (to PT) UnitID]]</f>
        <v>0</v>
      </c>
      <c r="CH100" s="8">
        <f>HDA[[#This Row],[Default Autoclave Body UnitID]]</f>
        <v>0</v>
      </c>
      <c r="CI100" s="8">
        <f>HDA[[#This Row],[PT UnitID]]</f>
        <v>0</v>
      </c>
      <c r="CJ100" s="8" t="str">
        <f>IF(HDA[[#This Row],[Status]]=0,"",HDA[[#This Row],[Status]])</f>
        <v/>
      </c>
    </row>
    <row r="101" spans="1:88">
      <c r="A101" s="8"/>
      <c r="C101" s="18"/>
      <c r="E101" s="19"/>
      <c r="F101" s="19"/>
      <c r="CA101" s="128">
        <f>HDA[[#This Row],[UID]]</f>
        <v>0</v>
      </c>
      <c r="CB101" s="8">
        <f>HDA[[#This Row],[Valve UnitID]]</f>
        <v>0</v>
      </c>
      <c r="CC101" s="111">
        <f>HDA[[#This Row],[Safety Head UnitID]]</f>
        <v>0</v>
      </c>
      <c r="CD101" s="111">
        <f>HDA[[#This Row],[Junction (Main) UnitID]]</f>
        <v>0</v>
      </c>
      <c r="CE101" s="8">
        <f>HDA[[#This Row],[Tubing (to SH) UnitID]]</f>
        <v>0</v>
      </c>
      <c r="CF101" s="8">
        <f>HDA[[#This Row],[Tubing (to NV) UnitID]]</f>
        <v>0</v>
      </c>
      <c r="CG101" s="8">
        <f>HDA[[#This Row],[Tubing (to PT) UnitID]]</f>
        <v>0</v>
      </c>
      <c r="CH101" s="8">
        <f>HDA[[#This Row],[Default Autoclave Body UnitID]]</f>
        <v>0</v>
      </c>
      <c r="CI101" s="8">
        <f>HDA[[#This Row],[PT UnitID]]</f>
        <v>0</v>
      </c>
      <c r="CJ101" s="8" t="str">
        <f>IF(HDA[[#This Row],[Status]]=0,"",HDA[[#This Row],[Status]])</f>
        <v/>
      </c>
    </row>
    <row r="102" spans="1:88">
      <c r="A102" s="8"/>
      <c r="C102" s="18"/>
      <c r="E102" s="19"/>
      <c r="F102" s="19"/>
      <c r="CA102" s="128">
        <f>HDA[[#This Row],[UID]]</f>
        <v>0</v>
      </c>
      <c r="CB102" s="8">
        <f>HDA[[#This Row],[Valve UnitID]]</f>
        <v>0</v>
      </c>
      <c r="CC102" s="111">
        <f>HDA[[#This Row],[Safety Head UnitID]]</f>
        <v>0</v>
      </c>
      <c r="CD102" s="111">
        <f>HDA[[#This Row],[Junction (Main) UnitID]]</f>
        <v>0</v>
      </c>
      <c r="CE102" s="8">
        <f>HDA[[#This Row],[Tubing (to SH) UnitID]]</f>
        <v>0</v>
      </c>
      <c r="CF102" s="8">
        <f>HDA[[#This Row],[Tubing (to NV) UnitID]]</f>
        <v>0</v>
      </c>
      <c r="CG102" s="8">
        <f>HDA[[#This Row],[Tubing (to PT) UnitID]]</f>
        <v>0</v>
      </c>
      <c r="CH102" s="8">
        <f>HDA[[#This Row],[Default Autoclave Body UnitID]]</f>
        <v>0</v>
      </c>
      <c r="CI102" s="8">
        <f>HDA[[#This Row],[PT UnitID]]</f>
        <v>0</v>
      </c>
      <c r="CJ102" s="8" t="str">
        <f>IF(HDA[[#This Row],[Status]]=0,"",HDA[[#This Row],[Status]])</f>
        <v/>
      </c>
    </row>
    <row r="103" spans="1:88">
      <c r="A103" s="8"/>
      <c r="C103" s="18"/>
      <c r="E103" s="19"/>
      <c r="F103" s="19"/>
      <c r="CA103" s="128">
        <f>HDA[[#This Row],[UID]]</f>
        <v>0</v>
      </c>
      <c r="CB103" s="8">
        <f>HDA[[#This Row],[Valve UnitID]]</f>
        <v>0</v>
      </c>
      <c r="CC103" s="111">
        <f>HDA[[#This Row],[Safety Head UnitID]]</f>
        <v>0</v>
      </c>
      <c r="CD103" s="111">
        <f>HDA[[#This Row],[Junction (Main) UnitID]]</f>
        <v>0</v>
      </c>
      <c r="CE103" s="8">
        <f>HDA[[#This Row],[Tubing (to SH) UnitID]]</f>
        <v>0</v>
      </c>
      <c r="CF103" s="8">
        <f>HDA[[#This Row],[Tubing (to NV) UnitID]]</f>
        <v>0</v>
      </c>
      <c r="CG103" s="8">
        <f>HDA[[#This Row],[Tubing (to PT) UnitID]]</f>
        <v>0</v>
      </c>
      <c r="CH103" s="8">
        <f>HDA[[#This Row],[Default Autoclave Body UnitID]]</f>
        <v>0</v>
      </c>
      <c r="CI103" s="8">
        <f>HDA[[#This Row],[PT UnitID]]</f>
        <v>0</v>
      </c>
      <c r="CJ103" s="8" t="str">
        <f>IF(HDA[[#This Row],[Status]]=0,"",HDA[[#This Row],[Status]])</f>
        <v/>
      </c>
    </row>
    <row r="104" spans="1:88">
      <c r="A104" s="8"/>
      <c r="C104" s="18"/>
      <c r="E104" s="19"/>
      <c r="F104" s="19"/>
      <c r="CA104" s="128">
        <f>HDA[[#This Row],[UID]]</f>
        <v>0</v>
      </c>
      <c r="CB104" s="8">
        <f>HDA[[#This Row],[Valve UnitID]]</f>
        <v>0</v>
      </c>
      <c r="CC104" s="111">
        <f>HDA[[#This Row],[Safety Head UnitID]]</f>
        <v>0</v>
      </c>
      <c r="CD104" s="111">
        <f>HDA[[#This Row],[Junction (Main) UnitID]]</f>
        <v>0</v>
      </c>
      <c r="CE104" s="8">
        <f>HDA[[#This Row],[Tubing (to SH) UnitID]]</f>
        <v>0</v>
      </c>
      <c r="CF104" s="8">
        <f>HDA[[#This Row],[Tubing (to NV) UnitID]]</f>
        <v>0</v>
      </c>
      <c r="CG104" s="8">
        <f>HDA[[#This Row],[Tubing (to PT) UnitID]]</f>
        <v>0</v>
      </c>
      <c r="CH104" s="8">
        <f>HDA[[#This Row],[Default Autoclave Body UnitID]]</f>
        <v>0</v>
      </c>
      <c r="CI104" s="8">
        <f>HDA[[#This Row],[PT UnitID]]</f>
        <v>0</v>
      </c>
      <c r="CJ104" s="8" t="str">
        <f>IF(HDA[[#This Row],[Status]]=0,"",HDA[[#This Row],[Status]])</f>
        <v/>
      </c>
    </row>
    <row r="105" spans="1:88">
      <c r="A105" s="8"/>
      <c r="C105" s="18"/>
      <c r="E105" s="19"/>
      <c r="F105" s="19"/>
      <c r="CA105" s="128">
        <f>HDA[[#This Row],[UID]]</f>
        <v>0</v>
      </c>
      <c r="CB105" s="8">
        <f>HDA[[#This Row],[Valve UnitID]]</f>
        <v>0</v>
      </c>
      <c r="CC105" s="111">
        <f>HDA[[#This Row],[Safety Head UnitID]]</f>
        <v>0</v>
      </c>
      <c r="CD105" s="111">
        <f>HDA[[#This Row],[Junction (Main) UnitID]]</f>
        <v>0</v>
      </c>
      <c r="CE105" s="8">
        <f>HDA[[#This Row],[Tubing (to SH) UnitID]]</f>
        <v>0</v>
      </c>
      <c r="CF105" s="8">
        <f>HDA[[#This Row],[Tubing (to NV) UnitID]]</f>
        <v>0</v>
      </c>
      <c r="CG105" s="8">
        <f>HDA[[#This Row],[Tubing (to PT) UnitID]]</f>
        <v>0</v>
      </c>
      <c r="CH105" s="8">
        <f>HDA[[#This Row],[Default Autoclave Body UnitID]]</f>
        <v>0</v>
      </c>
      <c r="CI105" s="8">
        <f>HDA[[#This Row],[PT UnitID]]</f>
        <v>0</v>
      </c>
      <c r="CJ105" s="8" t="str">
        <f>IF(HDA[[#This Row],[Status]]=0,"",HDA[[#This Row],[Status]])</f>
        <v/>
      </c>
    </row>
    <row r="106" spans="1:88">
      <c r="A106" s="8"/>
      <c r="C106" s="18"/>
      <c r="E106" s="19"/>
      <c r="F106" s="19"/>
      <c r="CA106" s="128">
        <f>HDA[[#This Row],[UID]]</f>
        <v>0</v>
      </c>
      <c r="CB106" s="8">
        <f>HDA[[#This Row],[Valve UnitID]]</f>
        <v>0</v>
      </c>
      <c r="CC106" s="111">
        <f>HDA[[#This Row],[Safety Head UnitID]]</f>
        <v>0</v>
      </c>
      <c r="CD106" s="111">
        <f>HDA[[#This Row],[Junction (Main) UnitID]]</f>
        <v>0</v>
      </c>
      <c r="CE106" s="8">
        <f>HDA[[#This Row],[Tubing (to SH) UnitID]]</f>
        <v>0</v>
      </c>
      <c r="CF106" s="8">
        <f>HDA[[#This Row],[Tubing (to NV) UnitID]]</f>
        <v>0</v>
      </c>
      <c r="CG106" s="8">
        <f>HDA[[#This Row],[Tubing (to PT) UnitID]]</f>
        <v>0</v>
      </c>
      <c r="CH106" s="8">
        <f>HDA[[#This Row],[Default Autoclave Body UnitID]]</f>
        <v>0</v>
      </c>
      <c r="CI106" s="8">
        <f>HDA[[#This Row],[PT UnitID]]</f>
        <v>0</v>
      </c>
      <c r="CJ106" s="8" t="str">
        <f>IF(HDA[[#This Row],[Status]]=0,"",HDA[[#This Row],[Status]])</f>
        <v/>
      </c>
    </row>
    <row r="107" spans="1:88">
      <c r="A107" s="8"/>
      <c r="C107" s="18"/>
      <c r="E107" s="19"/>
      <c r="F107" s="19"/>
      <c r="CA107" s="128">
        <f>HDA[[#This Row],[UID]]</f>
        <v>0</v>
      </c>
      <c r="CB107" s="8">
        <f>HDA[[#This Row],[Valve UnitID]]</f>
        <v>0</v>
      </c>
      <c r="CC107" s="111">
        <f>HDA[[#This Row],[Safety Head UnitID]]</f>
        <v>0</v>
      </c>
      <c r="CD107" s="111">
        <f>HDA[[#This Row],[Junction (Main) UnitID]]</f>
        <v>0</v>
      </c>
      <c r="CE107" s="8">
        <f>HDA[[#This Row],[Tubing (to SH) UnitID]]</f>
        <v>0</v>
      </c>
      <c r="CF107" s="8">
        <f>HDA[[#This Row],[Tubing (to NV) UnitID]]</f>
        <v>0</v>
      </c>
      <c r="CG107" s="8">
        <f>HDA[[#This Row],[Tubing (to PT) UnitID]]</f>
        <v>0</v>
      </c>
      <c r="CH107" s="8">
        <f>HDA[[#This Row],[Default Autoclave Body UnitID]]</f>
        <v>0</v>
      </c>
      <c r="CI107" s="8">
        <f>HDA[[#This Row],[PT UnitID]]</f>
        <v>0</v>
      </c>
      <c r="CJ107" s="8" t="str">
        <f>IF(HDA[[#This Row],[Status]]=0,"",HDA[[#This Row],[Status]])</f>
        <v/>
      </c>
    </row>
    <row r="108" spans="1:88">
      <c r="A108" s="8"/>
      <c r="C108" s="18"/>
      <c r="E108" s="19"/>
      <c r="F108" s="19"/>
      <c r="CA108" s="128">
        <f>HDA[[#This Row],[UID]]</f>
        <v>0</v>
      </c>
      <c r="CB108" s="8">
        <f>HDA[[#This Row],[Valve UnitID]]</f>
        <v>0</v>
      </c>
      <c r="CC108" s="111">
        <f>HDA[[#This Row],[Safety Head UnitID]]</f>
        <v>0</v>
      </c>
      <c r="CD108" s="111">
        <f>HDA[[#This Row],[Junction (Main) UnitID]]</f>
        <v>0</v>
      </c>
      <c r="CE108" s="8">
        <f>HDA[[#This Row],[Tubing (to SH) UnitID]]</f>
        <v>0</v>
      </c>
      <c r="CF108" s="8">
        <f>HDA[[#This Row],[Tubing (to NV) UnitID]]</f>
        <v>0</v>
      </c>
      <c r="CG108" s="8">
        <f>HDA[[#This Row],[Tubing (to PT) UnitID]]</f>
        <v>0</v>
      </c>
      <c r="CH108" s="8">
        <f>HDA[[#This Row],[Default Autoclave Body UnitID]]</f>
        <v>0</v>
      </c>
      <c r="CI108" s="8">
        <f>HDA[[#This Row],[PT UnitID]]</f>
        <v>0</v>
      </c>
      <c r="CJ108" s="8" t="str">
        <f>IF(HDA[[#This Row],[Status]]=0,"",HDA[[#This Row],[Status]])</f>
        <v/>
      </c>
    </row>
    <row r="109" spans="1:88">
      <c r="A109" s="8"/>
      <c r="C109" s="18"/>
      <c r="E109" s="19"/>
      <c r="F109" s="19"/>
      <c r="CA109" s="128">
        <f>HDA[[#This Row],[UID]]</f>
        <v>0</v>
      </c>
      <c r="CB109" s="8">
        <f>HDA[[#This Row],[Valve UnitID]]</f>
        <v>0</v>
      </c>
      <c r="CC109" s="111">
        <f>HDA[[#This Row],[Safety Head UnitID]]</f>
        <v>0</v>
      </c>
      <c r="CD109" s="111">
        <f>HDA[[#This Row],[Junction (Main) UnitID]]</f>
        <v>0</v>
      </c>
      <c r="CE109" s="8">
        <f>HDA[[#This Row],[Tubing (to SH) UnitID]]</f>
        <v>0</v>
      </c>
      <c r="CF109" s="8">
        <f>HDA[[#This Row],[Tubing (to NV) UnitID]]</f>
        <v>0</v>
      </c>
      <c r="CG109" s="8">
        <f>HDA[[#This Row],[Tubing (to PT) UnitID]]</f>
        <v>0</v>
      </c>
      <c r="CH109" s="8">
        <f>HDA[[#This Row],[Default Autoclave Body UnitID]]</f>
        <v>0</v>
      </c>
      <c r="CI109" s="8">
        <f>HDA[[#This Row],[PT UnitID]]</f>
        <v>0</v>
      </c>
      <c r="CJ109" s="8" t="str">
        <f>IF(HDA[[#This Row],[Status]]=0,"",HDA[[#This Row],[Status]])</f>
        <v/>
      </c>
    </row>
    <row r="110" spans="1:88">
      <c r="A110" s="8"/>
      <c r="C110" s="18"/>
      <c r="E110" s="19"/>
      <c r="F110" s="19"/>
      <c r="CA110" s="128">
        <f>HDA[[#This Row],[UID]]</f>
        <v>0</v>
      </c>
      <c r="CB110" s="8">
        <f>HDA[[#This Row],[Valve UnitID]]</f>
        <v>0</v>
      </c>
      <c r="CC110" s="111">
        <f>HDA[[#This Row],[Safety Head UnitID]]</f>
        <v>0</v>
      </c>
      <c r="CD110" s="111">
        <f>HDA[[#This Row],[Junction (Main) UnitID]]</f>
        <v>0</v>
      </c>
      <c r="CE110" s="8">
        <f>HDA[[#This Row],[Tubing (to SH) UnitID]]</f>
        <v>0</v>
      </c>
      <c r="CF110" s="8">
        <f>HDA[[#This Row],[Tubing (to NV) UnitID]]</f>
        <v>0</v>
      </c>
      <c r="CG110" s="8">
        <f>HDA[[#This Row],[Tubing (to PT) UnitID]]</f>
        <v>0</v>
      </c>
      <c r="CH110" s="8">
        <f>HDA[[#This Row],[Default Autoclave Body UnitID]]</f>
        <v>0</v>
      </c>
      <c r="CI110" s="8">
        <f>HDA[[#This Row],[PT UnitID]]</f>
        <v>0</v>
      </c>
      <c r="CJ110" s="8" t="str">
        <f>IF(HDA[[#This Row],[Status]]=0,"",HDA[[#This Row],[Status]])</f>
        <v/>
      </c>
    </row>
    <row r="111" spans="1:88">
      <c r="A111" s="8"/>
      <c r="C111" s="18"/>
      <c r="E111" s="19"/>
      <c r="F111" s="19"/>
      <c r="CA111" s="128">
        <f>HDA[[#This Row],[UID]]</f>
        <v>0</v>
      </c>
      <c r="CB111" s="8">
        <f>HDA[[#This Row],[Valve UnitID]]</f>
        <v>0</v>
      </c>
      <c r="CC111" s="111">
        <f>HDA[[#This Row],[Safety Head UnitID]]</f>
        <v>0</v>
      </c>
      <c r="CD111" s="111">
        <f>HDA[[#This Row],[Junction (Main) UnitID]]</f>
        <v>0</v>
      </c>
      <c r="CE111" s="8">
        <f>HDA[[#This Row],[Tubing (to SH) UnitID]]</f>
        <v>0</v>
      </c>
      <c r="CF111" s="8">
        <f>HDA[[#This Row],[Tubing (to NV) UnitID]]</f>
        <v>0</v>
      </c>
      <c r="CG111" s="8">
        <f>HDA[[#This Row],[Tubing (to PT) UnitID]]</f>
        <v>0</v>
      </c>
      <c r="CH111" s="8">
        <f>HDA[[#This Row],[Default Autoclave Body UnitID]]</f>
        <v>0</v>
      </c>
      <c r="CI111" s="8">
        <f>HDA[[#This Row],[PT UnitID]]</f>
        <v>0</v>
      </c>
      <c r="CJ111" s="8" t="str">
        <f>IF(HDA[[#This Row],[Status]]=0,"",HDA[[#This Row],[Status]])</f>
        <v/>
      </c>
    </row>
    <row r="112" spans="1:88">
      <c r="A112" s="8"/>
      <c r="C112" s="18"/>
      <c r="E112" s="19"/>
      <c r="F112" s="19"/>
      <c r="CA112" s="128">
        <f>HDA[[#This Row],[UID]]</f>
        <v>0</v>
      </c>
      <c r="CB112" s="8">
        <f>HDA[[#This Row],[Valve UnitID]]</f>
        <v>0</v>
      </c>
      <c r="CC112" s="111">
        <f>HDA[[#This Row],[Safety Head UnitID]]</f>
        <v>0</v>
      </c>
      <c r="CD112" s="111">
        <f>HDA[[#This Row],[Junction (Main) UnitID]]</f>
        <v>0</v>
      </c>
      <c r="CE112" s="8">
        <f>HDA[[#This Row],[Tubing (to SH) UnitID]]</f>
        <v>0</v>
      </c>
      <c r="CF112" s="8">
        <f>HDA[[#This Row],[Tubing (to NV) UnitID]]</f>
        <v>0</v>
      </c>
      <c r="CG112" s="8">
        <f>HDA[[#This Row],[Tubing (to PT) UnitID]]</f>
        <v>0</v>
      </c>
      <c r="CH112" s="8">
        <f>HDA[[#This Row],[Default Autoclave Body UnitID]]</f>
        <v>0</v>
      </c>
      <c r="CI112" s="8">
        <f>HDA[[#This Row],[PT UnitID]]</f>
        <v>0</v>
      </c>
      <c r="CJ112" s="8" t="str">
        <f>IF(HDA[[#This Row],[Status]]=0,"",HDA[[#This Row],[Status]])</f>
        <v/>
      </c>
    </row>
    <row r="113" spans="1:88">
      <c r="A113" s="8"/>
      <c r="C113" s="18"/>
      <c r="E113" s="19"/>
      <c r="F113" s="19"/>
      <c r="CA113" s="128">
        <f>HDA[[#This Row],[UID]]</f>
        <v>0</v>
      </c>
      <c r="CB113" s="8">
        <f>HDA[[#This Row],[Valve UnitID]]</f>
        <v>0</v>
      </c>
      <c r="CC113" s="111">
        <f>HDA[[#This Row],[Safety Head UnitID]]</f>
        <v>0</v>
      </c>
      <c r="CD113" s="111">
        <f>HDA[[#This Row],[Junction (Main) UnitID]]</f>
        <v>0</v>
      </c>
      <c r="CE113" s="8">
        <f>HDA[[#This Row],[Tubing (to SH) UnitID]]</f>
        <v>0</v>
      </c>
      <c r="CF113" s="8">
        <f>HDA[[#This Row],[Tubing (to NV) UnitID]]</f>
        <v>0</v>
      </c>
      <c r="CG113" s="8">
        <f>HDA[[#This Row],[Tubing (to PT) UnitID]]</f>
        <v>0</v>
      </c>
      <c r="CH113" s="8">
        <f>HDA[[#This Row],[Default Autoclave Body UnitID]]</f>
        <v>0</v>
      </c>
      <c r="CI113" s="8">
        <f>HDA[[#This Row],[PT UnitID]]</f>
        <v>0</v>
      </c>
      <c r="CJ113" s="8" t="str">
        <f>IF(HDA[[#This Row],[Status]]=0,"",HDA[[#This Row],[Status]])</f>
        <v/>
      </c>
    </row>
    <row r="114" spans="1:88">
      <c r="A114" s="8"/>
      <c r="C114" s="18"/>
      <c r="E114" s="19"/>
      <c r="F114" s="19"/>
      <c r="CA114" s="128">
        <f>HDA[[#This Row],[UID]]</f>
        <v>0</v>
      </c>
      <c r="CB114" s="8">
        <f>HDA[[#This Row],[Valve UnitID]]</f>
        <v>0</v>
      </c>
      <c r="CC114" s="111">
        <f>HDA[[#This Row],[Safety Head UnitID]]</f>
        <v>0</v>
      </c>
      <c r="CD114" s="111">
        <f>HDA[[#This Row],[Junction (Main) UnitID]]</f>
        <v>0</v>
      </c>
      <c r="CE114" s="8">
        <f>HDA[[#This Row],[Tubing (to SH) UnitID]]</f>
        <v>0</v>
      </c>
      <c r="CF114" s="8">
        <f>HDA[[#This Row],[Tubing (to NV) UnitID]]</f>
        <v>0</v>
      </c>
      <c r="CG114" s="8">
        <f>HDA[[#This Row],[Tubing (to PT) UnitID]]</f>
        <v>0</v>
      </c>
      <c r="CH114" s="8">
        <f>HDA[[#This Row],[Default Autoclave Body UnitID]]</f>
        <v>0</v>
      </c>
      <c r="CI114" s="8">
        <f>HDA[[#This Row],[PT UnitID]]</f>
        <v>0</v>
      </c>
      <c r="CJ114" s="8" t="str">
        <f>IF(HDA[[#This Row],[Status]]=0,"",HDA[[#This Row],[Status]])</f>
        <v/>
      </c>
    </row>
    <row r="115" spans="1:88">
      <c r="A115" s="8"/>
      <c r="C115" s="18"/>
      <c r="E115" s="19"/>
      <c r="F115" s="19"/>
      <c r="CA115" s="128">
        <f>HDA[[#This Row],[UID]]</f>
        <v>0</v>
      </c>
      <c r="CB115" s="8">
        <f>HDA[[#This Row],[Valve UnitID]]</f>
        <v>0</v>
      </c>
      <c r="CC115" s="111">
        <f>HDA[[#This Row],[Safety Head UnitID]]</f>
        <v>0</v>
      </c>
      <c r="CD115" s="111">
        <f>HDA[[#This Row],[Junction (Main) UnitID]]</f>
        <v>0</v>
      </c>
      <c r="CE115" s="8">
        <f>HDA[[#This Row],[Tubing (to SH) UnitID]]</f>
        <v>0</v>
      </c>
      <c r="CF115" s="8">
        <f>HDA[[#This Row],[Tubing (to NV) UnitID]]</f>
        <v>0</v>
      </c>
      <c r="CG115" s="8">
        <f>HDA[[#This Row],[Tubing (to PT) UnitID]]</f>
        <v>0</v>
      </c>
      <c r="CH115" s="8">
        <f>HDA[[#This Row],[Default Autoclave Body UnitID]]</f>
        <v>0</v>
      </c>
      <c r="CI115" s="8">
        <f>HDA[[#This Row],[PT UnitID]]</f>
        <v>0</v>
      </c>
      <c r="CJ115" s="8" t="str">
        <f>IF(HDA[[#This Row],[Status]]=0,"",HDA[[#This Row],[Status]])</f>
        <v/>
      </c>
    </row>
    <row r="116" spans="1:88">
      <c r="A116" s="8"/>
      <c r="C116" s="18"/>
      <c r="E116" s="19"/>
      <c r="F116" s="19"/>
      <c r="CA116" s="128">
        <f>HDA[[#This Row],[UID]]</f>
        <v>0</v>
      </c>
      <c r="CB116" s="8">
        <f>HDA[[#This Row],[Valve UnitID]]</f>
        <v>0</v>
      </c>
      <c r="CC116" s="111">
        <f>HDA[[#This Row],[Safety Head UnitID]]</f>
        <v>0</v>
      </c>
      <c r="CD116" s="111">
        <f>HDA[[#This Row],[Junction (Main) UnitID]]</f>
        <v>0</v>
      </c>
      <c r="CE116" s="8">
        <f>HDA[[#This Row],[Tubing (to SH) UnitID]]</f>
        <v>0</v>
      </c>
      <c r="CF116" s="8">
        <f>HDA[[#This Row],[Tubing (to NV) UnitID]]</f>
        <v>0</v>
      </c>
      <c r="CG116" s="8">
        <f>HDA[[#This Row],[Tubing (to PT) UnitID]]</f>
        <v>0</v>
      </c>
      <c r="CH116" s="8">
        <f>HDA[[#This Row],[Default Autoclave Body UnitID]]</f>
        <v>0</v>
      </c>
      <c r="CI116" s="8">
        <f>HDA[[#This Row],[PT UnitID]]</f>
        <v>0</v>
      </c>
      <c r="CJ116" s="8" t="str">
        <f>IF(HDA[[#This Row],[Status]]=0,"",HDA[[#This Row],[Status]])</f>
        <v/>
      </c>
    </row>
    <row r="117" spans="1:88">
      <c r="A117" s="8"/>
      <c r="C117" s="18"/>
      <c r="E117" s="19"/>
      <c r="F117" s="19"/>
      <c r="CA117" s="128">
        <f>HDA[[#This Row],[UID]]</f>
        <v>0</v>
      </c>
      <c r="CB117" s="8">
        <f>HDA[[#This Row],[Valve UnitID]]</f>
        <v>0</v>
      </c>
      <c r="CC117" s="111">
        <f>HDA[[#This Row],[Safety Head UnitID]]</f>
        <v>0</v>
      </c>
      <c r="CD117" s="111">
        <f>HDA[[#This Row],[Junction (Main) UnitID]]</f>
        <v>0</v>
      </c>
      <c r="CE117" s="8">
        <f>HDA[[#This Row],[Tubing (to SH) UnitID]]</f>
        <v>0</v>
      </c>
      <c r="CF117" s="8">
        <f>HDA[[#This Row],[Tubing (to NV) UnitID]]</f>
        <v>0</v>
      </c>
      <c r="CG117" s="8">
        <f>HDA[[#This Row],[Tubing (to PT) UnitID]]</f>
        <v>0</v>
      </c>
      <c r="CH117" s="8">
        <f>HDA[[#This Row],[Default Autoclave Body UnitID]]</f>
        <v>0</v>
      </c>
      <c r="CI117" s="8">
        <f>HDA[[#This Row],[PT UnitID]]</f>
        <v>0</v>
      </c>
      <c r="CJ117" s="8" t="str">
        <f>IF(HDA[[#This Row],[Status]]=0,"",HDA[[#This Row],[Status]])</f>
        <v/>
      </c>
    </row>
    <row r="118" spans="1:88">
      <c r="A118" s="8"/>
      <c r="C118" s="18"/>
      <c r="E118" s="19"/>
      <c r="F118" s="19"/>
      <c r="CA118" s="128">
        <f>HDA[[#This Row],[UID]]</f>
        <v>0</v>
      </c>
      <c r="CB118" s="8">
        <f>HDA[[#This Row],[Valve UnitID]]</f>
        <v>0</v>
      </c>
      <c r="CC118" s="111">
        <f>HDA[[#This Row],[Safety Head UnitID]]</f>
        <v>0</v>
      </c>
      <c r="CD118" s="111">
        <f>HDA[[#This Row],[Junction (Main) UnitID]]</f>
        <v>0</v>
      </c>
      <c r="CE118" s="8">
        <f>HDA[[#This Row],[Tubing (to SH) UnitID]]</f>
        <v>0</v>
      </c>
      <c r="CF118" s="8">
        <f>HDA[[#This Row],[Tubing (to NV) UnitID]]</f>
        <v>0</v>
      </c>
      <c r="CG118" s="8">
        <f>HDA[[#This Row],[Tubing (to PT) UnitID]]</f>
        <v>0</v>
      </c>
      <c r="CH118" s="8">
        <f>HDA[[#This Row],[Default Autoclave Body UnitID]]</f>
        <v>0</v>
      </c>
      <c r="CI118" s="8">
        <f>HDA[[#This Row],[PT UnitID]]</f>
        <v>0</v>
      </c>
      <c r="CJ118" s="8" t="str">
        <f>IF(HDA[[#This Row],[Status]]=0,"",HDA[[#This Row],[Status]])</f>
        <v/>
      </c>
    </row>
    <row r="119" spans="1:88">
      <c r="A119" s="8"/>
      <c r="C119" s="18"/>
      <c r="E119" s="19"/>
      <c r="F119" s="19"/>
      <c r="CA119" s="128">
        <f>HDA[[#This Row],[UID]]</f>
        <v>0</v>
      </c>
      <c r="CB119" s="8">
        <f>HDA[[#This Row],[Valve UnitID]]</f>
        <v>0</v>
      </c>
      <c r="CC119" s="111">
        <f>HDA[[#This Row],[Safety Head UnitID]]</f>
        <v>0</v>
      </c>
      <c r="CD119" s="111">
        <f>HDA[[#This Row],[Junction (Main) UnitID]]</f>
        <v>0</v>
      </c>
      <c r="CE119" s="8">
        <f>HDA[[#This Row],[Tubing (to SH) UnitID]]</f>
        <v>0</v>
      </c>
      <c r="CF119" s="8">
        <f>HDA[[#This Row],[Tubing (to NV) UnitID]]</f>
        <v>0</v>
      </c>
      <c r="CG119" s="8">
        <f>HDA[[#This Row],[Tubing (to PT) UnitID]]</f>
        <v>0</v>
      </c>
      <c r="CH119" s="8">
        <f>HDA[[#This Row],[Default Autoclave Body UnitID]]</f>
        <v>0</v>
      </c>
      <c r="CI119" s="8">
        <f>HDA[[#This Row],[PT UnitID]]</f>
        <v>0</v>
      </c>
      <c r="CJ119" s="8" t="str">
        <f>IF(HDA[[#This Row],[Status]]=0,"",HDA[[#This Row],[Status]])</f>
        <v/>
      </c>
    </row>
    <row r="120" spans="1:88">
      <c r="A120" s="8"/>
      <c r="C120" s="18"/>
      <c r="E120" s="19"/>
      <c r="F120" s="19"/>
      <c r="CA120" s="128">
        <f>HDA[[#This Row],[UID]]</f>
        <v>0</v>
      </c>
      <c r="CB120" s="8">
        <f>HDA[[#This Row],[Valve UnitID]]</f>
        <v>0</v>
      </c>
      <c r="CC120" s="111">
        <f>HDA[[#This Row],[Safety Head UnitID]]</f>
        <v>0</v>
      </c>
      <c r="CD120" s="111">
        <f>HDA[[#This Row],[Junction (Main) UnitID]]</f>
        <v>0</v>
      </c>
      <c r="CE120" s="8">
        <f>HDA[[#This Row],[Tubing (to SH) UnitID]]</f>
        <v>0</v>
      </c>
      <c r="CF120" s="8">
        <f>HDA[[#This Row],[Tubing (to NV) UnitID]]</f>
        <v>0</v>
      </c>
      <c r="CG120" s="8">
        <f>HDA[[#This Row],[Tubing (to PT) UnitID]]</f>
        <v>0</v>
      </c>
      <c r="CH120" s="8">
        <f>HDA[[#This Row],[Default Autoclave Body UnitID]]</f>
        <v>0</v>
      </c>
      <c r="CI120" s="8">
        <f>HDA[[#This Row],[PT UnitID]]</f>
        <v>0</v>
      </c>
      <c r="CJ120" s="8" t="str">
        <f>IF(HDA[[#This Row],[Status]]=0,"",HDA[[#This Row],[Status]])</f>
        <v/>
      </c>
    </row>
    <row r="121" spans="1:88">
      <c r="A121" s="8"/>
      <c r="C121" s="18"/>
      <c r="E121" s="19"/>
      <c r="F121" s="19"/>
      <c r="CA121" s="128">
        <f>HDA[[#This Row],[UID]]</f>
        <v>0</v>
      </c>
      <c r="CB121" s="8">
        <f>HDA[[#This Row],[Valve UnitID]]</f>
        <v>0</v>
      </c>
      <c r="CC121" s="111">
        <f>HDA[[#This Row],[Safety Head UnitID]]</f>
        <v>0</v>
      </c>
      <c r="CD121" s="111">
        <f>HDA[[#This Row],[Junction (Main) UnitID]]</f>
        <v>0</v>
      </c>
      <c r="CE121" s="8">
        <f>HDA[[#This Row],[Tubing (to SH) UnitID]]</f>
        <v>0</v>
      </c>
      <c r="CF121" s="8">
        <f>HDA[[#This Row],[Tubing (to NV) UnitID]]</f>
        <v>0</v>
      </c>
      <c r="CG121" s="8">
        <f>HDA[[#This Row],[Tubing (to PT) UnitID]]</f>
        <v>0</v>
      </c>
      <c r="CH121" s="8">
        <f>HDA[[#This Row],[Default Autoclave Body UnitID]]</f>
        <v>0</v>
      </c>
      <c r="CI121" s="8">
        <f>HDA[[#This Row],[PT UnitID]]</f>
        <v>0</v>
      </c>
      <c r="CJ121" s="8" t="str">
        <f>IF(HDA[[#This Row],[Status]]=0,"",HDA[[#This Row],[Status]])</f>
        <v/>
      </c>
    </row>
    <row r="122" spans="1:88">
      <c r="A122" s="8"/>
      <c r="C122" s="18"/>
      <c r="E122" s="19"/>
      <c r="F122" s="19"/>
      <c r="CA122" s="128">
        <f>HDA[[#This Row],[UID]]</f>
        <v>0</v>
      </c>
      <c r="CB122" s="8">
        <f>HDA[[#This Row],[Valve UnitID]]</f>
        <v>0</v>
      </c>
      <c r="CC122" s="111">
        <f>HDA[[#This Row],[Safety Head UnitID]]</f>
        <v>0</v>
      </c>
      <c r="CD122" s="111">
        <f>HDA[[#This Row],[Junction (Main) UnitID]]</f>
        <v>0</v>
      </c>
      <c r="CE122" s="8">
        <f>HDA[[#This Row],[Tubing (to SH) UnitID]]</f>
        <v>0</v>
      </c>
      <c r="CF122" s="8">
        <f>HDA[[#This Row],[Tubing (to NV) UnitID]]</f>
        <v>0</v>
      </c>
      <c r="CG122" s="8">
        <f>HDA[[#This Row],[Tubing (to PT) UnitID]]</f>
        <v>0</v>
      </c>
      <c r="CH122" s="8">
        <f>HDA[[#This Row],[Default Autoclave Body UnitID]]</f>
        <v>0</v>
      </c>
      <c r="CI122" s="8">
        <f>HDA[[#This Row],[PT UnitID]]</f>
        <v>0</v>
      </c>
      <c r="CJ122" s="8" t="str">
        <f>IF(HDA[[#This Row],[Status]]=0,"",HDA[[#This Row],[Status]])</f>
        <v/>
      </c>
    </row>
    <row r="123" spans="1:88">
      <c r="A123" s="8"/>
      <c r="C123" s="18"/>
      <c r="E123" s="19"/>
      <c r="F123" s="19"/>
      <c r="CA123" s="128">
        <f>HDA[[#This Row],[UID]]</f>
        <v>0</v>
      </c>
      <c r="CB123" s="8">
        <f>HDA[[#This Row],[Valve UnitID]]</f>
        <v>0</v>
      </c>
      <c r="CC123" s="111">
        <f>HDA[[#This Row],[Safety Head UnitID]]</f>
        <v>0</v>
      </c>
      <c r="CD123" s="111">
        <f>HDA[[#This Row],[Junction (Main) UnitID]]</f>
        <v>0</v>
      </c>
      <c r="CE123" s="8">
        <f>HDA[[#This Row],[Tubing (to SH) UnitID]]</f>
        <v>0</v>
      </c>
      <c r="CF123" s="8">
        <f>HDA[[#This Row],[Tubing (to NV) UnitID]]</f>
        <v>0</v>
      </c>
      <c r="CG123" s="8">
        <f>HDA[[#This Row],[Tubing (to PT) UnitID]]</f>
        <v>0</v>
      </c>
      <c r="CH123" s="8">
        <f>HDA[[#This Row],[Default Autoclave Body UnitID]]</f>
        <v>0</v>
      </c>
      <c r="CI123" s="8">
        <f>HDA[[#This Row],[PT UnitID]]</f>
        <v>0</v>
      </c>
      <c r="CJ123" s="8" t="str">
        <f>IF(HDA[[#This Row],[Status]]=0,"",HDA[[#This Row],[Status]])</f>
        <v/>
      </c>
    </row>
    <row r="124" spans="1:88">
      <c r="A124" s="8"/>
      <c r="C124" s="18"/>
      <c r="E124" s="19"/>
      <c r="F124" s="19"/>
      <c r="CA124" s="128">
        <f>HDA[[#This Row],[UID]]</f>
        <v>0</v>
      </c>
      <c r="CB124" s="8">
        <f>HDA[[#This Row],[Valve UnitID]]</f>
        <v>0</v>
      </c>
      <c r="CC124" s="111">
        <f>HDA[[#This Row],[Safety Head UnitID]]</f>
        <v>0</v>
      </c>
      <c r="CD124" s="111">
        <f>HDA[[#This Row],[Junction (Main) UnitID]]</f>
        <v>0</v>
      </c>
      <c r="CE124" s="8">
        <f>HDA[[#This Row],[Tubing (to SH) UnitID]]</f>
        <v>0</v>
      </c>
      <c r="CF124" s="8">
        <f>HDA[[#This Row],[Tubing (to NV) UnitID]]</f>
        <v>0</v>
      </c>
      <c r="CG124" s="8">
        <f>HDA[[#This Row],[Tubing (to PT) UnitID]]</f>
        <v>0</v>
      </c>
      <c r="CH124" s="8">
        <f>HDA[[#This Row],[Default Autoclave Body UnitID]]</f>
        <v>0</v>
      </c>
      <c r="CI124" s="8">
        <f>HDA[[#This Row],[PT UnitID]]</f>
        <v>0</v>
      </c>
      <c r="CJ124" s="8" t="str">
        <f>IF(HDA[[#This Row],[Status]]=0,"",HDA[[#This Row],[Status]])</f>
        <v/>
      </c>
    </row>
    <row r="125" spans="1:88">
      <c r="A125" s="8"/>
      <c r="C125" s="18"/>
      <c r="E125" s="19"/>
      <c r="F125" s="19"/>
      <c r="CA125" s="128">
        <f>HDA[[#This Row],[UID]]</f>
        <v>0</v>
      </c>
      <c r="CB125" s="8">
        <f>HDA[[#This Row],[Valve UnitID]]</f>
        <v>0</v>
      </c>
      <c r="CC125" s="111">
        <f>HDA[[#This Row],[Safety Head UnitID]]</f>
        <v>0</v>
      </c>
      <c r="CD125" s="111">
        <f>HDA[[#This Row],[Junction (Main) UnitID]]</f>
        <v>0</v>
      </c>
      <c r="CE125" s="8">
        <f>HDA[[#This Row],[Tubing (to SH) UnitID]]</f>
        <v>0</v>
      </c>
      <c r="CF125" s="8">
        <f>HDA[[#This Row],[Tubing (to NV) UnitID]]</f>
        <v>0</v>
      </c>
      <c r="CG125" s="8">
        <f>HDA[[#This Row],[Tubing (to PT) UnitID]]</f>
        <v>0</v>
      </c>
      <c r="CH125" s="8">
        <f>HDA[[#This Row],[Default Autoclave Body UnitID]]</f>
        <v>0</v>
      </c>
      <c r="CI125" s="8">
        <f>HDA[[#This Row],[PT UnitID]]</f>
        <v>0</v>
      </c>
      <c r="CJ125" s="8" t="str">
        <f>IF(HDA[[#This Row],[Status]]=0,"",HDA[[#This Row],[Status]])</f>
        <v/>
      </c>
    </row>
    <row r="126" spans="1:88">
      <c r="A126" s="8"/>
      <c r="C126" s="18"/>
      <c r="E126" s="19"/>
      <c r="F126" s="19"/>
      <c r="CA126" s="128">
        <f>HDA[[#This Row],[UID]]</f>
        <v>0</v>
      </c>
      <c r="CB126" s="8">
        <f>HDA[[#This Row],[Valve UnitID]]</f>
        <v>0</v>
      </c>
      <c r="CC126" s="111">
        <f>HDA[[#This Row],[Safety Head UnitID]]</f>
        <v>0</v>
      </c>
      <c r="CD126" s="111">
        <f>HDA[[#This Row],[Junction (Main) UnitID]]</f>
        <v>0</v>
      </c>
      <c r="CE126" s="8">
        <f>HDA[[#This Row],[Tubing (to SH) UnitID]]</f>
        <v>0</v>
      </c>
      <c r="CF126" s="8">
        <f>HDA[[#This Row],[Tubing (to NV) UnitID]]</f>
        <v>0</v>
      </c>
      <c r="CG126" s="8">
        <f>HDA[[#This Row],[Tubing (to PT) UnitID]]</f>
        <v>0</v>
      </c>
      <c r="CH126" s="8">
        <f>HDA[[#This Row],[Default Autoclave Body UnitID]]</f>
        <v>0</v>
      </c>
      <c r="CI126" s="8">
        <f>HDA[[#This Row],[PT UnitID]]</f>
        <v>0</v>
      </c>
      <c r="CJ126" s="8" t="str">
        <f>IF(HDA[[#This Row],[Status]]=0,"",HDA[[#This Row],[Status]])</f>
        <v/>
      </c>
    </row>
    <row r="127" spans="1:88">
      <c r="A127" s="8"/>
      <c r="C127" s="18"/>
      <c r="E127" s="19"/>
      <c r="F127" s="19"/>
      <c r="CA127" s="128">
        <f>HDA[[#This Row],[UID]]</f>
        <v>0</v>
      </c>
      <c r="CB127" s="8">
        <f>HDA[[#This Row],[Valve UnitID]]</f>
        <v>0</v>
      </c>
      <c r="CC127" s="111">
        <f>HDA[[#This Row],[Safety Head UnitID]]</f>
        <v>0</v>
      </c>
      <c r="CD127" s="111">
        <f>HDA[[#This Row],[Junction (Main) UnitID]]</f>
        <v>0</v>
      </c>
      <c r="CE127" s="8">
        <f>HDA[[#This Row],[Tubing (to SH) UnitID]]</f>
        <v>0</v>
      </c>
      <c r="CF127" s="8">
        <f>HDA[[#This Row],[Tubing (to NV) UnitID]]</f>
        <v>0</v>
      </c>
      <c r="CG127" s="8">
        <f>HDA[[#This Row],[Tubing (to PT) UnitID]]</f>
        <v>0</v>
      </c>
      <c r="CH127" s="8">
        <f>HDA[[#This Row],[Default Autoclave Body UnitID]]</f>
        <v>0</v>
      </c>
      <c r="CI127" s="8">
        <f>HDA[[#This Row],[PT UnitID]]</f>
        <v>0</v>
      </c>
      <c r="CJ127" s="8" t="str">
        <f>IF(HDA[[#This Row],[Status]]=0,"",HDA[[#This Row],[Status]])</f>
        <v/>
      </c>
    </row>
    <row r="128" spans="1:88">
      <c r="A128" s="8"/>
      <c r="C128" s="18"/>
      <c r="E128" s="19"/>
      <c r="F128" s="19"/>
      <c r="CA128" s="128">
        <f>HDA[[#This Row],[UID]]</f>
        <v>0</v>
      </c>
      <c r="CB128" s="8">
        <f>HDA[[#This Row],[Valve UnitID]]</f>
        <v>0</v>
      </c>
      <c r="CC128" s="111">
        <f>HDA[[#This Row],[Safety Head UnitID]]</f>
        <v>0</v>
      </c>
      <c r="CD128" s="111">
        <f>HDA[[#This Row],[Junction (Main) UnitID]]</f>
        <v>0</v>
      </c>
      <c r="CE128" s="8">
        <f>HDA[[#This Row],[Tubing (to SH) UnitID]]</f>
        <v>0</v>
      </c>
      <c r="CF128" s="8">
        <f>HDA[[#This Row],[Tubing (to NV) UnitID]]</f>
        <v>0</v>
      </c>
      <c r="CG128" s="8">
        <f>HDA[[#This Row],[Tubing (to PT) UnitID]]</f>
        <v>0</v>
      </c>
      <c r="CH128" s="8">
        <f>HDA[[#This Row],[Default Autoclave Body UnitID]]</f>
        <v>0</v>
      </c>
      <c r="CI128" s="8">
        <f>HDA[[#This Row],[PT UnitID]]</f>
        <v>0</v>
      </c>
      <c r="CJ128" s="8" t="str">
        <f>IF(HDA[[#This Row],[Status]]=0,"",HDA[[#This Row],[Status]])</f>
        <v/>
      </c>
    </row>
    <row r="129" spans="1:88">
      <c r="A129" s="8"/>
      <c r="C129" s="18"/>
      <c r="E129" s="19"/>
      <c r="F129" s="19"/>
      <c r="CA129" s="128">
        <f>HDA[[#This Row],[UID]]</f>
        <v>0</v>
      </c>
      <c r="CB129" s="8">
        <f>HDA[[#This Row],[Valve UnitID]]</f>
        <v>0</v>
      </c>
      <c r="CC129" s="111">
        <f>HDA[[#This Row],[Safety Head UnitID]]</f>
        <v>0</v>
      </c>
      <c r="CD129" s="111">
        <f>HDA[[#This Row],[Junction (Main) UnitID]]</f>
        <v>0</v>
      </c>
      <c r="CE129" s="8">
        <f>HDA[[#This Row],[Tubing (to SH) UnitID]]</f>
        <v>0</v>
      </c>
      <c r="CF129" s="8">
        <f>HDA[[#This Row],[Tubing (to NV) UnitID]]</f>
        <v>0</v>
      </c>
      <c r="CG129" s="8">
        <f>HDA[[#This Row],[Tubing (to PT) UnitID]]</f>
        <v>0</v>
      </c>
      <c r="CH129" s="8">
        <f>HDA[[#This Row],[Default Autoclave Body UnitID]]</f>
        <v>0</v>
      </c>
      <c r="CI129" s="8">
        <f>HDA[[#This Row],[PT UnitID]]</f>
        <v>0</v>
      </c>
      <c r="CJ129" s="8" t="str">
        <f>IF(HDA[[#This Row],[Status]]=0,"",HDA[[#This Row],[Status]])</f>
        <v/>
      </c>
    </row>
    <row r="130" spans="1:88">
      <c r="A130" s="8"/>
      <c r="C130" s="18"/>
      <c r="E130" s="19"/>
      <c r="F130" s="19"/>
      <c r="CA130" s="128">
        <f>HDA[[#This Row],[UID]]</f>
        <v>0</v>
      </c>
      <c r="CB130" s="8">
        <f>HDA[[#This Row],[Valve UnitID]]</f>
        <v>0</v>
      </c>
      <c r="CC130" s="111">
        <f>HDA[[#This Row],[Safety Head UnitID]]</f>
        <v>0</v>
      </c>
      <c r="CD130" s="111">
        <f>HDA[[#This Row],[Junction (Main) UnitID]]</f>
        <v>0</v>
      </c>
      <c r="CE130" s="8">
        <f>HDA[[#This Row],[Tubing (to SH) UnitID]]</f>
        <v>0</v>
      </c>
      <c r="CF130" s="8">
        <f>HDA[[#This Row],[Tubing (to NV) UnitID]]</f>
        <v>0</v>
      </c>
      <c r="CG130" s="8">
        <f>HDA[[#This Row],[Tubing (to PT) UnitID]]</f>
        <v>0</v>
      </c>
      <c r="CH130" s="8">
        <f>HDA[[#This Row],[Default Autoclave Body UnitID]]</f>
        <v>0</v>
      </c>
      <c r="CI130" s="8">
        <f>HDA[[#This Row],[PT UnitID]]</f>
        <v>0</v>
      </c>
      <c r="CJ130" s="8" t="str">
        <f>IF(HDA[[#This Row],[Status]]=0,"",HDA[[#This Row],[Status]])</f>
        <v/>
      </c>
    </row>
    <row r="131" spans="1:88">
      <c r="A131" s="8"/>
      <c r="C131" s="18"/>
      <c r="E131" s="19"/>
      <c r="F131" s="19"/>
      <c r="CA131" s="128">
        <f>HDA[[#This Row],[UID]]</f>
        <v>0</v>
      </c>
      <c r="CB131" s="8">
        <f>HDA[[#This Row],[Valve UnitID]]</f>
        <v>0</v>
      </c>
      <c r="CC131" s="111">
        <f>HDA[[#This Row],[Safety Head UnitID]]</f>
        <v>0</v>
      </c>
      <c r="CD131" s="111">
        <f>HDA[[#This Row],[Junction (Main) UnitID]]</f>
        <v>0</v>
      </c>
      <c r="CE131" s="8">
        <f>HDA[[#This Row],[Tubing (to SH) UnitID]]</f>
        <v>0</v>
      </c>
      <c r="CF131" s="8">
        <f>HDA[[#This Row],[Tubing (to NV) UnitID]]</f>
        <v>0</v>
      </c>
      <c r="CG131" s="8">
        <f>HDA[[#This Row],[Tubing (to PT) UnitID]]</f>
        <v>0</v>
      </c>
      <c r="CH131" s="8">
        <f>HDA[[#This Row],[Default Autoclave Body UnitID]]</f>
        <v>0</v>
      </c>
      <c r="CI131" s="8">
        <f>HDA[[#This Row],[PT UnitID]]</f>
        <v>0</v>
      </c>
      <c r="CJ131" s="8" t="str">
        <f>IF(HDA[[#This Row],[Status]]=0,"",HDA[[#This Row],[Status]])</f>
        <v/>
      </c>
    </row>
    <row r="132" spans="1:88">
      <c r="A132" s="8"/>
      <c r="C132" s="18"/>
      <c r="E132" s="19"/>
      <c r="F132" s="19"/>
      <c r="CA132" s="128">
        <f>HDA[[#This Row],[UID]]</f>
        <v>0</v>
      </c>
      <c r="CB132" s="8">
        <f>HDA[[#This Row],[Valve UnitID]]</f>
        <v>0</v>
      </c>
      <c r="CC132" s="111">
        <f>HDA[[#This Row],[Safety Head UnitID]]</f>
        <v>0</v>
      </c>
      <c r="CD132" s="111">
        <f>HDA[[#This Row],[Junction (Main) UnitID]]</f>
        <v>0</v>
      </c>
      <c r="CE132" s="8">
        <f>HDA[[#This Row],[Tubing (to SH) UnitID]]</f>
        <v>0</v>
      </c>
      <c r="CF132" s="8">
        <f>HDA[[#This Row],[Tubing (to NV) UnitID]]</f>
        <v>0</v>
      </c>
      <c r="CG132" s="8">
        <f>HDA[[#This Row],[Tubing (to PT) UnitID]]</f>
        <v>0</v>
      </c>
      <c r="CH132" s="8">
        <f>HDA[[#This Row],[Default Autoclave Body UnitID]]</f>
        <v>0</v>
      </c>
      <c r="CI132" s="8">
        <f>HDA[[#This Row],[PT UnitID]]</f>
        <v>0</v>
      </c>
      <c r="CJ132" s="8" t="str">
        <f>IF(HDA[[#This Row],[Status]]=0,"",HDA[[#This Row],[Status]])</f>
        <v/>
      </c>
    </row>
    <row r="133" spans="1:88">
      <c r="A133" s="8"/>
      <c r="C133" s="18"/>
      <c r="E133" s="19"/>
      <c r="F133" s="19"/>
      <c r="CA133" s="128">
        <f>HDA[[#This Row],[UID]]</f>
        <v>0</v>
      </c>
      <c r="CB133" s="8">
        <f>HDA[[#This Row],[Valve UnitID]]</f>
        <v>0</v>
      </c>
      <c r="CC133" s="111">
        <f>HDA[[#This Row],[Safety Head UnitID]]</f>
        <v>0</v>
      </c>
      <c r="CD133" s="111">
        <f>HDA[[#This Row],[Junction (Main) UnitID]]</f>
        <v>0</v>
      </c>
      <c r="CE133" s="8">
        <f>HDA[[#This Row],[Tubing (to SH) UnitID]]</f>
        <v>0</v>
      </c>
      <c r="CF133" s="8">
        <f>HDA[[#This Row],[Tubing (to NV) UnitID]]</f>
        <v>0</v>
      </c>
      <c r="CG133" s="8">
        <f>HDA[[#This Row],[Tubing (to PT) UnitID]]</f>
        <v>0</v>
      </c>
      <c r="CH133" s="8">
        <f>HDA[[#This Row],[Default Autoclave Body UnitID]]</f>
        <v>0</v>
      </c>
      <c r="CI133" s="8">
        <f>HDA[[#This Row],[PT UnitID]]</f>
        <v>0</v>
      </c>
      <c r="CJ133" s="8" t="str">
        <f>IF(HDA[[#This Row],[Status]]=0,"",HDA[[#This Row],[Status]])</f>
        <v/>
      </c>
    </row>
    <row r="134" spans="1:88">
      <c r="A134" s="8"/>
      <c r="C134" s="18"/>
      <c r="E134" s="19"/>
      <c r="F134" s="19"/>
      <c r="CA134" s="128">
        <f>HDA[[#This Row],[UID]]</f>
        <v>0</v>
      </c>
      <c r="CB134" s="8">
        <f>HDA[[#This Row],[Valve UnitID]]</f>
        <v>0</v>
      </c>
      <c r="CC134" s="111">
        <f>HDA[[#This Row],[Safety Head UnitID]]</f>
        <v>0</v>
      </c>
      <c r="CD134" s="111">
        <f>HDA[[#This Row],[Junction (Main) UnitID]]</f>
        <v>0</v>
      </c>
      <c r="CE134" s="8">
        <f>HDA[[#This Row],[Tubing (to SH) UnitID]]</f>
        <v>0</v>
      </c>
      <c r="CF134" s="8">
        <f>HDA[[#This Row],[Tubing (to NV) UnitID]]</f>
        <v>0</v>
      </c>
      <c r="CG134" s="8">
        <f>HDA[[#This Row],[Tubing (to PT) UnitID]]</f>
        <v>0</v>
      </c>
      <c r="CH134" s="8">
        <f>HDA[[#This Row],[Default Autoclave Body UnitID]]</f>
        <v>0</v>
      </c>
      <c r="CI134" s="8">
        <f>HDA[[#This Row],[PT UnitID]]</f>
        <v>0</v>
      </c>
      <c r="CJ134" s="8" t="str">
        <f>IF(HDA[[#This Row],[Status]]=0,"",HDA[[#This Row],[Status]])</f>
        <v/>
      </c>
    </row>
    <row r="135" spans="1:88">
      <c r="A135" s="8"/>
      <c r="C135" s="18"/>
      <c r="E135" s="19"/>
      <c r="F135" s="19"/>
      <c r="CA135" s="128">
        <f>HDA[[#This Row],[UID]]</f>
        <v>0</v>
      </c>
      <c r="CB135" s="8">
        <f>HDA[[#This Row],[Valve UnitID]]</f>
        <v>0</v>
      </c>
      <c r="CC135" s="111">
        <f>HDA[[#This Row],[Safety Head UnitID]]</f>
        <v>0</v>
      </c>
      <c r="CD135" s="111">
        <f>HDA[[#This Row],[Junction (Main) UnitID]]</f>
        <v>0</v>
      </c>
      <c r="CE135" s="8">
        <f>HDA[[#This Row],[Tubing (to SH) UnitID]]</f>
        <v>0</v>
      </c>
      <c r="CF135" s="8">
        <f>HDA[[#This Row],[Tubing (to NV) UnitID]]</f>
        <v>0</v>
      </c>
      <c r="CG135" s="8">
        <f>HDA[[#This Row],[Tubing (to PT) UnitID]]</f>
        <v>0</v>
      </c>
      <c r="CH135" s="8">
        <f>HDA[[#This Row],[Default Autoclave Body UnitID]]</f>
        <v>0</v>
      </c>
      <c r="CI135" s="8">
        <f>HDA[[#This Row],[PT UnitID]]</f>
        <v>0</v>
      </c>
      <c r="CJ135" s="8" t="str">
        <f>IF(HDA[[#This Row],[Status]]=0,"",HDA[[#This Row],[Status]])</f>
        <v/>
      </c>
    </row>
  </sheetData>
  <phoneticPr fontId="5" type="noConversion"/>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933A7-BAB3-9C42-824B-905A7FB41ED7}">
  <sheetPr codeName="Sheet4"/>
  <dimension ref="A1:CL101"/>
  <sheetViews>
    <sheetView topLeftCell="C5" zoomScaleNormal="100" workbookViewId="0">
      <selection activeCell="C1" sqref="C1"/>
    </sheetView>
  </sheetViews>
  <sheetFormatPr defaultColWidth="11" defaultRowHeight="15.95"/>
  <cols>
    <col min="1" max="1" width="10.375" bestFit="1" customWidth="1"/>
    <col min="2" max="2" width="10.375" customWidth="1"/>
    <col min="3" max="3" width="10.5" bestFit="1" customWidth="1"/>
    <col min="4" max="4" width="10.375" bestFit="1" customWidth="1"/>
    <col min="5" max="5" width="11.625" bestFit="1" customWidth="1"/>
    <col min="6" max="6" width="21.625" bestFit="1" customWidth="1"/>
    <col min="7" max="7" width="20.125" bestFit="1" customWidth="1"/>
    <col min="8" max="8" width="22.375" bestFit="1" customWidth="1"/>
    <col min="9" max="9" width="21.625" bestFit="1" customWidth="1"/>
    <col min="10" max="10" width="16.875" bestFit="1" customWidth="1"/>
    <col min="11" max="11" width="13.625" bestFit="1" customWidth="1"/>
    <col min="12" max="12" width="27.875" customWidth="1"/>
    <col min="13" max="13" width="12" bestFit="1" customWidth="1"/>
    <col min="16" max="16" width="15" bestFit="1" customWidth="1"/>
    <col min="17" max="17" width="19.375" bestFit="1" customWidth="1"/>
    <col min="18" max="18" width="51.625" bestFit="1" customWidth="1"/>
    <col min="19" max="19" width="9.5" bestFit="1" customWidth="1"/>
    <col min="80" max="80" width="15.5" customWidth="1"/>
    <col min="81" max="81" width="19.125" customWidth="1"/>
    <col min="82" max="82" width="20.375" customWidth="1"/>
    <col min="85" max="85" width="13.625" customWidth="1"/>
    <col min="86" max="86" width="12.625" customWidth="1"/>
    <col min="87" max="87" width="16.5" customWidth="1"/>
    <col min="89" max="89" width="14.625" customWidth="1"/>
  </cols>
  <sheetData>
    <row r="1" spans="1:90">
      <c r="A1" s="40" t="s">
        <v>12</v>
      </c>
      <c r="B1" s="40" t="s">
        <v>95</v>
      </c>
      <c r="C1" s="179" t="s">
        <v>94</v>
      </c>
      <c r="D1" s="39" t="s">
        <v>15</v>
      </c>
      <c r="E1" s="39" t="s">
        <v>96</v>
      </c>
      <c r="F1" s="60" t="s">
        <v>97</v>
      </c>
      <c r="G1" s="60" t="s">
        <v>98</v>
      </c>
      <c r="H1" s="60" t="s">
        <v>99</v>
      </c>
      <c r="I1" s="40" t="s">
        <v>100</v>
      </c>
      <c r="J1" s="40" t="s">
        <v>101</v>
      </c>
      <c r="K1" s="40" t="s">
        <v>102</v>
      </c>
      <c r="L1" s="40" t="s">
        <v>339</v>
      </c>
      <c r="M1" s="60" t="s">
        <v>228</v>
      </c>
      <c r="N1" s="40" t="s">
        <v>1029</v>
      </c>
      <c r="O1" s="176" t="s">
        <v>113</v>
      </c>
      <c r="P1" s="25" t="s">
        <v>114</v>
      </c>
      <c r="Q1" s="25" t="s">
        <v>115</v>
      </c>
      <c r="R1" s="25" t="s">
        <v>116</v>
      </c>
      <c r="S1" s="25" t="s">
        <v>117</v>
      </c>
      <c r="T1" s="70" t="s">
        <v>342</v>
      </c>
      <c r="CA1" t="s">
        <v>119</v>
      </c>
      <c r="CB1" s="117" t="s">
        <v>2</v>
      </c>
      <c r="CC1" s="118" t="s">
        <v>3</v>
      </c>
      <c r="CD1" s="118" t="s">
        <v>4</v>
      </c>
      <c r="CE1" s="118" t="s">
        <v>5</v>
      </c>
      <c r="CF1" s="118" t="s">
        <v>6</v>
      </c>
      <c r="CG1" s="119" t="s">
        <v>7</v>
      </c>
      <c r="CH1" s="118" t="s">
        <v>8</v>
      </c>
      <c r="CI1" s="118" t="s">
        <v>9</v>
      </c>
      <c r="CJ1" s="118" t="s">
        <v>10</v>
      </c>
      <c r="CK1" s="118" t="s">
        <v>11</v>
      </c>
      <c r="CL1" s="120" t="s">
        <v>12</v>
      </c>
    </row>
    <row r="2" spans="1:90">
      <c r="A2" s="43" t="s">
        <v>120</v>
      </c>
      <c r="B2" s="43" t="s">
        <v>39</v>
      </c>
      <c r="C2" s="43" t="s">
        <v>1030</v>
      </c>
      <c r="D2" s="41" t="s">
        <v>344</v>
      </c>
      <c r="E2" s="41" t="s">
        <v>123</v>
      </c>
      <c r="F2" s="42">
        <v>16</v>
      </c>
      <c r="G2" s="42">
        <v>2320</v>
      </c>
      <c r="H2" s="42">
        <v>1000</v>
      </c>
      <c r="I2" s="3" t="s">
        <v>148</v>
      </c>
      <c r="J2" s="41" t="s">
        <v>1031</v>
      </c>
      <c r="K2" s="41" t="s">
        <v>126</v>
      </c>
      <c r="L2" s="42">
        <v>220914</v>
      </c>
      <c r="M2" s="46">
        <v>49.088000000000001</v>
      </c>
      <c r="N2" s="43" t="s">
        <v>346</v>
      </c>
      <c r="O2" s="11"/>
      <c r="P2" s="44" t="s">
        <v>194</v>
      </c>
      <c r="Q2" s="47">
        <v>220809</v>
      </c>
      <c r="R2" s="41" t="s">
        <v>1032</v>
      </c>
      <c r="S2" s="44" t="s">
        <v>197</v>
      </c>
      <c r="T2" s="98" t="s">
        <v>1033</v>
      </c>
      <c r="CA2" t="s">
        <v>131</v>
      </c>
      <c r="CB2" s="1" t="s">
        <v>71</v>
      </c>
      <c r="CC2" s="1" t="s">
        <v>18</v>
      </c>
      <c r="CD2" s="1" t="s">
        <v>132</v>
      </c>
      <c r="CE2" s="1"/>
      <c r="CF2" s="1" t="str">
        <f>NUT[[#This Row],[Part Type]]</f>
        <v>Nuts</v>
      </c>
      <c r="CG2" s="112" t="str">
        <f>NUT[[#This Row],[Name]]</f>
        <v>TZM-1/2"</v>
      </c>
      <c r="CH2" s="1" t="str">
        <f>IF(NUT[[#This Row],[UID]]=0,"",NUT[[#This Row],[UID]])</f>
        <v>NUT-TA</v>
      </c>
      <c r="CI2" s="1"/>
      <c r="CJ2" s="1"/>
      <c r="CK2" s="1"/>
      <c r="CL2" s="1" t="str">
        <f>IF(NUT[[#This Row],[Status]]=0,"",NUT[[#This Row],[Status]])</f>
        <v>Active</v>
      </c>
    </row>
    <row r="3" spans="1:90">
      <c r="A3" s="43" t="s">
        <v>120</v>
      </c>
      <c r="B3" s="43" t="s">
        <v>39</v>
      </c>
      <c r="C3" s="43" t="s">
        <v>1034</v>
      </c>
      <c r="D3" s="41" t="s">
        <v>344</v>
      </c>
      <c r="E3" s="41" t="s">
        <v>123</v>
      </c>
      <c r="F3" s="42">
        <v>16</v>
      </c>
      <c r="G3" s="42">
        <v>2320</v>
      </c>
      <c r="H3" s="42">
        <v>1000</v>
      </c>
      <c r="I3" s="3" t="s">
        <v>148</v>
      </c>
      <c r="J3" s="41" t="s">
        <v>1031</v>
      </c>
      <c r="K3" s="41" t="s">
        <v>126</v>
      </c>
      <c r="L3" s="42">
        <v>220914</v>
      </c>
      <c r="M3" s="46">
        <v>49.033999999999999</v>
      </c>
      <c r="N3" s="43" t="s">
        <v>346</v>
      </c>
      <c r="O3" s="11"/>
      <c r="P3" s="44" t="s">
        <v>194</v>
      </c>
      <c r="Q3" s="47">
        <v>220809</v>
      </c>
      <c r="R3" s="41" t="s">
        <v>1032</v>
      </c>
      <c r="S3" s="44" t="s">
        <v>197</v>
      </c>
      <c r="T3" s="98" t="s">
        <v>1033</v>
      </c>
      <c r="CB3" s="1" t="s">
        <v>71</v>
      </c>
      <c r="CC3" s="1" t="s">
        <v>18</v>
      </c>
      <c r="CD3" s="1" t="s">
        <v>132</v>
      </c>
      <c r="CF3" t="str">
        <f>NUT[[#This Row],[Part Type]]</f>
        <v>Nuts</v>
      </c>
      <c r="CG3" s="52" t="str">
        <f>NUT[[#This Row],[Name]]</f>
        <v>TZM-1/2"</v>
      </c>
      <c r="CH3" t="str">
        <f>IF(NUT[[#This Row],[UID]]=0,"",NUT[[#This Row],[UID]])</f>
        <v>NUT-TB</v>
      </c>
      <c r="CL3" t="str">
        <f>IF(NUT[[#This Row],[Status]]=0,"",NUT[[#This Row],[Status]])</f>
        <v>Active</v>
      </c>
    </row>
    <row r="4" spans="1:90">
      <c r="A4" s="43" t="s">
        <v>120</v>
      </c>
      <c r="B4" s="43" t="s">
        <v>39</v>
      </c>
      <c r="C4" s="43" t="s">
        <v>1035</v>
      </c>
      <c r="D4" s="41" t="s">
        <v>344</v>
      </c>
      <c r="E4" s="41" t="s">
        <v>123</v>
      </c>
      <c r="F4" s="42">
        <v>16</v>
      </c>
      <c r="G4" s="42">
        <v>2320</v>
      </c>
      <c r="H4" s="42">
        <v>1000</v>
      </c>
      <c r="I4" s="3" t="s">
        <v>148</v>
      </c>
      <c r="J4" s="41" t="s">
        <v>1031</v>
      </c>
      <c r="K4" s="41" t="s">
        <v>126</v>
      </c>
      <c r="L4" s="42">
        <v>220914</v>
      </c>
      <c r="M4" s="46">
        <v>49.265000000000008</v>
      </c>
      <c r="N4" s="43" t="s">
        <v>346</v>
      </c>
      <c r="O4" s="11"/>
      <c r="P4" s="44" t="s">
        <v>194</v>
      </c>
      <c r="Q4" s="47">
        <v>220809</v>
      </c>
      <c r="R4" s="41" t="s">
        <v>1032</v>
      </c>
      <c r="S4" s="44" t="s">
        <v>197</v>
      </c>
      <c r="T4" s="98" t="s">
        <v>1033</v>
      </c>
      <c r="CB4" s="1" t="s">
        <v>71</v>
      </c>
      <c r="CC4" s="1" t="s">
        <v>18</v>
      </c>
      <c r="CD4" s="1" t="s">
        <v>132</v>
      </c>
      <c r="CF4" t="str">
        <f>NUT[[#This Row],[Part Type]]</f>
        <v>Nuts</v>
      </c>
      <c r="CG4" s="52" t="str">
        <f>NUT[[#This Row],[Name]]</f>
        <v>TZM-1/2"</v>
      </c>
      <c r="CH4" t="str">
        <f>IF(NUT[[#This Row],[UID]]=0,"",NUT[[#This Row],[UID]])</f>
        <v>NUT-TC</v>
      </c>
      <c r="CL4" t="str">
        <f>IF(NUT[[#This Row],[Status]]=0,"",NUT[[#This Row],[Status]])</f>
        <v>Active</v>
      </c>
    </row>
    <row r="5" spans="1:90">
      <c r="A5" s="43" t="s">
        <v>120</v>
      </c>
      <c r="B5" s="43" t="s">
        <v>39</v>
      </c>
      <c r="C5" s="43" t="s">
        <v>1036</v>
      </c>
      <c r="D5" s="41" t="s">
        <v>344</v>
      </c>
      <c r="E5" s="41" t="s">
        <v>123</v>
      </c>
      <c r="F5" s="42">
        <v>16</v>
      </c>
      <c r="G5" s="42">
        <v>2320</v>
      </c>
      <c r="H5" s="42">
        <v>1000</v>
      </c>
      <c r="I5" s="3" t="s">
        <v>148</v>
      </c>
      <c r="J5" s="41" t="s">
        <v>1031</v>
      </c>
      <c r="K5" s="41" t="s">
        <v>126</v>
      </c>
      <c r="L5" s="42">
        <v>220914</v>
      </c>
      <c r="M5" s="46">
        <v>49.04</v>
      </c>
      <c r="N5" s="43" t="s">
        <v>346</v>
      </c>
      <c r="O5" s="11"/>
      <c r="P5" s="44" t="s">
        <v>194</v>
      </c>
      <c r="Q5" s="47">
        <v>220809</v>
      </c>
      <c r="R5" s="41" t="s">
        <v>1032</v>
      </c>
      <c r="S5" s="44" t="s">
        <v>197</v>
      </c>
      <c r="T5" s="98" t="s">
        <v>1033</v>
      </c>
      <c r="CB5" s="1" t="s">
        <v>71</v>
      </c>
      <c r="CC5" s="1" t="s">
        <v>18</v>
      </c>
      <c r="CD5" s="1" t="s">
        <v>132</v>
      </c>
      <c r="CF5" t="str">
        <f>NUT[[#This Row],[Part Type]]</f>
        <v>Nuts</v>
      </c>
      <c r="CG5" s="52" t="str">
        <f>NUT[[#This Row],[Name]]</f>
        <v>TZM-1/2"</v>
      </c>
      <c r="CH5" t="str">
        <f>IF(NUT[[#This Row],[UID]]=0,"",NUT[[#This Row],[UID]])</f>
        <v>NUT-TD</v>
      </c>
      <c r="CL5" t="str">
        <f>IF(NUT[[#This Row],[Status]]=0,"",NUT[[#This Row],[Status]])</f>
        <v>Active</v>
      </c>
    </row>
    <row r="6" spans="1:90">
      <c r="A6" s="43" t="s">
        <v>120</v>
      </c>
      <c r="B6" s="43" t="s">
        <v>39</v>
      </c>
      <c r="C6" s="43" t="s">
        <v>1037</v>
      </c>
      <c r="D6" s="41" t="s">
        <v>344</v>
      </c>
      <c r="E6" s="41" t="s">
        <v>123</v>
      </c>
      <c r="F6" s="42">
        <v>16</v>
      </c>
      <c r="G6" s="42">
        <v>2320</v>
      </c>
      <c r="H6" s="42">
        <v>1000</v>
      </c>
      <c r="I6" s="3" t="s">
        <v>148</v>
      </c>
      <c r="J6" s="41" t="s">
        <v>1031</v>
      </c>
      <c r="K6" s="41" t="s">
        <v>126</v>
      </c>
      <c r="L6" s="42">
        <v>220914</v>
      </c>
      <c r="M6" s="46">
        <v>49.029000000000003</v>
      </c>
      <c r="N6" s="43" t="s">
        <v>346</v>
      </c>
      <c r="O6" s="11"/>
      <c r="P6" s="44" t="s">
        <v>194</v>
      </c>
      <c r="Q6" s="47">
        <v>220809</v>
      </c>
      <c r="R6" s="41" t="s">
        <v>1032</v>
      </c>
      <c r="S6" s="44" t="s">
        <v>197</v>
      </c>
      <c r="T6" s="98" t="s">
        <v>1033</v>
      </c>
      <c r="CB6" s="1" t="s">
        <v>71</v>
      </c>
      <c r="CC6" s="1" t="s">
        <v>18</v>
      </c>
      <c r="CD6" s="1" t="s">
        <v>132</v>
      </c>
      <c r="CF6" t="str">
        <f>NUT[[#This Row],[Part Type]]</f>
        <v>Nuts</v>
      </c>
      <c r="CG6" s="52" t="str">
        <f>NUT[[#This Row],[Name]]</f>
        <v>TZM-1/2"</v>
      </c>
      <c r="CH6" t="str">
        <f>IF(NUT[[#This Row],[UID]]=0,"",NUT[[#This Row],[UID]])</f>
        <v>NUT-TE</v>
      </c>
      <c r="CL6" t="str">
        <f>IF(NUT[[#This Row],[Status]]=0,"",NUT[[#This Row],[Status]])</f>
        <v>Active</v>
      </c>
    </row>
    <row r="7" spans="1:90">
      <c r="A7" s="43" t="s">
        <v>120</v>
      </c>
      <c r="B7" s="43" t="s">
        <v>39</v>
      </c>
      <c r="C7" s="43" t="s">
        <v>1038</v>
      </c>
      <c r="D7" s="41" t="s">
        <v>344</v>
      </c>
      <c r="E7" s="41" t="s">
        <v>123</v>
      </c>
      <c r="F7" s="42">
        <v>16</v>
      </c>
      <c r="G7" s="42">
        <v>2320</v>
      </c>
      <c r="H7" s="42">
        <v>1000</v>
      </c>
      <c r="I7" s="3" t="s">
        <v>148</v>
      </c>
      <c r="J7" s="41" t="s">
        <v>1039</v>
      </c>
      <c r="K7" s="41" t="s">
        <v>126</v>
      </c>
      <c r="L7" s="42">
        <v>220914</v>
      </c>
      <c r="M7" s="46">
        <v>16.271000000000001</v>
      </c>
      <c r="N7" s="11" t="s">
        <v>1040</v>
      </c>
      <c r="O7" s="11"/>
      <c r="P7" s="44" t="s">
        <v>194</v>
      </c>
      <c r="Q7" s="47">
        <v>220809</v>
      </c>
      <c r="R7" s="41" t="s">
        <v>1041</v>
      </c>
      <c r="S7" s="44" t="s">
        <v>197</v>
      </c>
      <c r="T7" s="98" t="s">
        <v>1042</v>
      </c>
      <c r="CB7" s="1" t="s">
        <v>71</v>
      </c>
      <c r="CC7" s="1" t="s">
        <v>18</v>
      </c>
      <c r="CD7" s="1" t="s">
        <v>132</v>
      </c>
      <c r="CF7" t="str">
        <f>NUT[[#This Row],[Part Type]]</f>
        <v>Nuts</v>
      </c>
      <c r="CG7" s="52" t="str">
        <f>NUT[[#This Row],[Name]]</f>
        <v>TZM-1/2"</v>
      </c>
      <c r="CH7" t="str">
        <f>IF(NUT[[#This Row],[UID]]=0,"",NUT[[#This Row],[UID]])</f>
        <v>NUT-TF</v>
      </c>
      <c r="CL7" t="str">
        <f>IF(NUT[[#This Row],[Status]]=0,"",NUT[[#This Row],[Status]])</f>
        <v>Active</v>
      </c>
    </row>
    <row r="8" spans="1:90">
      <c r="A8" s="43" t="s">
        <v>120</v>
      </c>
      <c r="B8" s="43" t="s">
        <v>39</v>
      </c>
      <c r="C8" s="43" t="s">
        <v>1043</v>
      </c>
      <c r="D8" s="41" t="s">
        <v>344</v>
      </c>
      <c r="E8" s="41" t="s">
        <v>123</v>
      </c>
      <c r="F8" s="42">
        <v>16</v>
      </c>
      <c r="G8" s="42">
        <v>2320</v>
      </c>
      <c r="H8" s="42">
        <v>1000</v>
      </c>
      <c r="I8" s="3" t="s">
        <v>148</v>
      </c>
      <c r="J8" s="41" t="s">
        <v>1039</v>
      </c>
      <c r="K8" s="41" t="s">
        <v>126</v>
      </c>
      <c r="L8" s="42">
        <v>220914</v>
      </c>
      <c r="M8" s="46">
        <v>16.308</v>
      </c>
      <c r="N8" s="11" t="s">
        <v>1040</v>
      </c>
      <c r="O8" s="11"/>
      <c r="P8" s="44" t="s">
        <v>194</v>
      </c>
      <c r="Q8" s="47">
        <v>220809</v>
      </c>
      <c r="R8" s="41" t="s">
        <v>1041</v>
      </c>
      <c r="S8" s="44" t="s">
        <v>197</v>
      </c>
      <c r="T8" s="98" t="s">
        <v>1042</v>
      </c>
      <c r="CB8" s="1" t="s">
        <v>71</v>
      </c>
      <c r="CC8" s="1" t="s">
        <v>18</v>
      </c>
      <c r="CD8" s="1" t="s">
        <v>132</v>
      </c>
      <c r="CF8" t="str">
        <f>NUT[[#This Row],[Part Type]]</f>
        <v>Nuts</v>
      </c>
      <c r="CG8" s="52" t="str">
        <f>NUT[[#This Row],[Name]]</f>
        <v>TZM-1/2"</v>
      </c>
      <c r="CH8" t="str">
        <f>IF(NUT[[#This Row],[UID]]=0,"",NUT[[#This Row],[UID]])</f>
        <v>NUT-TG</v>
      </c>
      <c r="CL8" t="str">
        <f>IF(NUT[[#This Row],[Status]]=0,"",NUT[[#This Row],[Status]])</f>
        <v>Active</v>
      </c>
    </row>
    <row r="9" spans="1:90">
      <c r="A9" s="43" t="s">
        <v>120</v>
      </c>
      <c r="B9" s="43" t="s">
        <v>39</v>
      </c>
      <c r="C9" s="43" t="s">
        <v>1044</v>
      </c>
      <c r="D9" s="41" t="s">
        <v>344</v>
      </c>
      <c r="E9" s="41" t="s">
        <v>123</v>
      </c>
      <c r="F9" s="42">
        <v>16</v>
      </c>
      <c r="G9" s="42">
        <v>2320</v>
      </c>
      <c r="H9" s="42">
        <v>1000</v>
      </c>
      <c r="I9" s="3" t="s">
        <v>148</v>
      </c>
      <c r="J9" s="41" t="s">
        <v>1039</v>
      </c>
      <c r="K9" s="41" t="s">
        <v>126</v>
      </c>
      <c r="L9" s="42">
        <v>220914</v>
      </c>
      <c r="M9" s="46">
        <v>16.329999999999998</v>
      </c>
      <c r="N9" s="11" t="s">
        <v>1040</v>
      </c>
      <c r="O9" s="11"/>
      <c r="P9" s="44" t="s">
        <v>194</v>
      </c>
      <c r="Q9" s="47">
        <v>220809</v>
      </c>
      <c r="R9" s="41" t="s">
        <v>1041</v>
      </c>
      <c r="S9" s="44" t="s">
        <v>197</v>
      </c>
      <c r="T9" s="98" t="s">
        <v>1042</v>
      </c>
      <c r="CB9" s="1" t="s">
        <v>71</v>
      </c>
      <c r="CC9" s="1" t="s">
        <v>18</v>
      </c>
      <c r="CD9" s="1" t="s">
        <v>132</v>
      </c>
      <c r="CF9" t="str">
        <f>NUT[[#This Row],[Part Type]]</f>
        <v>Nuts</v>
      </c>
      <c r="CG9" s="52" t="str">
        <f>NUT[[#This Row],[Name]]</f>
        <v>TZM-1/2"</v>
      </c>
      <c r="CH9" t="str">
        <f>IF(NUT[[#This Row],[UID]]=0,"",NUT[[#This Row],[UID]])</f>
        <v>NUT-TH</v>
      </c>
      <c r="CL9" t="str">
        <f>IF(NUT[[#This Row],[Status]]=0,"",NUT[[#This Row],[Status]])</f>
        <v>Active</v>
      </c>
    </row>
    <row r="10" spans="1:90">
      <c r="A10" s="43" t="s">
        <v>120</v>
      </c>
      <c r="B10" s="43" t="s">
        <v>39</v>
      </c>
      <c r="C10" s="43" t="s">
        <v>1045</v>
      </c>
      <c r="D10" s="41" t="s">
        <v>344</v>
      </c>
      <c r="E10" s="41" t="s">
        <v>123</v>
      </c>
      <c r="F10" s="42">
        <v>16</v>
      </c>
      <c r="G10" s="42">
        <v>2320</v>
      </c>
      <c r="H10" s="42">
        <v>1000</v>
      </c>
      <c r="I10" s="3" t="s">
        <v>148</v>
      </c>
      <c r="J10" s="41" t="s">
        <v>1039</v>
      </c>
      <c r="K10" s="41" t="s">
        <v>126</v>
      </c>
      <c r="L10" s="42">
        <v>220914</v>
      </c>
      <c r="M10" s="46">
        <v>16.373000000000001</v>
      </c>
      <c r="N10" s="11" t="s">
        <v>1040</v>
      </c>
      <c r="O10" s="11"/>
      <c r="P10" s="44" t="s">
        <v>194</v>
      </c>
      <c r="Q10" s="47">
        <v>220809</v>
      </c>
      <c r="R10" s="41" t="s">
        <v>1041</v>
      </c>
      <c r="S10" s="44" t="s">
        <v>197</v>
      </c>
      <c r="T10" s="98" t="s">
        <v>1042</v>
      </c>
      <c r="CB10" s="1" t="s">
        <v>71</v>
      </c>
      <c r="CC10" s="1" t="s">
        <v>18</v>
      </c>
      <c r="CD10" s="1" t="s">
        <v>132</v>
      </c>
      <c r="CF10" t="str">
        <f>NUT[[#This Row],[Part Type]]</f>
        <v>Nuts</v>
      </c>
      <c r="CG10" s="52" t="str">
        <f>NUT[[#This Row],[Name]]</f>
        <v>TZM-1/2"</v>
      </c>
      <c r="CH10" t="str">
        <f>IF(NUT[[#This Row],[UID]]=0,"",NUT[[#This Row],[UID]])</f>
        <v>NUT-TI</v>
      </c>
      <c r="CL10" t="str">
        <f>IF(NUT[[#This Row],[Status]]=0,"",NUT[[#This Row],[Status]])</f>
        <v>Active</v>
      </c>
    </row>
    <row r="11" spans="1:90">
      <c r="A11" s="43" t="s">
        <v>120</v>
      </c>
      <c r="B11" s="43" t="s">
        <v>39</v>
      </c>
      <c r="C11" s="43" t="s">
        <v>1046</v>
      </c>
      <c r="D11" s="41" t="s">
        <v>344</v>
      </c>
      <c r="E11" s="41" t="s">
        <v>123</v>
      </c>
      <c r="F11" s="42">
        <v>16</v>
      </c>
      <c r="G11" s="42">
        <v>2320</v>
      </c>
      <c r="H11" s="42">
        <v>1000</v>
      </c>
      <c r="I11" s="3" t="s">
        <v>148</v>
      </c>
      <c r="J11" s="41" t="s">
        <v>1039</v>
      </c>
      <c r="K11" s="41" t="s">
        <v>126</v>
      </c>
      <c r="L11" s="42">
        <v>220914</v>
      </c>
      <c r="M11" s="46">
        <v>16.344999999999999</v>
      </c>
      <c r="N11" s="11" t="s">
        <v>1040</v>
      </c>
      <c r="O11" s="11"/>
      <c r="P11" s="44" t="s">
        <v>194</v>
      </c>
      <c r="Q11" s="47">
        <v>220809</v>
      </c>
      <c r="R11" s="41" t="s">
        <v>1041</v>
      </c>
      <c r="S11" s="44" t="s">
        <v>197</v>
      </c>
      <c r="T11" s="98" t="s">
        <v>1042</v>
      </c>
      <c r="CB11" s="1" t="s">
        <v>71</v>
      </c>
      <c r="CC11" s="1" t="s">
        <v>18</v>
      </c>
      <c r="CD11" s="1" t="s">
        <v>132</v>
      </c>
      <c r="CF11" t="str">
        <f>NUT[[#This Row],[Part Type]]</f>
        <v>Nuts</v>
      </c>
      <c r="CG11" s="52" t="str">
        <f>NUT[[#This Row],[Name]]</f>
        <v>TZM-1/2"</v>
      </c>
      <c r="CH11" t="str">
        <f>IF(NUT[[#This Row],[UID]]=0,"",NUT[[#This Row],[UID]])</f>
        <v>NUT-TJ</v>
      </c>
      <c r="CL11" t="str">
        <f>IF(NUT[[#This Row],[Status]]=0,"",NUT[[#This Row],[Status]])</f>
        <v>Active</v>
      </c>
    </row>
    <row r="12" spans="1:90">
      <c r="A12" s="43" t="s">
        <v>120</v>
      </c>
      <c r="B12" s="43" t="s">
        <v>39</v>
      </c>
      <c r="C12" s="43" t="s">
        <v>1047</v>
      </c>
      <c r="D12" s="41" t="s">
        <v>344</v>
      </c>
      <c r="E12" s="41" t="s">
        <v>123</v>
      </c>
      <c r="F12" s="42">
        <v>16</v>
      </c>
      <c r="G12" s="42">
        <v>2320</v>
      </c>
      <c r="H12" s="42">
        <v>1000</v>
      </c>
      <c r="I12" s="3" t="s">
        <v>148</v>
      </c>
      <c r="J12" s="41" t="s">
        <v>1031</v>
      </c>
      <c r="K12" s="41" t="s">
        <v>126</v>
      </c>
      <c r="L12" s="32">
        <v>220502</v>
      </c>
      <c r="M12" s="11">
        <v>54.709000000000003</v>
      </c>
      <c r="N12" s="43" t="s">
        <v>346</v>
      </c>
      <c r="O12" s="11"/>
      <c r="P12" s="44" t="s">
        <v>194</v>
      </c>
      <c r="Q12" s="47">
        <v>220428</v>
      </c>
      <c r="R12" s="44" t="s">
        <v>203</v>
      </c>
      <c r="S12" s="12" t="s">
        <v>204</v>
      </c>
      <c r="T12" s="156" t="s">
        <v>205</v>
      </c>
      <c r="CB12" s="1" t="s">
        <v>71</v>
      </c>
      <c r="CC12" s="1" t="s">
        <v>18</v>
      </c>
      <c r="CD12" s="1" t="s">
        <v>132</v>
      </c>
      <c r="CF12" t="str">
        <f>NUT[[#This Row],[Part Type]]</f>
        <v>Nuts</v>
      </c>
      <c r="CG12" s="52" t="str">
        <f>NUT[[#This Row],[Name]]</f>
        <v>TZM-1/2"</v>
      </c>
      <c r="CH12" t="str">
        <f>IF(NUT[[#This Row],[UID]]=0,"",NUT[[#This Row],[UID]])</f>
        <v>NUT-TK</v>
      </c>
      <c r="CL12" t="str">
        <f>IF(NUT[[#This Row],[Status]]=0,"",NUT[[#This Row],[Status]])</f>
        <v>Active</v>
      </c>
    </row>
    <row r="13" spans="1:90">
      <c r="A13" s="43" t="s">
        <v>120</v>
      </c>
      <c r="B13" s="43" t="s">
        <v>39</v>
      </c>
      <c r="C13" s="43" t="s">
        <v>1048</v>
      </c>
      <c r="D13" s="41" t="s">
        <v>344</v>
      </c>
      <c r="E13" s="41" t="s">
        <v>123</v>
      </c>
      <c r="F13" s="42">
        <v>16</v>
      </c>
      <c r="G13" s="42">
        <v>2320</v>
      </c>
      <c r="H13" s="42">
        <v>1000</v>
      </c>
      <c r="I13" s="3" t="s">
        <v>148</v>
      </c>
      <c r="J13" s="41" t="s">
        <v>1031</v>
      </c>
      <c r="K13" s="41" t="s">
        <v>126</v>
      </c>
      <c r="L13" s="32">
        <v>220502</v>
      </c>
      <c r="M13" s="43">
        <v>54.34</v>
      </c>
      <c r="N13" s="43" t="s">
        <v>346</v>
      </c>
      <c r="O13" s="11"/>
      <c r="P13" s="44" t="s">
        <v>194</v>
      </c>
      <c r="Q13" s="47">
        <v>220428</v>
      </c>
      <c r="R13" s="131" t="s">
        <v>203</v>
      </c>
      <c r="S13" s="12" t="s">
        <v>204</v>
      </c>
      <c r="T13" s="156" t="s">
        <v>205</v>
      </c>
      <c r="CB13" s="1" t="s">
        <v>71</v>
      </c>
      <c r="CC13" s="1" t="s">
        <v>18</v>
      </c>
      <c r="CD13" s="1" t="s">
        <v>132</v>
      </c>
      <c r="CF13" t="str">
        <f>NUT[[#This Row],[Part Type]]</f>
        <v>Nuts</v>
      </c>
      <c r="CG13" s="52" t="str">
        <f>NUT[[#This Row],[Name]]</f>
        <v>TZM-1/2"</v>
      </c>
      <c r="CH13" t="str">
        <f>IF(NUT[[#This Row],[UID]]=0,"",NUT[[#This Row],[UID]])</f>
        <v>NUT-TL</v>
      </c>
      <c r="CL13" t="str">
        <f>IF(NUT[[#This Row],[Status]]=0,"",NUT[[#This Row],[Status]])</f>
        <v>Active</v>
      </c>
    </row>
    <row r="14" spans="1:90">
      <c r="A14" s="43" t="s">
        <v>120</v>
      </c>
      <c r="B14" s="43" t="s">
        <v>39</v>
      </c>
      <c r="C14" s="43" t="s">
        <v>1049</v>
      </c>
      <c r="D14" s="41" t="s">
        <v>344</v>
      </c>
      <c r="E14" s="41" t="s">
        <v>123</v>
      </c>
      <c r="F14" s="42">
        <v>16</v>
      </c>
      <c r="G14" s="42">
        <v>2320</v>
      </c>
      <c r="H14" s="42">
        <v>1000</v>
      </c>
      <c r="I14" s="3" t="s">
        <v>148</v>
      </c>
      <c r="J14" s="41" t="s">
        <v>1031</v>
      </c>
      <c r="K14" s="41" t="s">
        <v>126</v>
      </c>
      <c r="L14" s="32">
        <v>220502</v>
      </c>
      <c r="M14" s="43">
        <v>54.79</v>
      </c>
      <c r="N14" s="43" t="s">
        <v>346</v>
      </c>
      <c r="O14" s="11"/>
      <c r="P14" s="44" t="s">
        <v>194</v>
      </c>
      <c r="Q14" s="47">
        <v>220428</v>
      </c>
      <c r="R14" s="44" t="s">
        <v>203</v>
      </c>
      <c r="S14" s="12" t="s">
        <v>204</v>
      </c>
      <c r="T14" s="156" t="s">
        <v>205</v>
      </c>
      <c r="CB14" s="1" t="s">
        <v>71</v>
      </c>
      <c r="CC14" s="1" t="s">
        <v>18</v>
      </c>
      <c r="CD14" s="1" t="s">
        <v>132</v>
      </c>
      <c r="CF14" t="str">
        <f>NUT[[#This Row],[Part Type]]</f>
        <v>Nuts</v>
      </c>
      <c r="CG14" s="52" t="str">
        <f>NUT[[#This Row],[Name]]</f>
        <v>TZM-1/2"</v>
      </c>
      <c r="CH14" t="str">
        <f>IF(NUT[[#This Row],[UID]]=0,"",NUT[[#This Row],[UID]])</f>
        <v>NUT-TM</v>
      </c>
      <c r="CL14" t="str">
        <f>IF(NUT[[#This Row],[Status]]=0,"",NUT[[#This Row],[Status]])</f>
        <v>Active</v>
      </c>
    </row>
    <row r="15" spans="1:90">
      <c r="A15" s="43" t="s">
        <v>120</v>
      </c>
      <c r="B15" s="43" t="s">
        <v>39</v>
      </c>
      <c r="C15" s="43" t="s">
        <v>1050</v>
      </c>
      <c r="D15" s="41" t="s">
        <v>344</v>
      </c>
      <c r="E15" s="41" t="s">
        <v>123</v>
      </c>
      <c r="F15" s="42">
        <v>16</v>
      </c>
      <c r="G15" s="42">
        <v>2320</v>
      </c>
      <c r="H15" s="42">
        <v>1000</v>
      </c>
      <c r="I15" s="3" t="s">
        <v>148</v>
      </c>
      <c r="J15" s="41" t="s">
        <v>1031</v>
      </c>
      <c r="K15" s="41" t="s">
        <v>126</v>
      </c>
      <c r="L15" s="32">
        <v>220502</v>
      </c>
      <c r="M15" s="43">
        <v>54.578000000000003</v>
      </c>
      <c r="N15" s="43" t="s">
        <v>346</v>
      </c>
      <c r="O15" s="11"/>
      <c r="P15" s="44" t="s">
        <v>194</v>
      </c>
      <c r="Q15" s="47">
        <v>220428</v>
      </c>
      <c r="R15" s="44" t="s">
        <v>203</v>
      </c>
      <c r="S15" s="12" t="s">
        <v>204</v>
      </c>
      <c r="T15" s="156" t="s">
        <v>205</v>
      </c>
      <c r="CB15" s="1" t="s">
        <v>71</v>
      </c>
      <c r="CC15" s="1" t="s">
        <v>18</v>
      </c>
      <c r="CD15" s="1" t="s">
        <v>132</v>
      </c>
      <c r="CF15" t="str">
        <f>NUT[[#This Row],[Part Type]]</f>
        <v>Nuts</v>
      </c>
      <c r="CG15" s="52" t="str">
        <f>NUT[[#This Row],[Name]]</f>
        <v>TZM-1/2"</v>
      </c>
      <c r="CH15" t="str">
        <f>IF(NUT[[#This Row],[UID]]=0,"",NUT[[#This Row],[UID]])</f>
        <v>NUT-TN</v>
      </c>
      <c r="CL15" t="str">
        <f>IF(NUT[[#This Row],[Status]]=0,"",NUT[[#This Row],[Status]])</f>
        <v>Active</v>
      </c>
    </row>
    <row r="16" spans="1:90">
      <c r="A16" s="43" t="s">
        <v>120</v>
      </c>
      <c r="B16" s="43" t="s">
        <v>39</v>
      </c>
      <c r="C16" s="43" t="s">
        <v>1051</v>
      </c>
      <c r="D16" s="41" t="s">
        <v>344</v>
      </c>
      <c r="E16" s="41" t="s">
        <v>123</v>
      </c>
      <c r="F16" s="42">
        <v>16</v>
      </c>
      <c r="G16" s="42">
        <v>2320</v>
      </c>
      <c r="H16" s="42">
        <v>1000</v>
      </c>
      <c r="I16" s="3" t="s">
        <v>148</v>
      </c>
      <c r="J16" s="41" t="s">
        <v>1031</v>
      </c>
      <c r="K16" s="41" t="s">
        <v>126</v>
      </c>
      <c r="L16" s="32">
        <v>220502</v>
      </c>
      <c r="M16" s="43">
        <v>54.914999999999999</v>
      </c>
      <c r="N16" s="43" t="s">
        <v>346</v>
      </c>
      <c r="O16" s="11"/>
      <c r="P16" s="44" t="s">
        <v>194</v>
      </c>
      <c r="Q16" s="47">
        <v>220428</v>
      </c>
      <c r="R16" s="44" t="s">
        <v>203</v>
      </c>
      <c r="S16" s="12" t="s">
        <v>204</v>
      </c>
      <c r="T16" s="156" t="s">
        <v>205</v>
      </c>
      <c r="CB16" s="1" t="s">
        <v>71</v>
      </c>
      <c r="CC16" s="1" t="s">
        <v>18</v>
      </c>
      <c r="CD16" s="1" t="s">
        <v>132</v>
      </c>
      <c r="CF16" t="str">
        <f>NUT[[#This Row],[Part Type]]</f>
        <v>Nuts</v>
      </c>
      <c r="CG16" s="52" t="str">
        <f>NUT[[#This Row],[Name]]</f>
        <v>TZM-1/2"</v>
      </c>
      <c r="CH16" t="str">
        <f>IF(NUT[[#This Row],[UID]]=0,"",NUT[[#This Row],[UID]])</f>
        <v>NUT-TO</v>
      </c>
      <c r="CL16" t="str">
        <f>IF(NUT[[#This Row],[Status]]=0,"",NUT[[#This Row],[Status]])</f>
        <v>Active</v>
      </c>
    </row>
    <row r="17" spans="1:90">
      <c r="A17" s="43" t="s">
        <v>120</v>
      </c>
      <c r="B17" s="43" t="s">
        <v>39</v>
      </c>
      <c r="C17" s="43" t="s">
        <v>1052</v>
      </c>
      <c r="D17" s="41" t="s">
        <v>344</v>
      </c>
      <c r="E17" s="41" t="s">
        <v>123</v>
      </c>
      <c r="F17" s="42">
        <v>16</v>
      </c>
      <c r="G17" s="42">
        <v>2320</v>
      </c>
      <c r="H17" s="42">
        <v>1000</v>
      </c>
      <c r="I17" s="3" t="s">
        <v>148</v>
      </c>
      <c r="J17" s="41" t="s">
        <v>1039</v>
      </c>
      <c r="K17" s="41" t="s">
        <v>126</v>
      </c>
      <c r="L17" s="32">
        <v>220502</v>
      </c>
      <c r="M17" s="43">
        <v>16.617999999999999</v>
      </c>
      <c r="N17" s="11" t="s">
        <v>1040</v>
      </c>
      <c r="O17" s="11"/>
      <c r="P17" s="44" t="s">
        <v>194</v>
      </c>
      <c r="Q17" s="47">
        <v>220428</v>
      </c>
      <c r="R17" s="44" t="s">
        <v>203</v>
      </c>
      <c r="S17" s="12" t="s">
        <v>204</v>
      </c>
      <c r="T17" s="156" t="s">
        <v>205</v>
      </c>
      <c r="CB17" s="1" t="s">
        <v>71</v>
      </c>
      <c r="CC17" s="1" t="s">
        <v>18</v>
      </c>
      <c r="CD17" s="1" t="s">
        <v>132</v>
      </c>
      <c r="CF17" t="str">
        <f>NUT[[#This Row],[Part Type]]</f>
        <v>Nuts</v>
      </c>
      <c r="CG17" s="52" t="str">
        <f>NUT[[#This Row],[Name]]</f>
        <v>TZM-1/2"</v>
      </c>
      <c r="CH17" t="str">
        <f>IF(NUT[[#This Row],[UID]]=0,"",NUT[[#This Row],[UID]])</f>
        <v>NUT-TP</v>
      </c>
      <c r="CL17" t="str">
        <f>IF(NUT[[#This Row],[Status]]=0,"",NUT[[#This Row],[Status]])</f>
        <v>Active</v>
      </c>
    </row>
    <row r="18" spans="1:90">
      <c r="A18" s="43" t="s">
        <v>120</v>
      </c>
      <c r="B18" s="43" t="s">
        <v>39</v>
      </c>
      <c r="C18" s="43" t="s">
        <v>1053</v>
      </c>
      <c r="D18" s="41" t="s">
        <v>344</v>
      </c>
      <c r="E18" s="41" t="s">
        <v>123</v>
      </c>
      <c r="F18" s="42">
        <v>16</v>
      </c>
      <c r="G18" s="42">
        <v>2320</v>
      </c>
      <c r="H18" s="42">
        <v>1000</v>
      </c>
      <c r="I18" s="3" t="s">
        <v>148</v>
      </c>
      <c r="J18" s="41" t="s">
        <v>1039</v>
      </c>
      <c r="K18" s="41" t="s">
        <v>126</v>
      </c>
      <c r="L18" s="32">
        <v>220502</v>
      </c>
      <c r="M18" s="43">
        <v>16.478999999999999</v>
      </c>
      <c r="N18" s="11" t="s">
        <v>1040</v>
      </c>
      <c r="O18" s="11"/>
      <c r="P18" s="44" t="s">
        <v>194</v>
      </c>
      <c r="Q18" s="47">
        <v>220428</v>
      </c>
      <c r="R18" s="44" t="s">
        <v>203</v>
      </c>
      <c r="S18" s="12" t="s">
        <v>204</v>
      </c>
      <c r="T18" s="156" t="s">
        <v>205</v>
      </c>
      <c r="CB18" s="1" t="s">
        <v>71</v>
      </c>
      <c r="CC18" s="1" t="s">
        <v>18</v>
      </c>
      <c r="CD18" s="1" t="s">
        <v>132</v>
      </c>
      <c r="CF18" t="str">
        <f>NUT[[#This Row],[Part Type]]</f>
        <v>Nuts</v>
      </c>
      <c r="CG18" s="52" t="str">
        <f>NUT[[#This Row],[Name]]</f>
        <v>TZM-1/2"</v>
      </c>
      <c r="CH18" t="str">
        <f>IF(NUT[[#This Row],[UID]]=0,"",NUT[[#This Row],[UID]])</f>
        <v>NUT-TQ</v>
      </c>
      <c r="CL18" t="str">
        <f>IF(NUT[[#This Row],[Status]]=0,"",NUT[[#This Row],[Status]])</f>
        <v>Active</v>
      </c>
    </row>
    <row r="19" spans="1:90">
      <c r="A19" s="43" t="s">
        <v>120</v>
      </c>
      <c r="B19" s="43" t="s">
        <v>39</v>
      </c>
      <c r="C19" s="43" t="s">
        <v>1054</v>
      </c>
      <c r="D19" s="41" t="s">
        <v>344</v>
      </c>
      <c r="E19" s="41" t="s">
        <v>123</v>
      </c>
      <c r="F19" s="42">
        <v>16</v>
      </c>
      <c r="G19" s="42">
        <v>2320</v>
      </c>
      <c r="H19" s="42">
        <v>1000</v>
      </c>
      <c r="I19" s="3" t="s">
        <v>148</v>
      </c>
      <c r="J19" s="41" t="s">
        <v>1039</v>
      </c>
      <c r="K19" s="41" t="s">
        <v>126</v>
      </c>
      <c r="L19" s="32">
        <v>220502</v>
      </c>
      <c r="M19" s="43">
        <v>16.504999999999999</v>
      </c>
      <c r="N19" s="11" t="s">
        <v>1040</v>
      </c>
      <c r="O19" s="11"/>
      <c r="P19" s="44" t="s">
        <v>194</v>
      </c>
      <c r="Q19" s="47">
        <v>220428</v>
      </c>
      <c r="R19" s="44" t="s">
        <v>203</v>
      </c>
      <c r="S19" s="12" t="s">
        <v>204</v>
      </c>
      <c r="T19" s="156" t="s">
        <v>205</v>
      </c>
      <c r="CB19" s="1" t="s">
        <v>71</v>
      </c>
      <c r="CC19" s="1" t="s">
        <v>18</v>
      </c>
      <c r="CD19" s="1" t="s">
        <v>132</v>
      </c>
      <c r="CF19" t="str">
        <f>NUT[[#This Row],[Part Type]]</f>
        <v>Nuts</v>
      </c>
      <c r="CG19" s="52" t="str">
        <f>NUT[[#This Row],[Name]]</f>
        <v>TZM-1/2"</v>
      </c>
      <c r="CH19" t="str">
        <f>IF(NUT[[#This Row],[UID]]=0,"",NUT[[#This Row],[UID]])</f>
        <v>NUT-TR</v>
      </c>
      <c r="CL19" t="str">
        <f>IF(NUT[[#This Row],[Status]]=0,"",NUT[[#This Row],[Status]])</f>
        <v>Active</v>
      </c>
    </row>
    <row r="20" spans="1:90">
      <c r="A20" s="43" t="s">
        <v>120</v>
      </c>
      <c r="B20" s="43" t="s">
        <v>39</v>
      </c>
      <c r="C20" s="43" t="s">
        <v>1055</v>
      </c>
      <c r="D20" s="41" t="s">
        <v>344</v>
      </c>
      <c r="E20" s="41" t="s">
        <v>123</v>
      </c>
      <c r="F20" s="42">
        <v>16</v>
      </c>
      <c r="G20" s="42">
        <v>2320</v>
      </c>
      <c r="H20" s="42">
        <v>1000</v>
      </c>
      <c r="I20" s="3" t="s">
        <v>148</v>
      </c>
      <c r="J20" s="41" t="s">
        <v>1039</v>
      </c>
      <c r="K20" s="41" t="s">
        <v>126</v>
      </c>
      <c r="L20" s="32">
        <v>220502</v>
      </c>
      <c r="M20" s="43">
        <v>16.616</v>
      </c>
      <c r="N20" s="11" t="s">
        <v>1040</v>
      </c>
      <c r="O20" s="11"/>
      <c r="P20" s="44" t="s">
        <v>194</v>
      </c>
      <c r="Q20" s="47">
        <v>220428</v>
      </c>
      <c r="R20" s="44" t="s">
        <v>203</v>
      </c>
      <c r="S20" s="12" t="s">
        <v>204</v>
      </c>
      <c r="T20" s="156" t="s">
        <v>205</v>
      </c>
      <c r="CB20" s="1" t="s">
        <v>71</v>
      </c>
      <c r="CC20" s="1" t="s">
        <v>18</v>
      </c>
      <c r="CD20" s="1" t="s">
        <v>132</v>
      </c>
      <c r="CF20" t="str">
        <f>NUT[[#This Row],[Part Type]]</f>
        <v>Nuts</v>
      </c>
      <c r="CG20" s="52" t="str">
        <f>NUT[[#This Row],[Name]]</f>
        <v>TZM-1/2"</v>
      </c>
      <c r="CH20" t="str">
        <f>IF(NUT[[#This Row],[UID]]=0,"",NUT[[#This Row],[UID]])</f>
        <v>NUT-TS</v>
      </c>
      <c r="CL20" t="str">
        <f>IF(NUT[[#This Row],[Status]]=0,"",NUT[[#This Row],[Status]])</f>
        <v>Active</v>
      </c>
    </row>
    <row r="21" spans="1:90">
      <c r="A21" s="43" t="s">
        <v>120</v>
      </c>
      <c r="B21" s="43" t="s">
        <v>39</v>
      </c>
      <c r="C21" s="43" t="s">
        <v>1056</v>
      </c>
      <c r="D21" s="41" t="s">
        <v>344</v>
      </c>
      <c r="E21" s="41" t="s">
        <v>123</v>
      </c>
      <c r="F21" s="42">
        <v>16</v>
      </c>
      <c r="G21" s="42">
        <v>2320</v>
      </c>
      <c r="H21" s="42">
        <v>1000</v>
      </c>
      <c r="I21" s="3" t="s">
        <v>148</v>
      </c>
      <c r="J21" s="41" t="s">
        <v>1039</v>
      </c>
      <c r="K21" s="41" t="s">
        <v>126</v>
      </c>
      <c r="L21" s="32">
        <v>220502</v>
      </c>
      <c r="M21" s="43">
        <v>16.582000000000001</v>
      </c>
      <c r="N21" s="11" t="s">
        <v>1040</v>
      </c>
      <c r="O21" s="11"/>
      <c r="P21" s="44" t="s">
        <v>194</v>
      </c>
      <c r="Q21" s="47">
        <v>220428</v>
      </c>
      <c r="R21" s="44" t="s">
        <v>203</v>
      </c>
      <c r="S21" s="12" t="s">
        <v>204</v>
      </c>
      <c r="T21" s="156" t="s">
        <v>205</v>
      </c>
      <c r="CB21" s="1" t="s">
        <v>71</v>
      </c>
      <c r="CC21" s="1" t="s">
        <v>18</v>
      </c>
      <c r="CD21" s="1" t="s">
        <v>132</v>
      </c>
      <c r="CF21" t="str">
        <f>NUT[[#This Row],[Part Type]]</f>
        <v>Nuts</v>
      </c>
      <c r="CG21" s="52" t="str">
        <f>NUT[[#This Row],[Name]]</f>
        <v>TZM-1/2"</v>
      </c>
      <c r="CH21" t="str">
        <f>IF(NUT[[#This Row],[UID]]=0,"",NUT[[#This Row],[UID]])</f>
        <v>NUT-TT</v>
      </c>
      <c r="CL21" t="str">
        <f>IF(NUT[[#This Row],[Status]]=0,"",NUT[[#This Row],[Status]])</f>
        <v>Active</v>
      </c>
    </row>
    <row r="22" spans="1:90" s="161" customFormat="1">
      <c r="A22" s="164" t="s">
        <v>140</v>
      </c>
      <c r="B22" s="164" t="s">
        <v>39</v>
      </c>
      <c r="C22" s="164" t="s">
        <v>1057</v>
      </c>
      <c r="D22" s="165"/>
      <c r="E22" s="165" t="s">
        <v>123</v>
      </c>
      <c r="F22" s="171"/>
      <c r="G22" s="171"/>
      <c r="H22" s="171"/>
      <c r="I22" s="165"/>
      <c r="J22" s="165"/>
      <c r="K22" s="165" t="s">
        <v>126</v>
      </c>
      <c r="L22" s="106">
        <v>240730</v>
      </c>
      <c r="M22" s="164">
        <v>53.795999999999999</v>
      </c>
      <c r="N22" s="164" t="s">
        <v>346</v>
      </c>
      <c r="O22" s="150"/>
      <c r="P22" s="169" t="s">
        <v>215</v>
      </c>
      <c r="Q22" s="30">
        <v>240709</v>
      </c>
      <c r="R22" s="106" t="s">
        <v>216</v>
      </c>
      <c r="S22" s="102" t="s">
        <v>217</v>
      </c>
      <c r="T22" s="172"/>
      <c r="CB22" s="159" t="s">
        <v>71</v>
      </c>
      <c r="CC22" s="159" t="s">
        <v>18</v>
      </c>
      <c r="CD22" s="159" t="s">
        <v>132</v>
      </c>
      <c r="CF22" s="161" t="str">
        <f>NUT[[#This Row],[Part Type]]</f>
        <v>Nuts</v>
      </c>
      <c r="CG22" s="163">
        <f>NUT[[#This Row],[Name]]</f>
        <v>0</v>
      </c>
      <c r="CH22" s="161" t="str">
        <f>IF(NUT[[#This Row],[UID]]=0,"",NUT[[#This Row],[UID]])</f>
        <v>NUT-TU</v>
      </c>
      <c r="CL22" s="161" t="str">
        <f>IF(NUT[[#This Row],[Status]]=0,"",NUT[[#This Row],[Status]])</f>
        <v>New</v>
      </c>
    </row>
    <row r="23" spans="1:90" s="161" customFormat="1">
      <c r="A23" s="164" t="s">
        <v>140</v>
      </c>
      <c r="B23" s="164" t="s">
        <v>39</v>
      </c>
      <c r="C23" s="164" t="s">
        <v>1058</v>
      </c>
      <c r="D23" s="165"/>
      <c r="E23" s="165" t="s">
        <v>123</v>
      </c>
      <c r="F23" s="171"/>
      <c r="G23" s="171"/>
      <c r="H23" s="171"/>
      <c r="I23" s="165"/>
      <c r="J23" s="165"/>
      <c r="K23" s="165" t="s">
        <v>126</v>
      </c>
      <c r="L23" s="106">
        <v>240730</v>
      </c>
      <c r="M23" s="164">
        <v>54.003999999999998</v>
      </c>
      <c r="N23" s="164" t="s">
        <v>346</v>
      </c>
      <c r="O23" s="150"/>
      <c r="P23" s="169" t="s">
        <v>215</v>
      </c>
      <c r="Q23" s="30">
        <v>240709</v>
      </c>
      <c r="R23" s="106" t="s">
        <v>216</v>
      </c>
      <c r="S23" s="102" t="s">
        <v>217</v>
      </c>
      <c r="T23" s="172"/>
      <c r="CB23" s="159" t="s">
        <v>71</v>
      </c>
      <c r="CC23" s="159" t="s">
        <v>18</v>
      </c>
      <c r="CD23" s="159" t="s">
        <v>132</v>
      </c>
      <c r="CF23" s="161" t="str">
        <f>NUT[[#This Row],[Part Type]]</f>
        <v>Nuts</v>
      </c>
      <c r="CG23" s="163">
        <f>NUT[[#This Row],[Name]]</f>
        <v>0</v>
      </c>
      <c r="CH23" s="161" t="str">
        <f>IF(NUT[[#This Row],[UID]]=0,"",NUT[[#This Row],[UID]])</f>
        <v>NUT-TV</v>
      </c>
      <c r="CL23" s="161" t="str">
        <f>IF(NUT[[#This Row],[Status]]=0,"",NUT[[#This Row],[Status]])</f>
        <v>New</v>
      </c>
    </row>
    <row r="24" spans="1:90" s="161" customFormat="1">
      <c r="A24" s="164" t="s">
        <v>140</v>
      </c>
      <c r="B24" s="164" t="s">
        <v>39</v>
      </c>
      <c r="C24" s="164" t="s">
        <v>1059</v>
      </c>
      <c r="D24" s="165"/>
      <c r="E24" s="165" t="s">
        <v>123</v>
      </c>
      <c r="F24" s="171"/>
      <c r="G24" s="171"/>
      <c r="H24" s="171"/>
      <c r="I24" s="165"/>
      <c r="J24" s="165"/>
      <c r="K24" s="165" t="s">
        <v>126</v>
      </c>
      <c r="L24" s="106">
        <v>240730</v>
      </c>
      <c r="M24" s="173">
        <v>53.87</v>
      </c>
      <c r="N24" s="164" t="s">
        <v>346</v>
      </c>
      <c r="O24" s="150"/>
      <c r="P24" s="169" t="s">
        <v>215</v>
      </c>
      <c r="Q24" s="30">
        <v>240709</v>
      </c>
      <c r="R24" s="106" t="s">
        <v>216</v>
      </c>
      <c r="S24" s="102" t="s">
        <v>217</v>
      </c>
      <c r="T24" s="172"/>
      <c r="CB24" s="159" t="s">
        <v>71</v>
      </c>
      <c r="CC24" s="159" t="s">
        <v>18</v>
      </c>
      <c r="CD24" s="159" t="s">
        <v>132</v>
      </c>
      <c r="CF24" s="161" t="str">
        <f>NUT[[#This Row],[Part Type]]</f>
        <v>Nuts</v>
      </c>
      <c r="CG24" s="163">
        <f>NUT[[#This Row],[Name]]</f>
        <v>0</v>
      </c>
      <c r="CH24" s="161" t="str">
        <f>IF(NUT[[#This Row],[UID]]=0,"",NUT[[#This Row],[UID]])</f>
        <v>NUT-TW</v>
      </c>
      <c r="CL24" s="161" t="str">
        <f>IF(NUT[[#This Row],[Status]]=0,"",NUT[[#This Row],[Status]])</f>
        <v>New</v>
      </c>
    </row>
    <row r="25" spans="1:90" s="161" customFormat="1">
      <c r="A25" s="164" t="s">
        <v>140</v>
      </c>
      <c r="B25" s="164" t="s">
        <v>39</v>
      </c>
      <c r="C25" s="165" t="s">
        <v>1060</v>
      </c>
      <c r="D25" s="165"/>
      <c r="E25" s="165" t="s">
        <v>123</v>
      </c>
      <c r="F25" s="171"/>
      <c r="G25" s="171"/>
      <c r="H25" s="171"/>
      <c r="I25" s="165"/>
      <c r="J25" s="165"/>
      <c r="K25" s="165" t="s">
        <v>126</v>
      </c>
      <c r="L25" s="106">
        <v>240730</v>
      </c>
      <c r="M25" s="164">
        <v>54.012</v>
      </c>
      <c r="N25" s="164" t="s">
        <v>346</v>
      </c>
      <c r="O25" s="150"/>
      <c r="P25" s="169" t="s">
        <v>215</v>
      </c>
      <c r="Q25" s="30">
        <v>240709</v>
      </c>
      <c r="R25" s="106" t="s">
        <v>216</v>
      </c>
      <c r="S25" s="102" t="s">
        <v>217</v>
      </c>
      <c r="T25" s="172"/>
      <c r="CB25" s="159" t="s">
        <v>71</v>
      </c>
      <c r="CC25" s="159" t="s">
        <v>18</v>
      </c>
      <c r="CD25" s="159" t="s">
        <v>132</v>
      </c>
      <c r="CF25" s="161" t="str">
        <f>NUT[[#This Row],[Part Type]]</f>
        <v>Nuts</v>
      </c>
      <c r="CG25" s="163">
        <f>NUT[[#This Row],[Name]]</f>
        <v>0</v>
      </c>
      <c r="CH25" s="161" t="str">
        <f>IF(NUT[[#This Row],[UID]]=0,"",NUT[[#This Row],[UID]])</f>
        <v>NUT-TX</v>
      </c>
      <c r="CL25" s="161" t="str">
        <f>IF(NUT[[#This Row],[Status]]=0,"",NUT[[#This Row],[Status]])</f>
        <v>New</v>
      </c>
    </row>
    <row r="26" spans="1:90" s="161" customFormat="1">
      <c r="A26" s="164" t="s">
        <v>140</v>
      </c>
      <c r="B26" s="164" t="s">
        <v>39</v>
      </c>
      <c r="C26" s="165" t="s">
        <v>1061</v>
      </c>
      <c r="D26" s="165"/>
      <c r="E26" s="165" t="s">
        <v>123</v>
      </c>
      <c r="F26" s="171"/>
      <c r="G26" s="171"/>
      <c r="H26" s="171"/>
      <c r="I26" s="165"/>
      <c r="J26" s="165"/>
      <c r="K26" s="165" t="s">
        <v>126</v>
      </c>
      <c r="L26" s="106">
        <v>240730</v>
      </c>
      <c r="M26" s="164">
        <v>53.847000000000001</v>
      </c>
      <c r="N26" s="164" t="s">
        <v>346</v>
      </c>
      <c r="O26" s="150"/>
      <c r="P26" s="169" t="s">
        <v>215</v>
      </c>
      <c r="Q26" s="30">
        <v>240709</v>
      </c>
      <c r="R26" s="106" t="s">
        <v>216</v>
      </c>
      <c r="S26" s="102" t="s">
        <v>217</v>
      </c>
      <c r="T26" s="172"/>
      <c r="CB26" s="159" t="s">
        <v>71</v>
      </c>
      <c r="CC26" s="159" t="s">
        <v>18</v>
      </c>
      <c r="CD26" s="159" t="s">
        <v>132</v>
      </c>
      <c r="CF26" s="161" t="str">
        <f>NUT[[#This Row],[Part Type]]</f>
        <v>Nuts</v>
      </c>
      <c r="CG26" s="163">
        <f>NUT[[#This Row],[Name]]</f>
        <v>0</v>
      </c>
      <c r="CH26" s="161" t="str">
        <f>IF(NUT[[#This Row],[UID]]=0,"",NUT[[#This Row],[UID]])</f>
        <v>NUT-TY</v>
      </c>
      <c r="CL26" s="161" t="str">
        <f>IF(NUT[[#This Row],[Status]]=0,"",NUT[[#This Row],[Status]])</f>
        <v>New</v>
      </c>
    </row>
    <row r="27" spans="1:90" s="161" customFormat="1">
      <c r="A27" s="164" t="s">
        <v>140</v>
      </c>
      <c r="B27" s="164" t="s">
        <v>39</v>
      </c>
      <c r="C27" s="164" t="s">
        <v>1062</v>
      </c>
      <c r="D27" s="165"/>
      <c r="E27" s="165" t="s">
        <v>123</v>
      </c>
      <c r="F27" s="171"/>
      <c r="G27" s="171"/>
      <c r="H27" s="171"/>
      <c r="I27" s="165"/>
      <c r="J27" s="165"/>
      <c r="K27" s="165" t="s">
        <v>126</v>
      </c>
      <c r="L27" s="106">
        <v>240730</v>
      </c>
      <c r="M27" s="164">
        <v>16.154</v>
      </c>
      <c r="N27" s="150" t="s">
        <v>1040</v>
      </c>
      <c r="O27" s="150"/>
      <c r="P27" s="169" t="s">
        <v>215</v>
      </c>
      <c r="Q27" s="30">
        <v>240709</v>
      </c>
      <c r="R27" s="106" t="s">
        <v>216</v>
      </c>
      <c r="S27" s="102" t="s">
        <v>217</v>
      </c>
      <c r="T27" s="172"/>
      <c r="CB27" s="159" t="s">
        <v>71</v>
      </c>
      <c r="CC27" s="159" t="s">
        <v>18</v>
      </c>
      <c r="CD27" s="159" t="s">
        <v>132</v>
      </c>
      <c r="CF27" s="161" t="str">
        <f>NUT[[#This Row],[Part Type]]</f>
        <v>Nuts</v>
      </c>
      <c r="CG27" s="163">
        <f>NUT[[#This Row],[Name]]</f>
        <v>0</v>
      </c>
      <c r="CH27" s="161" t="str">
        <f>IF(NUT[[#This Row],[UID]]=0,"",NUT[[#This Row],[UID]])</f>
        <v>NUT-TZ</v>
      </c>
      <c r="CL27" s="161" t="str">
        <f>IF(NUT[[#This Row],[Status]]=0,"",NUT[[#This Row],[Status]])</f>
        <v>New</v>
      </c>
    </row>
    <row r="28" spans="1:90" s="161" customFormat="1">
      <c r="A28" s="164" t="s">
        <v>140</v>
      </c>
      <c r="B28" s="164" t="s">
        <v>39</v>
      </c>
      <c r="C28" s="164" t="s">
        <v>1063</v>
      </c>
      <c r="D28" s="165"/>
      <c r="E28" s="165" t="s">
        <v>123</v>
      </c>
      <c r="F28" s="171"/>
      <c r="G28" s="171"/>
      <c r="H28" s="171"/>
      <c r="I28" s="165"/>
      <c r="J28" s="165"/>
      <c r="K28" s="165" t="s">
        <v>126</v>
      </c>
      <c r="L28" s="106">
        <v>240730</v>
      </c>
      <c r="M28" s="164">
        <v>16.151</v>
      </c>
      <c r="N28" s="150" t="s">
        <v>1040</v>
      </c>
      <c r="O28" s="150"/>
      <c r="P28" s="169" t="s">
        <v>215</v>
      </c>
      <c r="Q28" s="30">
        <v>240709</v>
      </c>
      <c r="R28" s="106" t="s">
        <v>216</v>
      </c>
      <c r="S28" s="102" t="s">
        <v>217</v>
      </c>
      <c r="T28" s="172"/>
      <c r="CB28" s="159" t="s">
        <v>71</v>
      </c>
      <c r="CC28" s="159" t="s">
        <v>18</v>
      </c>
      <c r="CD28" s="159" t="s">
        <v>132</v>
      </c>
      <c r="CF28" s="161" t="str">
        <f>NUT[[#This Row],[Part Type]]</f>
        <v>Nuts</v>
      </c>
      <c r="CG28" s="163">
        <f>NUT[[#This Row],[Name]]</f>
        <v>0</v>
      </c>
      <c r="CH28" s="161" t="str">
        <f>IF(NUT[[#This Row],[UID]]=0,"",NUT[[#This Row],[UID]])</f>
        <v>NUT-TAA</v>
      </c>
      <c r="CL28" s="161" t="str">
        <f>IF(NUT[[#This Row],[Status]]=0,"",NUT[[#This Row],[Status]])</f>
        <v>New</v>
      </c>
    </row>
    <row r="29" spans="1:90" s="161" customFormat="1">
      <c r="A29" s="164" t="s">
        <v>140</v>
      </c>
      <c r="B29" s="164" t="s">
        <v>39</v>
      </c>
      <c r="C29" s="164" t="s">
        <v>1064</v>
      </c>
      <c r="D29" s="165"/>
      <c r="E29" s="165" t="s">
        <v>123</v>
      </c>
      <c r="F29" s="171"/>
      <c r="G29" s="171"/>
      <c r="H29" s="171"/>
      <c r="I29" s="165"/>
      <c r="J29" s="165"/>
      <c r="K29" s="165" t="s">
        <v>126</v>
      </c>
      <c r="L29" s="106">
        <v>240730</v>
      </c>
      <c r="M29" s="164">
        <v>16.143000000000001</v>
      </c>
      <c r="N29" s="150" t="s">
        <v>1040</v>
      </c>
      <c r="O29" s="150"/>
      <c r="P29" s="169" t="s">
        <v>215</v>
      </c>
      <c r="Q29" s="30">
        <v>240709</v>
      </c>
      <c r="R29" s="106" t="s">
        <v>216</v>
      </c>
      <c r="S29" s="102" t="s">
        <v>217</v>
      </c>
      <c r="T29" s="172"/>
      <c r="CB29" s="159" t="s">
        <v>71</v>
      </c>
      <c r="CC29" s="159" t="s">
        <v>18</v>
      </c>
      <c r="CD29" s="159" t="s">
        <v>132</v>
      </c>
      <c r="CF29" s="161" t="str">
        <f>NUT[[#This Row],[Part Type]]</f>
        <v>Nuts</v>
      </c>
      <c r="CG29" s="163">
        <f>NUT[[#This Row],[Name]]</f>
        <v>0</v>
      </c>
      <c r="CH29" s="161" t="str">
        <f>IF(NUT[[#This Row],[UID]]=0,"",NUT[[#This Row],[UID]])</f>
        <v>NUT-TAB</v>
      </c>
      <c r="CL29" s="161" t="str">
        <f>IF(NUT[[#This Row],[Status]]=0,"",NUT[[#This Row],[Status]])</f>
        <v>New</v>
      </c>
    </row>
    <row r="30" spans="1:90" s="161" customFormat="1">
      <c r="A30" s="164" t="s">
        <v>140</v>
      </c>
      <c r="B30" s="164" t="s">
        <v>39</v>
      </c>
      <c r="C30" s="165" t="s">
        <v>1065</v>
      </c>
      <c r="D30" s="165"/>
      <c r="E30" s="165" t="s">
        <v>123</v>
      </c>
      <c r="F30" s="171"/>
      <c r="G30" s="171"/>
      <c r="H30" s="171"/>
      <c r="I30" s="165"/>
      <c r="J30" s="165"/>
      <c r="K30" s="165" t="s">
        <v>126</v>
      </c>
      <c r="L30" s="106">
        <v>240730</v>
      </c>
      <c r="M30" s="164">
        <v>16.143999999999998</v>
      </c>
      <c r="N30" s="150" t="s">
        <v>1040</v>
      </c>
      <c r="O30" s="150"/>
      <c r="P30" s="169" t="s">
        <v>215</v>
      </c>
      <c r="Q30" s="30">
        <v>240709</v>
      </c>
      <c r="R30" s="106" t="s">
        <v>216</v>
      </c>
      <c r="S30" s="102" t="s">
        <v>217</v>
      </c>
      <c r="T30" s="172"/>
      <c r="CB30" s="159" t="s">
        <v>71</v>
      </c>
      <c r="CC30" s="159" t="s">
        <v>18</v>
      </c>
      <c r="CD30" s="159" t="s">
        <v>132</v>
      </c>
      <c r="CF30" s="161" t="str">
        <f>NUT[[#This Row],[Part Type]]</f>
        <v>Nuts</v>
      </c>
      <c r="CG30" s="163">
        <f>NUT[[#This Row],[Name]]</f>
        <v>0</v>
      </c>
      <c r="CH30" s="161" t="str">
        <f>IF(NUT[[#This Row],[UID]]=0,"",NUT[[#This Row],[UID]])</f>
        <v>NUT-TAC</v>
      </c>
      <c r="CL30" s="161" t="str">
        <f>IF(NUT[[#This Row],[Status]]=0,"",NUT[[#This Row],[Status]])</f>
        <v>New</v>
      </c>
    </row>
    <row r="31" spans="1:90" s="161" customFormat="1">
      <c r="A31" s="164" t="s">
        <v>140</v>
      </c>
      <c r="B31" s="164" t="s">
        <v>39</v>
      </c>
      <c r="C31" s="165" t="s">
        <v>1066</v>
      </c>
      <c r="D31" s="165"/>
      <c r="E31" s="165" t="s">
        <v>123</v>
      </c>
      <c r="F31" s="171"/>
      <c r="G31" s="171"/>
      <c r="H31" s="171"/>
      <c r="I31" s="165"/>
      <c r="J31" s="165"/>
      <c r="K31" s="165" t="s">
        <v>126</v>
      </c>
      <c r="L31" s="106">
        <v>240730</v>
      </c>
      <c r="M31" s="164">
        <v>16.148</v>
      </c>
      <c r="N31" s="150" t="s">
        <v>1040</v>
      </c>
      <c r="O31" s="150"/>
      <c r="P31" s="169" t="s">
        <v>215</v>
      </c>
      <c r="Q31" s="30">
        <v>240709</v>
      </c>
      <c r="R31" s="106" t="s">
        <v>216</v>
      </c>
      <c r="S31" s="102" t="s">
        <v>217</v>
      </c>
      <c r="T31" s="172"/>
      <c r="CB31" s="159" t="s">
        <v>71</v>
      </c>
      <c r="CC31" s="159" t="s">
        <v>18</v>
      </c>
      <c r="CD31" s="159" t="s">
        <v>132</v>
      </c>
      <c r="CF31" s="161" t="str">
        <f>NUT[[#This Row],[Part Type]]</f>
        <v>Nuts</v>
      </c>
      <c r="CG31" s="163">
        <f>NUT[[#This Row],[Name]]</f>
        <v>0</v>
      </c>
      <c r="CH31" s="161" t="str">
        <f>IF(NUT[[#This Row],[UID]]=0,"",NUT[[#This Row],[UID]])</f>
        <v>NUT-TAD</v>
      </c>
      <c r="CL31" s="161" t="str">
        <f>IF(NUT[[#This Row],[Status]]=0,"",NUT[[#This Row],[Status]])</f>
        <v>New</v>
      </c>
    </row>
    <row r="32" spans="1:90" s="161" customFormat="1">
      <c r="A32" s="164" t="s">
        <v>140</v>
      </c>
      <c r="B32" s="164" t="s">
        <v>39</v>
      </c>
      <c r="C32" s="165" t="s">
        <v>1067</v>
      </c>
      <c r="D32" s="165"/>
      <c r="E32" s="165" t="s">
        <v>123</v>
      </c>
      <c r="F32" s="171"/>
      <c r="G32" s="171"/>
      <c r="H32" s="171"/>
      <c r="I32" s="165"/>
      <c r="J32" s="165"/>
      <c r="K32" s="165" t="s">
        <v>126</v>
      </c>
      <c r="L32" s="106">
        <v>240730</v>
      </c>
      <c r="M32" s="164">
        <v>16.122</v>
      </c>
      <c r="N32" s="150" t="s">
        <v>1040</v>
      </c>
      <c r="O32" s="150"/>
      <c r="P32" s="169" t="s">
        <v>215</v>
      </c>
      <c r="Q32" s="30">
        <v>240709</v>
      </c>
      <c r="R32" s="106" t="s">
        <v>216</v>
      </c>
      <c r="S32" s="102" t="s">
        <v>217</v>
      </c>
      <c r="T32" s="172"/>
      <c r="CB32" s="159" t="s">
        <v>71</v>
      </c>
      <c r="CC32" s="159" t="s">
        <v>18</v>
      </c>
      <c r="CD32" s="159" t="s">
        <v>132</v>
      </c>
      <c r="CF32" s="161" t="str">
        <f>NUT[[#This Row],[Part Type]]</f>
        <v>Nuts</v>
      </c>
      <c r="CG32" s="163">
        <f>NUT[[#This Row],[Name]]</f>
        <v>0</v>
      </c>
      <c r="CH32" s="161" t="str">
        <f>IF(NUT[[#This Row],[UID]]=0,"",NUT[[#This Row],[UID]])</f>
        <v>NUT-TAE</v>
      </c>
      <c r="CL32" s="161" t="str">
        <f>IF(NUT[[#This Row],[Status]]=0,"",NUT[[#This Row],[Status]])</f>
        <v>New</v>
      </c>
    </row>
    <row r="33" spans="1:90">
      <c r="A33" s="43"/>
      <c r="B33" s="43"/>
      <c r="C33" s="41"/>
      <c r="D33" s="41"/>
      <c r="E33" s="41"/>
      <c r="F33" s="42"/>
      <c r="G33" s="42"/>
      <c r="H33" s="42"/>
      <c r="I33" s="41"/>
      <c r="J33" s="41"/>
      <c r="K33" s="41"/>
      <c r="L33" s="31"/>
      <c r="M33" s="43"/>
      <c r="N33" s="43"/>
      <c r="O33" s="11"/>
      <c r="P33" s="44"/>
      <c r="Q33" s="44"/>
      <c r="R33" s="44"/>
      <c r="S33" s="44"/>
      <c r="T33" s="44"/>
      <c r="CB33" s="1" t="s">
        <v>71</v>
      </c>
      <c r="CC33" s="1" t="s">
        <v>18</v>
      </c>
      <c r="CD33" s="1" t="s">
        <v>132</v>
      </c>
      <c r="CF33">
        <f>NUT[[#This Row],[Part Type]]</f>
        <v>0</v>
      </c>
      <c r="CG33" s="52">
        <f>NUT[[#This Row],[Name]]</f>
        <v>0</v>
      </c>
      <c r="CH33" t="str">
        <f>IF(NUT[[#This Row],[UID]]=0,"",NUT[[#This Row],[UID]])</f>
        <v/>
      </c>
      <c r="CL33" t="str">
        <f>IF(NUT[[#This Row],[Status]]=0,"",NUT[[#This Row],[Status]])</f>
        <v/>
      </c>
    </row>
    <row r="34" spans="1:90">
      <c r="A34" s="43"/>
      <c r="B34" s="43"/>
      <c r="C34" s="43"/>
      <c r="D34" s="41"/>
      <c r="E34" s="41"/>
      <c r="F34" s="42"/>
      <c r="G34" s="42"/>
      <c r="H34" s="42"/>
      <c r="I34" s="41"/>
      <c r="J34" s="41"/>
      <c r="K34" s="41"/>
      <c r="L34" s="31"/>
      <c r="M34" s="43"/>
      <c r="N34" s="43"/>
      <c r="O34" s="11"/>
      <c r="P34" s="44"/>
      <c r="Q34" s="44"/>
      <c r="R34" s="44"/>
      <c r="S34" s="44"/>
      <c r="T34" s="44"/>
      <c r="CB34" s="1" t="s">
        <v>71</v>
      </c>
      <c r="CC34" s="1" t="s">
        <v>18</v>
      </c>
      <c r="CD34" s="1" t="s">
        <v>132</v>
      </c>
      <c r="CF34">
        <f>NUT[[#This Row],[Part Type]]</f>
        <v>0</v>
      </c>
      <c r="CG34" s="52">
        <f>NUT[[#This Row],[Name]]</f>
        <v>0</v>
      </c>
      <c r="CH34" t="str">
        <f>IF(NUT[[#This Row],[UID]]=0,"",NUT[[#This Row],[UID]])</f>
        <v/>
      </c>
      <c r="CL34" t="str">
        <f>IF(NUT[[#This Row],[Status]]=0,"",NUT[[#This Row],[Status]])</f>
        <v/>
      </c>
    </row>
    <row r="35" spans="1:90">
      <c r="A35" s="43"/>
      <c r="B35" s="43"/>
      <c r="C35" s="43"/>
      <c r="D35" s="41"/>
      <c r="E35" s="41"/>
      <c r="F35" s="42"/>
      <c r="G35" s="42"/>
      <c r="H35" s="42"/>
      <c r="I35" s="41"/>
      <c r="J35" s="41"/>
      <c r="K35" s="41"/>
      <c r="L35" s="31"/>
      <c r="M35" s="43"/>
      <c r="N35" s="43"/>
      <c r="O35" s="11"/>
      <c r="P35" s="44"/>
      <c r="Q35" s="44"/>
      <c r="R35" s="44"/>
      <c r="S35" s="44"/>
      <c r="T35" s="44"/>
      <c r="CB35" s="1" t="s">
        <v>71</v>
      </c>
      <c r="CC35" s="1" t="s">
        <v>18</v>
      </c>
      <c r="CD35" s="1" t="s">
        <v>132</v>
      </c>
      <c r="CF35">
        <f>NUT[[#This Row],[Part Type]]</f>
        <v>0</v>
      </c>
      <c r="CG35" s="52">
        <f>NUT[[#This Row],[Name]]</f>
        <v>0</v>
      </c>
      <c r="CH35" t="str">
        <f>IF(NUT[[#This Row],[UID]]=0,"",NUT[[#This Row],[UID]])</f>
        <v/>
      </c>
      <c r="CL35" t="str">
        <f>IF(NUT[[#This Row],[Status]]=0,"",NUT[[#This Row],[Status]])</f>
        <v/>
      </c>
    </row>
    <row r="36" spans="1:90">
      <c r="A36" s="43"/>
      <c r="B36" s="43"/>
      <c r="C36" s="43"/>
      <c r="D36" s="41"/>
      <c r="E36" s="41"/>
      <c r="F36" s="42"/>
      <c r="G36" s="42"/>
      <c r="H36" s="42"/>
      <c r="I36" s="41"/>
      <c r="J36" s="41"/>
      <c r="K36" s="41"/>
      <c r="L36" s="31"/>
      <c r="M36" s="43"/>
      <c r="N36" s="43"/>
      <c r="O36" s="11"/>
      <c r="P36" s="44"/>
      <c r="Q36" s="44"/>
      <c r="R36" s="44"/>
      <c r="S36" s="44"/>
      <c r="T36" s="44"/>
      <c r="CB36" s="1" t="s">
        <v>71</v>
      </c>
      <c r="CC36" s="1" t="s">
        <v>18</v>
      </c>
      <c r="CD36" s="1" t="s">
        <v>132</v>
      </c>
      <c r="CF36">
        <f>NUT[[#This Row],[Part Type]]</f>
        <v>0</v>
      </c>
      <c r="CG36" s="52">
        <f>NUT[[#This Row],[Name]]</f>
        <v>0</v>
      </c>
      <c r="CH36" t="str">
        <f>IF(NUT[[#This Row],[UID]]=0,"",NUT[[#This Row],[UID]])</f>
        <v/>
      </c>
      <c r="CL36" t="str">
        <f>IF(NUT[[#This Row],[Status]]=0,"",NUT[[#This Row],[Status]])</f>
        <v/>
      </c>
    </row>
    <row r="37" spans="1:90">
      <c r="A37" s="43"/>
      <c r="B37" s="43"/>
      <c r="C37" s="43"/>
      <c r="D37" s="41"/>
      <c r="E37" s="41"/>
      <c r="F37" s="42"/>
      <c r="G37" s="42"/>
      <c r="H37" s="42"/>
      <c r="I37" s="41"/>
      <c r="J37" s="41"/>
      <c r="K37" s="41"/>
      <c r="L37" s="31"/>
      <c r="M37" s="43"/>
      <c r="N37" s="43"/>
      <c r="O37" s="11"/>
      <c r="P37" s="44"/>
      <c r="Q37" s="44"/>
      <c r="R37" s="44"/>
      <c r="S37" s="44"/>
      <c r="T37" s="44"/>
      <c r="CB37" s="1" t="s">
        <v>71</v>
      </c>
      <c r="CC37" s="1" t="s">
        <v>18</v>
      </c>
      <c r="CD37" s="1" t="s">
        <v>132</v>
      </c>
      <c r="CF37">
        <f>NUT[[#This Row],[Part Type]]</f>
        <v>0</v>
      </c>
      <c r="CG37" s="52">
        <f>NUT[[#This Row],[Name]]</f>
        <v>0</v>
      </c>
      <c r="CH37" t="str">
        <f>IF(NUT[[#This Row],[UID]]=0,"",NUT[[#This Row],[UID]])</f>
        <v/>
      </c>
      <c r="CL37" t="str">
        <f>IF(NUT[[#This Row],[Status]]=0,"",NUT[[#This Row],[Status]])</f>
        <v/>
      </c>
    </row>
    <row r="38" spans="1:90">
      <c r="A38" s="43"/>
      <c r="B38" s="43"/>
      <c r="C38" s="41"/>
      <c r="D38" s="41"/>
      <c r="E38" s="41"/>
      <c r="F38" s="42"/>
      <c r="G38" s="42"/>
      <c r="H38" s="42"/>
      <c r="I38" s="41"/>
      <c r="J38" s="41"/>
      <c r="K38" s="41"/>
      <c r="L38" s="31"/>
      <c r="M38" s="43"/>
      <c r="N38" s="43"/>
      <c r="O38" s="11"/>
      <c r="P38" s="44"/>
      <c r="Q38" s="44"/>
      <c r="R38" s="44"/>
      <c r="S38" s="44"/>
      <c r="T38" s="44"/>
      <c r="CB38" s="1" t="s">
        <v>71</v>
      </c>
      <c r="CC38" s="1" t="s">
        <v>18</v>
      </c>
      <c r="CD38" s="1" t="s">
        <v>132</v>
      </c>
      <c r="CF38">
        <f>NUT[[#This Row],[Part Type]]</f>
        <v>0</v>
      </c>
      <c r="CG38" s="52">
        <f>NUT[[#This Row],[Name]]</f>
        <v>0</v>
      </c>
      <c r="CH38" t="str">
        <f>IF(NUT[[#This Row],[UID]]=0,"",NUT[[#This Row],[UID]])</f>
        <v/>
      </c>
      <c r="CL38" t="str">
        <f>IF(NUT[[#This Row],[Status]]=0,"",NUT[[#This Row],[Status]])</f>
        <v/>
      </c>
    </row>
    <row r="39" spans="1:90">
      <c r="A39" s="43"/>
      <c r="B39" s="43"/>
      <c r="C39" s="41"/>
      <c r="D39" s="41"/>
      <c r="E39" s="41"/>
      <c r="F39" s="42"/>
      <c r="G39" s="42"/>
      <c r="H39" s="42"/>
      <c r="I39" s="41"/>
      <c r="J39" s="41"/>
      <c r="K39" s="41"/>
      <c r="L39" s="31"/>
      <c r="M39" s="43"/>
      <c r="N39" s="43"/>
      <c r="O39" s="11"/>
      <c r="P39" s="44"/>
      <c r="Q39" s="44"/>
      <c r="R39" s="44"/>
      <c r="S39" s="44"/>
      <c r="T39" s="44"/>
      <c r="CB39" s="1" t="s">
        <v>71</v>
      </c>
      <c r="CC39" s="1" t="s">
        <v>18</v>
      </c>
      <c r="CD39" s="1" t="s">
        <v>132</v>
      </c>
      <c r="CF39">
        <f>NUT[[#This Row],[Part Type]]</f>
        <v>0</v>
      </c>
      <c r="CG39" s="52">
        <f>NUT[[#This Row],[Name]]</f>
        <v>0</v>
      </c>
      <c r="CH39" t="str">
        <f>IF(NUT[[#This Row],[UID]]=0,"",NUT[[#This Row],[UID]])</f>
        <v/>
      </c>
      <c r="CL39" t="str">
        <f>IF(NUT[[#This Row],[Status]]=0,"",NUT[[#This Row],[Status]])</f>
        <v/>
      </c>
    </row>
    <row r="40" spans="1:90">
      <c r="A40" s="43"/>
      <c r="B40" s="43"/>
      <c r="C40" s="41"/>
      <c r="D40" s="41"/>
      <c r="E40" s="41"/>
      <c r="F40" s="42"/>
      <c r="G40" s="42"/>
      <c r="H40" s="42"/>
      <c r="I40" s="41"/>
      <c r="J40" s="41"/>
      <c r="K40" s="41"/>
      <c r="L40" s="31"/>
      <c r="M40" s="43"/>
      <c r="N40" s="43"/>
      <c r="O40" s="11"/>
      <c r="P40" s="44"/>
      <c r="Q40" s="44"/>
      <c r="R40" s="44"/>
      <c r="S40" s="44"/>
      <c r="T40" s="44"/>
      <c r="CB40" s="1" t="s">
        <v>71</v>
      </c>
      <c r="CC40" s="1" t="s">
        <v>18</v>
      </c>
      <c r="CD40" s="1" t="s">
        <v>132</v>
      </c>
      <c r="CF40">
        <f>NUT[[#This Row],[Part Type]]</f>
        <v>0</v>
      </c>
      <c r="CG40" s="52">
        <f>NUT[[#This Row],[Name]]</f>
        <v>0</v>
      </c>
      <c r="CH40" t="str">
        <f>IF(NUT[[#This Row],[UID]]=0,"",NUT[[#This Row],[UID]])</f>
        <v/>
      </c>
      <c r="CL40" t="str">
        <f>IF(NUT[[#This Row],[Status]]=0,"",NUT[[#This Row],[Status]])</f>
        <v/>
      </c>
    </row>
    <row r="41" spans="1:90">
      <c r="A41" s="43"/>
      <c r="B41" s="43"/>
      <c r="C41" s="41"/>
      <c r="D41" s="41"/>
      <c r="E41" s="41"/>
      <c r="F41" s="42"/>
      <c r="G41" s="42"/>
      <c r="H41" s="42"/>
      <c r="I41" s="41"/>
      <c r="J41" s="41"/>
      <c r="K41" s="41"/>
      <c r="L41" s="31"/>
      <c r="M41" s="43"/>
      <c r="N41" s="43"/>
      <c r="O41" s="11"/>
      <c r="P41" s="44"/>
      <c r="Q41" s="44"/>
      <c r="R41" s="44"/>
      <c r="S41" s="44"/>
      <c r="T41" s="44"/>
      <c r="CB41" s="1" t="s">
        <v>71</v>
      </c>
      <c r="CC41" s="1" t="s">
        <v>18</v>
      </c>
      <c r="CD41" s="1" t="s">
        <v>132</v>
      </c>
      <c r="CF41">
        <f>NUT[[#This Row],[Part Type]]</f>
        <v>0</v>
      </c>
      <c r="CG41" s="52">
        <f>NUT[[#This Row],[Name]]</f>
        <v>0</v>
      </c>
      <c r="CH41" t="str">
        <f>IF(NUT[[#This Row],[UID]]=0,"",NUT[[#This Row],[UID]])</f>
        <v/>
      </c>
      <c r="CL41" t="str">
        <f>IF(NUT[[#This Row],[Status]]=0,"",NUT[[#This Row],[Status]])</f>
        <v/>
      </c>
    </row>
    <row r="42" spans="1:90">
      <c r="A42" s="43"/>
      <c r="B42" s="43"/>
      <c r="C42" s="41"/>
      <c r="D42" s="41"/>
      <c r="E42" s="41"/>
      <c r="F42" s="42"/>
      <c r="G42" s="42"/>
      <c r="H42" s="42"/>
      <c r="I42" s="41"/>
      <c r="J42" s="41"/>
      <c r="K42" s="41"/>
      <c r="L42" s="31"/>
      <c r="M42" s="43"/>
      <c r="N42" s="43"/>
      <c r="O42" s="11"/>
      <c r="P42" s="44"/>
      <c r="Q42" s="44"/>
      <c r="R42" s="44"/>
      <c r="S42" s="44"/>
      <c r="T42" s="44"/>
      <c r="CB42" s="1" t="s">
        <v>71</v>
      </c>
      <c r="CC42" s="1" t="s">
        <v>18</v>
      </c>
      <c r="CD42" s="1" t="s">
        <v>132</v>
      </c>
      <c r="CF42">
        <f>NUT[[#This Row],[Part Type]]</f>
        <v>0</v>
      </c>
      <c r="CG42" s="52">
        <f>NUT[[#This Row],[Name]]</f>
        <v>0</v>
      </c>
      <c r="CH42" t="str">
        <f>IF(NUT[[#This Row],[UID]]=0,"",NUT[[#This Row],[UID]])</f>
        <v/>
      </c>
      <c r="CL42" t="str">
        <f>IF(NUT[[#This Row],[Status]]=0,"",NUT[[#This Row],[Status]])</f>
        <v/>
      </c>
    </row>
    <row r="43" spans="1:90">
      <c r="A43" s="43"/>
      <c r="B43" s="43"/>
      <c r="C43" s="41"/>
      <c r="D43" s="41"/>
      <c r="E43" s="41"/>
      <c r="F43" s="42"/>
      <c r="G43" s="42"/>
      <c r="H43" s="42"/>
      <c r="I43" s="41"/>
      <c r="J43" s="41"/>
      <c r="K43" s="41"/>
      <c r="L43" s="31"/>
      <c r="M43" s="43"/>
      <c r="N43" s="43"/>
      <c r="O43" s="11"/>
      <c r="P43" s="44"/>
      <c r="Q43" s="44"/>
      <c r="R43" s="44"/>
      <c r="S43" s="44"/>
      <c r="T43" s="44"/>
      <c r="CB43" s="1" t="s">
        <v>71</v>
      </c>
      <c r="CC43" s="1" t="s">
        <v>18</v>
      </c>
      <c r="CD43" s="1" t="s">
        <v>132</v>
      </c>
      <c r="CF43">
        <f>NUT[[#This Row],[Part Type]]</f>
        <v>0</v>
      </c>
      <c r="CG43" s="52">
        <f>NUT[[#This Row],[Name]]</f>
        <v>0</v>
      </c>
      <c r="CH43" t="str">
        <f>IF(NUT[[#This Row],[UID]]=0,"",NUT[[#This Row],[UID]])</f>
        <v/>
      </c>
      <c r="CL43" t="str">
        <f>IF(NUT[[#This Row],[Status]]=0,"",NUT[[#This Row],[Status]])</f>
        <v/>
      </c>
    </row>
    <row r="44" spans="1:90">
      <c r="A44" s="43"/>
      <c r="B44" s="43"/>
      <c r="C44" s="41"/>
      <c r="D44" s="41"/>
      <c r="E44" s="41"/>
      <c r="F44" s="42"/>
      <c r="G44" s="42"/>
      <c r="H44" s="42"/>
      <c r="I44" s="41"/>
      <c r="J44" s="41"/>
      <c r="K44" s="41"/>
      <c r="L44" s="31"/>
      <c r="M44" s="43"/>
      <c r="N44" s="43"/>
      <c r="O44" s="11"/>
      <c r="P44" s="44"/>
      <c r="Q44" s="44"/>
      <c r="R44" s="44"/>
      <c r="S44" s="44"/>
      <c r="T44" s="44"/>
      <c r="CB44" s="1" t="s">
        <v>71</v>
      </c>
      <c r="CC44" s="1" t="s">
        <v>18</v>
      </c>
      <c r="CD44" s="1" t="s">
        <v>132</v>
      </c>
      <c r="CF44">
        <f>NUT[[#This Row],[Part Type]]</f>
        <v>0</v>
      </c>
      <c r="CG44" s="52">
        <f>NUT[[#This Row],[Name]]</f>
        <v>0</v>
      </c>
      <c r="CH44" t="str">
        <f>IF(NUT[[#This Row],[UID]]=0,"",NUT[[#This Row],[UID]])</f>
        <v/>
      </c>
      <c r="CL44" t="str">
        <f>IF(NUT[[#This Row],[Status]]=0,"",NUT[[#This Row],[Status]])</f>
        <v/>
      </c>
    </row>
    <row r="45" spans="1:90">
      <c r="A45" s="43"/>
      <c r="B45" s="43"/>
      <c r="C45" s="41"/>
      <c r="D45" s="41"/>
      <c r="E45" s="41"/>
      <c r="F45" s="42"/>
      <c r="G45" s="42"/>
      <c r="H45" s="42"/>
      <c r="I45" s="41"/>
      <c r="J45" s="41"/>
      <c r="K45" s="41"/>
      <c r="L45" s="31"/>
      <c r="M45" s="43"/>
      <c r="N45" s="43"/>
      <c r="O45" s="11"/>
      <c r="P45" s="44"/>
      <c r="Q45" s="44"/>
      <c r="R45" s="44"/>
      <c r="S45" s="44"/>
      <c r="T45" s="44"/>
      <c r="CB45" s="1" t="s">
        <v>71</v>
      </c>
      <c r="CC45" s="1" t="s">
        <v>18</v>
      </c>
      <c r="CD45" s="1" t="s">
        <v>132</v>
      </c>
      <c r="CF45">
        <f>NUT[[#This Row],[Part Type]]</f>
        <v>0</v>
      </c>
      <c r="CG45" s="52">
        <f>NUT[[#This Row],[Name]]</f>
        <v>0</v>
      </c>
      <c r="CH45" t="str">
        <f>IF(NUT[[#This Row],[UID]]=0,"",NUT[[#This Row],[UID]])</f>
        <v/>
      </c>
      <c r="CL45" t="str">
        <f>IF(NUT[[#This Row],[Status]]=0,"",NUT[[#This Row],[Status]])</f>
        <v/>
      </c>
    </row>
    <row r="46" spans="1:90">
      <c r="A46" s="43"/>
      <c r="B46" s="43"/>
      <c r="C46" s="41"/>
      <c r="D46" s="41"/>
      <c r="E46" s="41"/>
      <c r="F46" s="42"/>
      <c r="G46" s="42"/>
      <c r="H46" s="42"/>
      <c r="I46" s="41"/>
      <c r="J46" s="41"/>
      <c r="K46" s="41"/>
      <c r="L46" s="31"/>
      <c r="M46" s="43"/>
      <c r="N46" s="43"/>
      <c r="O46" s="11"/>
      <c r="P46" s="44"/>
      <c r="Q46" s="44"/>
      <c r="R46" s="44"/>
      <c r="S46" s="44"/>
      <c r="T46" s="44"/>
      <c r="CB46" s="1" t="s">
        <v>71</v>
      </c>
      <c r="CC46" s="1" t="s">
        <v>18</v>
      </c>
      <c r="CD46" s="1" t="s">
        <v>132</v>
      </c>
      <c r="CF46">
        <f>NUT[[#This Row],[Part Type]]</f>
        <v>0</v>
      </c>
      <c r="CG46" s="52">
        <f>NUT[[#This Row],[Name]]</f>
        <v>0</v>
      </c>
      <c r="CH46" t="str">
        <f>IF(NUT[[#This Row],[UID]]=0,"",NUT[[#This Row],[UID]])</f>
        <v/>
      </c>
      <c r="CL46" t="str">
        <f>IF(NUT[[#This Row],[Status]]=0,"",NUT[[#This Row],[Status]])</f>
        <v/>
      </c>
    </row>
    <row r="47" spans="1:90">
      <c r="A47" s="43"/>
      <c r="B47" s="43"/>
      <c r="C47" s="41"/>
      <c r="D47" s="41"/>
      <c r="E47" s="41"/>
      <c r="F47" s="42"/>
      <c r="G47" s="42"/>
      <c r="H47" s="42"/>
      <c r="I47" s="41"/>
      <c r="J47" s="41"/>
      <c r="K47" s="41"/>
      <c r="L47" s="31"/>
      <c r="M47" s="43"/>
      <c r="N47" s="43"/>
      <c r="O47" s="11"/>
      <c r="P47" s="44"/>
      <c r="Q47" s="44"/>
      <c r="R47" s="44"/>
      <c r="S47" s="44"/>
      <c r="T47" s="44"/>
      <c r="CB47" s="1" t="s">
        <v>71</v>
      </c>
      <c r="CC47" s="1" t="s">
        <v>18</v>
      </c>
      <c r="CD47" s="1" t="s">
        <v>132</v>
      </c>
      <c r="CF47">
        <f>NUT[[#This Row],[Part Type]]</f>
        <v>0</v>
      </c>
      <c r="CG47" s="52">
        <f>NUT[[#This Row],[Name]]</f>
        <v>0</v>
      </c>
      <c r="CH47" t="str">
        <f>IF(NUT[[#This Row],[UID]]=0,"",NUT[[#This Row],[UID]])</f>
        <v/>
      </c>
      <c r="CL47" t="str">
        <f>IF(NUT[[#This Row],[Status]]=0,"",NUT[[#This Row],[Status]])</f>
        <v/>
      </c>
    </row>
    <row r="48" spans="1:90">
      <c r="A48" s="43"/>
      <c r="B48" s="43"/>
      <c r="C48" s="41"/>
      <c r="D48" s="41"/>
      <c r="E48" s="41"/>
      <c r="F48" s="42"/>
      <c r="G48" s="42"/>
      <c r="H48" s="42"/>
      <c r="I48" s="41"/>
      <c r="J48" s="41"/>
      <c r="K48" s="41"/>
      <c r="L48" s="31"/>
      <c r="M48" s="43"/>
      <c r="N48" s="43"/>
      <c r="O48" s="11"/>
      <c r="P48" s="44"/>
      <c r="Q48" s="44"/>
      <c r="R48" s="44"/>
      <c r="S48" s="44"/>
      <c r="T48" s="44"/>
      <c r="CB48" s="1" t="s">
        <v>71</v>
      </c>
      <c r="CC48" s="1" t="s">
        <v>18</v>
      </c>
      <c r="CD48" s="1" t="s">
        <v>132</v>
      </c>
      <c r="CF48">
        <f>NUT[[#This Row],[Part Type]]</f>
        <v>0</v>
      </c>
      <c r="CG48" s="52">
        <f>NUT[[#This Row],[Name]]</f>
        <v>0</v>
      </c>
      <c r="CH48" t="str">
        <f>IF(NUT[[#This Row],[UID]]=0,"",NUT[[#This Row],[UID]])</f>
        <v/>
      </c>
      <c r="CL48" t="str">
        <f>IF(NUT[[#This Row],[Status]]=0,"",NUT[[#This Row],[Status]])</f>
        <v/>
      </c>
    </row>
    <row r="49" spans="1:90">
      <c r="A49" s="43"/>
      <c r="B49" s="43"/>
      <c r="C49" s="41"/>
      <c r="D49" s="41"/>
      <c r="E49" s="41"/>
      <c r="F49" s="42"/>
      <c r="G49" s="42"/>
      <c r="H49" s="42"/>
      <c r="I49" s="41"/>
      <c r="J49" s="41"/>
      <c r="K49" s="41"/>
      <c r="L49" s="31"/>
      <c r="M49" s="43"/>
      <c r="N49" s="43"/>
      <c r="O49" s="11"/>
      <c r="P49" s="44"/>
      <c r="Q49" s="44"/>
      <c r="R49" s="44"/>
      <c r="S49" s="44"/>
      <c r="T49" s="44"/>
      <c r="CB49" s="1" t="s">
        <v>71</v>
      </c>
      <c r="CC49" s="1" t="s">
        <v>18</v>
      </c>
      <c r="CD49" s="1" t="s">
        <v>132</v>
      </c>
      <c r="CF49">
        <f>NUT[[#This Row],[Part Type]]</f>
        <v>0</v>
      </c>
      <c r="CG49" s="52">
        <f>NUT[[#This Row],[Name]]</f>
        <v>0</v>
      </c>
      <c r="CH49" t="str">
        <f>IF(NUT[[#This Row],[UID]]=0,"",NUT[[#This Row],[UID]])</f>
        <v/>
      </c>
      <c r="CL49" t="str">
        <f>IF(NUT[[#This Row],[Status]]=0,"",NUT[[#This Row],[Status]])</f>
        <v/>
      </c>
    </row>
    <row r="50" spans="1:90">
      <c r="A50" s="43"/>
      <c r="B50" s="43"/>
      <c r="C50" s="41"/>
      <c r="D50" s="41"/>
      <c r="E50" s="41"/>
      <c r="F50" s="42"/>
      <c r="G50" s="42"/>
      <c r="H50" s="42"/>
      <c r="I50" s="41"/>
      <c r="J50" s="41"/>
      <c r="K50" s="41"/>
      <c r="L50" s="31"/>
      <c r="M50" s="43"/>
      <c r="N50" s="43"/>
      <c r="O50" s="11"/>
      <c r="P50" s="44"/>
      <c r="Q50" s="44"/>
      <c r="R50" s="44"/>
      <c r="S50" s="44"/>
      <c r="T50" s="44"/>
      <c r="CB50" s="1" t="s">
        <v>71</v>
      </c>
      <c r="CC50" s="1" t="s">
        <v>18</v>
      </c>
      <c r="CD50" s="1" t="s">
        <v>132</v>
      </c>
      <c r="CF50">
        <f>NUT[[#This Row],[Part Type]]</f>
        <v>0</v>
      </c>
      <c r="CG50" s="52">
        <f>NUT[[#This Row],[Name]]</f>
        <v>0</v>
      </c>
      <c r="CH50" t="str">
        <f>IF(NUT[[#This Row],[UID]]=0,"",NUT[[#This Row],[UID]])</f>
        <v/>
      </c>
      <c r="CL50" t="str">
        <f>IF(NUT[[#This Row],[Status]]=0,"",NUT[[#This Row],[Status]])</f>
        <v/>
      </c>
    </row>
    <row r="51" spans="1:90">
      <c r="A51" s="43"/>
      <c r="B51" s="43"/>
      <c r="C51" s="41"/>
      <c r="D51" s="41"/>
      <c r="E51" s="41"/>
      <c r="F51" s="42"/>
      <c r="G51" s="42"/>
      <c r="H51" s="42"/>
      <c r="I51" s="41"/>
      <c r="J51" s="41"/>
      <c r="K51" s="41"/>
      <c r="L51" s="31"/>
      <c r="M51" s="43"/>
      <c r="N51" s="43"/>
      <c r="O51" s="11"/>
      <c r="P51" s="44"/>
      <c r="Q51" s="44"/>
      <c r="R51" s="44"/>
      <c r="S51" s="44"/>
      <c r="T51" s="44"/>
      <c r="CB51" s="1" t="s">
        <v>71</v>
      </c>
      <c r="CC51" s="1" t="s">
        <v>18</v>
      </c>
      <c r="CD51" s="1" t="s">
        <v>132</v>
      </c>
      <c r="CF51">
        <f>NUT[[#This Row],[Part Type]]</f>
        <v>0</v>
      </c>
      <c r="CG51" s="52">
        <f>NUT[[#This Row],[Name]]</f>
        <v>0</v>
      </c>
      <c r="CH51" t="str">
        <f>IF(NUT[[#This Row],[UID]]=0,"",NUT[[#This Row],[UID]])</f>
        <v/>
      </c>
      <c r="CL51" t="str">
        <f>IF(NUT[[#This Row],[Status]]=0,"",NUT[[#This Row],[Status]])</f>
        <v/>
      </c>
    </row>
    <row r="52" spans="1:90">
      <c r="A52" s="43"/>
      <c r="B52" s="43"/>
      <c r="C52" s="41"/>
      <c r="D52" s="41"/>
      <c r="E52" s="41"/>
      <c r="F52" s="42"/>
      <c r="G52" s="42"/>
      <c r="H52" s="42"/>
      <c r="I52" s="41"/>
      <c r="J52" s="41"/>
      <c r="K52" s="41"/>
      <c r="L52" s="31"/>
      <c r="M52" s="43"/>
      <c r="N52" s="43"/>
      <c r="O52" s="11"/>
      <c r="P52" s="44"/>
      <c r="Q52" s="44"/>
      <c r="R52" s="44"/>
      <c r="S52" s="44"/>
      <c r="T52" s="44"/>
      <c r="CB52" s="1" t="s">
        <v>71</v>
      </c>
      <c r="CC52" s="1" t="s">
        <v>18</v>
      </c>
      <c r="CD52" s="1" t="s">
        <v>132</v>
      </c>
      <c r="CF52">
        <f>NUT[[#This Row],[Part Type]]</f>
        <v>0</v>
      </c>
      <c r="CG52" s="52">
        <f>NUT[[#This Row],[Name]]</f>
        <v>0</v>
      </c>
      <c r="CH52" t="str">
        <f>IF(NUT[[#This Row],[UID]]=0,"",NUT[[#This Row],[UID]])</f>
        <v/>
      </c>
      <c r="CL52" t="str">
        <f>IF(NUT[[#This Row],[Status]]=0,"",NUT[[#This Row],[Status]])</f>
        <v/>
      </c>
    </row>
    <row r="53" spans="1:90">
      <c r="A53" s="43"/>
      <c r="B53" s="43"/>
      <c r="C53" s="41"/>
      <c r="D53" s="41"/>
      <c r="E53" s="41"/>
      <c r="F53" s="42"/>
      <c r="G53" s="42"/>
      <c r="H53" s="42"/>
      <c r="I53" s="41"/>
      <c r="J53" s="41"/>
      <c r="K53" s="41"/>
      <c r="L53" s="31"/>
      <c r="M53" s="43"/>
      <c r="N53" s="43"/>
      <c r="O53" s="11"/>
      <c r="P53" s="44"/>
      <c r="Q53" s="44"/>
      <c r="R53" s="44"/>
      <c r="S53" s="44"/>
      <c r="T53" s="44"/>
      <c r="CB53" s="1" t="s">
        <v>71</v>
      </c>
      <c r="CC53" s="1" t="s">
        <v>18</v>
      </c>
      <c r="CD53" s="1" t="s">
        <v>132</v>
      </c>
      <c r="CF53">
        <f>NUT[[#This Row],[Part Type]]</f>
        <v>0</v>
      </c>
      <c r="CG53" s="52">
        <f>NUT[[#This Row],[Name]]</f>
        <v>0</v>
      </c>
      <c r="CH53" t="str">
        <f>IF(NUT[[#This Row],[UID]]=0,"",NUT[[#This Row],[UID]])</f>
        <v/>
      </c>
      <c r="CL53" t="str">
        <f>IF(NUT[[#This Row],[Status]]=0,"",NUT[[#This Row],[Status]])</f>
        <v/>
      </c>
    </row>
    <row r="54" spans="1:90">
      <c r="A54" s="43"/>
      <c r="B54" s="43"/>
      <c r="C54" s="41"/>
      <c r="D54" s="41"/>
      <c r="E54" s="41"/>
      <c r="F54" s="42"/>
      <c r="G54" s="42"/>
      <c r="H54" s="42"/>
      <c r="I54" s="41"/>
      <c r="J54" s="41"/>
      <c r="K54" s="41"/>
      <c r="L54" s="31"/>
      <c r="M54" s="43"/>
      <c r="N54" s="43"/>
      <c r="O54" s="11"/>
      <c r="P54" s="44"/>
      <c r="Q54" s="44"/>
      <c r="R54" s="44"/>
      <c r="S54" s="44"/>
      <c r="T54" s="44"/>
      <c r="CB54" s="1" t="s">
        <v>71</v>
      </c>
      <c r="CC54" s="1" t="s">
        <v>18</v>
      </c>
      <c r="CD54" s="1" t="s">
        <v>132</v>
      </c>
      <c r="CF54">
        <f>NUT[[#This Row],[Part Type]]</f>
        <v>0</v>
      </c>
      <c r="CG54" s="52">
        <f>NUT[[#This Row],[Name]]</f>
        <v>0</v>
      </c>
      <c r="CH54" t="str">
        <f>IF(NUT[[#This Row],[UID]]=0,"",NUT[[#This Row],[UID]])</f>
        <v/>
      </c>
      <c r="CL54" t="str">
        <f>IF(NUT[[#This Row],[Status]]=0,"",NUT[[#This Row],[Status]])</f>
        <v/>
      </c>
    </row>
    <row r="55" spans="1:90">
      <c r="A55" s="43"/>
      <c r="B55" s="43"/>
      <c r="C55" s="41"/>
      <c r="D55" s="41"/>
      <c r="E55" s="41"/>
      <c r="F55" s="42"/>
      <c r="G55" s="42"/>
      <c r="H55" s="42"/>
      <c r="I55" s="41"/>
      <c r="J55" s="41"/>
      <c r="K55" s="41"/>
      <c r="L55" s="31"/>
      <c r="M55" s="43"/>
      <c r="N55" s="43"/>
      <c r="O55" s="11"/>
      <c r="P55" s="44"/>
      <c r="Q55" s="44"/>
      <c r="R55" s="44"/>
      <c r="S55" s="44"/>
      <c r="T55" s="44"/>
      <c r="CB55" s="1" t="s">
        <v>71</v>
      </c>
      <c r="CC55" s="1" t="s">
        <v>18</v>
      </c>
      <c r="CD55" s="1" t="s">
        <v>132</v>
      </c>
      <c r="CF55">
        <f>NUT[[#This Row],[Part Type]]</f>
        <v>0</v>
      </c>
      <c r="CG55" s="52">
        <f>NUT[[#This Row],[Name]]</f>
        <v>0</v>
      </c>
      <c r="CH55" t="str">
        <f>IF(NUT[[#This Row],[UID]]=0,"",NUT[[#This Row],[UID]])</f>
        <v/>
      </c>
      <c r="CL55" t="str">
        <f>IF(NUT[[#This Row],[Status]]=0,"",NUT[[#This Row],[Status]])</f>
        <v/>
      </c>
    </row>
    <row r="56" spans="1:90">
      <c r="A56" s="43"/>
      <c r="B56" s="43"/>
      <c r="C56" s="41"/>
      <c r="D56" s="41"/>
      <c r="E56" s="41"/>
      <c r="F56" s="42"/>
      <c r="G56" s="42"/>
      <c r="H56" s="42"/>
      <c r="I56" s="41"/>
      <c r="J56" s="41"/>
      <c r="K56" s="41"/>
      <c r="L56" s="31"/>
      <c r="M56" s="43"/>
      <c r="N56" s="43"/>
      <c r="O56" s="11"/>
      <c r="P56" s="44"/>
      <c r="Q56" s="44"/>
      <c r="R56" s="44"/>
      <c r="S56" s="44"/>
      <c r="T56" s="44"/>
      <c r="CB56" s="1" t="s">
        <v>71</v>
      </c>
      <c r="CC56" s="1" t="s">
        <v>18</v>
      </c>
      <c r="CD56" s="1" t="s">
        <v>132</v>
      </c>
      <c r="CF56">
        <f>NUT[[#This Row],[Part Type]]</f>
        <v>0</v>
      </c>
      <c r="CG56" s="52">
        <f>NUT[[#This Row],[Name]]</f>
        <v>0</v>
      </c>
      <c r="CH56" t="str">
        <f>IF(NUT[[#This Row],[UID]]=0,"",NUT[[#This Row],[UID]])</f>
        <v/>
      </c>
      <c r="CL56" t="str">
        <f>IF(NUT[[#This Row],[Status]]=0,"",NUT[[#This Row],[Status]])</f>
        <v/>
      </c>
    </row>
    <row r="57" spans="1:90">
      <c r="A57" s="43"/>
      <c r="B57" s="43"/>
      <c r="C57" s="41"/>
      <c r="D57" s="41"/>
      <c r="E57" s="41"/>
      <c r="F57" s="42"/>
      <c r="G57" s="42"/>
      <c r="H57" s="42"/>
      <c r="I57" s="41"/>
      <c r="J57" s="41"/>
      <c r="K57" s="41"/>
      <c r="L57" s="31"/>
      <c r="M57" s="43"/>
      <c r="N57" s="43"/>
      <c r="O57" s="11"/>
      <c r="P57" s="44"/>
      <c r="Q57" s="44"/>
      <c r="R57" s="44"/>
      <c r="S57" s="44"/>
      <c r="T57" s="44"/>
      <c r="CB57" s="1" t="s">
        <v>71</v>
      </c>
      <c r="CC57" s="1" t="s">
        <v>18</v>
      </c>
      <c r="CD57" s="1" t="s">
        <v>132</v>
      </c>
      <c r="CF57">
        <f>NUT[[#This Row],[Part Type]]</f>
        <v>0</v>
      </c>
      <c r="CG57" s="52">
        <f>NUT[[#This Row],[Name]]</f>
        <v>0</v>
      </c>
      <c r="CH57" t="str">
        <f>IF(NUT[[#This Row],[UID]]=0,"",NUT[[#This Row],[UID]])</f>
        <v/>
      </c>
      <c r="CL57" t="str">
        <f>IF(NUT[[#This Row],[Status]]=0,"",NUT[[#This Row],[Status]])</f>
        <v/>
      </c>
    </row>
    <row r="58" spans="1:90">
      <c r="A58" s="43"/>
      <c r="B58" s="43"/>
      <c r="C58" s="41"/>
      <c r="D58" s="41"/>
      <c r="E58" s="41"/>
      <c r="F58" s="42"/>
      <c r="G58" s="42"/>
      <c r="H58" s="42"/>
      <c r="I58" s="41"/>
      <c r="J58" s="41"/>
      <c r="K58" s="41"/>
      <c r="L58" s="31"/>
      <c r="M58" s="43"/>
      <c r="N58" s="43"/>
      <c r="O58" s="11"/>
      <c r="P58" s="44"/>
      <c r="Q58" s="44"/>
      <c r="R58" s="44"/>
      <c r="S58" s="44"/>
      <c r="T58" s="44"/>
      <c r="CB58" s="1" t="s">
        <v>71</v>
      </c>
      <c r="CC58" s="1" t="s">
        <v>18</v>
      </c>
      <c r="CD58" s="1" t="s">
        <v>132</v>
      </c>
      <c r="CF58">
        <f>NUT[[#This Row],[Part Type]]</f>
        <v>0</v>
      </c>
      <c r="CG58" s="52">
        <f>NUT[[#This Row],[Name]]</f>
        <v>0</v>
      </c>
      <c r="CH58" t="str">
        <f>IF(NUT[[#This Row],[UID]]=0,"",NUT[[#This Row],[UID]])</f>
        <v/>
      </c>
      <c r="CL58" t="str">
        <f>IF(NUT[[#This Row],[Status]]=0,"",NUT[[#This Row],[Status]])</f>
        <v/>
      </c>
    </row>
    <row r="59" spans="1:90">
      <c r="A59" s="43"/>
      <c r="B59" s="43"/>
      <c r="C59" s="41"/>
      <c r="D59" s="41"/>
      <c r="E59" s="41"/>
      <c r="F59" s="42"/>
      <c r="G59" s="42"/>
      <c r="H59" s="42"/>
      <c r="I59" s="41"/>
      <c r="J59" s="41"/>
      <c r="K59" s="41"/>
      <c r="L59" s="31"/>
      <c r="M59" s="43"/>
      <c r="N59" s="43"/>
      <c r="O59" s="11"/>
      <c r="P59" s="44"/>
      <c r="Q59" s="44"/>
      <c r="R59" s="44"/>
      <c r="S59" s="44"/>
      <c r="T59" s="44"/>
      <c r="CB59" s="1" t="s">
        <v>71</v>
      </c>
      <c r="CC59" s="1" t="s">
        <v>18</v>
      </c>
      <c r="CD59" s="1" t="s">
        <v>132</v>
      </c>
      <c r="CF59">
        <f>NUT[[#This Row],[Part Type]]</f>
        <v>0</v>
      </c>
      <c r="CG59" s="52">
        <f>NUT[[#This Row],[Name]]</f>
        <v>0</v>
      </c>
      <c r="CH59" t="str">
        <f>IF(NUT[[#This Row],[UID]]=0,"",NUT[[#This Row],[UID]])</f>
        <v/>
      </c>
      <c r="CL59" t="str">
        <f>IF(NUT[[#This Row],[Status]]=0,"",NUT[[#This Row],[Status]])</f>
        <v/>
      </c>
    </row>
    <row r="60" spans="1:90">
      <c r="A60" s="43"/>
      <c r="B60" s="43"/>
      <c r="C60" s="41"/>
      <c r="D60" s="41"/>
      <c r="E60" s="41"/>
      <c r="F60" s="42"/>
      <c r="G60" s="42"/>
      <c r="H60" s="42"/>
      <c r="I60" s="41"/>
      <c r="J60" s="41"/>
      <c r="K60" s="41"/>
      <c r="L60" s="31"/>
      <c r="M60" s="43"/>
      <c r="N60" s="43"/>
      <c r="O60" s="11"/>
      <c r="P60" s="44"/>
      <c r="Q60" s="44"/>
      <c r="R60" s="44"/>
      <c r="S60" s="44"/>
      <c r="T60" s="44"/>
      <c r="CB60" s="1" t="s">
        <v>71</v>
      </c>
      <c r="CC60" s="1" t="s">
        <v>18</v>
      </c>
      <c r="CD60" s="1" t="s">
        <v>132</v>
      </c>
      <c r="CF60">
        <f>NUT[[#This Row],[Part Type]]</f>
        <v>0</v>
      </c>
      <c r="CG60" s="52">
        <f>NUT[[#This Row],[Name]]</f>
        <v>0</v>
      </c>
      <c r="CH60" t="str">
        <f>IF(NUT[[#This Row],[UID]]=0,"",NUT[[#This Row],[UID]])</f>
        <v/>
      </c>
      <c r="CL60" t="str">
        <f>IF(NUT[[#This Row],[Status]]=0,"",NUT[[#This Row],[Status]])</f>
        <v/>
      </c>
    </row>
    <row r="61" spans="1:90">
      <c r="A61" s="43"/>
      <c r="B61" s="43"/>
      <c r="C61" s="41"/>
      <c r="D61" s="41"/>
      <c r="E61" s="41"/>
      <c r="F61" s="42"/>
      <c r="G61" s="42"/>
      <c r="H61" s="42"/>
      <c r="I61" s="41"/>
      <c r="J61" s="41"/>
      <c r="K61" s="41"/>
      <c r="L61" s="31"/>
      <c r="M61" s="43"/>
      <c r="N61" s="43"/>
      <c r="O61" s="11"/>
      <c r="P61" s="44"/>
      <c r="Q61" s="44"/>
      <c r="R61" s="44"/>
      <c r="S61" s="44"/>
      <c r="T61" s="44"/>
      <c r="CB61" s="1" t="s">
        <v>71</v>
      </c>
      <c r="CC61" s="1" t="s">
        <v>18</v>
      </c>
      <c r="CD61" s="1" t="s">
        <v>132</v>
      </c>
      <c r="CF61">
        <f>NUT[[#This Row],[Part Type]]</f>
        <v>0</v>
      </c>
      <c r="CG61" s="52">
        <f>NUT[[#This Row],[Name]]</f>
        <v>0</v>
      </c>
      <c r="CH61" t="str">
        <f>IF(NUT[[#This Row],[UID]]=0,"",NUT[[#This Row],[UID]])</f>
        <v/>
      </c>
      <c r="CL61" t="str">
        <f>IF(NUT[[#This Row],[Status]]=0,"",NUT[[#This Row],[Status]])</f>
        <v/>
      </c>
    </row>
    <row r="62" spans="1:90">
      <c r="A62" s="43"/>
      <c r="B62" s="43"/>
      <c r="C62" s="41"/>
      <c r="D62" s="41"/>
      <c r="E62" s="41"/>
      <c r="F62" s="42"/>
      <c r="G62" s="42"/>
      <c r="H62" s="42"/>
      <c r="I62" s="41"/>
      <c r="J62" s="41"/>
      <c r="K62" s="41"/>
      <c r="L62" s="31"/>
      <c r="M62" s="43"/>
      <c r="N62" s="43"/>
      <c r="O62" s="11"/>
      <c r="P62" s="44"/>
      <c r="Q62" s="44"/>
      <c r="R62" s="44"/>
      <c r="S62" s="44"/>
      <c r="T62" s="44"/>
      <c r="CB62" s="1" t="s">
        <v>71</v>
      </c>
      <c r="CC62" s="1" t="s">
        <v>18</v>
      </c>
      <c r="CD62" s="1" t="s">
        <v>132</v>
      </c>
      <c r="CF62">
        <f>NUT[[#This Row],[Part Type]]</f>
        <v>0</v>
      </c>
      <c r="CG62" s="52">
        <f>NUT[[#This Row],[Name]]</f>
        <v>0</v>
      </c>
      <c r="CH62" t="str">
        <f>IF(NUT[[#This Row],[UID]]=0,"",NUT[[#This Row],[UID]])</f>
        <v/>
      </c>
      <c r="CL62" t="str">
        <f>IF(NUT[[#This Row],[Status]]=0,"",NUT[[#This Row],[Status]])</f>
        <v/>
      </c>
    </row>
    <row r="63" spans="1:90">
      <c r="A63" s="43"/>
      <c r="B63" s="43"/>
      <c r="C63" s="41"/>
      <c r="D63" s="41"/>
      <c r="E63" s="41"/>
      <c r="F63" s="42"/>
      <c r="G63" s="42"/>
      <c r="H63" s="42"/>
      <c r="I63" s="41"/>
      <c r="J63" s="41"/>
      <c r="K63" s="41"/>
      <c r="L63" s="31"/>
      <c r="M63" s="43"/>
      <c r="N63" s="43"/>
      <c r="O63" s="11"/>
      <c r="P63" s="44"/>
      <c r="Q63" s="44"/>
      <c r="R63" s="44"/>
      <c r="S63" s="44"/>
      <c r="T63" s="44"/>
      <c r="CB63" s="1" t="s">
        <v>71</v>
      </c>
      <c r="CC63" s="1" t="s">
        <v>18</v>
      </c>
      <c r="CD63" s="1" t="s">
        <v>132</v>
      </c>
      <c r="CF63">
        <f>NUT[[#This Row],[Part Type]]</f>
        <v>0</v>
      </c>
      <c r="CG63" s="52">
        <f>NUT[[#This Row],[Name]]</f>
        <v>0</v>
      </c>
      <c r="CH63" t="str">
        <f>IF(NUT[[#This Row],[UID]]=0,"",NUT[[#This Row],[UID]])</f>
        <v/>
      </c>
      <c r="CL63" t="str">
        <f>IF(NUT[[#This Row],[Status]]=0,"",NUT[[#This Row],[Status]])</f>
        <v/>
      </c>
    </row>
    <row r="64" spans="1:90">
      <c r="A64" s="43"/>
      <c r="B64" s="43"/>
      <c r="C64" s="41"/>
      <c r="D64" s="41"/>
      <c r="E64" s="41"/>
      <c r="F64" s="42"/>
      <c r="G64" s="42"/>
      <c r="H64" s="42"/>
      <c r="I64" s="41"/>
      <c r="J64" s="41"/>
      <c r="K64" s="41"/>
      <c r="L64" s="31"/>
      <c r="M64" s="43"/>
      <c r="N64" s="43"/>
      <c r="O64" s="11"/>
      <c r="P64" s="44"/>
      <c r="Q64" s="44"/>
      <c r="R64" s="44"/>
      <c r="S64" s="44"/>
      <c r="T64" s="44"/>
      <c r="CB64" s="1" t="s">
        <v>71</v>
      </c>
      <c r="CC64" s="1" t="s">
        <v>18</v>
      </c>
      <c r="CD64" s="1" t="s">
        <v>132</v>
      </c>
      <c r="CF64">
        <f>NUT[[#This Row],[Part Type]]</f>
        <v>0</v>
      </c>
      <c r="CG64" s="52">
        <f>NUT[[#This Row],[Name]]</f>
        <v>0</v>
      </c>
      <c r="CH64" t="str">
        <f>IF(NUT[[#This Row],[UID]]=0,"",NUT[[#This Row],[UID]])</f>
        <v/>
      </c>
      <c r="CL64" t="str">
        <f>IF(NUT[[#This Row],[Status]]=0,"",NUT[[#This Row],[Status]])</f>
        <v/>
      </c>
    </row>
    <row r="65" spans="1:90">
      <c r="A65" s="43"/>
      <c r="B65" s="43"/>
      <c r="C65" s="41"/>
      <c r="D65" s="41"/>
      <c r="E65" s="41"/>
      <c r="F65" s="42"/>
      <c r="G65" s="42"/>
      <c r="H65" s="42"/>
      <c r="I65" s="41"/>
      <c r="J65" s="41"/>
      <c r="K65" s="41"/>
      <c r="L65" s="31"/>
      <c r="M65" s="43"/>
      <c r="N65" s="43"/>
      <c r="O65" s="11"/>
      <c r="P65" s="44"/>
      <c r="Q65" s="44"/>
      <c r="R65" s="44"/>
      <c r="S65" s="44"/>
      <c r="T65" s="44"/>
      <c r="CB65" s="1" t="s">
        <v>71</v>
      </c>
      <c r="CC65" s="1" t="s">
        <v>18</v>
      </c>
      <c r="CD65" s="1" t="s">
        <v>132</v>
      </c>
      <c r="CF65">
        <f>NUT[[#This Row],[Part Type]]</f>
        <v>0</v>
      </c>
      <c r="CG65" s="52">
        <f>NUT[[#This Row],[Name]]</f>
        <v>0</v>
      </c>
      <c r="CH65" t="str">
        <f>IF(NUT[[#This Row],[UID]]=0,"",NUT[[#This Row],[UID]])</f>
        <v/>
      </c>
      <c r="CL65" t="str">
        <f>IF(NUT[[#This Row],[Status]]=0,"",NUT[[#This Row],[Status]])</f>
        <v/>
      </c>
    </row>
    <row r="66" spans="1:90">
      <c r="A66" s="43"/>
      <c r="B66" s="43"/>
      <c r="C66" s="41"/>
      <c r="D66" s="41"/>
      <c r="E66" s="41"/>
      <c r="F66" s="42"/>
      <c r="G66" s="42"/>
      <c r="H66" s="42"/>
      <c r="I66" s="41"/>
      <c r="J66" s="41"/>
      <c r="K66" s="41"/>
      <c r="L66" s="31"/>
      <c r="M66" s="43"/>
      <c r="N66" s="43"/>
      <c r="O66" s="11"/>
      <c r="P66" s="44"/>
      <c r="Q66" s="44"/>
      <c r="R66" s="44"/>
      <c r="S66" s="44"/>
      <c r="T66" s="44"/>
      <c r="CB66" s="1" t="s">
        <v>71</v>
      </c>
      <c r="CC66" s="1" t="s">
        <v>18</v>
      </c>
      <c r="CD66" s="1" t="s">
        <v>132</v>
      </c>
      <c r="CF66">
        <f>NUT[[#This Row],[Part Type]]</f>
        <v>0</v>
      </c>
      <c r="CG66" s="52">
        <f>NUT[[#This Row],[Name]]</f>
        <v>0</v>
      </c>
      <c r="CH66" t="str">
        <f>IF(NUT[[#This Row],[UID]]=0,"",NUT[[#This Row],[UID]])</f>
        <v/>
      </c>
      <c r="CL66" t="str">
        <f>IF(NUT[[#This Row],[Status]]=0,"",NUT[[#This Row],[Status]])</f>
        <v/>
      </c>
    </row>
    <row r="67" spans="1:90">
      <c r="A67" s="43"/>
      <c r="B67" s="43"/>
      <c r="C67" s="41"/>
      <c r="D67" s="41"/>
      <c r="E67" s="41"/>
      <c r="F67" s="42"/>
      <c r="G67" s="42"/>
      <c r="H67" s="42"/>
      <c r="I67" s="41"/>
      <c r="J67" s="41"/>
      <c r="K67" s="41"/>
      <c r="L67" s="31"/>
      <c r="M67" s="43"/>
      <c r="N67" s="43"/>
      <c r="O67" s="11"/>
      <c r="P67" s="44"/>
      <c r="Q67" s="44"/>
      <c r="R67" s="44"/>
      <c r="S67" s="44"/>
      <c r="T67" s="44"/>
      <c r="CB67" s="1" t="s">
        <v>71</v>
      </c>
      <c r="CC67" s="1" t="s">
        <v>18</v>
      </c>
      <c r="CD67" s="1" t="s">
        <v>132</v>
      </c>
      <c r="CF67">
        <f>NUT[[#This Row],[Part Type]]</f>
        <v>0</v>
      </c>
      <c r="CG67" s="52">
        <f>NUT[[#This Row],[Name]]</f>
        <v>0</v>
      </c>
      <c r="CH67" t="str">
        <f>IF(NUT[[#This Row],[UID]]=0,"",NUT[[#This Row],[UID]])</f>
        <v/>
      </c>
      <c r="CL67" t="str">
        <f>IF(NUT[[#This Row],[Status]]=0,"",NUT[[#This Row],[Status]])</f>
        <v/>
      </c>
    </row>
    <row r="68" spans="1:90">
      <c r="A68" s="43"/>
      <c r="B68" s="43"/>
      <c r="C68" s="41"/>
      <c r="D68" s="41"/>
      <c r="E68" s="41"/>
      <c r="F68" s="42"/>
      <c r="G68" s="42"/>
      <c r="H68" s="42"/>
      <c r="I68" s="41"/>
      <c r="J68" s="41"/>
      <c r="K68" s="41"/>
      <c r="L68" s="31"/>
      <c r="M68" s="43"/>
      <c r="N68" s="43"/>
      <c r="O68" s="11"/>
      <c r="P68" s="44"/>
      <c r="Q68" s="44"/>
      <c r="R68" s="44"/>
      <c r="S68" s="44"/>
      <c r="T68" s="44"/>
      <c r="CB68" s="1" t="s">
        <v>71</v>
      </c>
      <c r="CC68" s="1" t="s">
        <v>18</v>
      </c>
      <c r="CD68" s="1" t="s">
        <v>132</v>
      </c>
      <c r="CF68">
        <f>NUT[[#This Row],[Part Type]]</f>
        <v>0</v>
      </c>
      <c r="CG68" s="52">
        <f>NUT[[#This Row],[Name]]</f>
        <v>0</v>
      </c>
      <c r="CH68" t="str">
        <f>IF(NUT[[#This Row],[UID]]=0,"",NUT[[#This Row],[UID]])</f>
        <v/>
      </c>
      <c r="CL68" t="str">
        <f>IF(NUT[[#This Row],[Status]]=0,"",NUT[[#This Row],[Status]])</f>
        <v/>
      </c>
    </row>
    <row r="69" spans="1:90">
      <c r="A69" s="43"/>
      <c r="B69" s="43"/>
      <c r="C69" s="41"/>
      <c r="D69" s="41"/>
      <c r="E69" s="41"/>
      <c r="F69" s="42"/>
      <c r="G69" s="42"/>
      <c r="H69" s="42"/>
      <c r="I69" s="41"/>
      <c r="J69" s="41"/>
      <c r="K69" s="41"/>
      <c r="L69" s="31"/>
      <c r="M69" s="43"/>
      <c r="N69" s="43"/>
      <c r="O69" s="11"/>
      <c r="P69" s="44"/>
      <c r="Q69" s="44"/>
      <c r="R69" s="44"/>
      <c r="S69" s="44"/>
      <c r="T69" s="44"/>
      <c r="CB69" s="1" t="s">
        <v>71</v>
      </c>
      <c r="CC69" s="1" t="s">
        <v>18</v>
      </c>
      <c r="CD69" s="1" t="s">
        <v>132</v>
      </c>
      <c r="CF69">
        <f>NUT[[#This Row],[Part Type]]</f>
        <v>0</v>
      </c>
      <c r="CG69" s="52">
        <f>NUT[[#This Row],[Name]]</f>
        <v>0</v>
      </c>
      <c r="CH69" t="str">
        <f>IF(NUT[[#This Row],[UID]]=0,"",NUT[[#This Row],[UID]])</f>
        <v/>
      </c>
      <c r="CL69" t="str">
        <f>IF(NUT[[#This Row],[Status]]=0,"",NUT[[#This Row],[Status]])</f>
        <v/>
      </c>
    </row>
    <row r="70" spans="1:90">
      <c r="A70" s="43"/>
      <c r="B70" s="43"/>
      <c r="C70" s="41"/>
      <c r="D70" s="41"/>
      <c r="E70" s="41"/>
      <c r="F70" s="42"/>
      <c r="G70" s="42"/>
      <c r="H70" s="42"/>
      <c r="I70" s="41"/>
      <c r="J70" s="41"/>
      <c r="K70" s="41"/>
      <c r="L70" s="31"/>
      <c r="M70" s="43"/>
      <c r="N70" s="43"/>
      <c r="O70" s="11"/>
      <c r="P70" s="44"/>
      <c r="Q70" s="44"/>
      <c r="R70" s="44"/>
      <c r="S70" s="44"/>
      <c r="T70" s="44"/>
      <c r="CB70" s="1" t="s">
        <v>71</v>
      </c>
      <c r="CC70" s="1" t="s">
        <v>18</v>
      </c>
      <c r="CD70" s="1" t="s">
        <v>132</v>
      </c>
      <c r="CF70">
        <f>NUT[[#This Row],[Part Type]]</f>
        <v>0</v>
      </c>
      <c r="CG70" s="52">
        <f>NUT[[#This Row],[Name]]</f>
        <v>0</v>
      </c>
      <c r="CH70" t="str">
        <f>IF(NUT[[#This Row],[UID]]=0,"",NUT[[#This Row],[UID]])</f>
        <v/>
      </c>
      <c r="CL70" t="str">
        <f>IF(NUT[[#This Row],[Status]]=0,"",NUT[[#This Row],[Status]])</f>
        <v/>
      </c>
    </row>
    <row r="71" spans="1:90">
      <c r="A71" s="43"/>
      <c r="B71" s="43"/>
      <c r="C71" s="41"/>
      <c r="D71" s="41"/>
      <c r="E71" s="41"/>
      <c r="F71" s="42"/>
      <c r="G71" s="42"/>
      <c r="H71" s="42"/>
      <c r="I71" s="41"/>
      <c r="J71" s="41"/>
      <c r="K71" s="41"/>
      <c r="L71" s="31"/>
      <c r="M71" s="43"/>
      <c r="N71" s="43"/>
      <c r="O71" s="11"/>
      <c r="P71" s="44"/>
      <c r="Q71" s="44"/>
      <c r="R71" s="44"/>
      <c r="S71" s="44"/>
      <c r="T71" s="44"/>
      <c r="CB71" s="1" t="s">
        <v>71</v>
      </c>
      <c r="CC71" s="1" t="s">
        <v>18</v>
      </c>
      <c r="CD71" s="1" t="s">
        <v>132</v>
      </c>
      <c r="CF71">
        <f>NUT[[#This Row],[Part Type]]</f>
        <v>0</v>
      </c>
      <c r="CG71" s="52">
        <f>NUT[[#This Row],[Name]]</f>
        <v>0</v>
      </c>
      <c r="CH71" t="str">
        <f>IF(NUT[[#This Row],[UID]]=0,"",NUT[[#This Row],[UID]])</f>
        <v/>
      </c>
      <c r="CL71" t="str">
        <f>IF(NUT[[#This Row],[Status]]=0,"",NUT[[#This Row],[Status]])</f>
        <v/>
      </c>
    </row>
    <row r="72" spans="1:90">
      <c r="A72" s="43"/>
      <c r="B72" s="43"/>
      <c r="C72" s="41"/>
      <c r="D72" s="41"/>
      <c r="E72" s="41"/>
      <c r="F72" s="42"/>
      <c r="G72" s="42"/>
      <c r="H72" s="42"/>
      <c r="I72" s="41"/>
      <c r="J72" s="41"/>
      <c r="K72" s="41"/>
      <c r="L72" s="31"/>
      <c r="M72" s="43"/>
      <c r="N72" s="43"/>
      <c r="O72" s="11"/>
      <c r="P72" s="44"/>
      <c r="Q72" s="44"/>
      <c r="R72" s="44"/>
      <c r="S72" s="44"/>
      <c r="T72" s="44"/>
      <c r="CB72" s="1" t="s">
        <v>71</v>
      </c>
      <c r="CC72" s="1" t="s">
        <v>18</v>
      </c>
      <c r="CD72" s="1" t="s">
        <v>132</v>
      </c>
      <c r="CF72">
        <f>NUT[[#This Row],[Part Type]]</f>
        <v>0</v>
      </c>
      <c r="CG72" s="52">
        <f>NUT[[#This Row],[Name]]</f>
        <v>0</v>
      </c>
      <c r="CH72" t="str">
        <f>IF(NUT[[#This Row],[UID]]=0,"",NUT[[#This Row],[UID]])</f>
        <v/>
      </c>
      <c r="CL72" t="str">
        <f>IF(NUT[[#This Row],[Status]]=0,"",NUT[[#This Row],[Status]])</f>
        <v/>
      </c>
    </row>
    <row r="73" spans="1:90">
      <c r="A73" s="43"/>
      <c r="B73" s="43"/>
      <c r="C73" s="41"/>
      <c r="D73" s="41"/>
      <c r="E73" s="41"/>
      <c r="F73" s="42"/>
      <c r="G73" s="42"/>
      <c r="H73" s="42"/>
      <c r="I73" s="41"/>
      <c r="J73" s="41"/>
      <c r="K73" s="41"/>
      <c r="L73" s="31"/>
      <c r="M73" s="43"/>
      <c r="N73" s="43"/>
      <c r="O73" s="11"/>
      <c r="P73" s="44"/>
      <c r="Q73" s="44"/>
      <c r="R73" s="44"/>
      <c r="S73" s="44"/>
      <c r="T73" s="44"/>
      <c r="CB73" s="1" t="s">
        <v>71</v>
      </c>
      <c r="CC73" s="1" t="s">
        <v>18</v>
      </c>
      <c r="CD73" s="1" t="s">
        <v>132</v>
      </c>
      <c r="CF73">
        <f>NUT[[#This Row],[Part Type]]</f>
        <v>0</v>
      </c>
      <c r="CG73" s="52">
        <f>NUT[[#This Row],[Name]]</f>
        <v>0</v>
      </c>
      <c r="CH73" t="str">
        <f>IF(NUT[[#This Row],[UID]]=0,"",NUT[[#This Row],[UID]])</f>
        <v/>
      </c>
      <c r="CL73" t="str">
        <f>IF(NUT[[#This Row],[Status]]=0,"",NUT[[#This Row],[Status]])</f>
        <v/>
      </c>
    </row>
    <row r="74" spans="1:90">
      <c r="A74" s="43"/>
      <c r="B74" s="43"/>
      <c r="C74" s="41"/>
      <c r="D74" s="41"/>
      <c r="E74" s="41"/>
      <c r="F74" s="42"/>
      <c r="G74" s="42"/>
      <c r="H74" s="42"/>
      <c r="I74" s="41"/>
      <c r="J74" s="41"/>
      <c r="K74" s="41"/>
      <c r="L74" s="31"/>
      <c r="M74" s="43"/>
      <c r="N74" s="43"/>
      <c r="O74" s="11"/>
      <c r="P74" s="44"/>
      <c r="Q74" s="44"/>
      <c r="R74" s="44"/>
      <c r="S74" s="44"/>
      <c r="T74" s="44"/>
      <c r="CB74" s="1" t="s">
        <v>71</v>
      </c>
      <c r="CC74" s="1" t="s">
        <v>18</v>
      </c>
      <c r="CD74" s="1" t="s">
        <v>132</v>
      </c>
      <c r="CF74">
        <f>NUT[[#This Row],[Part Type]]</f>
        <v>0</v>
      </c>
      <c r="CG74" s="52">
        <f>NUT[[#This Row],[Name]]</f>
        <v>0</v>
      </c>
      <c r="CH74" t="str">
        <f>IF(NUT[[#This Row],[UID]]=0,"",NUT[[#This Row],[UID]])</f>
        <v/>
      </c>
      <c r="CL74" t="str">
        <f>IF(NUT[[#This Row],[Status]]=0,"",NUT[[#This Row],[Status]])</f>
        <v/>
      </c>
    </row>
    <row r="75" spans="1:90">
      <c r="A75" s="43"/>
      <c r="B75" s="43"/>
      <c r="C75" s="41"/>
      <c r="D75" s="41"/>
      <c r="E75" s="41"/>
      <c r="F75" s="42"/>
      <c r="G75" s="42"/>
      <c r="H75" s="42"/>
      <c r="I75" s="41"/>
      <c r="J75" s="41"/>
      <c r="K75" s="41"/>
      <c r="L75" s="31"/>
      <c r="M75" s="43"/>
      <c r="N75" s="43"/>
      <c r="O75" s="11"/>
      <c r="P75" s="44"/>
      <c r="Q75" s="44"/>
      <c r="R75" s="44"/>
      <c r="S75" s="44"/>
      <c r="T75" s="44"/>
      <c r="CB75" s="1" t="s">
        <v>71</v>
      </c>
      <c r="CC75" s="1" t="s">
        <v>18</v>
      </c>
      <c r="CD75" s="1" t="s">
        <v>132</v>
      </c>
      <c r="CF75">
        <f>NUT[[#This Row],[Part Type]]</f>
        <v>0</v>
      </c>
      <c r="CG75" s="52">
        <f>NUT[[#This Row],[Name]]</f>
        <v>0</v>
      </c>
      <c r="CH75" t="str">
        <f>IF(NUT[[#This Row],[UID]]=0,"",NUT[[#This Row],[UID]])</f>
        <v/>
      </c>
      <c r="CL75" t="str">
        <f>IF(NUT[[#This Row],[Status]]=0,"",NUT[[#This Row],[Status]])</f>
        <v/>
      </c>
    </row>
    <row r="76" spans="1:90">
      <c r="A76" s="43"/>
      <c r="B76" s="43"/>
      <c r="C76" s="41"/>
      <c r="D76" s="41"/>
      <c r="E76" s="41"/>
      <c r="F76" s="42"/>
      <c r="G76" s="42"/>
      <c r="H76" s="42"/>
      <c r="I76" s="41"/>
      <c r="J76" s="41"/>
      <c r="K76" s="41"/>
      <c r="L76" s="31"/>
      <c r="M76" s="43"/>
      <c r="N76" s="43"/>
      <c r="O76" s="11"/>
      <c r="P76" s="44"/>
      <c r="Q76" s="44"/>
      <c r="R76" s="44"/>
      <c r="S76" s="44"/>
      <c r="T76" s="44"/>
      <c r="CB76" s="1" t="s">
        <v>71</v>
      </c>
      <c r="CC76" s="1" t="s">
        <v>18</v>
      </c>
      <c r="CD76" s="1" t="s">
        <v>132</v>
      </c>
      <c r="CF76">
        <f>NUT[[#This Row],[Part Type]]</f>
        <v>0</v>
      </c>
      <c r="CG76" s="52">
        <f>NUT[[#This Row],[Name]]</f>
        <v>0</v>
      </c>
      <c r="CH76" t="str">
        <f>IF(NUT[[#This Row],[UID]]=0,"",NUT[[#This Row],[UID]])</f>
        <v/>
      </c>
      <c r="CL76" t="str">
        <f>IF(NUT[[#This Row],[Status]]=0,"",NUT[[#This Row],[Status]])</f>
        <v/>
      </c>
    </row>
    <row r="77" spans="1:90">
      <c r="A77" s="43"/>
      <c r="B77" s="43"/>
      <c r="C77" s="41"/>
      <c r="D77" s="41"/>
      <c r="E77" s="41"/>
      <c r="F77" s="42"/>
      <c r="G77" s="42"/>
      <c r="H77" s="42"/>
      <c r="I77" s="41"/>
      <c r="J77" s="41"/>
      <c r="K77" s="41"/>
      <c r="L77" s="31"/>
      <c r="M77" s="43"/>
      <c r="N77" s="43"/>
      <c r="O77" s="11"/>
      <c r="P77" s="44"/>
      <c r="Q77" s="44"/>
      <c r="R77" s="44"/>
      <c r="S77" s="44"/>
      <c r="T77" s="44"/>
      <c r="CB77" s="1" t="s">
        <v>71</v>
      </c>
      <c r="CC77" s="1" t="s">
        <v>18</v>
      </c>
      <c r="CD77" s="1" t="s">
        <v>132</v>
      </c>
      <c r="CF77">
        <f>NUT[[#This Row],[Part Type]]</f>
        <v>0</v>
      </c>
      <c r="CG77" s="52">
        <f>NUT[[#This Row],[Name]]</f>
        <v>0</v>
      </c>
      <c r="CH77" t="str">
        <f>IF(NUT[[#This Row],[UID]]=0,"",NUT[[#This Row],[UID]])</f>
        <v/>
      </c>
      <c r="CL77" t="str">
        <f>IF(NUT[[#This Row],[Status]]=0,"",NUT[[#This Row],[Status]])</f>
        <v/>
      </c>
    </row>
    <row r="78" spans="1:90">
      <c r="A78" s="43"/>
      <c r="B78" s="43"/>
      <c r="C78" s="41"/>
      <c r="D78" s="41"/>
      <c r="E78" s="41"/>
      <c r="F78" s="42"/>
      <c r="G78" s="42"/>
      <c r="H78" s="42"/>
      <c r="I78" s="41"/>
      <c r="J78" s="41"/>
      <c r="K78" s="41"/>
      <c r="L78" s="31"/>
      <c r="M78" s="43"/>
      <c r="N78" s="43"/>
      <c r="O78" s="11"/>
      <c r="P78" s="44"/>
      <c r="Q78" s="44"/>
      <c r="R78" s="44"/>
      <c r="S78" s="44"/>
      <c r="T78" s="44"/>
      <c r="CB78" s="1" t="s">
        <v>71</v>
      </c>
      <c r="CC78" s="1" t="s">
        <v>18</v>
      </c>
      <c r="CD78" s="1" t="s">
        <v>132</v>
      </c>
      <c r="CF78">
        <f>NUT[[#This Row],[Part Type]]</f>
        <v>0</v>
      </c>
      <c r="CG78" s="52">
        <f>NUT[[#This Row],[Name]]</f>
        <v>0</v>
      </c>
      <c r="CH78" t="str">
        <f>IF(NUT[[#This Row],[UID]]=0,"",NUT[[#This Row],[UID]])</f>
        <v/>
      </c>
      <c r="CL78" t="str">
        <f>IF(NUT[[#This Row],[Status]]=0,"",NUT[[#This Row],[Status]])</f>
        <v/>
      </c>
    </row>
    <row r="79" spans="1:90">
      <c r="A79" s="43"/>
      <c r="B79" s="43"/>
      <c r="C79" s="41"/>
      <c r="D79" s="41"/>
      <c r="E79" s="41"/>
      <c r="F79" s="42"/>
      <c r="G79" s="42"/>
      <c r="H79" s="42"/>
      <c r="I79" s="41"/>
      <c r="J79" s="41"/>
      <c r="K79" s="41"/>
      <c r="L79" s="31"/>
      <c r="M79" s="43"/>
      <c r="N79" s="43"/>
      <c r="O79" s="11"/>
      <c r="P79" s="44"/>
      <c r="Q79" s="44"/>
      <c r="R79" s="44"/>
      <c r="S79" s="44"/>
      <c r="T79" s="44"/>
      <c r="CB79" s="1" t="s">
        <v>71</v>
      </c>
      <c r="CC79" s="1" t="s">
        <v>18</v>
      </c>
      <c r="CD79" s="1" t="s">
        <v>132</v>
      </c>
      <c r="CF79">
        <f>NUT[[#This Row],[Part Type]]</f>
        <v>0</v>
      </c>
      <c r="CG79" s="52">
        <f>NUT[[#This Row],[Name]]</f>
        <v>0</v>
      </c>
      <c r="CH79" t="str">
        <f>IF(NUT[[#This Row],[UID]]=0,"",NUT[[#This Row],[UID]])</f>
        <v/>
      </c>
      <c r="CL79" t="str">
        <f>IF(NUT[[#This Row],[Status]]=0,"",NUT[[#This Row],[Status]])</f>
        <v/>
      </c>
    </row>
    <row r="80" spans="1:90">
      <c r="A80" s="43"/>
      <c r="B80" s="43"/>
      <c r="C80" s="41"/>
      <c r="D80" s="41"/>
      <c r="E80" s="41"/>
      <c r="F80" s="42"/>
      <c r="G80" s="42"/>
      <c r="H80" s="42"/>
      <c r="I80" s="41"/>
      <c r="J80" s="41"/>
      <c r="K80" s="41"/>
      <c r="L80" s="31"/>
      <c r="M80" s="43"/>
      <c r="N80" s="43"/>
      <c r="O80" s="11"/>
      <c r="P80" s="44"/>
      <c r="Q80" s="44"/>
      <c r="R80" s="44"/>
      <c r="S80" s="44"/>
      <c r="T80" s="44"/>
      <c r="CB80" s="1" t="s">
        <v>71</v>
      </c>
      <c r="CC80" s="1" t="s">
        <v>18</v>
      </c>
      <c r="CD80" s="1" t="s">
        <v>132</v>
      </c>
      <c r="CF80">
        <f>NUT[[#This Row],[Part Type]]</f>
        <v>0</v>
      </c>
      <c r="CG80" s="52">
        <f>NUT[[#This Row],[Name]]</f>
        <v>0</v>
      </c>
      <c r="CH80" t="str">
        <f>IF(NUT[[#This Row],[UID]]=0,"",NUT[[#This Row],[UID]])</f>
        <v/>
      </c>
      <c r="CL80" t="str">
        <f>IF(NUT[[#This Row],[Status]]=0,"",NUT[[#This Row],[Status]])</f>
        <v/>
      </c>
    </row>
    <row r="81" spans="1:90">
      <c r="A81" s="43"/>
      <c r="B81" s="43"/>
      <c r="C81" s="41"/>
      <c r="D81" s="41"/>
      <c r="E81" s="41"/>
      <c r="F81" s="42"/>
      <c r="G81" s="42"/>
      <c r="H81" s="42"/>
      <c r="I81" s="41"/>
      <c r="J81" s="41"/>
      <c r="K81" s="41"/>
      <c r="L81" s="31"/>
      <c r="M81" s="43"/>
      <c r="N81" s="43"/>
      <c r="O81" s="11"/>
      <c r="P81" s="44"/>
      <c r="Q81" s="44"/>
      <c r="R81" s="44"/>
      <c r="S81" s="44"/>
      <c r="T81" s="44"/>
      <c r="CB81" s="1" t="s">
        <v>71</v>
      </c>
      <c r="CC81" s="1" t="s">
        <v>18</v>
      </c>
      <c r="CD81" s="1" t="s">
        <v>132</v>
      </c>
      <c r="CF81">
        <f>NUT[[#This Row],[Part Type]]</f>
        <v>0</v>
      </c>
      <c r="CG81" s="52">
        <f>NUT[[#This Row],[Name]]</f>
        <v>0</v>
      </c>
      <c r="CH81" t="str">
        <f>IF(NUT[[#This Row],[UID]]=0,"",NUT[[#This Row],[UID]])</f>
        <v/>
      </c>
      <c r="CL81" t="str">
        <f>IF(NUT[[#This Row],[Status]]=0,"",NUT[[#This Row],[Status]])</f>
        <v/>
      </c>
    </row>
    <row r="82" spans="1:90">
      <c r="A82" s="43"/>
      <c r="B82" s="43"/>
      <c r="C82" s="41"/>
      <c r="D82" s="41"/>
      <c r="E82" s="41"/>
      <c r="F82" s="42"/>
      <c r="G82" s="42"/>
      <c r="H82" s="42"/>
      <c r="I82" s="41"/>
      <c r="J82" s="41"/>
      <c r="K82" s="41"/>
      <c r="L82" s="31"/>
      <c r="M82" s="43"/>
      <c r="N82" s="43"/>
      <c r="O82" s="11"/>
      <c r="P82" s="44"/>
      <c r="Q82" s="44"/>
      <c r="R82" s="44"/>
      <c r="S82" s="44"/>
      <c r="T82" s="44"/>
      <c r="CB82" s="1" t="s">
        <v>71</v>
      </c>
      <c r="CC82" s="1" t="s">
        <v>18</v>
      </c>
      <c r="CD82" s="1" t="s">
        <v>132</v>
      </c>
      <c r="CF82">
        <f>NUT[[#This Row],[Part Type]]</f>
        <v>0</v>
      </c>
      <c r="CG82" s="52">
        <f>NUT[[#This Row],[Name]]</f>
        <v>0</v>
      </c>
      <c r="CH82" t="str">
        <f>IF(NUT[[#This Row],[UID]]=0,"",NUT[[#This Row],[UID]])</f>
        <v/>
      </c>
      <c r="CL82" t="str">
        <f>IF(NUT[[#This Row],[Status]]=0,"",NUT[[#This Row],[Status]])</f>
        <v/>
      </c>
    </row>
    <row r="83" spans="1:90">
      <c r="A83" s="43"/>
      <c r="B83" s="43"/>
      <c r="C83" s="41"/>
      <c r="D83" s="41"/>
      <c r="E83" s="41"/>
      <c r="F83" s="42"/>
      <c r="G83" s="42"/>
      <c r="H83" s="42"/>
      <c r="I83" s="41"/>
      <c r="J83" s="41"/>
      <c r="K83" s="41"/>
      <c r="L83" s="31"/>
      <c r="M83" s="43"/>
      <c r="N83" s="43"/>
      <c r="O83" s="11"/>
      <c r="P83" s="44"/>
      <c r="Q83" s="44"/>
      <c r="R83" s="44"/>
      <c r="S83" s="44"/>
      <c r="T83" s="44"/>
      <c r="CB83" s="1" t="s">
        <v>71</v>
      </c>
      <c r="CC83" s="1" t="s">
        <v>18</v>
      </c>
      <c r="CD83" s="1" t="s">
        <v>132</v>
      </c>
      <c r="CF83">
        <f>NUT[[#This Row],[Part Type]]</f>
        <v>0</v>
      </c>
      <c r="CG83" s="52">
        <f>NUT[[#This Row],[Name]]</f>
        <v>0</v>
      </c>
      <c r="CH83" t="str">
        <f>IF(NUT[[#This Row],[UID]]=0,"",NUT[[#This Row],[UID]])</f>
        <v/>
      </c>
      <c r="CL83" t="str">
        <f>IF(NUT[[#This Row],[Status]]=0,"",NUT[[#This Row],[Status]])</f>
        <v/>
      </c>
    </row>
    <row r="84" spans="1:90">
      <c r="A84" s="43"/>
      <c r="B84" s="43"/>
      <c r="C84" s="41"/>
      <c r="D84" s="41"/>
      <c r="E84" s="41"/>
      <c r="F84" s="42"/>
      <c r="G84" s="42"/>
      <c r="H84" s="42"/>
      <c r="I84" s="41"/>
      <c r="J84" s="41"/>
      <c r="K84" s="41"/>
      <c r="L84" s="31"/>
      <c r="M84" s="43"/>
      <c r="N84" s="43"/>
      <c r="O84" s="11"/>
      <c r="P84" s="44"/>
      <c r="Q84" s="44"/>
      <c r="R84" s="44"/>
      <c r="S84" s="44"/>
      <c r="T84" s="44"/>
      <c r="CB84" s="1" t="s">
        <v>71</v>
      </c>
      <c r="CC84" s="1" t="s">
        <v>18</v>
      </c>
      <c r="CD84" s="1" t="s">
        <v>132</v>
      </c>
      <c r="CF84">
        <f>NUT[[#This Row],[Part Type]]</f>
        <v>0</v>
      </c>
      <c r="CG84" s="52">
        <f>NUT[[#This Row],[Name]]</f>
        <v>0</v>
      </c>
      <c r="CH84" t="str">
        <f>IF(NUT[[#This Row],[UID]]=0,"",NUT[[#This Row],[UID]])</f>
        <v/>
      </c>
      <c r="CL84" t="str">
        <f>IF(NUT[[#This Row],[Status]]=0,"",NUT[[#This Row],[Status]])</f>
        <v/>
      </c>
    </row>
    <row r="85" spans="1:90">
      <c r="A85" s="43"/>
      <c r="B85" s="43"/>
      <c r="C85" s="41"/>
      <c r="D85" s="41"/>
      <c r="E85" s="41"/>
      <c r="F85" s="42"/>
      <c r="G85" s="42"/>
      <c r="H85" s="42"/>
      <c r="I85" s="41"/>
      <c r="J85" s="41"/>
      <c r="K85" s="41"/>
      <c r="L85" s="31"/>
      <c r="M85" s="43"/>
      <c r="N85" s="43"/>
      <c r="O85" s="11"/>
      <c r="P85" s="44"/>
      <c r="Q85" s="44"/>
      <c r="R85" s="44"/>
      <c r="S85" s="44"/>
      <c r="T85" s="44"/>
      <c r="CB85" s="1" t="s">
        <v>71</v>
      </c>
      <c r="CC85" s="1" t="s">
        <v>18</v>
      </c>
      <c r="CD85" s="1" t="s">
        <v>132</v>
      </c>
      <c r="CF85">
        <f>NUT[[#This Row],[Part Type]]</f>
        <v>0</v>
      </c>
      <c r="CG85" s="52">
        <f>NUT[[#This Row],[Name]]</f>
        <v>0</v>
      </c>
      <c r="CH85" t="str">
        <f>IF(NUT[[#This Row],[UID]]=0,"",NUT[[#This Row],[UID]])</f>
        <v/>
      </c>
      <c r="CL85" t="str">
        <f>IF(NUT[[#This Row],[Status]]=0,"",NUT[[#This Row],[Status]])</f>
        <v/>
      </c>
    </row>
    <row r="86" spans="1:90">
      <c r="A86" s="43"/>
      <c r="B86" s="43"/>
      <c r="C86" s="41"/>
      <c r="D86" s="41"/>
      <c r="E86" s="41"/>
      <c r="F86" s="42"/>
      <c r="G86" s="42"/>
      <c r="H86" s="42"/>
      <c r="I86" s="41"/>
      <c r="J86" s="41"/>
      <c r="K86" s="41"/>
      <c r="L86" s="31"/>
      <c r="M86" s="43"/>
      <c r="N86" s="43"/>
      <c r="O86" s="11"/>
      <c r="P86" s="44"/>
      <c r="Q86" s="44"/>
      <c r="R86" s="44"/>
      <c r="S86" s="44"/>
      <c r="T86" s="44"/>
      <c r="CB86" s="1" t="s">
        <v>71</v>
      </c>
      <c r="CC86" s="1" t="s">
        <v>18</v>
      </c>
      <c r="CD86" s="1" t="s">
        <v>132</v>
      </c>
      <c r="CF86">
        <f>NUT[[#This Row],[Part Type]]</f>
        <v>0</v>
      </c>
      <c r="CG86" s="52">
        <f>NUT[[#This Row],[Name]]</f>
        <v>0</v>
      </c>
      <c r="CH86" t="str">
        <f>IF(NUT[[#This Row],[UID]]=0,"",NUT[[#This Row],[UID]])</f>
        <v/>
      </c>
      <c r="CL86" t="str">
        <f>IF(NUT[[#This Row],[Status]]=0,"",NUT[[#This Row],[Status]])</f>
        <v/>
      </c>
    </row>
    <row r="87" spans="1:90">
      <c r="A87" s="43"/>
      <c r="B87" s="43"/>
      <c r="C87" s="41"/>
      <c r="D87" s="41"/>
      <c r="E87" s="41"/>
      <c r="F87" s="42"/>
      <c r="G87" s="42"/>
      <c r="H87" s="42"/>
      <c r="I87" s="41"/>
      <c r="J87" s="41"/>
      <c r="K87" s="41"/>
      <c r="L87" s="31"/>
      <c r="M87" s="43"/>
      <c r="N87" s="43"/>
      <c r="O87" s="11"/>
      <c r="P87" s="44"/>
      <c r="Q87" s="44"/>
      <c r="R87" s="44"/>
      <c r="S87" s="44"/>
      <c r="T87" s="44"/>
      <c r="CB87" s="1" t="s">
        <v>71</v>
      </c>
      <c r="CC87" s="1" t="s">
        <v>18</v>
      </c>
      <c r="CD87" s="1" t="s">
        <v>132</v>
      </c>
      <c r="CF87">
        <f>NUT[[#This Row],[Part Type]]</f>
        <v>0</v>
      </c>
      <c r="CG87" s="52">
        <f>NUT[[#This Row],[Name]]</f>
        <v>0</v>
      </c>
      <c r="CH87" t="str">
        <f>IF(NUT[[#This Row],[UID]]=0,"",NUT[[#This Row],[UID]])</f>
        <v/>
      </c>
      <c r="CL87" t="str">
        <f>IF(NUT[[#This Row],[Status]]=0,"",NUT[[#This Row],[Status]])</f>
        <v/>
      </c>
    </row>
    <row r="88" spans="1:90">
      <c r="A88" s="43"/>
      <c r="B88" s="43"/>
      <c r="C88" s="41"/>
      <c r="D88" s="41"/>
      <c r="E88" s="41"/>
      <c r="F88" s="42"/>
      <c r="G88" s="42"/>
      <c r="H88" s="42"/>
      <c r="I88" s="41"/>
      <c r="J88" s="41"/>
      <c r="K88" s="41"/>
      <c r="L88" s="31"/>
      <c r="M88" s="43"/>
      <c r="N88" s="43"/>
      <c r="O88" s="11"/>
      <c r="P88" s="44"/>
      <c r="Q88" s="44"/>
      <c r="R88" s="44"/>
      <c r="S88" s="44"/>
      <c r="T88" s="44"/>
      <c r="CB88" s="1" t="s">
        <v>71</v>
      </c>
      <c r="CC88" s="1" t="s">
        <v>18</v>
      </c>
      <c r="CD88" s="1" t="s">
        <v>132</v>
      </c>
      <c r="CF88">
        <f>NUT[[#This Row],[Part Type]]</f>
        <v>0</v>
      </c>
      <c r="CG88" s="52">
        <f>NUT[[#This Row],[Name]]</f>
        <v>0</v>
      </c>
      <c r="CH88" t="str">
        <f>IF(NUT[[#This Row],[UID]]=0,"",NUT[[#This Row],[UID]])</f>
        <v/>
      </c>
      <c r="CL88" t="str">
        <f>IF(NUT[[#This Row],[Status]]=0,"",NUT[[#This Row],[Status]])</f>
        <v/>
      </c>
    </row>
    <row r="89" spans="1:90">
      <c r="A89" s="43"/>
      <c r="B89" s="43"/>
      <c r="C89" s="41"/>
      <c r="D89" s="41"/>
      <c r="E89" s="41"/>
      <c r="F89" s="42"/>
      <c r="G89" s="42"/>
      <c r="H89" s="42"/>
      <c r="I89" s="41"/>
      <c r="J89" s="41"/>
      <c r="K89" s="41"/>
      <c r="L89" s="31"/>
      <c r="M89" s="43"/>
      <c r="N89" s="43"/>
      <c r="O89" s="11"/>
      <c r="P89" s="44"/>
      <c r="Q89" s="44"/>
      <c r="R89" s="44"/>
      <c r="S89" s="44"/>
      <c r="T89" s="44"/>
      <c r="CB89" s="1" t="s">
        <v>71</v>
      </c>
      <c r="CC89" s="1" t="s">
        <v>18</v>
      </c>
      <c r="CD89" s="1" t="s">
        <v>132</v>
      </c>
      <c r="CF89">
        <f>NUT[[#This Row],[Part Type]]</f>
        <v>0</v>
      </c>
      <c r="CG89" s="52">
        <f>NUT[[#This Row],[Name]]</f>
        <v>0</v>
      </c>
      <c r="CH89" t="str">
        <f>IF(NUT[[#This Row],[UID]]=0,"",NUT[[#This Row],[UID]])</f>
        <v/>
      </c>
      <c r="CL89" t="str">
        <f>IF(NUT[[#This Row],[Status]]=0,"",NUT[[#This Row],[Status]])</f>
        <v/>
      </c>
    </row>
    <row r="90" spans="1:90">
      <c r="A90" s="43"/>
      <c r="B90" s="43"/>
      <c r="C90" s="41"/>
      <c r="D90" s="41"/>
      <c r="E90" s="41"/>
      <c r="F90" s="42"/>
      <c r="G90" s="42"/>
      <c r="H90" s="42"/>
      <c r="I90" s="41"/>
      <c r="J90" s="41"/>
      <c r="K90" s="41"/>
      <c r="L90" s="31"/>
      <c r="M90" s="43"/>
      <c r="N90" s="43"/>
      <c r="O90" s="11"/>
      <c r="P90" s="44"/>
      <c r="Q90" s="44"/>
      <c r="R90" s="44"/>
      <c r="S90" s="44"/>
      <c r="T90" s="44"/>
      <c r="CB90" s="1" t="s">
        <v>71</v>
      </c>
      <c r="CC90" s="1" t="s">
        <v>18</v>
      </c>
      <c r="CD90" s="1" t="s">
        <v>132</v>
      </c>
      <c r="CF90">
        <f>NUT[[#This Row],[Part Type]]</f>
        <v>0</v>
      </c>
      <c r="CG90" s="52">
        <f>NUT[[#This Row],[Name]]</f>
        <v>0</v>
      </c>
      <c r="CH90" t="str">
        <f>IF(NUT[[#This Row],[UID]]=0,"",NUT[[#This Row],[UID]])</f>
        <v/>
      </c>
      <c r="CL90" t="str">
        <f>IF(NUT[[#This Row],[Status]]=0,"",NUT[[#This Row],[Status]])</f>
        <v/>
      </c>
    </row>
    <row r="91" spans="1:90">
      <c r="A91" s="43"/>
      <c r="B91" s="43"/>
      <c r="C91" s="41"/>
      <c r="D91" s="41"/>
      <c r="E91" s="41"/>
      <c r="F91" s="42"/>
      <c r="G91" s="42"/>
      <c r="H91" s="42"/>
      <c r="I91" s="41"/>
      <c r="J91" s="41"/>
      <c r="K91" s="41"/>
      <c r="L91" s="31"/>
      <c r="M91" s="43"/>
      <c r="N91" s="43"/>
      <c r="O91" s="11"/>
      <c r="P91" s="44"/>
      <c r="Q91" s="44"/>
      <c r="R91" s="44"/>
      <c r="S91" s="44"/>
      <c r="T91" s="44"/>
      <c r="CB91" s="1" t="s">
        <v>71</v>
      </c>
      <c r="CC91" s="1" t="s">
        <v>18</v>
      </c>
      <c r="CD91" s="1" t="s">
        <v>132</v>
      </c>
      <c r="CF91">
        <f>NUT[[#This Row],[Part Type]]</f>
        <v>0</v>
      </c>
      <c r="CG91" s="52">
        <f>NUT[[#This Row],[Name]]</f>
        <v>0</v>
      </c>
      <c r="CH91" t="str">
        <f>IF(NUT[[#This Row],[UID]]=0,"",NUT[[#This Row],[UID]])</f>
        <v/>
      </c>
      <c r="CL91" t="str">
        <f>IF(NUT[[#This Row],[Status]]=0,"",NUT[[#This Row],[Status]])</f>
        <v/>
      </c>
    </row>
    <row r="92" spans="1:90">
      <c r="A92" s="43"/>
      <c r="B92" s="43"/>
      <c r="C92" s="41"/>
      <c r="D92" s="41"/>
      <c r="E92" s="41"/>
      <c r="F92" s="42"/>
      <c r="G92" s="42"/>
      <c r="H92" s="42"/>
      <c r="I92" s="41"/>
      <c r="J92" s="41"/>
      <c r="K92" s="41"/>
      <c r="L92" s="31"/>
      <c r="M92" s="43"/>
      <c r="N92" s="43"/>
      <c r="O92" s="11"/>
      <c r="P92" s="44"/>
      <c r="Q92" s="44"/>
      <c r="R92" s="44"/>
      <c r="S92" s="44"/>
      <c r="T92" s="44"/>
      <c r="CB92" s="1" t="s">
        <v>71</v>
      </c>
      <c r="CC92" s="1" t="s">
        <v>18</v>
      </c>
      <c r="CD92" s="1" t="s">
        <v>132</v>
      </c>
      <c r="CF92">
        <f>NUT[[#This Row],[Part Type]]</f>
        <v>0</v>
      </c>
      <c r="CG92" s="52">
        <f>NUT[[#This Row],[Name]]</f>
        <v>0</v>
      </c>
      <c r="CH92" t="str">
        <f>IF(NUT[[#This Row],[UID]]=0,"",NUT[[#This Row],[UID]])</f>
        <v/>
      </c>
      <c r="CL92" t="str">
        <f>IF(NUT[[#This Row],[Status]]=0,"",NUT[[#This Row],[Status]])</f>
        <v/>
      </c>
    </row>
    <row r="93" spans="1:90">
      <c r="A93" s="43"/>
      <c r="B93" s="43"/>
      <c r="C93" s="41"/>
      <c r="D93" s="41"/>
      <c r="E93" s="41"/>
      <c r="F93" s="42"/>
      <c r="G93" s="42"/>
      <c r="H93" s="42"/>
      <c r="I93" s="41"/>
      <c r="J93" s="41"/>
      <c r="K93" s="41"/>
      <c r="L93" s="31"/>
      <c r="M93" s="43"/>
      <c r="N93" s="43"/>
      <c r="O93" s="11"/>
      <c r="P93" s="44"/>
      <c r="Q93" s="44"/>
      <c r="R93" s="44"/>
      <c r="S93" s="44"/>
      <c r="T93" s="44"/>
      <c r="CB93" s="1" t="s">
        <v>71</v>
      </c>
      <c r="CC93" s="1" t="s">
        <v>18</v>
      </c>
      <c r="CD93" s="1" t="s">
        <v>132</v>
      </c>
      <c r="CF93">
        <f>NUT[[#This Row],[Part Type]]</f>
        <v>0</v>
      </c>
      <c r="CG93" s="52">
        <f>NUT[[#This Row],[Name]]</f>
        <v>0</v>
      </c>
      <c r="CH93" t="str">
        <f>IF(NUT[[#This Row],[UID]]=0,"",NUT[[#This Row],[UID]])</f>
        <v/>
      </c>
      <c r="CL93" t="str">
        <f>IF(NUT[[#This Row],[Status]]=0,"",NUT[[#This Row],[Status]])</f>
        <v/>
      </c>
    </row>
    <row r="94" spans="1:90">
      <c r="A94" s="43"/>
      <c r="B94" s="43"/>
      <c r="C94" s="41"/>
      <c r="D94" s="41"/>
      <c r="E94" s="41"/>
      <c r="F94" s="42"/>
      <c r="G94" s="42"/>
      <c r="H94" s="42"/>
      <c r="I94" s="41"/>
      <c r="J94" s="41"/>
      <c r="K94" s="41"/>
      <c r="L94" s="31"/>
      <c r="M94" s="43"/>
      <c r="N94" s="43"/>
      <c r="O94" s="11"/>
      <c r="P94" s="44"/>
      <c r="Q94" s="44"/>
      <c r="R94" s="44"/>
      <c r="S94" s="44"/>
      <c r="T94" s="44"/>
      <c r="CB94" s="1" t="s">
        <v>71</v>
      </c>
      <c r="CC94" s="1" t="s">
        <v>18</v>
      </c>
      <c r="CD94" s="1" t="s">
        <v>132</v>
      </c>
      <c r="CF94">
        <f>NUT[[#This Row],[Part Type]]</f>
        <v>0</v>
      </c>
      <c r="CG94" s="52">
        <f>NUT[[#This Row],[Name]]</f>
        <v>0</v>
      </c>
      <c r="CH94" t="str">
        <f>IF(NUT[[#This Row],[UID]]=0,"",NUT[[#This Row],[UID]])</f>
        <v/>
      </c>
      <c r="CL94" t="str">
        <f>IF(NUT[[#This Row],[Status]]=0,"",NUT[[#This Row],[Status]])</f>
        <v/>
      </c>
    </row>
    <row r="95" spans="1:90">
      <c r="A95" s="43"/>
      <c r="B95" s="43"/>
      <c r="C95" s="41"/>
      <c r="D95" s="41"/>
      <c r="E95" s="41"/>
      <c r="F95" s="42"/>
      <c r="G95" s="42"/>
      <c r="H95" s="42"/>
      <c r="I95" s="41"/>
      <c r="J95" s="41"/>
      <c r="K95" s="41"/>
      <c r="L95" s="31"/>
      <c r="M95" s="43"/>
      <c r="N95" s="43"/>
      <c r="O95" s="11"/>
      <c r="P95" s="44"/>
      <c r="Q95" s="44"/>
      <c r="R95" s="44"/>
      <c r="S95" s="44"/>
      <c r="T95" s="44"/>
      <c r="CB95" s="1" t="s">
        <v>71</v>
      </c>
      <c r="CC95" s="1" t="s">
        <v>18</v>
      </c>
      <c r="CD95" s="1" t="s">
        <v>132</v>
      </c>
      <c r="CF95">
        <f>NUT[[#This Row],[Part Type]]</f>
        <v>0</v>
      </c>
      <c r="CG95" s="52">
        <f>NUT[[#This Row],[Name]]</f>
        <v>0</v>
      </c>
      <c r="CH95" t="str">
        <f>IF(NUT[[#This Row],[UID]]=0,"",NUT[[#This Row],[UID]])</f>
        <v/>
      </c>
      <c r="CL95" t="str">
        <f>IF(NUT[[#This Row],[Status]]=0,"",NUT[[#This Row],[Status]])</f>
        <v/>
      </c>
    </row>
    <row r="96" spans="1:90">
      <c r="A96" s="43"/>
      <c r="B96" s="43"/>
      <c r="C96" s="41"/>
      <c r="D96" s="41"/>
      <c r="E96" s="41"/>
      <c r="F96" s="42"/>
      <c r="G96" s="42"/>
      <c r="H96" s="42"/>
      <c r="I96" s="41"/>
      <c r="J96" s="41"/>
      <c r="K96" s="41"/>
      <c r="L96" s="31"/>
      <c r="M96" s="43"/>
      <c r="N96" s="43"/>
      <c r="O96" s="11"/>
      <c r="P96" s="44"/>
      <c r="Q96" s="44"/>
      <c r="R96" s="44"/>
      <c r="S96" s="44"/>
      <c r="T96" s="44"/>
      <c r="CB96" s="1" t="s">
        <v>71</v>
      </c>
      <c r="CC96" s="1" t="s">
        <v>18</v>
      </c>
      <c r="CD96" s="1" t="s">
        <v>132</v>
      </c>
      <c r="CF96">
        <f>NUT[[#This Row],[Part Type]]</f>
        <v>0</v>
      </c>
      <c r="CG96" s="52">
        <f>NUT[[#This Row],[Name]]</f>
        <v>0</v>
      </c>
      <c r="CH96" t="str">
        <f>IF(NUT[[#This Row],[UID]]=0,"",NUT[[#This Row],[UID]])</f>
        <v/>
      </c>
      <c r="CL96" t="str">
        <f>IF(NUT[[#This Row],[Status]]=0,"",NUT[[#This Row],[Status]])</f>
        <v/>
      </c>
    </row>
    <row r="97" spans="1:90">
      <c r="A97" s="43"/>
      <c r="B97" s="43"/>
      <c r="C97" s="41"/>
      <c r="D97" s="41"/>
      <c r="E97" s="41"/>
      <c r="F97" s="42"/>
      <c r="G97" s="42"/>
      <c r="H97" s="42"/>
      <c r="I97" s="41"/>
      <c r="J97" s="41"/>
      <c r="K97" s="41"/>
      <c r="L97" s="31"/>
      <c r="M97" s="43"/>
      <c r="N97" s="43"/>
      <c r="O97" s="11"/>
      <c r="P97" s="44"/>
      <c r="Q97" s="44"/>
      <c r="R97" s="44"/>
      <c r="S97" s="44"/>
      <c r="T97" s="44"/>
      <c r="CB97" s="1" t="s">
        <v>71</v>
      </c>
      <c r="CC97" s="1" t="s">
        <v>18</v>
      </c>
      <c r="CD97" s="1" t="s">
        <v>132</v>
      </c>
      <c r="CF97">
        <f>NUT[[#This Row],[Part Type]]</f>
        <v>0</v>
      </c>
      <c r="CG97" s="52">
        <f>NUT[[#This Row],[Name]]</f>
        <v>0</v>
      </c>
      <c r="CH97" t="str">
        <f>IF(NUT[[#This Row],[UID]]=0,"",NUT[[#This Row],[UID]])</f>
        <v/>
      </c>
      <c r="CL97" t="str">
        <f>IF(NUT[[#This Row],[Status]]=0,"",NUT[[#This Row],[Status]])</f>
        <v/>
      </c>
    </row>
    <row r="98" spans="1:90">
      <c r="A98" s="43"/>
      <c r="B98" s="43"/>
      <c r="C98" s="41"/>
      <c r="D98" s="41"/>
      <c r="E98" s="41"/>
      <c r="F98" s="42"/>
      <c r="G98" s="42"/>
      <c r="H98" s="42"/>
      <c r="I98" s="41"/>
      <c r="J98" s="41"/>
      <c r="K98" s="41"/>
      <c r="L98" s="31"/>
      <c r="M98" s="43"/>
      <c r="N98" s="43"/>
      <c r="O98" s="11"/>
      <c r="P98" s="44"/>
      <c r="Q98" s="44"/>
      <c r="R98" s="44"/>
      <c r="S98" s="44"/>
      <c r="T98" s="44"/>
      <c r="CB98" s="1" t="s">
        <v>71</v>
      </c>
      <c r="CC98" s="1" t="s">
        <v>18</v>
      </c>
      <c r="CD98" s="1" t="s">
        <v>132</v>
      </c>
      <c r="CF98">
        <f>NUT[[#This Row],[Part Type]]</f>
        <v>0</v>
      </c>
      <c r="CG98" s="52">
        <f>NUT[[#This Row],[Name]]</f>
        <v>0</v>
      </c>
      <c r="CH98" t="str">
        <f>IF(NUT[[#This Row],[UID]]=0,"",NUT[[#This Row],[UID]])</f>
        <v/>
      </c>
      <c r="CL98" t="str">
        <f>IF(NUT[[#This Row],[Status]]=0,"",NUT[[#This Row],[Status]])</f>
        <v/>
      </c>
    </row>
    <row r="99" spans="1:90">
      <c r="A99" s="43"/>
      <c r="B99" s="43"/>
      <c r="C99" s="41"/>
      <c r="D99" s="41"/>
      <c r="E99" s="41"/>
      <c r="F99" s="42"/>
      <c r="G99" s="42"/>
      <c r="H99" s="42"/>
      <c r="I99" s="41"/>
      <c r="J99" s="41"/>
      <c r="K99" s="41"/>
      <c r="L99" s="31"/>
      <c r="M99" s="43"/>
      <c r="N99" s="43"/>
      <c r="O99" s="11"/>
      <c r="P99" s="44"/>
      <c r="Q99" s="44"/>
      <c r="R99" s="44"/>
      <c r="S99" s="44"/>
      <c r="T99" s="44"/>
      <c r="CB99" s="1" t="s">
        <v>71</v>
      </c>
      <c r="CC99" s="1" t="s">
        <v>18</v>
      </c>
      <c r="CD99" s="1" t="s">
        <v>132</v>
      </c>
      <c r="CF99">
        <f>NUT[[#This Row],[Part Type]]</f>
        <v>0</v>
      </c>
      <c r="CG99" s="52">
        <f>NUT[[#This Row],[Name]]</f>
        <v>0</v>
      </c>
      <c r="CH99" t="str">
        <f>IF(NUT[[#This Row],[UID]]=0,"",NUT[[#This Row],[UID]])</f>
        <v/>
      </c>
      <c r="CL99" t="str">
        <f>IF(NUT[[#This Row],[Status]]=0,"",NUT[[#This Row],[Status]])</f>
        <v/>
      </c>
    </row>
    <row r="100" spans="1:90">
      <c r="A100" s="43"/>
      <c r="B100" s="43"/>
      <c r="C100" s="41"/>
      <c r="D100" s="41"/>
      <c r="E100" s="41"/>
      <c r="F100" s="42"/>
      <c r="G100" s="42"/>
      <c r="H100" s="42"/>
      <c r="I100" s="41"/>
      <c r="J100" s="41"/>
      <c r="K100" s="41"/>
      <c r="L100" s="31"/>
      <c r="M100" s="43"/>
      <c r="N100" s="43"/>
      <c r="O100" s="11"/>
      <c r="P100" s="44"/>
      <c r="Q100" s="44"/>
      <c r="R100" s="44"/>
      <c r="S100" s="44"/>
      <c r="T100" s="44"/>
      <c r="CB100" s="1" t="s">
        <v>71</v>
      </c>
      <c r="CC100" s="1" t="s">
        <v>18</v>
      </c>
      <c r="CD100" s="1" t="s">
        <v>132</v>
      </c>
      <c r="CF100">
        <f>NUT[[#This Row],[Part Type]]</f>
        <v>0</v>
      </c>
      <c r="CG100" s="52">
        <f>NUT[[#This Row],[Name]]</f>
        <v>0</v>
      </c>
      <c r="CH100" t="str">
        <f>IF(NUT[[#This Row],[UID]]=0,"",NUT[[#This Row],[UID]])</f>
        <v/>
      </c>
      <c r="CL100" t="str">
        <f>IF(NUT[[#This Row],[Status]]=0,"",NUT[[#This Row],[Status]])</f>
        <v/>
      </c>
    </row>
    <row r="101" spans="1:90">
      <c r="A101" s="43"/>
      <c r="B101" s="43"/>
      <c r="C101" s="41"/>
      <c r="D101" s="41"/>
      <c r="E101" s="41"/>
      <c r="F101" s="42"/>
      <c r="G101" s="42"/>
      <c r="H101" s="42"/>
      <c r="I101" s="41"/>
      <c r="J101" s="41"/>
      <c r="K101" s="41"/>
      <c r="L101" s="41"/>
      <c r="M101" s="43"/>
      <c r="N101" s="43"/>
      <c r="O101" s="43"/>
      <c r="P101" s="131"/>
      <c r="Q101" s="131"/>
      <c r="R101" s="131"/>
      <c r="S101" s="131"/>
      <c r="T101" s="131"/>
      <c r="CB101" s="1" t="s">
        <v>71</v>
      </c>
      <c r="CC101" s="1" t="s">
        <v>18</v>
      </c>
      <c r="CD101" s="1" t="s">
        <v>132</v>
      </c>
      <c r="CF101">
        <f>NUT[[#This Row],[Part Type]]</f>
        <v>0</v>
      </c>
      <c r="CG101" s="52">
        <f>NUT[[#This Row],[Name]]</f>
        <v>0</v>
      </c>
      <c r="CH101" t="str">
        <f>IF(NUT[[#This Row],[UID]]=0,"",NUT[[#This Row],[UID]])</f>
        <v/>
      </c>
      <c r="CL101" t="str">
        <f>IF(NUT[[#This Row],[Status]]=0,"",NUT[[#This Row],[Status]])</f>
        <v/>
      </c>
    </row>
  </sheetData>
  <phoneticPr fontId="5" type="noConversion"/>
  <hyperlinks>
    <hyperlink ref="T7" r:id="rId1" xr:uid="{BC802C6E-D77C-44DE-9DE1-6D6718335C8E}"/>
    <hyperlink ref="T8" r:id="rId2" xr:uid="{0B687D57-7150-4C3D-8B8B-6D589914B382}"/>
    <hyperlink ref="T9" r:id="rId3" xr:uid="{30FC50E9-2724-4C39-B077-BFF906BA3164}"/>
    <hyperlink ref="T10" r:id="rId4" xr:uid="{BBB1FD40-D0A6-4868-AE6B-28D64CE192E6}"/>
    <hyperlink ref="T11" r:id="rId5" xr:uid="{9FE7D099-77F7-4823-9178-2D014842A367}"/>
    <hyperlink ref="T2" r:id="rId6" xr:uid="{03B10788-8266-4FC0-9FB1-F1055DDDB59B}"/>
    <hyperlink ref="T3" r:id="rId7" xr:uid="{CC8929E0-3D78-492D-AF1F-ED877270E416}"/>
    <hyperlink ref="T4" r:id="rId8" xr:uid="{7BF5FFB9-44C6-40F7-AC76-CE75F77A2942}"/>
    <hyperlink ref="T5" r:id="rId9" xr:uid="{5D70CB1B-4614-4287-AFE9-09AC36D43BDC}"/>
    <hyperlink ref="T6" r:id="rId10" xr:uid="{AC78D022-0009-4EB5-A6E0-10A9BCDF62E8}"/>
    <hyperlink ref="T12" r:id="rId11" xr:uid="{565343BF-E37E-421F-851B-959390734BB8}"/>
    <hyperlink ref="T13" r:id="rId12" xr:uid="{092A9DBC-E2D0-4513-9744-CE7C43EFD38D}"/>
    <hyperlink ref="T14" r:id="rId13" xr:uid="{48F5B2F0-8973-4BF8-AA8A-07BD269B1BF7}"/>
    <hyperlink ref="T15" r:id="rId14" xr:uid="{28868DC8-0A0C-42F2-95E4-D2B06103F83C}"/>
    <hyperlink ref="T16" r:id="rId15" xr:uid="{94D0205D-EAAF-44F9-BF36-83DB8C6AC079}"/>
    <hyperlink ref="T17" r:id="rId16" xr:uid="{C9F06C87-F35B-4D6E-B958-843EB6A55A6F}"/>
    <hyperlink ref="T18" r:id="rId17" xr:uid="{F0C5263F-9E93-486A-9A31-B57DF5A63926}"/>
    <hyperlink ref="T19" r:id="rId18" xr:uid="{037327D9-F7E1-421B-91D7-FEC03DE4ACAA}"/>
    <hyperlink ref="T20" r:id="rId19" xr:uid="{152C5952-94B0-4189-9F7A-88A7EEC344BA}"/>
    <hyperlink ref="T21" r:id="rId20" xr:uid="{28696239-8B80-4DC7-8295-991C2AD333C7}"/>
  </hyperlinks>
  <pageMargins left="0.7" right="0.7" top="0.75" bottom="0.75" header="0.3" footer="0.3"/>
  <tableParts count="2">
    <tablePart r:id="rId21"/>
    <tablePart r:id="rId2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06FF-CC83-5C4C-A2B7-C5D651B86363}">
  <sheetPr codeName="Sheet22"/>
  <dimension ref="A1:CE151"/>
  <sheetViews>
    <sheetView zoomScale="91" zoomScaleNormal="91" workbookViewId="0">
      <pane xSplit="3" ySplit="1" topLeftCell="I2" activePane="bottomRight" state="frozen"/>
      <selection pane="bottomRight" activeCell="C1" sqref="C1"/>
      <selection pane="bottomLeft" activeCell="A2" sqref="A2"/>
      <selection pane="topRight" activeCell="D1" sqref="D1"/>
    </sheetView>
  </sheetViews>
  <sheetFormatPr defaultColWidth="10.875" defaultRowHeight="15.95"/>
  <cols>
    <col min="1" max="1" width="16.875" style="18" bestFit="1" customWidth="1"/>
    <col min="2" max="2" width="20.625" style="18" bestFit="1" customWidth="1"/>
    <col min="3" max="3" width="12.625" style="18" bestFit="1" customWidth="1"/>
    <col min="4" max="4" width="17.125" style="18" customWidth="1"/>
    <col min="5" max="5" width="26.875" style="18" bestFit="1" customWidth="1"/>
    <col min="6" max="6" width="26" style="18" bestFit="1" customWidth="1"/>
    <col min="7" max="7" width="26" style="18" customWidth="1"/>
    <col min="8" max="8" width="12.375" style="18" bestFit="1" customWidth="1"/>
    <col min="9" max="9" width="17.625" style="18" bestFit="1" customWidth="1"/>
    <col min="10" max="11" width="17.125" style="18" bestFit="1" customWidth="1"/>
    <col min="12" max="12" width="22.5" style="18" bestFit="1" customWidth="1"/>
    <col min="14" max="14" width="11.875" style="18" bestFit="1" customWidth="1"/>
    <col min="15" max="15" width="26.625" style="18" bestFit="1" customWidth="1"/>
    <col min="16" max="16" width="9.125" style="18" bestFit="1" customWidth="1"/>
    <col min="17" max="17" width="13.125" style="18" bestFit="1" customWidth="1"/>
    <col min="18" max="18" width="59" style="18" bestFit="1" customWidth="1"/>
    <col min="19" max="72" width="10.875" style="18"/>
    <col min="73" max="73" width="16.125" style="18" customWidth="1"/>
    <col min="74" max="74" width="19.875" style="18" customWidth="1"/>
    <col min="75" max="75" width="20.5" style="18" customWidth="1"/>
    <col min="76" max="77" width="10.875" style="18"/>
    <col min="78" max="78" width="13.625" style="18" customWidth="1"/>
    <col min="79" max="79" width="12.5" style="18" customWidth="1"/>
    <col min="80" max="80" width="17" style="18" customWidth="1"/>
    <col min="81" max="81" width="10.875" style="18"/>
    <col min="82" max="82" width="15.125" style="18" customWidth="1"/>
    <col min="83" max="16384" width="10.875" style="18"/>
  </cols>
  <sheetData>
    <row r="1" spans="1:83" ht="17.100000000000001">
      <c r="A1" s="18" t="s">
        <v>12</v>
      </c>
      <c r="B1" s="35" t="s">
        <v>95</v>
      </c>
      <c r="C1" s="178" t="s">
        <v>94</v>
      </c>
      <c r="D1" s="18" t="s">
        <v>226</v>
      </c>
      <c r="E1" s="18" t="s">
        <v>227</v>
      </c>
      <c r="F1" s="18" t="s">
        <v>228</v>
      </c>
      <c r="G1" s="18" t="s">
        <v>1068</v>
      </c>
      <c r="H1" s="19" t="s">
        <v>1069</v>
      </c>
      <c r="I1" s="19" t="s">
        <v>303</v>
      </c>
      <c r="J1" s="18" t="s">
        <v>1029</v>
      </c>
      <c r="K1" s="53" t="s">
        <v>1070</v>
      </c>
      <c r="L1" s="18" t="s">
        <v>234</v>
      </c>
      <c r="M1" s="18" t="s">
        <v>236</v>
      </c>
      <c r="N1" s="18" t="s">
        <v>117</v>
      </c>
      <c r="O1" s="18" t="s">
        <v>237</v>
      </c>
      <c r="P1" s="18" t="s">
        <v>238</v>
      </c>
      <c r="BT1" t="s">
        <v>119</v>
      </c>
      <c r="BU1" s="117" t="s">
        <v>2</v>
      </c>
      <c r="BV1" s="118" t="s">
        <v>3</v>
      </c>
      <c r="BW1" s="118" t="s">
        <v>4</v>
      </c>
      <c r="BX1" s="118" t="s">
        <v>5</v>
      </c>
      <c r="BY1" s="118" t="s">
        <v>6</v>
      </c>
      <c r="BZ1" s="119" t="s">
        <v>7</v>
      </c>
      <c r="CA1" s="118" t="s">
        <v>8</v>
      </c>
      <c r="CB1" s="118" t="s">
        <v>9</v>
      </c>
      <c r="CC1" s="118" t="s">
        <v>10</v>
      </c>
      <c r="CD1" s="118" t="s">
        <v>11</v>
      </c>
      <c r="CE1" s="120" t="s">
        <v>12</v>
      </c>
    </row>
    <row r="2" spans="1:83">
      <c r="A2" s="18" t="s">
        <v>120</v>
      </c>
      <c r="B2" s="18" t="s">
        <v>1071</v>
      </c>
      <c r="C2" s="18" t="s">
        <v>1072</v>
      </c>
      <c r="D2" s="18" t="s">
        <v>1073</v>
      </c>
      <c r="E2" s="28" t="s">
        <v>129</v>
      </c>
      <c r="F2" s="19" t="s">
        <v>129</v>
      </c>
      <c r="G2" s="18" t="s">
        <v>129</v>
      </c>
      <c r="H2" s="53">
        <v>3</v>
      </c>
      <c r="I2" s="53">
        <v>0.47</v>
      </c>
      <c r="J2" s="157" t="s">
        <v>1074</v>
      </c>
      <c r="K2" s="53">
        <v>6</v>
      </c>
      <c r="L2" s="18" t="s">
        <v>136</v>
      </c>
      <c r="M2" s="18" t="s">
        <v>129</v>
      </c>
      <c r="P2" s="20"/>
      <c r="BT2" t="s">
        <v>131</v>
      </c>
      <c r="BU2" s="1" t="s">
        <v>71</v>
      </c>
      <c r="BV2" s="1" t="s">
        <v>18</v>
      </c>
      <c r="BW2" s="1" t="s">
        <v>308</v>
      </c>
      <c r="BX2" s="1"/>
      <c r="BY2" s="1" t="str">
        <f>NV_23[[#This Row],[Part Type]]</f>
        <v>Nut Plate</v>
      </c>
      <c r="BZ2" s="1" t="str">
        <f>NV_23[[#This Row],[Part Nr.]]</f>
        <v>MATS-HPS-AC-NP1</v>
      </c>
      <c r="CA2" s="1" t="str">
        <f>IF(NV_23[[#This Row],[UID]]=0,"",NV_23[[#This Row],[UID]])</f>
        <v>NP1</v>
      </c>
      <c r="CB2" s="1"/>
      <c r="CC2" s="1"/>
      <c r="CD2" s="1"/>
      <c r="CE2" s="1" t="str">
        <f>IF(NV_23[[#This Row],[Status]]=0,"",NV_23[[#This Row],[Status]])</f>
        <v>Active</v>
      </c>
    </row>
    <row r="3" spans="1:83">
      <c r="A3" s="18" t="s">
        <v>120</v>
      </c>
      <c r="B3" s="18" t="s">
        <v>1071</v>
      </c>
      <c r="C3" s="18" t="s">
        <v>1075</v>
      </c>
      <c r="D3" s="18" t="s">
        <v>1076</v>
      </c>
      <c r="E3" s="28"/>
      <c r="F3" s="19"/>
      <c r="H3" s="53">
        <v>2.1659999999999999</v>
      </c>
      <c r="I3" s="53">
        <v>0.35</v>
      </c>
      <c r="J3" s="153" t="s">
        <v>1077</v>
      </c>
      <c r="K3" s="53">
        <v>3</v>
      </c>
      <c r="L3" s="18" t="s">
        <v>136</v>
      </c>
      <c r="M3" s="18" t="s">
        <v>129</v>
      </c>
      <c r="N3" s="18" t="s">
        <v>129</v>
      </c>
      <c r="O3" s="18" t="s">
        <v>129</v>
      </c>
      <c r="P3" s="20"/>
      <c r="BT3"/>
      <c r="BU3" s="1" t="s">
        <v>71</v>
      </c>
      <c r="BV3" s="1" t="s">
        <v>18</v>
      </c>
      <c r="BW3" s="1" t="s">
        <v>308</v>
      </c>
      <c r="BX3"/>
      <c r="BY3" t="str">
        <f>NV_23[[#This Row],[Part Type]]</f>
        <v>Nut Plate</v>
      </c>
      <c r="BZ3" t="str">
        <f>NV_23[[#This Row],[Part Nr.]]</f>
        <v>MATS-HPS-AC-NP2</v>
      </c>
      <c r="CA3" t="str">
        <f>IF(NV_23[[#This Row],[UID]]=0,"",NV_23[[#This Row],[UID]])</f>
        <v>NP2</v>
      </c>
      <c r="CB3"/>
      <c r="CC3"/>
      <c r="CD3"/>
      <c r="CE3" t="str">
        <f>IF(NV_23[[#This Row],[Status]]=0,"",NV_23[[#This Row],[Status]])</f>
        <v>Active</v>
      </c>
    </row>
    <row r="4" spans="1:83">
      <c r="A4" s="18" t="s">
        <v>120</v>
      </c>
      <c r="B4" s="18" t="s">
        <v>1071</v>
      </c>
      <c r="C4" s="18" t="s">
        <v>1078</v>
      </c>
      <c r="D4" s="18" t="s">
        <v>1079</v>
      </c>
      <c r="E4" s="28" t="s">
        <v>129</v>
      </c>
      <c r="F4" s="19" t="s">
        <v>129</v>
      </c>
      <c r="G4" s="18" t="s">
        <v>129</v>
      </c>
      <c r="H4" s="53">
        <v>2.68</v>
      </c>
      <c r="I4" s="53">
        <v>0.47</v>
      </c>
      <c r="J4" s="152" t="s">
        <v>1074</v>
      </c>
      <c r="K4" s="53">
        <v>6</v>
      </c>
      <c r="L4" s="18" t="s">
        <v>136</v>
      </c>
      <c r="M4" s="18" t="s">
        <v>129</v>
      </c>
      <c r="P4" s="20"/>
      <c r="BT4"/>
      <c r="BU4" s="1" t="s">
        <v>71</v>
      </c>
      <c r="BV4" s="1" t="s">
        <v>18</v>
      </c>
      <c r="BW4" s="1" t="s">
        <v>308</v>
      </c>
      <c r="BX4"/>
      <c r="BY4" t="str">
        <f>NV_23[[#This Row],[Part Type]]</f>
        <v>Nut Plate</v>
      </c>
      <c r="BZ4" t="str">
        <f>NV_23[[#This Row],[Part Nr.]]</f>
        <v>MATS-HPS-AC-NP3</v>
      </c>
      <c r="CA4" t="str">
        <f>IF(NV_23[[#This Row],[UID]]=0,"",NV_23[[#This Row],[UID]])</f>
        <v>NP3</v>
      </c>
      <c r="CB4"/>
      <c r="CC4"/>
      <c r="CD4"/>
      <c r="CE4" t="str">
        <f>IF(NV_23[[#This Row],[Status]]=0,"",NV_23[[#This Row],[Status]])</f>
        <v>Active</v>
      </c>
    </row>
    <row r="5" spans="1:83">
      <c r="A5" s="18" t="s">
        <v>133</v>
      </c>
      <c r="B5" s="18" t="s">
        <v>1071</v>
      </c>
      <c r="C5" s="18" t="s">
        <v>1080</v>
      </c>
      <c r="D5" s="18" t="s">
        <v>1081</v>
      </c>
      <c r="E5" s="28"/>
      <c r="F5" s="19"/>
      <c r="H5" s="53"/>
      <c r="I5" s="53"/>
      <c r="J5" s="157" t="s">
        <v>1077</v>
      </c>
      <c r="K5" s="53">
        <v>12</v>
      </c>
      <c r="L5" s="18" t="s">
        <v>136</v>
      </c>
      <c r="M5" s="18"/>
      <c r="P5" s="20"/>
      <c r="BT5"/>
      <c r="BU5" s="1" t="s">
        <v>71</v>
      </c>
      <c r="BV5" s="1" t="s">
        <v>18</v>
      </c>
      <c r="BW5" s="1" t="s">
        <v>308</v>
      </c>
      <c r="BX5"/>
      <c r="BY5" t="str">
        <f>NV_23[[#This Row],[Part Type]]</f>
        <v>Nut Plate</v>
      </c>
      <c r="BZ5" t="str">
        <f>NV_23[[#This Row],[Part Nr.]]</f>
        <v>MATS-HPS-AC-NP4</v>
      </c>
      <c r="CA5" t="str">
        <f>IF(NV_23[[#This Row],[UID]]=0,"",NV_23[[#This Row],[UID]])</f>
        <v>NP4</v>
      </c>
      <c r="CB5"/>
      <c r="CC5"/>
      <c r="CD5"/>
      <c r="CE5" t="str">
        <f>IF(NV_23[[#This Row],[Status]]=0,"",NV_23[[#This Row],[Status]])</f>
        <v>Design</v>
      </c>
    </row>
    <row r="6" spans="1:83">
      <c r="A6" s="18" t="s">
        <v>140</v>
      </c>
      <c r="B6" s="18" t="s">
        <v>1071</v>
      </c>
      <c r="C6" s="9" t="s">
        <v>1082</v>
      </c>
      <c r="E6" s="28">
        <v>240417</v>
      </c>
      <c r="F6" s="133">
        <v>159.06800000000001</v>
      </c>
      <c r="H6" s="53"/>
      <c r="I6" s="53"/>
      <c r="K6" s="53"/>
      <c r="M6" s="18"/>
      <c r="P6" s="20"/>
      <c r="BT6"/>
      <c r="BU6" s="1" t="s">
        <v>71</v>
      </c>
      <c r="BV6" s="1" t="s">
        <v>18</v>
      </c>
      <c r="BW6" s="1" t="s">
        <v>308</v>
      </c>
      <c r="BX6"/>
      <c r="BY6" t="str">
        <f>NV_23[[#This Row],[Part Type]]</f>
        <v>Nut Plate</v>
      </c>
      <c r="BZ6">
        <f>NV_23[[#This Row],[Part Nr.]]</f>
        <v>0</v>
      </c>
      <c r="CA6" t="str">
        <f>IF(NV_23[[#This Row],[UID]]=0,"",NV_23[[#This Row],[UID]])</f>
        <v>NP2-1</v>
      </c>
      <c r="CB6"/>
      <c r="CC6"/>
      <c r="CD6"/>
      <c r="CE6" t="str">
        <f>IF(NV_23[[#This Row],[Status]]=0,"",NV_23[[#This Row],[Status]])</f>
        <v>New</v>
      </c>
    </row>
    <row r="7" spans="1:83">
      <c r="A7" s="18" t="s">
        <v>140</v>
      </c>
      <c r="B7" s="18" t="s">
        <v>1071</v>
      </c>
      <c r="C7" s="9" t="s">
        <v>1083</v>
      </c>
      <c r="E7" s="28">
        <v>240417</v>
      </c>
      <c r="F7" s="133">
        <v>158.875</v>
      </c>
      <c r="H7" s="53"/>
      <c r="I7" s="53"/>
      <c r="K7" s="53"/>
      <c r="M7" s="18"/>
      <c r="P7" s="20"/>
      <c r="BU7" s="1" t="s">
        <v>71</v>
      </c>
      <c r="BV7" s="1" t="s">
        <v>18</v>
      </c>
      <c r="BW7" s="1" t="s">
        <v>308</v>
      </c>
      <c r="BY7" s="18" t="str">
        <f>NV_23[[#This Row],[Part Type]]</f>
        <v>Nut Plate</v>
      </c>
      <c r="BZ7" s="18">
        <f>NV_23[[#This Row],[Part Nr.]]</f>
        <v>0</v>
      </c>
      <c r="CA7" s="18" t="str">
        <f>IF(NV_23[[#This Row],[UID]]=0,"",NV_23[[#This Row],[UID]])</f>
        <v>NP2-2</v>
      </c>
      <c r="CE7" s="18" t="str">
        <f>IF(NV_23[[#This Row],[Status]]=0,"",NV_23[[#This Row],[Status]])</f>
        <v>New</v>
      </c>
    </row>
    <row r="8" spans="1:83">
      <c r="A8" s="18" t="s">
        <v>140</v>
      </c>
      <c r="B8" s="18" t="s">
        <v>1071</v>
      </c>
      <c r="C8" s="9" t="s">
        <v>1084</v>
      </c>
      <c r="E8" s="28">
        <v>240417</v>
      </c>
      <c r="F8" s="133">
        <v>159.19399999999999</v>
      </c>
      <c r="H8" s="53"/>
      <c r="I8" s="53"/>
      <c r="K8" s="53"/>
      <c r="M8" s="18"/>
      <c r="P8" s="20"/>
      <c r="BU8" s="1" t="s">
        <v>71</v>
      </c>
      <c r="BV8" s="1" t="s">
        <v>18</v>
      </c>
      <c r="BW8" s="1" t="s">
        <v>308</v>
      </c>
      <c r="BY8" s="18" t="str">
        <f>NV_23[[#This Row],[Part Type]]</f>
        <v>Nut Plate</v>
      </c>
      <c r="BZ8" s="18">
        <f>NV_23[[#This Row],[Part Nr.]]</f>
        <v>0</v>
      </c>
      <c r="CA8" s="18" t="str">
        <f>IF(NV_23[[#This Row],[UID]]=0,"",NV_23[[#This Row],[UID]])</f>
        <v>NP2-3</v>
      </c>
      <c r="CE8" s="18" t="str">
        <f>IF(NV_23[[#This Row],[Status]]=0,"",NV_23[[#This Row],[Status]])</f>
        <v>New</v>
      </c>
    </row>
    <row r="9" spans="1:83">
      <c r="A9" s="18" t="s">
        <v>140</v>
      </c>
      <c r="B9" s="18" t="s">
        <v>1071</v>
      </c>
      <c r="C9" s="9" t="s">
        <v>1085</v>
      </c>
      <c r="E9" s="28">
        <v>240417</v>
      </c>
      <c r="F9" s="133">
        <v>158.97900000000001</v>
      </c>
      <c r="H9" s="53"/>
      <c r="I9" s="53"/>
      <c r="K9" s="53"/>
      <c r="M9" s="18"/>
      <c r="P9" s="20"/>
      <c r="BU9" s="1" t="s">
        <v>71</v>
      </c>
      <c r="BV9" s="1" t="s">
        <v>18</v>
      </c>
      <c r="BW9" s="1" t="s">
        <v>308</v>
      </c>
      <c r="BY9" s="18" t="str">
        <f>NV_23[[#This Row],[Part Type]]</f>
        <v>Nut Plate</v>
      </c>
      <c r="BZ9" s="18">
        <f>NV_23[[#This Row],[Part Nr.]]</f>
        <v>0</v>
      </c>
      <c r="CA9" s="18" t="str">
        <f>IF(NV_23[[#This Row],[UID]]=0,"",NV_23[[#This Row],[UID]])</f>
        <v>NP2-4</v>
      </c>
      <c r="CE9" s="18" t="str">
        <f>IF(NV_23[[#This Row],[Status]]=0,"",NV_23[[#This Row],[Status]])</f>
        <v>New</v>
      </c>
    </row>
    <row r="10" spans="1:83">
      <c r="A10" s="18" t="s">
        <v>140</v>
      </c>
      <c r="B10" s="18" t="s">
        <v>1071</v>
      </c>
      <c r="C10" s="9" t="s">
        <v>1086</v>
      </c>
      <c r="E10" s="28">
        <v>240417</v>
      </c>
      <c r="F10" s="133">
        <v>159.09899999999999</v>
      </c>
      <c r="H10" s="53"/>
      <c r="I10" s="53"/>
      <c r="K10" s="53"/>
      <c r="M10" s="18"/>
      <c r="P10" s="20"/>
      <c r="BU10" s="1" t="s">
        <v>71</v>
      </c>
      <c r="BV10" s="1" t="s">
        <v>18</v>
      </c>
      <c r="BW10" s="1" t="s">
        <v>308</v>
      </c>
      <c r="BY10" s="18" t="str">
        <f>NV_23[[#This Row],[Part Type]]</f>
        <v>Nut Plate</v>
      </c>
      <c r="BZ10" s="18">
        <f>NV_23[[#This Row],[Part Nr.]]</f>
        <v>0</v>
      </c>
      <c r="CA10" s="18" t="str">
        <f>IF(NV_23[[#This Row],[UID]]=0,"",NV_23[[#This Row],[UID]])</f>
        <v>NP2-5</v>
      </c>
      <c r="CE10" s="18" t="str">
        <f>IF(NV_23[[#This Row],[Status]]=0,"",NV_23[[#This Row],[Status]])</f>
        <v>New</v>
      </c>
    </row>
    <row r="11" spans="1:83">
      <c r="A11" s="18" t="s">
        <v>140</v>
      </c>
      <c r="B11" s="18" t="s">
        <v>1071</v>
      </c>
      <c r="C11" s="9" t="s">
        <v>1087</v>
      </c>
      <c r="E11" s="28">
        <v>240417</v>
      </c>
      <c r="F11" s="133">
        <v>158.99600000000001</v>
      </c>
      <c r="H11" s="53"/>
      <c r="I11" s="53"/>
      <c r="K11" s="53"/>
      <c r="M11" s="18"/>
      <c r="P11" s="20"/>
      <c r="BU11" s="1" t="s">
        <v>71</v>
      </c>
      <c r="BV11" s="1" t="s">
        <v>18</v>
      </c>
      <c r="BW11" s="1" t="s">
        <v>308</v>
      </c>
      <c r="BY11" s="18" t="str">
        <f>NV_23[[#This Row],[Part Type]]</f>
        <v>Nut Plate</v>
      </c>
      <c r="BZ11" s="18">
        <f>NV_23[[#This Row],[Part Nr.]]</f>
        <v>0</v>
      </c>
      <c r="CA11" s="18" t="str">
        <f>IF(NV_23[[#This Row],[UID]]=0,"",NV_23[[#This Row],[UID]])</f>
        <v>NP2-6</v>
      </c>
      <c r="CE11" s="18" t="str">
        <f>IF(NV_23[[#This Row],[Status]]=0,"",NV_23[[#This Row],[Status]])</f>
        <v>New</v>
      </c>
    </row>
    <row r="12" spans="1:83">
      <c r="A12" s="18" t="s">
        <v>140</v>
      </c>
      <c r="B12" s="18" t="s">
        <v>1071</v>
      </c>
      <c r="C12" s="9" t="s">
        <v>1088</v>
      </c>
      <c r="E12" s="28">
        <v>240417</v>
      </c>
      <c r="F12" s="133">
        <v>159.99</v>
      </c>
      <c r="H12" s="53"/>
      <c r="I12" s="53"/>
      <c r="K12" s="53"/>
      <c r="M12" s="18"/>
      <c r="P12" s="20"/>
      <c r="BU12" s="1" t="s">
        <v>71</v>
      </c>
      <c r="BV12" s="1" t="s">
        <v>18</v>
      </c>
      <c r="BW12" s="1" t="s">
        <v>308</v>
      </c>
      <c r="BY12" s="18" t="str">
        <f>NV_23[[#This Row],[Part Type]]</f>
        <v>Nut Plate</v>
      </c>
      <c r="BZ12" s="18">
        <f>NV_23[[#This Row],[Part Nr.]]</f>
        <v>0</v>
      </c>
      <c r="CA12" s="18" t="str">
        <f>IF(NV_23[[#This Row],[UID]]=0,"",NV_23[[#This Row],[UID]])</f>
        <v>NP2-7</v>
      </c>
      <c r="CE12" s="18" t="str">
        <f>IF(NV_23[[#This Row],[Status]]=0,"",NV_23[[#This Row],[Status]])</f>
        <v>New</v>
      </c>
    </row>
    <row r="13" spans="1:83">
      <c r="A13" s="18" t="s">
        <v>140</v>
      </c>
      <c r="B13" s="18" t="s">
        <v>1071</v>
      </c>
      <c r="C13" s="9" t="s">
        <v>1089</v>
      </c>
      <c r="E13" s="28">
        <v>240417</v>
      </c>
      <c r="F13" s="133">
        <v>158.995</v>
      </c>
      <c r="H13" s="53"/>
      <c r="I13" s="53"/>
      <c r="K13" s="53"/>
      <c r="M13" s="18"/>
      <c r="P13" s="20"/>
      <c r="BU13" s="1" t="s">
        <v>71</v>
      </c>
      <c r="BV13" s="1" t="s">
        <v>18</v>
      </c>
      <c r="BW13" s="1" t="s">
        <v>308</v>
      </c>
      <c r="BY13" s="18" t="str">
        <f>NV_23[[#This Row],[Part Type]]</f>
        <v>Nut Plate</v>
      </c>
      <c r="BZ13" s="18">
        <f>NV_23[[#This Row],[Part Nr.]]</f>
        <v>0</v>
      </c>
      <c r="CA13" s="18" t="str">
        <f>IF(NV_23[[#This Row],[UID]]=0,"",NV_23[[#This Row],[UID]])</f>
        <v>NP2-8</v>
      </c>
      <c r="CE13" s="18" t="str">
        <f>IF(NV_23[[#This Row],[Status]]=0,"",NV_23[[#This Row],[Status]])</f>
        <v>New</v>
      </c>
    </row>
    <row r="14" spans="1:83">
      <c r="A14" s="18" t="s">
        <v>140</v>
      </c>
      <c r="B14" s="18" t="s">
        <v>1071</v>
      </c>
      <c r="C14" s="9" t="s">
        <v>1090</v>
      </c>
      <c r="E14" s="28">
        <v>240417</v>
      </c>
      <c r="F14" s="133">
        <v>159.07599999999999</v>
      </c>
      <c r="H14" s="53"/>
      <c r="I14" s="53"/>
      <c r="K14" s="53"/>
      <c r="M14" s="18"/>
      <c r="P14" s="20"/>
      <c r="BU14" s="1" t="s">
        <v>71</v>
      </c>
      <c r="BV14" s="1" t="s">
        <v>18</v>
      </c>
      <c r="BW14" s="1" t="s">
        <v>308</v>
      </c>
      <c r="BY14" s="18" t="str">
        <f>NV_23[[#This Row],[Part Type]]</f>
        <v>Nut Plate</v>
      </c>
      <c r="BZ14" s="18">
        <f>NV_23[[#This Row],[Part Nr.]]</f>
        <v>0</v>
      </c>
      <c r="CA14" s="18" t="str">
        <f>IF(NV_23[[#This Row],[UID]]=0,"",NV_23[[#This Row],[UID]])</f>
        <v>NP2-9</v>
      </c>
      <c r="CE14" s="18" t="str">
        <f>IF(NV_23[[#This Row],[Status]]=0,"",NV_23[[#This Row],[Status]])</f>
        <v>New</v>
      </c>
    </row>
    <row r="15" spans="1:83">
      <c r="A15" s="18" t="s">
        <v>140</v>
      </c>
      <c r="B15" s="18" t="s">
        <v>1071</v>
      </c>
      <c r="C15" s="18" t="s">
        <v>1091</v>
      </c>
      <c r="E15" s="28">
        <v>240417</v>
      </c>
      <c r="F15" s="19">
        <v>448.14600000000002</v>
      </c>
      <c r="H15" s="53"/>
      <c r="I15" s="53"/>
      <c r="K15" s="53"/>
      <c r="M15" s="18"/>
      <c r="P15" s="20"/>
      <c r="BU15" s="1" t="s">
        <v>71</v>
      </c>
      <c r="BV15" s="1" t="s">
        <v>18</v>
      </c>
      <c r="BW15" s="1" t="s">
        <v>308</v>
      </c>
      <c r="BY15" s="18" t="str">
        <f>NV_23[[#This Row],[Part Type]]</f>
        <v>Nut Plate</v>
      </c>
      <c r="BZ15" s="18">
        <f>NV_23[[#This Row],[Part Nr.]]</f>
        <v>0</v>
      </c>
      <c r="CA15" s="18" t="str">
        <f>IF(NV_23[[#This Row],[UID]]=0,"",NV_23[[#This Row],[UID]])</f>
        <v>NP1-1</v>
      </c>
      <c r="CE15" s="18" t="str">
        <f>IF(NV_23[[#This Row],[Status]]=0,"",NV_23[[#This Row],[Status]])</f>
        <v>New</v>
      </c>
    </row>
    <row r="16" spans="1:83">
      <c r="A16" s="18" t="s">
        <v>140</v>
      </c>
      <c r="B16" s="18" t="s">
        <v>1071</v>
      </c>
      <c r="C16" s="18" t="s">
        <v>1092</v>
      </c>
      <c r="E16" s="28">
        <v>240417</v>
      </c>
      <c r="F16" s="19">
        <v>448.04300000000001</v>
      </c>
      <c r="H16" s="53"/>
      <c r="I16" s="53"/>
      <c r="K16" s="53"/>
      <c r="M16" s="18"/>
      <c r="P16" s="20"/>
      <c r="BU16" s="1" t="s">
        <v>71</v>
      </c>
      <c r="BV16" s="1" t="s">
        <v>18</v>
      </c>
      <c r="BW16" s="1" t="s">
        <v>308</v>
      </c>
      <c r="BY16" s="18" t="str">
        <f>NV_23[[#This Row],[Part Type]]</f>
        <v>Nut Plate</v>
      </c>
      <c r="BZ16" s="18">
        <f>NV_23[[#This Row],[Part Nr.]]</f>
        <v>0</v>
      </c>
      <c r="CA16" s="18" t="str">
        <f>IF(NV_23[[#This Row],[UID]]=0,"",NV_23[[#This Row],[UID]])</f>
        <v>NP1-2</v>
      </c>
      <c r="CE16" s="18" t="str">
        <f>IF(NV_23[[#This Row],[Status]]=0,"",NV_23[[#This Row],[Status]])</f>
        <v>New</v>
      </c>
    </row>
    <row r="17" spans="1:83">
      <c r="A17" s="18" t="s">
        <v>140</v>
      </c>
      <c r="B17" s="18" t="s">
        <v>1071</v>
      </c>
      <c r="C17" s="18" t="s">
        <v>1093</v>
      </c>
      <c r="E17" s="28">
        <v>240417</v>
      </c>
      <c r="F17" s="19">
        <v>309.26100000000002</v>
      </c>
      <c r="H17" s="53"/>
      <c r="I17" s="53"/>
      <c r="K17" s="53"/>
      <c r="M17" s="18"/>
      <c r="P17" s="20"/>
      <c r="BU17" s="1" t="s">
        <v>71</v>
      </c>
      <c r="BV17" s="1" t="s">
        <v>18</v>
      </c>
      <c r="BW17" s="1" t="s">
        <v>308</v>
      </c>
      <c r="BY17" s="18" t="str">
        <f>NV_23[[#This Row],[Part Type]]</f>
        <v>Nut Plate</v>
      </c>
      <c r="BZ17" s="18">
        <f>NV_23[[#This Row],[Part Nr.]]</f>
        <v>0</v>
      </c>
      <c r="CA17" s="18" t="str">
        <f>IF(NV_23[[#This Row],[UID]]=0,"",NV_23[[#This Row],[UID]])</f>
        <v>NP3-1</v>
      </c>
      <c r="CE17" s="18" t="str">
        <f>IF(NV_23[[#This Row],[Status]]=0,"",NV_23[[#This Row],[Status]])</f>
        <v>New</v>
      </c>
    </row>
    <row r="18" spans="1:83">
      <c r="A18" s="18" t="s">
        <v>140</v>
      </c>
      <c r="B18" s="18" t="s">
        <v>1071</v>
      </c>
      <c r="C18" s="18" t="s">
        <v>1094</v>
      </c>
      <c r="E18" s="28">
        <v>240417</v>
      </c>
      <c r="F18" s="19">
        <v>309.06400000000002</v>
      </c>
      <c r="H18" s="53"/>
      <c r="I18" s="53"/>
      <c r="K18" s="53"/>
      <c r="M18" s="18"/>
      <c r="P18" s="20"/>
      <c r="BU18" s="1" t="s">
        <v>71</v>
      </c>
      <c r="BV18" s="1" t="s">
        <v>18</v>
      </c>
      <c r="BW18" s="1" t="s">
        <v>308</v>
      </c>
      <c r="BY18" s="18" t="str">
        <f>NV_23[[#This Row],[Part Type]]</f>
        <v>Nut Plate</v>
      </c>
      <c r="BZ18" s="18">
        <f>NV_23[[#This Row],[Part Nr.]]</f>
        <v>0</v>
      </c>
      <c r="CA18" s="18" t="str">
        <f>IF(NV_23[[#This Row],[UID]]=0,"",NV_23[[#This Row],[UID]])</f>
        <v>NP3-2</v>
      </c>
      <c r="CE18" s="18" t="str">
        <f>IF(NV_23[[#This Row],[Status]]=0,"",NV_23[[#This Row],[Status]])</f>
        <v>New</v>
      </c>
    </row>
    <row r="19" spans="1:83">
      <c r="A19" s="18" t="s">
        <v>140</v>
      </c>
      <c r="B19" s="18" t="s">
        <v>1071</v>
      </c>
      <c r="C19" s="18" t="s">
        <v>1095</v>
      </c>
      <c r="E19" s="28">
        <v>240417</v>
      </c>
      <c r="F19" s="19">
        <v>309.346</v>
      </c>
      <c r="H19" s="53"/>
      <c r="I19" s="53"/>
      <c r="K19" s="53"/>
      <c r="M19" s="18"/>
      <c r="P19" s="20"/>
      <c r="BU19" s="1" t="s">
        <v>71</v>
      </c>
      <c r="BV19" s="1" t="s">
        <v>18</v>
      </c>
      <c r="BW19" s="1" t="s">
        <v>308</v>
      </c>
      <c r="BY19" s="18" t="str">
        <f>NV_23[[#This Row],[Part Type]]</f>
        <v>Nut Plate</v>
      </c>
      <c r="BZ19" s="18">
        <f>NV_23[[#This Row],[Part Nr.]]</f>
        <v>0</v>
      </c>
      <c r="CA19" s="18" t="str">
        <f>IF(NV_23[[#This Row],[UID]]=0,"",NV_23[[#This Row],[UID]])</f>
        <v>NP3-3</v>
      </c>
      <c r="CE19" s="18" t="str">
        <f>IF(NV_23[[#This Row],[Status]]=0,"",NV_23[[#This Row],[Status]])</f>
        <v>New</v>
      </c>
    </row>
    <row r="20" spans="1:83">
      <c r="A20" s="18" t="s">
        <v>140</v>
      </c>
      <c r="B20" s="18" t="s">
        <v>1071</v>
      </c>
      <c r="C20" s="18" t="s">
        <v>1096</v>
      </c>
      <c r="E20" s="28">
        <v>240417</v>
      </c>
      <c r="F20" s="19">
        <v>309.28199999999998</v>
      </c>
      <c r="H20" s="53"/>
      <c r="I20" s="53"/>
      <c r="K20" s="53"/>
      <c r="M20" s="18"/>
      <c r="P20" s="20"/>
      <c r="BU20" s="1" t="s">
        <v>71</v>
      </c>
      <c r="BV20" s="1" t="s">
        <v>18</v>
      </c>
      <c r="BW20" s="1" t="s">
        <v>308</v>
      </c>
      <c r="BY20" s="18" t="str">
        <f>NV_23[[#This Row],[Part Type]]</f>
        <v>Nut Plate</v>
      </c>
      <c r="BZ20" s="18">
        <f>NV_23[[#This Row],[Part Nr.]]</f>
        <v>0</v>
      </c>
      <c r="CA20" s="18" t="str">
        <f>IF(NV_23[[#This Row],[UID]]=0,"",NV_23[[#This Row],[UID]])</f>
        <v>NP3-4</v>
      </c>
      <c r="CE20" s="18" t="str">
        <f>IF(NV_23[[#This Row],[Status]]=0,"",NV_23[[#This Row],[Status]])</f>
        <v>New</v>
      </c>
    </row>
    <row r="21" spans="1:83">
      <c r="A21" s="18" t="s">
        <v>140</v>
      </c>
      <c r="B21" s="18" t="s">
        <v>1071</v>
      </c>
      <c r="C21" s="18" t="s">
        <v>1097</v>
      </c>
      <c r="E21" s="28">
        <v>240417</v>
      </c>
      <c r="F21" s="19">
        <v>309.48099999999999</v>
      </c>
      <c r="H21" s="53"/>
      <c r="I21" s="53"/>
      <c r="K21" s="53"/>
      <c r="M21" s="18"/>
      <c r="P21" s="20"/>
      <c r="BU21" s="1" t="s">
        <v>71</v>
      </c>
      <c r="BV21" s="1" t="s">
        <v>18</v>
      </c>
      <c r="BW21" s="1" t="s">
        <v>308</v>
      </c>
      <c r="BY21" s="18" t="str">
        <f>NV_23[[#This Row],[Part Type]]</f>
        <v>Nut Plate</v>
      </c>
      <c r="BZ21" s="18">
        <f>NV_23[[#This Row],[Part Nr.]]</f>
        <v>0</v>
      </c>
      <c r="CA21" s="18" t="str">
        <f>IF(NV_23[[#This Row],[UID]]=0,"",NV_23[[#This Row],[UID]])</f>
        <v>NP3-5</v>
      </c>
      <c r="CE21" s="18" t="str">
        <f>IF(NV_23[[#This Row],[Status]]=0,"",NV_23[[#This Row],[Status]])</f>
        <v>New</v>
      </c>
    </row>
    <row r="22" spans="1:83">
      <c r="A22" s="18" t="s">
        <v>140</v>
      </c>
      <c r="B22" s="18" t="s">
        <v>1071</v>
      </c>
      <c r="C22" s="18" t="s">
        <v>1098</v>
      </c>
      <c r="E22" s="28">
        <v>240417</v>
      </c>
      <c r="F22" s="19">
        <v>309.00599999999997</v>
      </c>
      <c r="H22" s="53"/>
      <c r="I22" s="53"/>
      <c r="K22" s="53"/>
      <c r="M22" s="18"/>
      <c r="P22" s="20"/>
      <c r="BU22" s="1" t="s">
        <v>71</v>
      </c>
      <c r="BV22" s="1" t="s">
        <v>18</v>
      </c>
      <c r="BW22" s="1" t="s">
        <v>308</v>
      </c>
      <c r="BY22" s="18" t="str">
        <f>NV_23[[#This Row],[Part Type]]</f>
        <v>Nut Plate</v>
      </c>
      <c r="BZ22" s="18">
        <f>NV_23[[#This Row],[Part Nr.]]</f>
        <v>0</v>
      </c>
      <c r="CA22" s="18" t="str">
        <f>IF(NV_23[[#This Row],[UID]]=0,"",NV_23[[#This Row],[UID]])</f>
        <v>NP3-6</v>
      </c>
      <c r="CE22" s="18" t="str">
        <f>IF(NV_23[[#This Row],[Status]]=0,"",NV_23[[#This Row],[Status]])</f>
        <v>New</v>
      </c>
    </row>
    <row r="23" spans="1:83">
      <c r="A23" s="18" t="s">
        <v>140</v>
      </c>
      <c r="B23" s="18" t="s">
        <v>1071</v>
      </c>
      <c r="C23" s="18" t="s">
        <v>1099</v>
      </c>
      <c r="E23" s="28">
        <v>240417</v>
      </c>
      <c r="F23" s="19">
        <v>309.33800000000002</v>
      </c>
      <c r="H23" s="53"/>
      <c r="I23" s="53"/>
      <c r="K23" s="53"/>
      <c r="M23" s="18"/>
      <c r="P23" s="20"/>
      <c r="BU23" s="1" t="s">
        <v>71</v>
      </c>
      <c r="BV23" s="1" t="s">
        <v>18</v>
      </c>
      <c r="BW23" s="1" t="s">
        <v>308</v>
      </c>
      <c r="BY23" s="18" t="str">
        <f>NV_23[[#This Row],[Part Type]]</f>
        <v>Nut Plate</v>
      </c>
      <c r="BZ23" s="18">
        <f>NV_23[[#This Row],[Part Nr.]]</f>
        <v>0</v>
      </c>
      <c r="CA23" s="18" t="str">
        <f>IF(NV_23[[#This Row],[UID]]=0,"",NV_23[[#This Row],[UID]])</f>
        <v>NP3-7</v>
      </c>
      <c r="CE23" s="18" t="str">
        <f>IF(NV_23[[#This Row],[Status]]=0,"",NV_23[[#This Row],[Status]])</f>
        <v>New</v>
      </c>
    </row>
    <row r="24" spans="1:83">
      <c r="A24" s="18" t="s">
        <v>140</v>
      </c>
      <c r="B24" s="18" t="s">
        <v>1071</v>
      </c>
      <c r="C24" s="18" t="s">
        <v>1100</v>
      </c>
      <c r="E24" s="28">
        <v>240417</v>
      </c>
      <c r="F24" s="19">
        <v>308.60300000000001</v>
      </c>
      <c r="H24" s="53"/>
      <c r="I24" s="53"/>
      <c r="K24" s="53"/>
      <c r="M24" s="18"/>
      <c r="P24" s="20"/>
      <c r="BU24" s="1" t="s">
        <v>71</v>
      </c>
      <c r="BV24" s="1" t="s">
        <v>18</v>
      </c>
      <c r="BW24" s="1" t="s">
        <v>308</v>
      </c>
      <c r="BY24" s="18" t="str">
        <f>NV_23[[#This Row],[Part Type]]</f>
        <v>Nut Plate</v>
      </c>
      <c r="BZ24" s="18">
        <f>NV_23[[#This Row],[Part Nr.]]</f>
        <v>0</v>
      </c>
      <c r="CA24" s="18" t="str">
        <f>IF(NV_23[[#This Row],[UID]]=0,"",NV_23[[#This Row],[UID]])</f>
        <v>NP3-8</v>
      </c>
      <c r="CE24" s="18" t="str">
        <f>IF(NV_23[[#This Row],[Status]]=0,"",NV_23[[#This Row],[Status]])</f>
        <v>New</v>
      </c>
    </row>
    <row r="25" spans="1:83">
      <c r="C25" s="18" t="s">
        <v>1101</v>
      </c>
      <c r="E25" s="28"/>
      <c r="F25" s="19"/>
      <c r="H25" s="53"/>
      <c r="I25" s="53"/>
      <c r="K25" s="53"/>
      <c r="M25" s="18"/>
      <c r="P25" s="20"/>
      <c r="BU25" s="1" t="s">
        <v>71</v>
      </c>
      <c r="BV25" s="1" t="s">
        <v>18</v>
      </c>
      <c r="BW25" s="1" t="s">
        <v>308</v>
      </c>
      <c r="BY25" s="18">
        <f>NV_23[[#This Row],[Part Type]]</f>
        <v>0</v>
      </c>
      <c r="BZ25" s="18">
        <f>NV_23[[#This Row],[Part Nr.]]</f>
        <v>0</v>
      </c>
      <c r="CA25" s="18" t="str">
        <f>IF(NV_23[[#This Row],[UID]]=0,"",NV_23[[#This Row],[UID]])</f>
        <v>NP3-9</v>
      </c>
      <c r="CE25" s="18" t="str">
        <f>IF(NV_23[[#This Row],[Status]]=0,"",NV_23[[#This Row],[Status]])</f>
        <v/>
      </c>
    </row>
    <row r="26" spans="1:83">
      <c r="A26" s="18" t="s">
        <v>133</v>
      </c>
      <c r="B26" s="18" t="s">
        <v>1071</v>
      </c>
      <c r="C26" s="18" t="s">
        <v>1102</v>
      </c>
      <c r="E26" s="28"/>
      <c r="F26" s="19"/>
      <c r="H26" s="53"/>
      <c r="I26" s="53"/>
      <c r="K26" s="53"/>
      <c r="M26" s="18"/>
      <c r="P26" s="20"/>
      <c r="BU26" s="1" t="s">
        <v>71</v>
      </c>
      <c r="BV26" s="1" t="s">
        <v>18</v>
      </c>
      <c r="BW26" s="1" t="s">
        <v>308</v>
      </c>
      <c r="BY26" s="18" t="str">
        <f>NV_23[[#This Row],[Part Type]]</f>
        <v>Nut Plate</v>
      </c>
      <c r="BZ26" s="18">
        <f>NV_23[[#This Row],[Part Nr.]]</f>
        <v>0</v>
      </c>
      <c r="CA26" s="18" t="str">
        <f>IF(NV_23[[#This Row],[UID]]=0,"",NV_23[[#This Row],[UID]])</f>
        <v>NP5</v>
      </c>
      <c r="CE26" s="18" t="str">
        <f>IF(NV_23[[#This Row],[Status]]=0,"",NV_23[[#This Row],[Status]])</f>
        <v>Design</v>
      </c>
    </row>
    <row r="27" spans="1:83">
      <c r="E27" s="28"/>
      <c r="F27" s="19"/>
      <c r="H27" s="53"/>
      <c r="I27" s="53"/>
      <c r="K27" s="53"/>
      <c r="M27" s="18"/>
      <c r="P27" s="20"/>
      <c r="BU27" s="1" t="s">
        <v>71</v>
      </c>
      <c r="BV27" s="1" t="s">
        <v>18</v>
      </c>
      <c r="BW27" s="1" t="s">
        <v>308</v>
      </c>
      <c r="BY27" s="18">
        <f>NV_23[[#This Row],[Part Type]]</f>
        <v>0</v>
      </c>
      <c r="BZ27" s="18">
        <f>NV_23[[#This Row],[Part Nr.]]</f>
        <v>0</v>
      </c>
      <c r="CA27" s="18" t="str">
        <f>IF(NV_23[[#This Row],[UID]]=0,"",NV_23[[#This Row],[UID]])</f>
        <v/>
      </c>
      <c r="CE27" s="18" t="str">
        <f>IF(NV_23[[#This Row],[Status]]=0,"",NV_23[[#This Row],[Status]])</f>
        <v/>
      </c>
    </row>
    <row r="28" spans="1:83">
      <c r="E28" s="28"/>
      <c r="F28" s="19"/>
      <c r="H28" s="53"/>
      <c r="I28" s="53"/>
      <c r="K28" s="53"/>
      <c r="M28" s="18"/>
      <c r="P28" s="20"/>
      <c r="BU28" s="1" t="s">
        <v>71</v>
      </c>
      <c r="BV28" s="1" t="s">
        <v>18</v>
      </c>
      <c r="BW28" s="1" t="s">
        <v>308</v>
      </c>
      <c r="BY28" s="18">
        <f>NV_23[[#This Row],[Part Type]]</f>
        <v>0</v>
      </c>
      <c r="BZ28" s="18">
        <f>NV_23[[#This Row],[Part Nr.]]</f>
        <v>0</v>
      </c>
      <c r="CA28" s="18" t="str">
        <f>IF(NV_23[[#This Row],[UID]]=0,"",NV_23[[#This Row],[UID]])</f>
        <v/>
      </c>
      <c r="CE28" s="18" t="str">
        <f>IF(NV_23[[#This Row],[Status]]=0,"",NV_23[[#This Row],[Status]])</f>
        <v/>
      </c>
    </row>
    <row r="29" spans="1:83">
      <c r="C29" s="54"/>
      <c r="E29" s="28"/>
      <c r="F29" s="19"/>
      <c r="H29" s="53"/>
      <c r="I29" s="53"/>
      <c r="K29" s="53"/>
      <c r="M29" s="18"/>
      <c r="P29" s="20"/>
      <c r="BU29" s="1" t="s">
        <v>71</v>
      </c>
      <c r="BV29" s="1" t="s">
        <v>18</v>
      </c>
      <c r="BW29" s="1" t="s">
        <v>308</v>
      </c>
      <c r="BY29" s="18">
        <f>NV_23[[#This Row],[Part Type]]</f>
        <v>0</v>
      </c>
      <c r="BZ29" s="18">
        <f>NV_23[[#This Row],[Part Nr.]]</f>
        <v>0</v>
      </c>
      <c r="CA29" s="18" t="str">
        <f>IF(NV_23[[#This Row],[UID]]=0,"",NV_23[[#This Row],[UID]])</f>
        <v/>
      </c>
      <c r="CE29" s="18" t="str">
        <f>IF(NV_23[[#This Row],[Status]]=0,"",NV_23[[#This Row],[Status]])</f>
        <v/>
      </c>
    </row>
    <row r="30" spans="1:83">
      <c r="E30" s="28"/>
      <c r="F30" s="19"/>
      <c r="H30" s="53"/>
      <c r="I30" s="53"/>
      <c r="K30" s="53"/>
      <c r="M30" s="18"/>
      <c r="P30" s="20"/>
      <c r="BU30" s="1" t="s">
        <v>71</v>
      </c>
      <c r="BV30" s="1" t="s">
        <v>18</v>
      </c>
      <c r="BW30" s="1" t="s">
        <v>308</v>
      </c>
      <c r="BY30" s="18">
        <f>NV_23[[#This Row],[Part Type]]</f>
        <v>0</v>
      </c>
      <c r="BZ30" s="18">
        <f>NV_23[[#This Row],[Part Nr.]]</f>
        <v>0</v>
      </c>
      <c r="CA30" s="18" t="str">
        <f>IF(NV_23[[#This Row],[UID]]=0,"",NV_23[[#This Row],[UID]])</f>
        <v/>
      </c>
      <c r="CE30" s="18" t="str">
        <f>IF(NV_23[[#This Row],[Status]]=0,"",NV_23[[#This Row],[Status]])</f>
        <v/>
      </c>
    </row>
    <row r="31" spans="1:83">
      <c r="E31" s="28"/>
      <c r="F31" s="19"/>
      <c r="H31" s="53"/>
      <c r="I31" s="53"/>
      <c r="K31" s="53"/>
      <c r="M31" s="18"/>
      <c r="P31" s="20"/>
      <c r="BU31" s="1" t="s">
        <v>71</v>
      </c>
      <c r="BV31" s="1" t="s">
        <v>18</v>
      </c>
      <c r="BW31" s="1" t="s">
        <v>308</v>
      </c>
      <c r="BY31" s="18">
        <f>NV_23[[#This Row],[Part Type]]</f>
        <v>0</v>
      </c>
      <c r="BZ31" s="18">
        <f>NV_23[[#This Row],[Part Nr.]]</f>
        <v>0</v>
      </c>
      <c r="CA31" s="18" t="str">
        <f>IF(NV_23[[#This Row],[UID]]=0,"",NV_23[[#This Row],[UID]])</f>
        <v/>
      </c>
      <c r="CE31" s="18" t="str">
        <f>IF(NV_23[[#This Row],[Status]]=0,"",NV_23[[#This Row],[Status]])</f>
        <v/>
      </c>
    </row>
    <row r="32" spans="1:83">
      <c r="E32" s="28"/>
      <c r="F32" s="19"/>
      <c r="H32" s="53"/>
      <c r="I32" s="53"/>
      <c r="K32" s="53"/>
      <c r="M32" s="18"/>
      <c r="P32" s="20"/>
      <c r="BU32" s="1" t="s">
        <v>71</v>
      </c>
      <c r="BV32" s="1" t="s">
        <v>18</v>
      </c>
      <c r="BW32" s="1" t="s">
        <v>308</v>
      </c>
      <c r="BY32" s="18">
        <f>NV_23[[#This Row],[Part Type]]</f>
        <v>0</v>
      </c>
      <c r="BZ32" s="18">
        <f>NV_23[[#This Row],[Part Nr.]]</f>
        <v>0</v>
      </c>
      <c r="CA32" s="18" t="str">
        <f>IF(NV_23[[#This Row],[UID]]=0,"",NV_23[[#This Row],[UID]])</f>
        <v/>
      </c>
      <c r="CE32" s="18" t="str">
        <f>IF(NV_23[[#This Row],[Status]]=0,"",NV_23[[#This Row],[Status]])</f>
        <v/>
      </c>
    </row>
    <row r="33" spans="5:83">
      <c r="E33" s="28"/>
      <c r="F33" s="19"/>
      <c r="H33" s="53"/>
      <c r="I33" s="53"/>
      <c r="K33" s="53"/>
      <c r="M33" s="18"/>
      <c r="P33" s="20"/>
      <c r="BU33" s="1" t="s">
        <v>71</v>
      </c>
      <c r="BV33" s="1" t="s">
        <v>18</v>
      </c>
      <c r="BW33" s="1" t="s">
        <v>308</v>
      </c>
      <c r="BY33" s="18">
        <f>NV_23[[#This Row],[Part Type]]</f>
        <v>0</v>
      </c>
      <c r="BZ33" s="18">
        <f>NV_23[[#This Row],[Part Nr.]]</f>
        <v>0</v>
      </c>
      <c r="CA33" s="18" t="str">
        <f>IF(NV_23[[#This Row],[UID]]=0,"",NV_23[[#This Row],[UID]])</f>
        <v/>
      </c>
      <c r="CE33" s="18" t="str">
        <f>IF(NV_23[[#This Row],[Status]]=0,"",NV_23[[#This Row],[Status]])</f>
        <v/>
      </c>
    </row>
    <row r="34" spans="5:83">
      <c r="E34" s="28"/>
      <c r="F34" s="19"/>
      <c r="H34" s="53"/>
      <c r="I34" s="53"/>
      <c r="K34" s="53"/>
      <c r="M34" s="18"/>
      <c r="P34" s="20"/>
      <c r="BU34" s="1" t="s">
        <v>71</v>
      </c>
      <c r="BV34" s="1" t="s">
        <v>18</v>
      </c>
      <c r="BW34" s="1" t="s">
        <v>308</v>
      </c>
      <c r="BY34" s="18">
        <f>NV_23[[#This Row],[Part Type]]</f>
        <v>0</v>
      </c>
      <c r="BZ34" s="18">
        <f>NV_23[[#This Row],[Part Nr.]]</f>
        <v>0</v>
      </c>
      <c r="CA34" s="18" t="str">
        <f>IF(NV_23[[#This Row],[UID]]=0,"",NV_23[[#This Row],[UID]])</f>
        <v/>
      </c>
      <c r="CE34" s="18" t="str">
        <f>IF(NV_23[[#This Row],[Status]]=0,"",NV_23[[#This Row],[Status]])</f>
        <v/>
      </c>
    </row>
    <row r="35" spans="5:83">
      <c r="E35" s="28"/>
      <c r="F35" s="19"/>
      <c r="H35" s="53"/>
      <c r="I35" s="53"/>
      <c r="K35" s="53"/>
      <c r="M35" s="18"/>
      <c r="P35" s="20"/>
      <c r="BU35" s="1" t="s">
        <v>71</v>
      </c>
      <c r="BV35" s="1" t="s">
        <v>18</v>
      </c>
      <c r="BW35" s="1" t="s">
        <v>308</v>
      </c>
      <c r="BY35" s="18">
        <f>NV_23[[#This Row],[Part Type]]</f>
        <v>0</v>
      </c>
      <c r="BZ35" s="18">
        <f>NV_23[[#This Row],[Part Nr.]]</f>
        <v>0</v>
      </c>
      <c r="CA35" s="18" t="str">
        <f>IF(NV_23[[#This Row],[UID]]=0,"",NV_23[[#This Row],[UID]])</f>
        <v/>
      </c>
      <c r="CE35" s="18" t="str">
        <f>IF(NV_23[[#This Row],[Status]]=0,"",NV_23[[#This Row],[Status]])</f>
        <v/>
      </c>
    </row>
    <row r="36" spans="5:83">
      <c r="E36" s="28"/>
      <c r="F36" s="19"/>
      <c r="H36" s="53"/>
      <c r="I36" s="53"/>
      <c r="K36" s="53"/>
      <c r="M36" s="18"/>
      <c r="P36" s="20"/>
      <c r="BU36" s="1" t="s">
        <v>71</v>
      </c>
      <c r="BV36" s="1" t="s">
        <v>18</v>
      </c>
      <c r="BW36" s="1" t="s">
        <v>308</v>
      </c>
      <c r="BY36" s="18">
        <f>NV_23[[#This Row],[Part Type]]</f>
        <v>0</v>
      </c>
      <c r="BZ36" s="18">
        <f>NV_23[[#This Row],[Part Nr.]]</f>
        <v>0</v>
      </c>
      <c r="CA36" s="18" t="str">
        <f>IF(NV_23[[#This Row],[UID]]=0,"",NV_23[[#This Row],[UID]])</f>
        <v/>
      </c>
      <c r="CE36" s="18" t="str">
        <f>IF(NV_23[[#This Row],[Status]]=0,"",NV_23[[#This Row],[Status]])</f>
        <v/>
      </c>
    </row>
    <row r="37" spans="5:83">
      <c r="E37" s="28"/>
      <c r="F37" s="19"/>
      <c r="H37" s="53"/>
      <c r="I37" s="53"/>
      <c r="K37" s="53"/>
      <c r="M37" s="18"/>
      <c r="P37" s="20"/>
      <c r="BU37" s="1" t="s">
        <v>71</v>
      </c>
      <c r="BV37" s="1" t="s">
        <v>18</v>
      </c>
      <c r="BW37" s="1" t="s">
        <v>308</v>
      </c>
      <c r="BY37" s="18">
        <f>NV_23[[#This Row],[Part Type]]</f>
        <v>0</v>
      </c>
      <c r="BZ37" s="18">
        <f>NV_23[[#This Row],[Part Nr.]]</f>
        <v>0</v>
      </c>
      <c r="CA37" s="18" t="str">
        <f>IF(NV_23[[#This Row],[UID]]=0,"",NV_23[[#This Row],[UID]])</f>
        <v/>
      </c>
      <c r="CE37" s="18" t="str">
        <f>IF(NV_23[[#This Row],[Status]]=0,"",NV_23[[#This Row],[Status]])</f>
        <v/>
      </c>
    </row>
    <row r="38" spans="5:83">
      <c r="E38" s="28"/>
      <c r="F38" s="19"/>
      <c r="H38" s="53"/>
      <c r="I38" s="53"/>
      <c r="K38" s="53"/>
      <c r="M38" s="18"/>
      <c r="P38" s="20"/>
      <c r="BU38" s="1" t="s">
        <v>71</v>
      </c>
      <c r="BV38" s="1" t="s">
        <v>18</v>
      </c>
      <c r="BW38" s="1" t="s">
        <v>308</v>
      </c>
      <c r="BY38" s="18">
        <f>NV_23[[#This Row],[Part Type]]</f>
        <v>0</v>
      </c>
      <c r="BZ38" s="18">
        <f>NV_23[[#This Row],[Part Nr.]]</f>
        <v>0</v>
      </c>
      <c r="CA38" s="18" t="str">
        <f>IF(NV_23[[#This Row],[UID]]=0,"",NV_23[[#This Row],[UID]])</f>
        <v/>
      </c>
      <c r="CE38" s="18" t="str">
        <f>IF(NV_23[[#This Row],[Status]]=0,"",NV_23[[#This Row],[Status]])</f>
        <v/>
      </c>
    </row>
    <row r="39" spans="5:83">
      <c r="E39" s="28"/>
      <c r="F39" s="19"/>
      <c r="H39" s="53"/>
      <c r="I39" s="53"/>
      <c r="K39" s="53"/>
      <c r="M39" s="18"/>
      <c r="P39" s="20"/>
      <c r="BU39" s="1" t="s">
        <v>71</v>
      </c>
      <c r="BV39" s="1" t="s">
        <v>18</v>
      </c>
      <c r="BW39" s="1" t="s">
        <v>308</v>
      </c>
      <c r="BY39" s="18">
        <f>NV_23[[#This Row],[Part Type]]</f>
        <v>0</v>
      </c>
      <c r="BZ39" s="18">
        <f>NV_23[[#This Row],[Part Nr.]]</f>
        <v>0</v>
      </c>
      <c r="CA39" s="18" t="str">
        <f>IF(NV_23[[#This Row],[UID]]=0,"",NV_23[[#This Row],[UID]])</f>
        <v/>
      </c>
      <c r="CE39" s="18" t="str">
        <f>IF(NV_23[[#This Row],[Status]]=0,"",NV_23[[#This Row],[Status]])</f>
        <v/>
      </c>
    </row>
    <row r="40" spans="5:83">
      <c r="E40" s="28"/>
      <c r="F40" s="19"/>
      <c r="H40" s="53"/>
      <c r="I40" s="53"/>
      <c r="K40" s="53"/>
      <c r="M40" s="18"/>
      <c r="P40" s="20"/>
      <c r="BU40" s="1" t="s">
        <v>71</v>
      </c>
      <c r="BV40" s="1" t="s">
        <v>18</v>
      </c>
      <c r="BW40" s="1" t="s">
        <v>308</v>
      </c>
      <c r="BY40" s="18">
        <f>NV_23[[#This Row],[Part Type]]</f>
        <v>0</v>
      </c>
      <c r="BZ40" s="18">
        <f>NV_23[[#This Row],[Part Nr.]]</f>
        <v>0</v>
      </c>
      <c r="CA40" s="18" t="str">
        <f>IF(NV_23[[#This Row],[UID]]=0,"",NV_23[[#This Row],[UID]])</f>
        <v/>
      </c>
      <c r="CE40" s="18" t="str">
        <f>IF(NV_23[[#This Row],[Status]]=0,"",NV_23[[#This Row],[Status]])</f>
        <v/>
      </c>
    </row>
    <row r="41" spans="5:83">
      <c r="E41" s="28"/>
      <c r="F41" s="19"/>
      <c r="H41" s="53"/>
      <c r="I41" s="53"/>
      <c r="K41" s="53"/>
      <c r="M41" s="18"/>
      <c r="P41" s="20"/>
      <c r="BU41" s="1" t="s">
        <v>71</v>
      </c>
      <c r="BV41" s="1" t="s">
        <v>18</v>
      </c>
      <c r="BW41" s="1" t="s">
        <v>308</v>
      </c>
      <c r="BY41" s="18">
        <f>NV_23[[#This Row],[Part Type]]</f>
        <v>0</v>
      </c>
      <c r="BZ41" s="18">
        <f>NV_23[[#This Row],[Part Nr.]]</f>
        <v>0</v>
      </c>
      <c r="CA41" s="18" t="str">
        <f>IF(NV_23[[#This Row],[UID]]=0,"",NV_23[[#This Row],[UID]])</f>
        <v/>
      </c>
      <c r="CE41" s="18" t="str">
        <f>IF(NV_23[[#This Row],[Status]]=0,"",NV_23[[#This Row],[Status]])</f>
        <v/>
      </c>
    </row>
    <row r="42" spans="5:83">
      <c r="E42" s="28"/>
      <c r="F42" s="19"/>
      <c r="H42" s="53"/>
      <c r="I42" s="53"/>
      <c r="K42" s="53"/>
      <c r="M42" s="18"/>
      <c r="P42" s="20"/>
      <c r="BU42" s="1" t="s">
        <v>71</v>
      </c>
      <c r="BV42" s="1" t="s">
        <v>18</v>
      </c>
      <c r="BW42" s="1" t="s">
        <v>308</v>
      </c>
      <c r="BY42" s="18">
        <f>NV_23[[#This Row],[Part Type]]</f>
        <v>0</v>
      </c>
      <c r="BZ42" s="18">
        <f>NV_23[[#This Row],[Part Nr.]]</f>
        <v>0</v>
      </c>
      <c r="CA42" s="18" t="str">
        <f>IF(NV_23[[#This Row],[UID]]=0,"",NV_23[[#This Row],[UID]])</f>
        <v/>
      </c>
      <c r="CE42" s="18" t="str">
        <f>IF(NV_23[[#This Row],[Status]]=0,"",NV_23[[#This Row],[Status]])</f>
        <v/>
      </c>
    </row>
    <row r="43" spans="5:83">
      <c r="E43" s="28"/>
      <c r="F43" s="19"/>
      <c r="H43" s="53"/>
      <c r="I43" s="53"/>
      <c r="K43" s="53"/>
      <c r="M43" s="18"/>
      <c r="P43" s="20"/>
      <c r="BU43" s="1" t="s">
        <v>71</v>
      </c>
      <c r="BV43" s="1" t="s">
        <v>18</v>
      </c>
      <c r="BW43" s="1" t="s">
        <v>308</v>
      </c>
      <c r="BY43" s="18">
        <f>NV_23[[#This Row],[Part Type]]</f>
        <v>0</v>
      </c>
      <c r="BZ43" s="18">
        <f>NV_23[[#This Row],[Part Nr.]]</f>
        <v>0</v>
      </c>
      <c r="CA43" s="18" t="str">
        <f>IF(NV_23[[#This Row],[UID]]=0,"",NV_23[[#This Row],[UID]])</f>
        <v/>
      </c>
      <c r="CE43" s="18" t="str">
        <f>IF(NV_23[[#This Row],[Status]]=0,"",NV_23[[#This Row],[Status]])</f>
        <v/>
      </c>
    </row>
    <row r="44" spans="5:83">
      <c r="E44" s="28"/>
      <c r="F44" s="19"/>
      <c r="H44" s="53"/>
      <c r="I44" s="53"/>
      <c r="K44" s="53"/>
      <c r="M44" s="18"/>
      <c r="P44" s="20"/>
      <c r="BU44" s="1" t="s">
        <v>71</v>
      </c>
      <c r="BV44" s="1" t="s">
        <v>18</v>
      </c>
      <c r="BW44" s="1" t="s">
        <v>308</v>
      </c>
      <c r="BY44" s="18">
        <f>NV_23[[#This Row],[Part Type]]</f>
        <v>0</v>
      </c>
      <c r="BZ44" s="18">
        <f>NV_23[[#This Row],[Part Nr.]]</f>
        <v>0</v>
      </c>
      <c r="CA44" s="18" t="str">
        <f>IF(NV_23[[#This Row],[UID]]=0,"",NV_23[[#This Row],[UID]])</f>
        <v/>
      </c>
      <c r="CE44" s="18" t="str">
        <f>IF(NV_23[[#This Row],[Status]]=0,"",NV_23[[#This Row],[Status]])</f>
        <v/>
      </c>
    </row>
    <row r="45" spans="5:83">
      <c r="E45" s="28"/>
      <c r="F45" s="19"/>
      <c r="H45" s="53"/>
      <c r="I45" s="53"/>
      <c r="K45" s="53"/>
      <c r="M45" s="18"/>
      <c r="P45" s="20"/>
      <c r="BU45" s="1" t="s">
        <v>71</v>
      </c>
      <c r="BV45" s="1" t="s">
        <v>18</v>
      </c>
      <c r="BW45" s="1" t="s">
        <v>308</v>
      </c>
      <c r="BY45" s="18">
        <f>NV_23[[#This Row],[Part Type]]</f>
        <v>0</v>
      </c>
      <c r="BZ45" s="18">
        <f>NV_23[[#This Row],[Part Nr.]]</f>
        <v>0</v>
      </c>
      <c r="CA45" s="18" t="str">
        <f>IF(NV_23[[#This Row],[UID]]=0,"",NV_23[[#This Row],[UID]])</f>
        <v/>
      </c>
      <c r="CE45" s="18" t="str">
        <f>IF(NV_23[[#This Row],[Status]]=0,"",NV_23[[#This Row],[Status]])</f>
        <v/>
      </c>
    </row>
    <row r="46" spans="5:83">
      <c r="E46" s="28"/>
      <c r="F46" s="19"/>
      <c r="H46" s="53"/>
      <c r="I46" s="53"/>
      <c r="K46" s="53"/>
      <c r="M46" s="18"/>
      <c r="P46" s="20"/>
      <c r="BU46" s="1" t="s">
        <v>71</v>
      </c>
      <c r="BV46" s="1" t="s">
        <v>18</v>
      </c>
      <c r="BW46" s="1" t="s">
        <v>308</v>
      </c>
      <c r="BY46" s="18">
        <f>NV_23[[#This Row],[Part Type]]</f>
        <v>0</v>
      </c>
      <c r="BZ46" s="18">
        <f>NV_23[[#This Row],[Part Nr.]]</f>
        <v>0</v>
      </c>
      <c r="CA46" s="18" t="str">
        <f>IF(NV_23[[#This Row],[UID]]=0,"",NV_23[[#This Row],[UID]])</f>
        <v/>
      </c>
      <c r="CE46" s="18" t="str">
        <f>IF(NV_23[[#This Row],[Status]]=0,"",NV_23[[#This Row],[Status]])</f>
        <v/>
      </c>
    </row>
    <row r="47" spans="5:83">
      <c r="E47" s="28"/>
      <c r="F47" s="19"/>
      <c r="H47" s="53"/>
      <c r="I47" s="53"/>
      <c r="K47" s="53"/>
      <c r="M47" s="18"/>
      <c r="P47" s="20"/>
      <c r="BU47" s="1" t="s">
        <v>71</v>
      </c>
      <c r="BV47" s="1" t="s">
        <v>18</v>
      </c>
      <c r="BW47" s="1" t="s">
        <v>308</v>
      </c>
      <c r="BY47" s="18">
        <f>NV_23[[#This Row],[Part Type]]</f>
        <v>0</v>
      </c>
      <c r="BZ47" s="18">
        <f>NV_23[[#This Row],[Part Nr.]]</f>
        <v>0</v>
      </c>
      <c r="CA47" s="18" t="str">
        <f>IF(NV_23[[#This Row],[UID]]=0,"",NV_23[[#This Row],[UID]])</f>
        <v/>
      </c>
      <c r="CE47" s="18" t="str">
        <f>IF(NV_23[[#This Row],[Status]]=0,"",NV_23[[#This Row],[Status]])</f>
        <v/>
      </c>
    </row>
    <row r="48" spans="5:83">
      <c r="E48" s="28"/>
      <c r="F48" s="19"/>
      <c r="H48" s="53"/>
      <c r="I48" s="53"/>
      <c r="K48" s="53"/>
      <c r="M48" s="18"/>
      <c r="P48" s="20"/>
      <c r="BU48" s="1" t="s">
        <v>71</v>
      </c>
      <c r="BV48" s="1" t="s">
        <v>18</v>
      </c>
      <c r="BW48" s="1" t="s">
        <v>308</v>
      </c>
      <c r="BY48" s="18">
        <f>NV_23[[#This Row],[Part Type]]</f>
        <v>0</v>
      </c>
      <c r="BZ48" s="18">
        <f>NV_23[[#This Row],[Part Nr.]]</f>
        <v>0</v>
      </c>
      <c r="CA48" s="18" t="str">
        <f>IF(NV_23[[#This Row],[UID]]=0,"",NV_23[[#This Row],[UID]])</f>
        <v/>
      </c>
      <c r="CE48" s="18" t="str">
        <f>IF(NV_23[[#This Row],[Status]]=0,"",NV_23[[#This Row],[Status]])</f>
        <v/>
      </c>
    </row>
    <row r="49" spans="5:83">
      <c r="E49" s="28"/>
      <c r="F49" s="19"/>
      <c r="H49" s="53"/>
      <c r="I49" s="53"/>
      <c r="K49" s="53"/>
      <c r="M49" s="18"/>
      <c r="P49" s="20"/>
      <c r="BU49" s="1" t="s">
        <v>71</v>
      </c>
      <c r="BV49" s="1" t="s">
        <v>18</v>
      </c>
      <c r="BW49" s="1" t="s">
        <v>308</v>
      </c>
      <c r="BY49" s="18">
        <f>NV_23[[#This Row],[Part Type]]</f>
        <v>0</v>
      </c>
      <c r="BZ49" s="18">
        <f>NV_23[[#This Row],[Part Nr.]]</f>
        <v>0</v>
      </c>
      <c r="CA49" s="18" t="str">
        <f>IF(NV_23[[#This Row],[UID]]=0,"",NV_23[[#This Row],[UID]])</f>
        <v/>
      </c>
      <c r="CE49" s="18" t="str">
        <f>IF(NV_23[[#This Row],[Status]]=0,"",NV_23[[#This Row],[Status]])</f>
        <v/>
      </c>
    </row>
    <row r="50" spans="5:83">
      <c r="E50" s="28"/>
      <c r="F50" s="19"/>
      <c r="H50" s="53"/>
      <c r="I50" s="53"/>
      <c r="K50" s="53"/>
      <c r="M50" s="18"/>
      <c r="P50" s="20"/>
      <c r="BU50" s="1" t="s">
        <v>71</v>
      </c>
      <c r="BV50" s="1" t="s">
        <v>18</v>
      </c>
      <c r="BW50" s="1" t="s">
        <v>308</v>
      </c>
      <c r="BY50" s="18">
        <f>NV_23[[#This Row],[Part Type]]</f>
        <v>0</v>
      </c>
      <c r="BZ50" s="18">
        <f>NV_23[[#This Row],[Part Nr.]]</f>
        <v>0</v>
      </c>
      <c r="CA50" s="18" t="str">
        <f>IF(NV_23[[#This Row],[UID]]=0,"",NV_23[[#This Row],[UID]])</f>
        <v/>
      </c>
      <c r="CE50" s="18" t="str">
        <f>IF(NV_23[[#This Row],[Status]]=0,"",NV_23[[#This Row],[Status]])</f>
        <v/>
      </c>
    </row>
    <row r="51" spans="5:83">
      <c r="E51" s="28"/>
      <c r="F51" s="19"/>
      <c r="H51" s="53"/>
      <c r="I51" s="53"/>
      <c r="K51" s="53"/>
      <c r="M51" s="18"/>
      <c r="P51" s="20"/>
      <c r="BU51" s="1" t="s">
        <v>71</v>
      </c>
      <c r="BV51" s="1" t="s">
        <v>18</v>
      </c>
      <c r="BW51" s="1" t="s">
        <v>308</v>
      </c>
      <c r="BY51" s="18">
        <f>NV_23[[#This Row],[Part Type]]</f>
        <v>0</v>
      </c>
      <c r="BZ51" s="18">
        <f>NV_23[[#This Row],[Part Nr.]]</f>
        <v>0</v>
      </c>
      <c r="CA51" s="18" t="str">
        <f>IF(NV_23[[#This Row],[UID]]=0,"",NV_23[[#This Row],[UID]])</f>
        <v/>
      </c>
      <c r="CE51" s="18" t="str">
        <f>IF(NV_23[[#This Row],[Status]]=0,"",NV_23[[#This Row],[Status]])</f>
        <v/>
      </c>
    </row>
    <row r="52" spans="5:83">
      <c r="E52" s="28"/>
      <c r="F52" s="19"/>
      <c r="H52" s="53"/>
      <c r="I52" s="53"/>
      <c r="K52" s="53"/>
      <c r="M52" s="18"/>
      <c r="P52" s="20"/>
      <c r="BU52" s="1" t="s">
        <v>71</v>
      </c>
      <c r="BV52" s="1" t="s">
        <v>18</v>
      </c>
      <c r="BW52" s="1" t="s">
        <v>308</v>
      </c>
      <c r="BY52" s="18">
        <f>NV_23[[#This Row],[Part Type]]</f>
        <v>0</v>
      </c>
      <c r="BZ52" s="18">
        <f>NV_23[[#This Row],[Part Nr.]]</f>
        <v>0</v>
      </c>
      <c r="CA52" s="18" t="str">
        <f>IF(NV_23[[#This Row],[UID]]=0,"",NV_23[[#This Row],[UID]])</f>
        <v/>
      </c>
      <c r="CE52" s="18" t="str">
        <f>IF(NV_23[[#This Row],[Status]]=0,"",NV_23[[#This Row],[Status]])</f>
        <v/>
      </c>
    </row>
    <row r="53" spans="5:83">
      <c r="E53" s="28"/>
      <c r="F53" s="19"/>
      <c r="H53" s="53"/>
      <c r="I53" s="53"/>
      <c r="K53" s="53"/>
      <c r="M53" s="18"/>
      <c r="P53" s="20"/>
      <c r="BU53" s="1" t="s">
        <v>71</v>
      </c>
      <c r="BV53" s="1" t="s">
        <v>18</v>
      </c>
      <c r="BW53" s="1" t="s">
        <v>308</v>
      </c>
      <c r="BY53" s="18">
        <f>NV_23[[#This Row],[Part Type]]</f>
        <v>0</v>
      </c>
      <c r="BZ53" s="18">
        <f>NV_23[[#This Row],[Part Nr.]]</f>
        <v>0</v>
      </c>
      <c r="CA53" s="18" t="str">
        <f>IF(NV_23[[#This Row],[UID]]=0,"",NV_23[[#This Row],[UID]])</f>
        <v/>
      </c>
      <c r="CE53" s="18" t="str">
        <f>IF(NV_23[[#This Row],[Status]]=0,"",NV_23[[#This Row],[Status]])</f>
        <v/>
      </c>
    </row>
    <row r="54" spans="5:83">
      <c r="E54" s="28"/>
      <c r="F54" s="19"/>
      <c r="H54" s="53"/>
      <c r="I54" s="53"/>
      <c r="K54" s="53"/>
      <c r="M54" s="18"/>
      <c r="P54" s="20"/>
      <c r="BU54" s="1" t="s">
        <v>71</v>
      </c>
      <c r="BV54" s="1" t="s">
        <v>18</v>
      </c>
      <c r="BW54" s="1" t="s">
        <v>308</v>
      </c>
      <c r="BY54" s="18">
        <f>NV_23[[#This Row],[Part Type]]</f>
        <v>0</v>
      </c>
      <c r="BZ54" s="18">
        <f>NV_23[[#This Row],[Part Nr.]]</f>
        <v>0</v>
      </c>
      <c r="CA54" s="18" t="str">
        <f>IF(NV_23[[#This Row],[UID]]=0,"",NV_23[[#This Row],[UID]])</f>
        <v/>
      </c>
      <c r="CE54" s="18" t="str">
        <f>IF(NV_23[[#This Row],[Status]]=0,"",NV_23[[#This Row],[Status]])</f>
        <v/>
      </c>
    </row>
    <row r="55" spans="5:83">
      <c r="E55" s="28"/>
      <c r="F55" s="19"/>
      <c r="H55" s="53"/>
      <c r="I55" s="53"/>
      <c r="K55" s="53"/>
      <c r="M55" s="18"/>
      <c r="P55" s="20"/>
      <c r="BU55" s="1" t="s">
        <v>71</v>
      </c>
      <c r="BV55" s="1" t="s">
        <v>18</v>
      </c>
      <c r="BW55" s="1" t="s">
        <v>308</v>
      </c>
      <c r="BY55" s="18">
        <f>NV_23[[#This Row],[Part Type]]</f>
        <v>0</v>
      </c>
      <c r="BZ55" s="18">
        <f>NV_23[[#This Row],[Part Nr.]]</f>
        <v>0</v>
      </c>
      <c r="CA55" s="18" t="str">
        <f>IF(NV_23[[#This Row],[UID]]=0,"",NV_23[[#This Row],[UID]])</f>
        <v/>
      </c>
      <c r="CE55" s="18" t="str">
        <f>IF(NV_23[[#This Row],[Status]]=0,"",NV_23[[#This Row],[Status]])</f>
        <v/>
      </c>
    </row>
    <row r="56" spans="5:83">
      <c r="E56" s="17"/>
      <c r="F56" s="19"/>
      <c r="H56" s="53"/>
      <c r="I56" s="53"/>
      <c r="K56" s="53"/>
      <c r="M56" s="18"/>
      <c r="P56" s="20"/>
      <c r="BU56" s="1" t="s">
        <v>71</v>
      </c>
      <c r="BV56" s="1" t="s">
        <v>18</v>
      </c>
      <c r="BW56" s="1" t="s">
        <v>308</v>
      </c>
      <c r="BY56" s="18">
        <f>NV_23[[#This Row],[Part Type]]</f>
        <v>0</v>
      </c>
      <c r="BZ56" s="18">
        <f>NV_23[[#This Row],[Part Nr.]]</f>
        <v>0</v>
      </c>
      <c r="CA56" s="18" t="str">
        <f>IF(NV_23[[#This Row],[UID]]=0,"",NV_23[[#This Row],[UID]])</f>
        <v/>
      </c>
      <c r="CE56" s="18" t="str">
        <f>IF(NV_23[[#This Row],[Status]]=0,"",NV_23[[#This Row],[Status]])</f>
        <v/>
      </c>
    </row>
    <row r="57" spans="5:83">
      <c r="E57" s="17"/>
      <c r="F57" s="19"/>
      <c r="H57" s="53"/>
      <c r="I57" s="53"/>
      <c r="K57" s="53"/>
      <c r="M57" s="18"/>
      <c r="P57" s="20"/>
      <c r="BU57" s="1" t="s">
        <v>71</v>
      </c>
      <c r="BV57" s="1" t="s">
        <v>18</v>
      </c>
      <c r="BW57" s="1" t="s">
        <v>308</v>
      </c>
      <c r="BY57" s="18">
        <f>NV_23[[#This Row],[Part Type]]</f>
        <v>0</v>
      </c>
      <c r="BZ57" s="18">
        <f>NV_23[[#This Row],[Part Nr.]]</f>
        <v>0</v>
      </c>
      <c r="CA57" s="18" t="str">
        <f>IF(NV_23[[#This Row],[UID]]=0,"",NV_23[[#This Row],[UID]])</f>
        <v/>
      </c>
      <c r="CE57" s="18" t="str">
        <f>IF(NV_23[[#This Row],[Status]]=0,"",NV_23[[#This Row],[Status]])</f>
        <v/>
      </c>
    </row>
    <row r="58" spans="5:83">
      <c r="F58" s="19"/>
      <c r="H58" s="53"/>
      <c r="I58" s="53"/>
      <c r="K58" s="53"/>
      <c r="M58" s="18"/>
      <c r="BU58" s="1" t="s">
        <v>71</v>
      </c>
      <c r="BV58" s="1" t="s">
        <v>18</v>
      </c>
      <c r="BW58" s="1" t="s">
        <v>308</v>
      </c>
      <c r="BY58" s="18">
        <f>NV_23[[#This Row],[Part Type]]</f>
        <v>0</v>
      </c>
      <c r="BZ58" s="18">
        <f>NV_23[[#This Row],[Part Nr.]]</f>
        <v>0</v>
      </c>
      <c r="CA58" s="18" t="str">
        <f>IF(NV_23[[#This Row],[UID]]=0,"",NV_23[[#This Row],[UID]])</f>
        <v/>
      </c>
      <c r="CE58" s="18" t="str">
        <f>IF(NV_23[[#This Row],[Status]]=0,"",NV_23[[#This Row],[Status]])</f>
        <v/>
      </c>
    </row>
    <row r="59" spans="5:83">
      <c r="F59" s="19"/>
      <c r="H59" s="53"/>
      <c r="I59" s="53"/>
      <c r="K59" s="53"/>
      <c r="M59" s="18"/>
      <c r="BU59" s="1" t="s">
        <v>71</v>
      </c>
      <c r="BV59" s="1" t="s">
        <v>18</v>
      </c>
      <c r="BW59" s="1" t="s">
        <v>308</v>
      </c>
      <c r="BY59" s="18">
        <f>NV_23[[#This Row],[Part Type]]</f>
        <v>0</v>
      </c>
      <c r="BZ59" s="18">
        <f>NV_23[[#This Row],[Part Nr.]]</f>
        <v>0</v>
      </c>
      <c r="CA59" s="18" t="str">
        <f>IF(NV_23[[#This Row],[UID]]=0,"",NV_23[[#This Row],[UID]])</f>
        <v/>
      </c>
      <c r="CE59" s="18" t="str">
        <f>IF(NV_23[[#This Row],[Status]]=0,"",NV_23[[#This Row],[Status]])</f>
        <v/>
      </c>
    </row>
    <row r="60" spans="5:83">
      <c r="F60" s="19"/>
      <c r="H60" s="53"/>
      <c r="I60" s="53"/>
      <c r="K60" s="53"/>
      <c r="M60" s="18"/>
      <c r="BU60" s="1" t="s">
        <v>71</v>
      </c>
      <c r="BV60" s="1" t="s">
        <v>18</v>
      </c>
      <c r="BW60" s="1" t="s">
        <v>308</v>
      </c>
      <c r="BY60" s="18">
        <f>NV_23[[#This Row],[Part Type]]</f>
        <v>0</v>
      </c>
      <c r="BZ60" s="18">
        <f>NV_23[[#This Row],[Part Nr.]]</f>
        <v>0</v>
      </c>
      <c r="CA60" s="18" t="str">
        <f>IF(NV_23[[#This Row],[UID]]=0,"",NV_23[[#This Row],[UID]])</f>
        <v/>
      </c>
      <c r="CE60" s="18" t="str">
        <f>IF(NV_23[[#This Row],[Status]]=0,"",NV_23[[#This Row],[Status]])</f>
        <v/>
      </c>
    </row>
    <row r="61" spans="5:83">
      <c r="F61" s="19"/>
      <c r="H61" s="53"/>
      <c r="I61" s="53"/>
      <c r="K61" s="53"/>
      <c r="M61" s="18"/>
      <c r="BU61" s="1" t="s">
        <v>71</v>
      </c>
      <c r="BV61" s="1" t="s">
        <v>18</v>
      </c>
      <c r="BW61" s="1" t="s">
        <v>308</v>
      </c>
      <c r="BY61" s="18">
        <f>NV_23[[#This Row],[Part Type]]</f>
        <v>0</v>
      </c>
      <c r="BZ61" s="18">
        <f>NV_23[[#This Row],[Part Nr.]]</f>
        <v>0</v>
      </c>
      <c r="CA61" s="18" t="str">
        <f>IF(NV_23[[#This Row],[UID]]=0,"",NV_23[[#This Row],[UID]])</f>
        <v/>
      </c>
      <c r="CE61" s="18" t="str">
        <f>IF(NV_23[[#This Row],[Status]]=0,"",NV_23[[#This Row],[Status]])</f>
        <v/>
      </c>
    </row>
    <row r="62" spans="5:83">
      <c r="F62" s="19"/>
      <c r="H62" s="53"/>
      <c r="I62" s="53"/>
      <c r="K62" s="53"/>
      <c r="M62" s="18"/>
      <c r="BU62" s="1" t="s">
        <v>71</v>
      </c>
      <c r="BV62" s="1" t="s">
        <v>18</v>
      </c>
      <c r="BW62" s="1" t="s">
        <v>308</v>
      </c>
      <c r="BY62" s="18">
        <f>NV_23[[#This Row],[Part Type]]</f>
        <v>0</v>
      </c>
      <c r="BZ62" s="18">
        <f>NV_23[[#This Row],[Part Nr.]]</f>
        <v>0</v>
      </c>
      <c r="CA62" s="18" t="str">
        <f>IF(NV_23[[#This Row],[UID]]=0,"",NV_23[[#This Row],[UID]])</f>
        <v/>
      </c>
      <c r="CE62" s="18" t="str">
        <f>IF(NV_23[[#This Row],[Status]]=0,"",NV_23[[#This Row],[Status]])</f>
        <v/>
      </c>
    </row>
    <row r="63" spans="5:83">
      <c r="F63" s="19"/>
      <c r="H63" s="53"/>
      <c r="I63" s="53"/>
      <c r="K63" s="53"/>
      <c r="M63" s="18"/>
      <c r="BU63" s="1" t="s">
        <v>71</v>
      </c>
      <c r="BV63" s="1" t="s">
        <v>18</v>
      </c>
      <c r="BW63" s="1" t="s">
        <v>308</v>
      </c>
      <c r="BY63" s="18">
        <f>NV_23[[#This Row],[Part Type]]</f>
        <v>0</v>
      </c>
      <c r="BZ63" s="18">
        <f>NV_23[[#This Row],[Part Nr.]]</f>
        <v>0</v>
      </c>
      <c r="CA63" s="18" t="str">
        <f>IF(NV_23[[#This Row],[UID]]=0,"",NV_23[[#This Row],[UID]])</f>
        <v/>
      </c>
      <c r="CE63" s="18" t="str">
        <f>IF(NV_23[[#This Row],[Status]]=0,"",NV_23[[#This Row],[Status]])</f>
        <v/>
      </c>
    </row>
    <row r="64" spans="5:83">
      <c r="F64" s="19"/>
      <c r="H64" s="53"/>
      <c r="I64" s="53"/>
      <c r="K64" s="53"/>
      <c r="M64" s="18"/>
      <c r="BU64" s="1" t="s">
        <v>71</v>
      </c>
      <c r="BV64" s="1" t="s">
        <v>18</v>
      </c>
      <c r="BW64" s="1" t="s">
        <v>308</v>
      </c>
      <c r="BY64" s="18">
        <f>NV_23[[#This Row],[Part Type]]</f>
        <v>0</v>
      </c>
      <c r="BZ64" s="18">
        <f>NV_23[[#This Row],[Part Nr.]]</f>
        <v>0</v>
      </c>
      <c r="CA64" s="18" t="str">
        <f>IF(NV_23[[#This Row],[UID]]=0,"",NV_23[[#This Row],[UID]])</f>
        <v/>
      </c>
      <c r="CE64" s="18" t="str">
        <f>IF(NV_23[[#This Row],[Status]]=0,"",NV_23[[#This Row],[Status]])</f>
        <v/>
      </c>
    </row>
    <row r="65" spans="6:83">
      <c r="F65" s="19"/>
      <c r="H65" s="53"/>
      <c r="I65" s="53"/>
      <c r="K65" s="53"/>
      <c r="M65" s="18"/>
      <c r="BU65" s="1" t="s">
        <v>71</v>
      </c>
      <c r="BV65" s="1" t="s">
        <v>18</v>
      </c>
      <c r="BW65" s="1" t="s">
        <v>308</v>
      </c>
      <c r="BY65" s="18">
        <f>NV_23[[#This Row],[Part Type]]</f>
        <v>0</v>
      </c>
      <c r="BZ65" s="18">
        <f>NV_23[[#This Row],[Part Nr.]]</f>
        <v>0</v>
      </c>
      <c r="CA65" s="18" t="str">
        <f>IF(NV_23[[#This Row],[UID]]=0,"",NV_23[[#This Row],[UID]])</f>
        <v/>
      </c>
      <c r="CE65" s="18" t="str">
        <f>IF(NV_23[[#This Row],[Status]]=0,"",NV_23[[#This Row],[Status]])</f>
        <v/>
      </c>
    </row>
    <row r="66" spans="6:83">
      <c r="F66" s="19"/>
      <c r="H66" s="53"/>
      <c r="I66" s="53"/>
      <c r="K66" s="53"/>
      <c r="M66" s="18"/>
      <c r="BU66" s="1" t="s">
        <v>71</v>
      </c>
      <c r="BV66" s="1" t="s">
        <v>18</v>
      </c>
      <c r="BW66" s="1" t="s">
        <v>308</v>
      </c>
      <c r="BY66" s="18">
        <f>NV_23[[#This Row],[Part Type]]</f>
        <v>0</v>
      </c>
      <c r="BZ66" s="18">
        <f>NV_23[[#This Row],[Part Nr.]]</f>
        <v>0</v>
      </c>
      <c r="CA66" s="18" t="str">
        <f>IF(NV_23[[#This Row],[UID]]=0,"",NV_23[[#This Row],[UID]])</f>
        <v/>
      </c>
      <c r="CE66" s="18" t="str">
        <f>IF(NV_23[[#This Row],[Status]]=0,"",NV_23[[#This Row],[Status]])</f>
        <v/>
      </c>
    </row>
    <row r="67" spans="6:83">
      <c r="F67" s="19"/>
      <c r="H67" s="53"/>
      <c r="I67" s="53"/>
      <c r="K67" s="53"/>
      <c r="M67" s="18"/>
      <c r="BU67" s="1" t="s">
        <v>71</v>
      </c>
      <c r="BV67" s="1" t="s">
        <v>18</v>
      </c>
      <c r="BW67" s="1" t="s">
        <v>308</v>
      </c>
      <c r="BY67" s="18">
        <f>NV_23[[#This Row],[Part Type]]</f>
        <v>0</v>
      </c>
      <c r="BZ67" s="18">
        <f>NV_23[[#This Row],[Part Nr.]]</f>
        <v>0</v>
      </c>
      <c r="CA67" s="18" t="str">
        <f>IF(NV_23[[#This Row],[UID]]=0,"",NV_23[[#This Row],[UID]])</f>
        <v/>
      </c>
      <c r="CE67" s="18" t="str">
        <f>IF(NV_23[[#This Row],[Status]]=0,"",NV_23[[#This Row],[Status]])</f>
        <v/>
      </c>
    </row>
    <row r="68" spans="6:83">
      <c r="F68" s="19"/>
      <c r="H68" s="53"/>
      <c r="I68" s="53"/>
      <c r="K68" s="53"/>
      <c r="M68" s="18"/>
      <c r="BU68" s="1" t="s">
        <v>71</v>
      </c>
      <c r="BV68" s="1" t="s">
        <v>18</v>
      </c>
      <c r="BW68" s="1" t="s">
        <v>308</v>
      </c>
      <c r="BY68" s="18">
        <f>NV_23[[#This Row],[Part Type]]</f>
        <v>0</v>
      </c>
      <c r="BZ68" s="18">
        <f>NV_23[[#This Row],[Part Nr.]]</f>
        <v>0</v>
      </c>
      <c r="CA68" s="18" t="str">
        <f>IF(NV_23[[#This Row],[UID]]=0,"",NV_23[[#This Row],[UID]])</f>
        <v/>
      </c>
      <c r="CE68" s="18" t="str">
        <f>IF(NV_23[[#This Row],[Status]]=0,"",NV_23[[#This Row],[Status]])</f>
        <v/>
      </c>
    </row>
    <row r="69" spans="6:83">
      <c r="F69" s="19"/>
      <c r="H69" s="53"/>
      <c r="I69" s="53"/>
      <c r="K69" s="53"/>
      <c r="M69" s="18"/>
      <c r="BU69" s="1" t="s">
        <v>71</v>
      </c>
      <c r="BV69" s="1" t="s">
        <v>18</v>
      </c>
      <c r="BW69" s="1" t="s">
        <v>308</v>
      </c>
      <c r="BY69" s="18">
        <f>NV_23[[#This Row],[Part Type]]</f>
        <v>0</v>
      </c>
      <c r="BZ69" s="18">
        <f>NV_23[[#This Row],[Part Nr.]]</f>
        <v>0</v>
      </c>
      <c r="CA69" s="18" t="str">
        <f>IF(NV_23[[#This Row],[UID]]=0,"",NV_23[[#This Row],[UID]])</f>
        <v/>
      </c>
      <c r="CE69" s="18" t="str">
        <f>IF(NV_23[[#This Row],[Status]]=0,"",NV_23[[#This Row],[Status]])</f>
        <v/>
      </c>
    </row>
    <row r="70" spans="6:83">
      <c r="F70" s="19"/>
      <c r="H70" s="53"/>
      <c r="I70" s="53"/>
      <c r="K70" s="53"/>
      <c r="M70" s="18"/>
      <c r="BU70" s="1" t="s">
        <v>71</v>
      </c>
      <c r="BV70" s="1" t="s">
        <v>18</v>
      </c>
      <c r="BW70" s="1" t="s">
        <v>308</v>
      </c>
      <c r="BY70" s="18">
        <f>NV_23[[#This Row],[Part Type]]</f>
        <v>0</v>
      </c>
      <c r="BZ70" s="18">
        <f>NV_23[[#This Row],[Part Nr.]]</f>
        <v>0</v>
      </c>
      <c r="CA70" s="18" t="str">
        <f>IF(NV_23[[#This Row],[UID]]=0,"",NV_23[[#This Row],[UID]])</f>
        <v/>
      </c>
      <c r="CE70" s="18" t="str">
        <f>IF(NV_23[[#This Row],[Status]]=0,"",NV_23[[#This Row],[Status]])</f>
        <v/>
      </c>
    </row>
    <row r="71" spans="6:83">
      <c r="F71" s="19"/>
      <c r="H71" s="53"/>
      <c r="I71" s="53"/>
      <c r="K71" s="53"/>
      <c r="M71" s="18"/>
      <c r="BU71" s="1" t="s">
        <v>71</v>
      </c>
      <c r="BV71" s="1" t="s">
        <v>18</v>
      </c>
      <c r="BW71" s="1" t="s">
        <v>308</v>
      </c>
      <c r="BY71" s="18">
        <f>NV_23[[#This Row],[Part Type]]</f>
        <v>0</v>
      </c>
      <c r="BZ71" s="18">
        <f>NV_23[[#This Row],[Part Nr.]]</f>
        <v>0</v>
      </c>
      <c r="CA71" s="18" t="str">
        <f>IF(NV_23[[#This Row],[UID]]=0,"",NV_23[[#This Row],[UID]])</f>
        <v/>
      </c>
      <c r="CE71" s="18" t="str">
        <f>IF(NV_23[[#This Row],[Status]]=0,"",NV_23[[#This Row],[Status]])</f>
        <v/>
      </c>
    </row>
    <row r="72" spans="6:83">
      <c r="F72" s="19"/>
      <c r="H72" s="53"/>
      <c r="I72" s="53"/>
      <c r="K72" s="53"/>
      <c r="M72" s="18"/>
      <c r="BU72" s="1" t="s">
        <v>71</v>
      </c>
      <c r="BV72" s="1" t="s">
        <v>18</v>
      </c>
      <c r="BW72" s="1" t="s">
        <v>308</v>
      </c>
      <c r="BY72" s="18">
        <f>NV_23[[#This Row],[Part Type]]</f>
        <v>0</v>
      </c>
      <c r="BZ72" s="18">
        <f>NV_23[[#This Row],[Part Nr.]]</f>
        <v>0</v>
      </c>
      <c r="CA72" s="18" t="str">
        <f>IF(NV_23[[#This Row],[UID]]=0,"",NV_23[[#This Row],[UID]])</f>
        <v/>
      </c>
      <c r="CE72" s="18" t="str">
        <f>IF(NV_23[[#This Row],[Status]]=0,"",NV_23[[#This Row],[Status]])</f>
        <v/>
      </c>
    </row>
    <row r="73" spans="6:83">
      <c r="F73" s="19"/>
      <c r="H73" s="53"/>
      <c r="I73" s="53"/>
      <c r="K73" s="53"/>
      <c r="M73" s="18"/>
      <c r="BU73" s="1" t="s">
        <v>71</v>
      </c>
      <c r="BV73" s="1" t="s">
        <v>18</v>
      </c>
      <c r="BW73" s="1" t="s">
        <v>308</v>
      </c>
      <c r="BY73" s="18">
        <f>NV_23[[#This Row],[Part Type]]</f>
        <v>0</v>
      </c>
      <c r="BZ73" s="18">
        <f>NV_23[[#This Row],[Part Nr.]]</f>
        <v>0</v>
      </c>
      <c r="CA73" s="18" t="str">
        <f>IF(NV_23[[#This Row],[UID]]=0,"",NV_23[[#This Row],[UID]])</f>
        <v/>
      </c>
      <c r="CE73" s="18" t="str">
        <f>IF(NV_23[[#This Row],[Status]]=0,"",NV_23[[#This Row],[Status]])</f>
        <v/>
      </c>
    </row>
    <row r="74" spans="6:83">
      <c r="F74" s="19"/>
      <c r="H74" s="53"/>
      <c r="I74" s="53"/>
      <c r="K74" s="53"/>
      <c r="M74" s="18"/>
      <c r="BU74" s="1" t="s">
        <v>71</v>
      </c>
      <c r="BV74" s="1" t="s">
        <v>18</v>
      </c>
      <c r="BW74" s="1" t="s">
        <v>308</v>
      </c>
      <c r="BY74" s="18">
        <f>NV_23[[#This Row],[Part Type]]</f>
        <v>0</v>
      </c>
      <c r="BZ74" s="18">
        <f>NV_23[[#This Row],[Part Nr.]]</f>
        <v>0</v>
      </c>
      <c r="CA74" s="18" t="str">
        <f>IF(NV_23[[#This Row],[UID]]=0,"",NV_23[[#This Row],[UID]])</f>
        <v/>
      </c>
      <c r="CE74" s="18" t="str">
        <f>IF(NV_23[[#This Row],[Status]]=0,"",NV_23[[#This Row],[Status]])</f>
        <v/>
      </c>
    </row>
    <row r="75" spans="6:83">
      <c r="F75" s="19"/>
      <c r="H75" s="53"/>
      <c r="I75" s="53"/>
      <c r="K75" s="53"/>
      <c r="M75" s="18"/>
      <c r="BU75" s="1" t="s">
        <v>71</v>
      </c>
      <c r="BV75" s="1" t="s">
        <v>18</v>
      </c>
      <c r="BW75" s="1" t="s">
        <v>308</v>
      </c>
      <c r="BY75" s="18">
        <f>NV_23[[#This Row],[Part Type]]</f>
        <v>0</v>
      </c>
      <c r="BZ75" s="18">
        <f>NV_23[[#This Row],[Part Nr.]]</f>
        <v>0</v>
      </c>
      <c r="CA75" s="18" t="str">
        <f>IF(NV_23[[#This Row],[UID]]=0,"",NV_23[[#This Row],[UID]])</f>
        <v/>
      </c>
      <c r="CE75" s="18" t="str">
        <f>IF(NV_23[[#This Row],[Status]]=0,"",NV_23[[#This Row],[Status]])</f>
        <v/>
      </c>
    </row>
    <row r="76" spans="6:83">
      <c r="F76" s="19"/>
      <c r="H76" s="53"/>
      <c r="I76" s="53"/>
      <c r="K76" s="53"/>
      <c r="M76" s="18"/>
      <c r="BU76" s="1" t="s">
        <v>71</v>
      </c>
      <c r="BV76" s="1" t="s">
        <v>18</v>
      </c>
      <c r="BW76" s="1" t="s">
        <v>308</v>
      </c>
      <c r="BY76" s="18">
        <f>NV_23[[#This Row],[Part Type]]</f>
        <v>0</v>
      </c>
      <c r="BZ76" s="18">
        <f>NV_23[[#This Row],[Part Nr.]]</f>
        <v>0</v>
      </c>
      <c r="CA76" s="18" t="str">
        <f>IF(NV_23[[#This Row],[UID]]=0,"",NV_23[[#This Row],[UID]])</f>
        <v/>
      </c>
      <c r="CE76" s="18" t="str">
        <f>IF(NV_23[[#This Row],[Status]]=0,"",NV_23[[#This Row],[Status]])</f>
        <v/>
      </c>
    </row>
    <row r="77" spans="6:83">
      <c r="F77" s="19"/>
      <c r="H77" s="53"/>
      <c r="I77" s="53"/>
      <c r="K77" s="53"/>
      <c r="M77" s="18"/>
      <c r="BU77" s="1" t="s">
        <v>71</v>
      </c>
      <c r="BV77" s="1" t="s">
        <v>18</v>
      </c>
      <c r="BW77" s="1" t="s">
        <v>308</v>
      </c>
      <c r="BY77" s="18">
        <f>NV_23[[#This Row],[Part Type]]</f>
        <v>0</v>
      </c>
      <c r="BZ77" s="18">
        <f>NV_23[[#This Row],[Part Nr.]]</f>
        <v>0</v>
      </c>
      <c r="CA77" s="18" t="str">
        <f>IF(NV_23[[#This Row],[UID]]=0,"",NV_23[[#This Row],[UID]])</f>
        <v/>
      </c>
      <c r="CE77" s="18" t="str">
        <f>IF(NV_23[[#This Row],[Status]]=0,"",NV_23[[#This Row],[Status]])</f>
        <v/>
      </c>
    </row>
    <row r="78" spans="6:83">
      <c r="F78" s="19"/>
      <c r="H78" s="53"/>
      <c r="I78" s="53"/>
      <c r="K78" s="53"/>
      <c r="M78" s="18"/>
      <c r="BU78" s="1" t="s">
        <v>71</v>
      </c>
      <c r="BV78" s="1" t="s">
        <v>18</v>
      </c>
      <c r="BW78" s="1" t="s">
        <v>308</v>
      </c>
      <c r="BY78" s="18">
        <f>NV_23[[#This Row],[Part Type]]</f>
        <v>0</v>
      </c>
      <c r="BZ78" s="18">
        <f>NV_23[[#This Row],[Part Nr.]]</f>
        <v>0</v>
      </c>
      <c r="CA78" s="18" t="str">
        <f>IF(NV_23[[#This Row],[UID]]=0,"",NV_23[[#This Row],[UID]])</f>
        <v/>
      </c>
      <c r="CE78" s="18" t="str">
        <f>IF(NV_23[[#This Row],[Status]]=0,"",NV_23[[#This Row],[Status]])</f>
        <v/>
      </c>
    </row>
    <row r="79" spans="6:83">
      <c r="F79" s="19"/>
      <c r="H79" s="53"/>
      <c r="I79" s="53"/>
      <c r="K79" s="53"/>
      <c r="M79" s="18"/>
      <c r="BU79" s="1" t="s">
        <v>71</v>
      </c>
      <c r="BV79" s="1" t="s">
        <v>18</v>
      </c>
      <c r="BW79" s="1" t="s">
        <v>308</v>
      </c>
      <c r="BY79" s="18">
        <f>NV_23[[#This Row],[Part Type]]</f>
        <v>0</v>
      </c>
      <c r="BZ79" s="18">
        <f>NV_23[[#This Row],[Part Nr.]]</f>
        <v>0</v>
      </c>
      <c r="CA79" s="18" t="str">
        <f>IF(NV_23[[#This Row],[UID]]=0,"",NV_23[[#This Row],[UID]])</f>
        <v/>
      </c>
      <c r="CE79" s="18" t="str">
        <f>IF(NV_23[[#This Row],[Status]]=0,"",NV_23[[#This Row],[Status]])</f>
        <v/>
      </c>
    </row>
    <row r="80" spans="6:83">
      <c r="F80" s="19"/>
      <c r="H80" s="53"/>
      <c r="I80" s="53"/>
      <c r="K80" s="53"/>
      <c r="M80" s="18"/>
      <c r="BU80" s="1" t="s">
        <v>71</v>
      </c>
      <c r="BV80" s="1" t="s">
        <v>18</v>
      </c>
      <c r="BW80" s="1" t="s">
        <v>308</v>
      </c>
      <c r="BY80" s="18">
        <f>NV_23[[#This Row],[Part Type]]</f>
        <v>0</v>
      </c>
      <c r="BZ80" s="18">
        <f>NV_23[[#This Row],[Part Nr.]]</f>
        <v>0</v>
      </c>
      <c r="CA80" s="18" t="str">
        <f>IF(NV_23[[#This Row],[UID]]=0,"",NV_23[[#This Row],[UID]])</f>
        <v/>
      </c>
      <c r="CE80" s="18" t="str">
        <f>IF(NV_23[[#This Row],[Status]]=0,"",NV_23[[#This Row],[Status]])</f>
        <v/>
      </c>
    </row>
    <row r="81" spans="6:83">
      <c r="F81" s="19"/>
      <c r="H81" s="53"/>
      <c r="I81" s="53"/>
      <c r="K81" s="53"/>
      <c r="M81" s="18"/>
      <c r="BU81" s="1" t="s">
        <v>71</v>
      </c>
      <c r="BV81" s="1" t="s">
        <v>18</v>
      </c>
      <c r="BW81" s="1" t="s">
        <v>308</v>
      </c>
      <c r="BY81" s="18">
        <f>NV_23[[#This Row],[Part Type]]</f>
        <v>0</v>
      </c>
      <c r="BZ81" s="18">
        <f>NV_23[[#This Row],[Part Nr.]]</f>
        <v>0</v>
      </c>
      <c r="CA81" s="18" t="str">
        <f>IF(NV_23[[#This Row],[UID]]=0,"",NV_23[[#This Row],[UID]])</f>
        <v/>
      </c>
      <c r="CE81" s="18" t="str">
        <f>IF(NV_23[[#This Row],[Status]]=0,"",NV_23[[#This Row],[Status]])</f>
        <v/>
      </c>
    </row>
    <row r="82" spans="6:83">
      <c r="F82" s="19"/>
      <c r="H82" s="53"/>
      <c r="I82" s="53"/>
      <c r="K82" s="53"/>
      <c r="M82" s="18"/>
      <c r="BU82" s="1" t="s">
        <v>71</v>
      </c>
      <c r="BV82" s="1" t="s">
        <v>18</v>
      </c>
      <c r="BW82" s="1" t="s">
        <v>308</v>
      </c>
      <c r="BY82" s="18">
        <f>NV_23[[#This Row],[Part Type]]</f>
        <v>0</v>
      </c>
      <c r="BZ82" s="18">
        <f>NV_23[[#This Row],[Part Nr.]]</f>
        <v>0</v>
      </c>
      <c r="CA82" s="18" t="str">
        <f>IF(NV_23[[#This Row],[UID]]=0,"",NV_23[[#This Row],[UID]])</f>
        <v/>
      </c>
      <c r="CE82" s="18" t="str">
        <f>IF(NV_23[[#This Row],[Status]]=0,"",NV_23[[#This Row],[Status]])</f>
        <v/>
      </c>
    </row>
    <row r="83" spans="6:83">
      <c r="F83" s="19"/>
      <c r="H83" s="53"/>
      <c r="I83" s="53"/>
      <c r="K83" s="53"/>
      <c r="M83" s="18"/>
      <c r="BU83" s="1" t="s">
        <v>71</v>
      </c>
      <c r="BV83" s="1" t="s">
        <v>18</v>
      </c>
      <c r="BW83" s="1" t="s">
        <v>308</v>
      </c>
      <c r="BY83" s="18">
        <f>NV_23[[#This Row],[Part Type]]</f>
        <v>0</v>
      </c>
      <c r="BZ83" s="18">
        <f>NV_23[[#This Row],[Part Nr.]]</f>
        <v>0</v>
      </c>
      <c r="CA83" s="18" t="str">
        <f>IF(NV_23[[#This Row],[UID]]=0,"",NV_23[[#This Row],[UID]])</f>
        <v/>
      </c>
      <c r="CE83" s="18" t="str">
        <f>IF(NV_23[[#This Row],[Status]]=0,"",NV_23[[#This Row],[Status]])</f>
        <v/>
      </c>
    </row>
    <row r="84" spans="6:83">
      <c r="F84" s="19"/>
      <c r="H84" s="53"/>
      <c r="I84" s="53"/>
      <c r="K84" s="53"/>
      <c r="M84" s="18"/>
      <c r="BU84" s="1" t="s">
        <v>71</v>
      </c>
      <c r="BV84" s="1" t="s">
        <v>18</v>
      </c>
      <c r="BW84" s="1" t="s">
        <v>308</v>
      </c>
      <c r="BY84" s="18">
        <f>NV_23[[#This Row],[Part Type]]</f>
        <v>0</v>
      </c>
      <c r="BZ84" s="18">
        <f>NV_23[[#This Row],[Part Nr.]]</f>
        <v>0</v>
      </c>
      <c r="CA84" s="18" t="str">
        <f>IF(NV_23[[#This Row],[UID]]=0,"",NV_23[[#This Row],[UID]])</f>
        <v/>
      </c>
      <c r="CE84" s="18" t="str">
        <f>IF(NV_23[[#This Row],[Status]]=0,"",NV_23[[#This Row],[Status]])</f>
        <v/>
      </c>
    </row>
    <row r="85" spans="6:83">
      <c r="F85" s="19"/>
      <c r="H85" s="53"/>
      <c r="I85" s="53"/>
      <c r="K85" s="53"/>
      <c r="M85" s="18"/>
      <c r="BU85" s="1" t="s">
        <v>71</v>
      </c>
      <c r="BV85" s="1" t="s">
        <v>18</v>
      </c>
      <c r="BW85" s="1" t="s">
        <v>308</v>
      </c>
      <c r="BY85" s="18">
        <f>NV_23[[#This Row],[Part Type]]</f>
        <v>0</v>
      </c>
      <c r="BZ85" s="18">
        <f>NV_23[[#This Row],[Part Nr.]]</f>
        <v>0</v>
      </c>
      <c r="CA85" s="18" t="str">
        <f>IF(NV_23[[#This Row],[UID]]=0,"",NV_23[[#This Row],[UID]])</f>
        <v/>
      </c>
      <c r="CE85" s="18" t="str">
        <f>IF(NV_23[[#This Row],[Status]]=0,"",NV_23[[#This Row],[Status]])</f>
        <v/>
      </c>
    </row>
    <row r="86" spans="6:83">
      <c r="F86" s="19"/>
      <c r="H86" s="53"/>
      <c r="I86" s="53"/>
      <c r="K86" s="53"/>
      <c r="M86" s="18"/>
      <c r="BU86" s="1" t="s">
        <v>71</v>
      </c>
      <c r="BV86" s="1" t="s">
        <v>18</v>
      </c>
      <c r="BW86" s="1" t="s">
        <v>308</v>
      </c>
      <c r="BY86" s="18">
        <f>NV_23[[#This Row],[Part Type]]</f>
        <v>0</v>
      </c>
      <c r="BZ86" s="18">
        <f>NV_23[[#This Row],[Part Nr.]]</f>
        <v>0</v>
      </c>
      <c r="CA86" s="18" t="str">
        <f>IF(NV_23[[#This Row],[UID]]=0,"",NV_23[[#This Row],[UID]])</f>
        <v/>
      </c>
      <c r="CE86" s="18" t="str">
        <f>IF(NV_23[[#This Row],[Status]]=0,"",NV_23[[#This Row],[Status]])</f>
        <v/>
      </c>
    </row>
    <row r="87" spans="6:83">
      <c r="F87" s="19"/>
      <c r="H87" s="53"/>
      <c r="I87" s="53"/>
      <c r="K87" s="53"/>
      <c r="M87" s="18"/>
      <c r="BU87" s="1" t="s">
        <v>71</v>
      </c>
      <c r="BV87" s="1" t="s">
        <v>18</v>
      </c>
      <c r="BW87" s="1" t="s">
        <v>308</v>
      </c>
      <c r="BY87" s="18">
        <f>NV_23[[#This Row],[Part Type]]</f>
        <v>0</v>
      </c>
      <c r="BZ87" s="18">
        <f>NV_23[[#This Row],[Part Nr.]]</f>
        <v>0</v>
      </c>
      <c r="CA87" s="18" t="str">
        <f>IF(NV_23[[#This Row],[UID]]=0,"",NV_23[[#This Row],[UID]])</f>
        <v/>
      </c>
      <c r="CE87" s="18" t="str">
        <f>IF(NV_23[[#This Row],[Status]]=0,"",NV_23[[#This Row],[Status]])</f>
        <v/>
      </c>
    </row>
    <row r="88" spans="6:83">
      <c r="F88" s="19"/>
      <c r="H88" s="53"/>
      <c r="I88" s="53"/>
      <c r="K88" s="53"/>
      <c r="M88" s="18"/>
      <c r="BU88" s="1" t="s">
        <v>71</v>
      </c>
      <c r="BV88" s="1" t="s">
        <v>18</v>
      </c>
      <c r="BW88" s="1" t="s">
        <v>308</v>
      </c>
      <c r="BY88" s="18">
        <f>NV_23[[#This Row],[Part Type]]</f>
        <v>0</v>
      </c>
      <c r="BZ88" s="18">
        <f>NV_23[[#This Row],[Part Nr.]]</f>
        <v>0</v>
      </c>
      <c r="CA88" s="18" t="str">
        <f>IF(NV_23[[#This Row],[UID]]=0,"",NV_23[[#This Row],[UID]])</f>
        <v/>
      </c>
      <c r="CE88" s="18" t="str">
        <f>IF(NV_23[[#This Row],[Status]]=0,"",NV_23[[#This Row],[Status]])</f>
        <v/>
      </c>
    </row>
    <row r="89" spans="6:83">
      <c r="F89" s="19"/>
      <c r="H89" s="53"/>
      <c r="I89" s="53"/>
      <c r="K89" s="53"/>
      <c r="M89" s="18"/>
      <c r="BU89" s="1" t="s">
        <v>71</v>
      </c>
      <c r="BV89" s="1" t="s">
        <v>18</v>
      </c>
      <c r="BW89" s="1" t="s">
        <v>308</v>
      </c>
      <c r="BY89" s="18">
        <f>NV_23[[#This Row],[Part Type]]</f>
        <v>0</v>
      </c>
      <c r="BZ89" s="18">
        <f>NV_23[[#This Row],[Part Nr.]]</f>
        <v>0</v>
      </c>
      <c r="CA89" s="18" t="str">
        <f>IF(NV_23[[#This Row],[UID]]=0,"",NV_23[[#This Row],[UID]])</f>
        <v/>
      </c>
      <c r="CE89" s="18" t="str">
        <f>IF(NV_23[[#This Row],[Status]]=0,"",NV_23[[#This Row],[Status]])</f>
        <v/>
      </c>
    </row>
    <row r="90" spans="6:83">
      <c r="F90" s="19"/>
      <c r="H90" s="53"/>
      <c r="I90" s="53"/>
      <c r="K90" s="53"/>
      <c r="M90" s="18"/>
      <c r="BU90" s="1" t="s">
        <v>71</v>
      </c>
      <c r="BV90" s="1" t="s">
        <v>18</v>
      </c>
      <c r="BW90" s="1" t="s">
        <v>308</v>
      </c>
      <c r="BY90" s="18">
        <f>NV_23[[#This Row],[Part Type]]</f>
        <v>0</v>
      </c>
      <c r="BZ90" s="18">
        <f>NV_23[[#This Row],[Part Nr.]]</f>
        <v>0</v>
      </c>
      <c r="CA90" s="18" t="str">
        <f>IF(NV_23[[#This Row],[UID]]=0,"",NV_23[[#This Row],[UID]])</f>
        <v/>
      </c>
      <c r="CE90" s="18" t="str">
        <f>IF(NV_23[[#This Row],[Status]]=0,"",NV_23[[#This Row],[Status]])</f>
        <v/>
      </c>
    </row>
    <row r="91" spans="6:83">
      <c r="F91" s="19"/>
      <c r="H91" s="53"/>
      <c r="I91" s="53"/>
      <c r="K91" s="53"/>
      <c r="M91" s="18"/>
      <c r="BU91" s="1" t="s">
        <v>71</v>
      </c>
      <c r="BV91" s="1" t="s">
        <v>18</v>
      </c>
      <c r="BW91" s="1" t="s">
        <v>308</v>
      </c>
      <c r="BY91" s="18">
        <f>NV_23[[#This Row],[Part Type]]</f>
        <v>0</v>
      </c>
      <c r="BZ91" s="18">
        <f>NV_23[[#This Row],[Part Nr.]]</f>
        <v>0</v>
      </c>
      <c r="CA91" s="18" t="str">
        <f>IF(NV_23[[#This Row],[UID]]=0,"",NV_23[[#This Row],[UID]])</f>
        <v/>
      </c>
      <c r="CE91" s="18" t="str">
        <f>IF(NV_23[[#This Row],[Status]]=0,"",NV_23[[#This Row],[Status]])</f>
        <v/>
      </c>
    </row>
    <row r="92" spans="6:83">
      <c r="F92" s="19"/>
      <c r="H92" s="53"/>
      <c r="I92" s="53"/>
      <c r="K92" s="53"/>
      <c r="M92" s="18"/>
      <c r="BU92" s="1" t="s">
        <v>71</v>
      </c>
      <c r="BV92" s="1" t="s">
        <v>18</v>
      </c>
      <c r="BW92" s="1" t="s">
        <v>308</v>
      </c>
      <c r="BY92" s="18">
        <f>NV_23[[#This Row],[Part Type]]</f>
        <v>0</v>
      </c>
      <c r="BZ92" s="18">
        <f>NV_23[[#This Row],[Part Nr.]]</f>
        <v>0</v>
      </c>
      <c r="CA92" s="18" t="str">
        <f>IF(NV_23[[#This Row],[UID]]=0,"",NV_23[[#This Row],[UID]])</f>
        <v/>
      </c>
      <c r="CE92" s="18" t="str">
        <f>IF(NV_23[[#This Row],[Status]]=0,"",NV_23[[#This Row],[Status]])</f>
        <v/>
      </c>
    </row>
    <row r="93" spans="6:83">
      <c r="F93" s="19"/>
      <c r="H93" s="53"/>
      <c r="I93" s="53"/>
      <c r="K93" s="53"/>
      <c r="M93" s="18"/>
      <c r="BU93" s="1" t="s">
        <v>71</v>
      </c>
      <c r="BV93" s="1" t="s">
        <v>18</v>
      </c>
      <c r="BW93" s="1" t="s">
        <v>308</v>
      </c>
      <c r="BY93" s="18">
        <f>NV_23[[#This Row],[Part Type]]</f>
        <v>0</v>
      </c>
      <c r="BZ93" s="18">
        <f>NV_23[[#This Row],[Part Nr.]]</f>
        <v>0</v>
      </c>
      <c r="CA93" s="18" t="str">
        <f>IF(NV_23[[#This Row],[UID]]=0,"",NV_23[[#This Row],[UID]])</f>
        <v/>
      </c>
      <c r="CE93" s="18" t="str">
        <f>IF(NV_23[[#This Row],[Status]]=0,"",NV_23[[#This Row],[Status]])</f>
        <v/>
      </c>
    </row>
    <row r="94" spans="6:83">
      <c r="F94" s="19"/>
      <c r="H94" s="53"/>
      <c r="I94" s="53"/>
      <c r="K94" s="53"/>
      <c r="M94" s="18"/>
      <c r="BU94" s="1" t="s">
        <v>71</v>
      </c>
      <c r="BV94" s="1" t="s">
        <v>18</v>
      </c>
      <c r="BW94" s="1" t="s">
        <v>308</v>
      </c>
      <c r="BY94" s="18">
        <f>NV_23[[#This Row],[Part Type]]</f>
        <v>0</v>
      </c>
      <c r="BZ94" s="18">
        <f>NV_23[[#This Row],[Part Nr.]]</f>
        <v>0</v>
      </c>
      <c r="CA94" s="18" t="str">
        <f>IF(NV_23[[#This Row],[UID]]=0,"",NV_23[[#This Row],[UID]])</f>
        <v/>
      </c>
      <c r="CE94" s="18" t="str">
        <f>IF(NV_23[[#This Row],[Status]]=0,"",NV_23[[#This Row],[Status]])</f>
        <v/>
      </c>
    </row>
    <row r="95" spans="6:83">
      <c r="F95" s="19"/>
      <c r="H95" s="53"/>
      <c r="I95" s="53"/>
      <c r="K95" s="53"/>
      <c r="M95" s="18"/>
      <c r="BU95" s="1" t="s">
        <v>71</v>
      </c>
      <c r="BV95" s="1" t="s">
        <v>18</v>
      </c>
      <c r="BW95" s="1" t="s">
        <v>308</v>
      </c>
      <c r="BY95" s="18">
        <f>NV_23[[#This Row],[Part Type]]</f>
        <v>0</v>
      </c>
      <c r="BZ95" s="18">
        <f>NV_23[[#This Row],[Part Nr.]]</f>
        <v>0</v>
      </c>
      <c r="CA95" s="18" t="str">
        <f>IF(NV_23[[#This Row],[UID]]=0,"",NV_23[[#This Row],[UID]])</f>
        <v/>
      </c>
      <c r="CE95" s="18" t="str">
        <f>IF(NV_23[[#This Row],[Status]]=0,"",NV_23[[#This Row],[Status]])</f>
        <v/>
      </c>
    </row>
    <row r="96" spans="6:83">
      <c r="F96" s="19"/>
      <c r="H96" s="53"/>
      <c r="I96" s="53"/>
      <c r="K96" s="53"/>
      <c r="M96" s="18"/>
      <c r="BU96" s="1" t="s">
        <v>71</v>
      </c>
      <c r="BV96" s="1" t="s">
        <v>18</v>
      </c>
      <c r="BW96" s="1" t="s">
        <v>308</v>
      </c>
      <c r="BY96" s="18">
        <f>NV_23[[#This Row],[Part Type]]</f>
        <v>0</v>
      </c>
      <c r="BZ96" s="18">
        <f>NV_23[[#This Row],[Part Nr.]]</f>
        <v>0</v>
      </c>
      <c r="CA96" s="18" t="str">
        <f>IF(NV_23[[#This Row],[UID]]=0,"",NV_23[[#This Row],[UID]])</f>
        <v/>
      </c>
      <c r="CE96" s="18" t="str">
        <f>IF(NV_23[[#This Row],[Status]]=0,"",NV_23[[#This Row],[Status]])</f>
        <v/>
      </c>
    </row>
    <row r="97" spans="6:83">
      <c r="F97" s="19"/>
      <c r="H97" s="53"/>
      <c r="I97" s="53"/>
      <c r="K97" s="53"/>
      <c r="M97" s="18"/>
      <c r="BU97" s="1" t="s">
        <v>71</v>
      </c>
      <c r="BV97" s="1" t="s">
        <v>18</v>
      </c>
      <c r="BW97" s="1" t="s">
        <v>308</v>
      </c>
      <c r="BY97" s="18">
        <f>NV_23[[#This Row],[Part Type]]</f>
        <v>0</v>
      </c>
      <c r="BZ97" s="18">
        <f>NV_23[[#This Row],[Part Nr.]]</f>
        <v>0</v>
      </c>
      <c r="CA97" s="18" t="str">
        <f>IF(NV_23[[#This Row],[UID]]=0,"",NV_23[[#This Row],[UID]])</f>
        <v/>
      </c>
      <c r="CE97" s="18" t="str">
        <f>IF(NV_23[[#This Row],[Status]]=0,"",NV_23[[#This Row],[Status]])</f>
        <v/>
      </c>
    </row>
    <row r="98" spans="6:83">
      <c r="F98" s="19"/>
      <c r="H98" s="53"/>
      <c r="I98" s="53"/>
      <c r="K98" s="53"/>
      <c r="M98" s="18"/>
      <c r="BU98" s="1" t="s">
        <v>71</v>
      </c>
      <c r="BV98" s="1" t="s">
        <v>18</v>
      </c>
      <c r="BW98" s="1" t="s">
        <v>308</v>
      </c>
      <c r="BY98" s="18">
        <f>NV_23[[#This Row],[Part Type]]</f>
        <v>0</v>
      </c>
      <c r="BZ98" s="18">
        <f>NV_23[[#This Row],[Part Nr.]]</f>
        <v>0</v>
      </c>
      <c r="CA98" s="18" t="str">
        <f>IF(NV_23[[#This Row],[UID]]=0,"",NV_23[[#This Row],[UID]])</f>
        <v/>
      </c>
      <c r="CE98" s="18" t="str">
        <f>IF(NV_23[[#This Row],[Status]]=0,"",NV_23[[#This Row],[Status]])</f>
        <v/>
      </c>
    </row>
    <row r="99" spans="6:83">
      <c r="F99" s="19"/>
      <c r="H99" s="53"/>
      <c r="I99" s="53"/>
      <c r="K99" s="53"/>
      <c r="M99" s="18"/>
      <c r="BU99" s="1" t="s">
        <v>71</v>
      </c>
      <c r="BV99" s="1" t="s">
        <v>18</v>
      </c>
      <c r="BW99" s="1" t="s">
        <v>308</v>
      </c>
      <c r="BY99" s="18">
        <f>NV_23[[#This Row],[Part Type]]</f>
        <v>0</v>
      </c>
      <c r="BZ99" s="18">
        <f>NV_23[[#This Row],[Part Nr.]]</f>
        <v>0</v>
      </c>
      <c r="CA99" s="18" t="str">
        <f>IF(NV_23[[#This Row],[UID]]=0,"",NV_23[[#This Row],[UID]])</f>
        <v/>
      </c>
      <c r="CE99" s="18" t="str">
        <f>IF(NV_23[[#This Row],[Status]]=0,"",NV_23[[#This Row],[Status]])</f>
        <v/>
      </c>
    </row>
    <row r="100" spans="6:83">
      <c r="F100" s="19"/>
      <c r="H100" s="53"/>
      <c r="I100" s="53"/>
      <c r="K100" s="53"/>
      <c r="M100" s="18"/>
      <c r="BU100" s="1" t="s">
        <v>71</v>
      </c>
      <c r="BV100" s="1" t="s">
        <v>18</v>
      </c>
      <c r="BW100" s="1" t="s">
        <v>308</v>
      </c>
      <c r="BY100" s="18">
        <f>NV_23[[#This Row],[Part Type]]</f>
        <v>0</v>
      </c>
      <c r="BZ100" s="18">
        <f>NV_23[[#This Row],[Part Nr.]]</f>
        <v>0</v>
      </c>
      <c r="CA100" s="18" t="str">
        <f>IF(NV_23[[#This Row],[UID]]=0,"",NV_23[[#This Row],[UID]])</f>
        <v/>
      </c>
      <c r="CE100" s="18" t="str">
        <f>IF(NV_23[[#This Row],[Status]]=0,"",NV_23[[#This Row],[Status]])</f>
        <v/>
      </c>
    </row>
    <row r="101" spans="6:83">
      <c r="F101" s="19"/>
      <c r="H101" s="53"/>
      <c r="I101" s="53"/>
      <c r="K101" s="53"/>
      <c r="M101" s="18"/>
      <c r="BU101" s="1" t="s">
        <v>71</v>
      </c>
      <c r="BV101" s="1" t="s">
        <v>18</v>
      </c>
      <c r="BW101" s="1" t="s">
        <v>308</v>
      </c>
      <c r="BY101" s="18">
        <f>NV_23[[#This Row],[Part Type]]</f>
        <v>0</v>
      </c>
      <c r="BZ101" s="18">
        <f>NV_23[[#This Row],[Part Nr.]]</f>
        <v>0</v>
      </c>
      <c r="CA101" s="18" t="str">
        <f>IF(NV_23[[#This Row],[UID]]=0,"",NV_23[[#This Row],[UID]])</f>
        <v/>
      </c>
      <c r="CE101" s="18" t="str">
        <f>IF(NV_23[[#This Row],[Status]]=0,"",NV_23[[#This Row],[Status]])</f>
        <v/>
      </c>
    </row>
    <row r="102" spans="6:83">
      <c r="F102" s="19"/>
      <c r="H102" s="53"/>
      <c r="I102" s="53"/>
      <c r="K102" s="53"/>
      <c r="M102" s="18"/>
      <c r="BU102" s="1" t="s">
        <v>71</v>
      </c>
      <c r="BV102" s="1" t="s">
        <v>18</v>
      </c>
      <c r="BW102" s="1" t="s">
        <v>308</v>
      </c>
      <c r="BY102" s="18">
        <f>NV_23[[#This Row],[Part Type]]</f>
        <v>0</v>
      </c>
      <c r="BZ102" s="18">
        <f>NV_23[[#This Row],[Part Nr.]]</f>
        <v>0</v>
      </c>
      <c r="CA102" s="18" t="str">
        <f>IF(NV_23[[#This Row],[UID]]=0,"",NV_23[[#This Row],[UID]])</f>
        <v/>
      </c>
      <c r="CE102" s="18" t="str">
        <f>IF(NV_23[[#This Row],[Status]]=0,"",NV_23[[#This Row],[Status]])</f>
        <v/>
      </c>
    </row>
    <row r="103" spans="6:83">
      <c r="F103" s="19"/>
      <c r="H103" s="53"/>
      <c r="I103" s="53"/>
      <c r="K103" s="53"/>
      <c r="M103" s="18"/>
      <c r="BU103" s="1" t="s">
        <v>71</v>
      </c>
      <c r="BV103" s="1" t="s">
        <v>18</v>
      </c>
      <c r="BW103" s="1" t="s">
        <v>308</v>
      </c>
      <c r="BY103" s="18">
        <f>NV_23[[#This Row],[Part Type]]</f>
        <v>0</v>
      </c>
      <c r="BZ103" s="18">
        <f>NV_23[[#This Row],[Part Nr.]]</f>
        <v>0</v>
      </c>
      <c r="CA103" s="18" t="str">
        <f>IF(NV_23[[#This Row],[UID]]=0,"",NV_23[[#This Row],[UID]])</f>
        <v/>
      </c>
      <c r="CE103" s="18" t="str">
        <f>IF(NV_23[[#This Row],[Status]]=0,"",NV_23[[#This Row],[Status]])</f>
        <v/>
      </c>
    </row>
    <row r="104" spans="6:83">
      <c r="F104" s="19"/>
      <c r="H104" s="53"/>
      <c r="I104" s="53"/>
      <c r="K104" s="53"/>
      <c r="M104" s="18"/>
      <c r="BU104" s="1" t="s">
        <v>71</v>
      </c>
      <c r="BV104" s="1" t="s">
        <v>18</v>
      </c>
      <c r="BW104" s="1" t="s">
        <v>308</v>
      </c>
      <c r="BY104" s="18">
        <f>NV_23[[#This Row],[Part Type]]</f>
        <v>0</v>
      </c>
      <c r="BZ104" s="18">
        <f>NV_23[[#This Row],[Part Nr.]]</f>
        <v>0</v>
      </c>
      <c r="CA104" s="18" t="str">
        <f>IF(NV_23[[#This Row],[UID]]=0,"",NV_23[[#This Row],[UID]])</f>
        <v/>
      </c>
      <c r="CE104" s="18" t="str">
        <f>IF(NV_23[[#This Row],[Status]]=0,"",NV_23[[#This Row],[Status]])</f>
        <v/>
      </c>
    </row>
    <row r="105" spans="6:83">
      <c r="F105" s="19"/>
      <c r="H105" s="53"/>
      <c r="I105" s="53"/>
      <c r="K105" s="53"/>
      <c r="M105" s="18"/>
      <c r="BU105" s="1" t="s">
        <v>71</v>
      </c>
      <c r="BV105" s="1" t="s">
        <v>18</v>
      </c>
      <c r="BW105" s="1" t="s">
        <v>308</v>
      </c>
      <c r="BY105" s="18">
        <f>NV_23[[#This Row],[Part Type]]</f>
        <v>0</v>
      </c>
      <c r="BZ105" s="18">
        <f>NV_23[[#This Row],[Part Nr.]]</f>
        <v>0</v>
      </c>
      <c r="CA105" s="18" t="str">
        <f>IF(NV_23[[#This Row],[UID]]=0,"",NV_23[[#This Row],[UID]])</f>
        <v/>
      </c>
      <c r="CE105" s="18" t="str">
        <f>IF(NV_23[[#This Row],[Status]]=0,"",NV_23[[#This Row],[Status]])</f>
        <v/>
      </c>
    </row>
    <row r="106" spans="6:83">
      <c r="F106" s="19"/>
      <c r="H106" s="53"/>
      <c r="I106" s="53"/>
      <c r="K106" s="53"/>
      <c r="M106" s="18"/>
      <c r="BU106" s="1" t="s">
        <v>71</v>
      </c>
      <c r="BV106" s="1" t="s">
        <v>18</v>
      </c>
      <c r="BW106" s="1" t="s">
        <v>308</v>
      </c>
      <c r="BY106" s="18">
        <f>NV_23[[#This Row],[Part Type]]</f>
        <v>0</v>
      </c>
      <c r="BZ106" s="18">
        <f>NV_23[[#This Row],[Part Nr.]]</f>
        <v>0</v>
      </c>
      <c r="CA106" s="18" t="str">
        <f>IF(NV_23[[#This Row],[UID]]=0,"",NV_23[[#This Row],[UID]])</f>
        <v/>
      </c>
      <c r="CE106" s="18" t="str">
        <f>IF(NV_23[[#This Row],[Status]]=0,"",NV_23[[#This Row],[Status]])</f>
        <v/>
      </c>
    </row>
    <row r="107" spans="6:83">
      <c r="F107" s="19"/>
      <c r="H107" s="53"/>
      <c r="I107" s="53"/>
      <c r="K107" s="53"/>
      <c r="M107" s="18"/>
      <c r="BU107" s="1" t="s">
        <v>71</v>
      </c>
      <c r="BV107" s="1" t="s">
        <v>18</v>
      </c>
      <c r="BW107" s="1" t="s">
        <v>308</v>
      </c>
      <c r="BY107" s="18">
        <f>NV_23[[#This Row],[Part Type]]</f>
        <v>0</v>
      </c>
      <c r="BZ107" s="18">
        <f>NV_23[[#This Row],[Part Nr.]]</f>
        <v>0</v>
      </c>
      <c r="CA107" s="18" t="str">
        <f>IF(NV_23[[#This Row],[UID]]=0,"",NV_23[[#This Row],[UID]])</f>
        <v/>
      </c>
      <c r="CE107" s="18" t="str">
        <f>IF(NV_23[[#This Row],[Status]]=0,"",NV_23[[#This Row],[Status]])</f>
        <v/>
      </c>
    </row>
    <row r="108" spans="6:83">
      <c r="F108" s="19"/>
      <c r="H108" s="53"/>
      <c r="I108" s="53"/>
      <c r="K108" s="53"/>
      <c r="M108" s="18"/>
      <c r="BU108" s="1" t="s">
        <v>71</v>
      </c>
      <c r="BV108" s="1" t="s">
        <v>18</v>
      </c>
      <c r="BW108" s="1" t="s">
        <v>308</v>
      </c>
      <c r="BY108" s="18">
        <f>NV_23[[#This Row],[Part Type]]</f>
        <v>0</v>
      </c>
      <c r="BZ108" s="18">
        <f>NV_23[[#This Row],[Part Nr.]]</f>
        <v>0</v>
      </c>
      <c r="CA108" s="18" t="str">
        <f>IF(NV_23[[#This Row],[UID]]=0,"",NV_23[[#This Row],[UID]])</f>
        <v/>
      </c>
      <c r="CE108" s="18" t="str">
        <f>IF(NV_23[[#This Row],[Status]]=0,"",NV_23[[#This Row],[Status]])</f>
        <v/>
      </c>
    </row>
    <row r="109" spans="6:83">
      <c r="F109" s="19"/>
      <c r="H109" s="53"/>
      <c r="I109" s="53"/>
      <c r="K109" s="53"/>
      <c r="M109" s="18"/>
      <c r="BU109" s="1" t="s">
        <v>71</v>
      </c>
      <c r="BV109" s="1" t="s">
        <v>18</v>
      </c>
      <c r="BW109" s="1" t="s">
        <v>308</v>
      </c>
      <c r="BY109" s="18">
        <f>NV_23[[#This Row],[Part Type]]</f>
        <v>0</v>
      </c>
      <c r="BZ109" s="18">
        <f>NV_23[[#This Row],[Part Nr.]]</f>
        <v>0</v>
      </c>
      <c r="CA109" s="18" t="str">
        <f>IF(NV_23[[#This Row],[UID]]=0,"",NV_23[[#This Row],[UID]])</f>
        <v/>
      </c>
      <c r="CE109" s="18" t="str">
        <f>IF(NV_23[[#This Row],[Status]]=0,"",NV_23[[#This Row],[Status]])</f>
        <v/>
      </c>
    </row>
    <row r="110" spans="6:83">
      <c r="F110" s="19"/>
      <c r="H110" s="53"/>
      <c r="I110" s="53"/>
      <c r="K110" s="53"/>
      <c r="M110" s="18"/>
      <c r="BU110" s="1" t="s">
        <v>71</v>
      </c>
      <c r="BV110" s="1" t="s">
        <v>18</v>
      </c>
      <c r="BW110" s="1" t="s">
        <v>308</v>
      </c>
      <c r="BY110" s="18">
        <f>NV_23[[#This Row],[Part Type]]</f>
        <v>0</v>
      </c>
      <c r="BZ110" s="18">
        <f>NV_23[[#This Row],[Part Nr.]]</f>
        <v>0</v>
      </c>
      <c r="CA110" s="18" t="str">
        <f>IF(NV_23[[#This Row],[UID]]=0,"",NV_23[[#This Row],[UID]])</f>
        <v/>
      </c>
      <c r="CE110" s="18" t="str">
        <f>IF(NV_23[[#This Row],[Status]]=0,"",NV_23[[#This Row],[Status]])</f>
        <v/>
      </c>
    </row>
    <row r="111" spans="6:83">
      <c r="F111" s="19"/>
      <c r="H111" s="53"/>
      <c r="I111" s="53"/>
      <c r="K111" s="53"/>
      <c r="M111" s="18"/>
      <c r="BU111" s="1" t="s">
        <v>71</v>
      </c>
      <c r="BV111" s="1" t="s">
        <v>18</v>
      </c>
      <c r="BW111" s="1" t="s">
        <v>308</v>
      </c>
      <c r="BY111" s="18">
        <f>NV_23[[#This Row],[Part Type]]</f>
        <v>0</v>
      </c>
      <c r="BZ111" s="18">
        <f>NV_23[[#This Row],[Part Nr.]]</f>
        <v>0</v>
      </c>
      <c r="CA111" s="18" t="str">
        <f>IF(NV_23[[#This Row],[UID]]=0,"",NV_23[[#This Row],[UID]])</f>
        <v/>
      </c>
      <c r="CE111" s="18" t="str">
        <f>IF(NV_23[[#This Row],[Status]]=0,"",NV_23[[#This Row],[Status]])</f>
        <v/>
      </c>
    </row>
    <row r="112" spans="6:83">
      <c r="F112" s="19"/>
      <c r="H112" s="53"/>
      <c r="I112" s="53"/>
      <c r="K112" s="53"/>
      <c r="M112" s="18"/>
      <c r="BU112" s="1" t="s">
        <v>71</v>
      </c>
      <c r="BV112" s="1" t="s">
        <v>18</v>
      </c>
      <c r="BW112" s="1" t="s">
        <v>308</v>
      </c>
      <c r="BY112" s="18">
        <f>NV_23[[#This Row],[Part Type]]</f>
        <v>0</v>
      </c>
      <c r="BZ112" s="18">
        <f>NV_23[[#This Row],[Part Nr.]]</f>
        <v>0</v>
      </c>
      <c r="CA112" s="18" t="str">
        <f>IF(NV_23[[#This Row],[UID]]=0,"",NV_23[[#This Row],[UID]])</f>
        <v/>
      </c>
      <c r="CE112" s="18" t="str">
        <f>IF(NV_23[[#This Row],[Status]]=0,"",NV_23[[#This Row],[Status]])</f>
        <v/>
      </c>
    </row>
    <row r="113" spans="6:83">
      <c r="F113" s="19"/>
      <c r="H113" s="53"/>
      <c r="I113" s="53"/>
      <c r="K113" s="53"/>
      <c r="M113" s="18"/>
      <c r="BU113" s="1" t="s">
        <v>71</v>
      </c>
      <c r="BV113" s="1" t="s">
        <v>18</v>
      </c>
      <c r="BW113" s="1" t="s">
        <v>308</v>
      </c>
      <c r="BY113" s="18">
        <f>NV_23[[#This Row],[Part Type]]</f>
        <v>0</v>
      </c>
      <c r="BZ113" s="18">
        <f>NV_23[[#This Row],[Part Nr.]]</f>
        <v>0</v>
      </c>
      <c r="CA113" s="18" t="str">
        <f>IF(NV_23[[#This Row],[UID]]=0,"",NV_23[[#This Row],[UID]])</f>
        <v/>
      </c>
      <c r="CE113" s="18" t="str">
        <f>IF(NV_23[[#This Row],[Status]]=0,"",NV_23[[#This Row],[Status]])</f>
        <v/>
      </c>
    </row>
    <row r="114" spans="6:83">
      <c r="F114" s="19"/>
      <c r="H114" s="53"/>
      <c r="I114" s="53"/>
      <c r="K114" s="53"/>
      <c r="M114" s="18"/>
      <c r="BU114" s="1" t="s">
        <v>71</v>
      </c>
      <c r="BV114" s="1" t="s">
        <v>18</v>
      </c>
      <c r="BW114" s="1" t="s">
        <v>308</v>
      </c>
      <c r="BY114" s="18">
        <f>NV_23[[#This Row],[Part Type]]</f>
        <v>0</v>
      </c>
      <c r="BZ114" s="18">
        <f>NV_23[[#This Row],[Part Nr.]]</f>
        <v>0</v>
      </c>
      <c r="CA114" s="18" t="str">
        <f>IF(NV_23[[#This Row],[UID]]=0,"",NV_23[[#This Row],[UID]])</f>
        <v/>
      </c>
      <c r="CE114" s="18" t="str">
        <f>IF(NV_23[[#This Row],[Status]]=0,"",NV_23[[#This Row],[Status]])</f>
        <v/>
      </c>
    </row>
    <row r="115" spans="6:83">
      <c r="F115" s="19"/>
      <c r="H115" s="53"/>
      <c r="I115" s="53"/>
      <c r="K115" s="53"/>
      <c r="M115" s="18"/>
      <c r="BU115" s="1" t="s">
        <v>71</v>
      </c>
      <c r="BV115" s="1" t="s">
        <v>18</v>
      </c>
      <c r="BW115" s="1" t="s">
        <v>308</v>
      </c>
      <c r="BY115" s="18">
        <f>NV_23[[#This Row],[Part Type]]</f>
        <v>0</v>
      </c>
      <c r="BZ115" s="18">
        <f>NV_23[[#This Row],[Part Nr.]]</f>
        <v>0</v>
      </c>
      <c r="CA115" s="18" t="str">
        <f>IF(NV_23[[#This Row],[UID]]=0,"",NV_23[[#This Row],[UID]])</f>
        <v/>
      </c>
      <c r="CE115" s="18" t="str">
        <f>IF(NV_23[[#This Row],[Status]]=0,"",NV_23[[#This Row],[Status]])</f>
        <v/>
      </c>
    </row>
    <row r="116" spans="6:83">
      <c r="F116" s="19"/>
      <c r="H116" s="53"/>
      <c r="I116" s="53"/>
      <c r="K116" s="53"/>
      <c r="M116" s="18"/>
      <c r="BU116" s="1" t="s">
        <v>71</v>
      </c>
      <c r="BV116" s="1" t="s">
        <v>18</v>
      </c>
      <c r="BW116" s="1" t="s">
        <v>308</v>
      </c>
      <c r="BY116" s="18">
        <f>NV_23[[#This Row],[Part Type]]</f>
        <v>0</v>
      </c>
      <c r="BZ116" s="18">
        <f>NV_23[[#This Row],[Part Nr.]]</f>
        <v>0</v>
      </c>
      <c r="CA116" s="18" t="str">
        <f>IF(NV_23[[#This Row],[UID]]=0,"",NV_23[[#This Row],[UID]])</f>
        <v/>
      </c>
      <c r="CE116" s="18" t="str">
        <f>IF(NV_23[[#This Row],[Status]]=0,"",NV_23[[#This Row],[Status]])</f>
        <v/>
      </c>
    </row>
    <row r="117" spans="6:83">
      <c r="F117" s="19"/>
      <c r="H117" s="53"/>
      <c r="I117" s="53"/>
      <c r="K117" s="53"/>
      <c r="M117" s="18"/>
      <c r="BU117" s="1" t="s">
        <v>71</v>
      </c>
      <c r="BV117" s="1" t="s">
        <v>18</v>
      </c>
      <c r="BW117" s="1" t="s">
        <v>308</v>
      </c>
      <c r="BY117" s="18">
        <f>NV_23[[#This Row],[Part Type]]</f>
        <v>0</v>
      </c>
      <c r="BZ117" s="18">
        <f>NV_23[[#This Row],[Part Nr.]]</f>
        <v>0</v>
      </c>
      <c r="CA117" s="18" t="str">
        <f>IF(NV_23[[#This Row],[UID]]=0,"",NV_23[[#This Row],[UID]])</f>
        <v/>
      </c>
      <c r="CE117" s="18" t="str">
        <f>IF(NV_23[[#This Row],[Status]]=0,"",NV_23[[#This Row],[Status]])</f>
        <v/>
      </c>
    </row>
    <row r="118" spans="6:83">
      <c r="F118" s="19"/>
      <c r="H118" s="53"/>
      <c r="I118" s="53"/>
      <c r="K118" s="53"/>
      <c r="M118" s="18"/>
      <c r="BU118" s="1" t="s">
        <v>71</v>
      </c>
      <c r="BV118" s="1" t="s">
        <v>18</v>
      </c>
      <c r="BW118" s="1" t="s">
        <v>308</v>
      </c>
      <c r="BY118" s="18">
        <f>NV_23[[#This Row],[Part Type]]</f>
        <v>0</v>
      </c>
      <c r="BZ118" s="18">
        <f>NV_23[[#This Row],[Part Nr.]]</f>
        <v>0</v>
      </c>
      <c r="CA118" s="18" t="str">
        <f>IF(NV_23[[#This Row],[UID]]=0,"",NV_23[[#This Row],[UID]])</f>
        <v/>
      </c>
      <c r="CE118" s="18" t="str">
        <f>IF(NV_23[[#This Row],[Status]]=0,"",NV_23[[#This Row],[Status]])</f>
        <v/>
      </c>
    </row>
    <row r="119" spans="6:83">
      <c r="F119" s="19"/>
      <c r="H119" s="53"/>
      <c r="I119" s="53"/>
      <c r="K119" s="53"/>
      <c r="M119" s="18"/>
      <c r="BU119" s="1" t="s">
        <v>71</v>
      </c>
      <c r="BV119" s="1" t="s">
        <v>18</v>
      </c>
      <c r="BW119" s="1" t="s">
        <v>308</v>
      </c>
      <c r="BY119" s="18">
        <f>NV_23[[#This Row],[Part Type]]</f>
        <v>0</v>
      </c>
      <c r="BZ119" s="18">
        <f>NV_23[[#This Row],[Part Nr.]]</f>
        <v>0</v>
      </c>
      <c r="CA119" s="18" t="str">
        <f>IF(NV_23[[#This Row],[UID]]=0,"",NV_23[[#This Row],[UID]])</f>
        <v/>
      </c>
      <c r="CE119" s="18" t="str">
        <f>IF(NV_23[[#This Row],[Status]]=0,"",NV_23[[#This Row],[Status]])</f>
        <v/>
      </c>
    </row>
    <row r="120" spans="6:83">
      <c r="F120" s="19"/>
      <c r="H120" s="53"/>
      <c r="I120" s="53"/>
      <c r="K120" s="53"/>
      <c r="M120" s="18"/>
      <c r="BU120" s="1" t="s">
        <v>71</v>
      </c>
      <c r="BV120" s="1" t="s">
        <v>18</v>
      </c>
      <c r="BW120" s="1" t="s">
        <v>308</v>
      </c>
      <c r="BY120" s="18">
        <f>NV_23[[#This Row],[Part Type]]</f>
        <v>0</v>
      </c>
      <c r="BZ120" s="18">
        <f>NV_23[[#This Row],[Part Nr.]]</f>
        <v>0</v>
      </c>
      <c r="CA120" s="18" t="str">
        <f>IF(NV_23[[#This Row],[UID]]=0,"",NV_23[[#This Row],[UID]])</f>
        <v/>
      </c>
      <c r="CE120" s="18" t="str">
        <f>IF(NV_23[[#This Row],[Status]]=0,"",NV_23[[#This Row],[Status]])</f>
        <v/>
      </c>
    </row>
    <row r="121" spans="6:83">
      <c r="F121" s="19"/>
      <c r="H121" s="53"/>
      <c r="I121" s="53"/>
      <c r="K121" s="53"/>
      <c r="M121" s="18"/>
      <c r="BU121" s="1" t="s">
        <v>71</v>
      </c>
      <c r="BV121" s="1" t="s">
        <v>18</v>
      </c>
      <c r="BW121" s="1" t="s">
        <v>308</v>
      </c>
      <c r="BY121" s="18">
        <f>NV_23[[#This Row],[Part Type]]</f>
        <v>0</v>
      </c>
      <c r="BZ121" s="18">
        <f>NV_23[[#This Row],[Part Nr.]]</f>
        <v>0</v>
      </c>
      <c r="CA121" s="18" t="str">
        <f>IF(NV_23[[#This Row],[UID]]=0,"",NV_23[[#This Row],[UID]])</f>
        <v/>
      </c>
      <c r="CE121" s="18" t="str">
        <f>IF(NV_23[[#This Row],[Status]]=0,"",NV_23[[#This Row],[Status]])</f>
        <v/>
      </c>
    </row>
    <row r="122" spans="6:83">
      <c r="F122" s="19"/>
      <c r="H122" s="53"/>
      <c r="I122" s="53"/>
      <c r="K122" s="53"/>
      <c r="M122" s="18"/>
      <c r="BU122" s="1" t="s">
        <v>71</v>
      </c>
      <c r="BV122" s="1" t="s">
        <v>18</v>
      </c>
      <c r="BW122" s="1" t="s">
        <v>308</v>
      </c>
      <c r="BY122" s="18">
        <f>NV_23[[#This Row],[Part Type]]</f>
        <v>0</v>
      </c>
      <c r="BZ122" s="18">
        <f>NV_23[[#This Row],[Part Nr.]]</f>
        <v>0</v>
      </c>
      <c r="CA122" s="18" t="str">
        <f>IF(NV_23[[#This Row],[UID]]=0,"",NV_23[[#This Row],[UID]])</f>
        <v/>
      </c>
      <c r="CE122" s="18" t="str">
        <f>IF(NV_23[[#This Row],[Status]]=0,"",NV_23[[#This Row],[Status]])</f>
        <v/>
      </c>
    </row>
    <row r="123" spans="6:83">
      <c r="F123" s="19"/>
      <c r="H123" s="53"/>
      <c r="I123" s="53"/>
      <c r="K123" s="53"/>
      <c r="M123" s="18"/>
      <c r="BU123" s="1" t="s">
        <v>71</v>
      </c>
      <c r="BV123" s="1" t="s">
        <v>18</v>
      </c>
      <c r="BW123" s="1" t="s">
        <v>308</v>
      </c>
      <c r="BY123" s="18">
        <f>NV_23[[#This Row],[Part Type]]</f>
        <v>0</v>
      </c>
      <c r="BZ123" s="18">
        <f>NV_23[[#This Row],[Part Nr.]]</f>
        <v>0</v>
      </c>
      <c r="CA123" s="18" t="str">
        <f>IF(NV_23[[#This Row],[UID]]=0,"",NV_23[[#This Row],[UID]])</f>
        <v/>
      </c>
      <c r="CE123" s="18" t="str">
        <f>IF(NV_23[[#This Row],[Status]]=0,"",NV_23[[#This Row],[Status]])</f>
        <v/>
      </c>
    </row>
    <row r="124" spans="6:83">
      <c r="F124" s="19"/>
      <c r="H124" s="53"/>
      <c r="I124" s="53"/>
      <c r="K124" s="53"/>
      <c r="M124" s="18"/>
      <c r="BU124" s="1" t="s">
        <v>71</v>
      </c>
      <c r="BV124" s="1" t="s">
        <v>18</v>
      </c>
      <c r="BW124" s="1" t="s">
        <v>308</v>
      </c>
      <c r="BY124" s="18">
        <f>NV_23[[#This Row],[Part Type]]</f>
        <v>0</v>
      </c>
      <c r="BZ124" s="18">
        <f>NV_23[[#This Row],[Part Nr.]]</f>
        <v>0</v>
      </c>
      <c r="CA124" s="18" t="str">
        <f>IF(NV_23[[#This Row],[UID]]=0,"",NV_23[[#This Row],[UID]])</f>
        <v/>
      </c>
      <c r="CE124" s="18" t="str">
        <f>IF(NV_23[[#This Row],[Status]]=0,"",NV_23[[#This Row],[Status]])</f>
        <v/>
      </c>
    </row>
    <row r="125" spans="6:83">
      <c r="F125" s="19"/>
      <c r="H125" s="53"/>
      <c r="I125" s="53"/>
      <c r="K125" s="53"/>
      <c r="M125" s="18"/>
      <c r="BU125" s="1" t="s">
        <v>71</v>
      </c>
      <c r="BV125" s="1" t="s">
        <v>18</v>
      </c>
      <c r="BW125" s="1" t="s">
        <v>308</v>
      </c>
      <c r="BY125" s="18">
        <f>NV_23[[#This Row],[Part Type]]</f>
        <v>0</v>
      </c>
      <c r="BZ125" s="18">
        <f>NV_23[[#This Row],[Part Nr.]]</f>
        <v>0</v>
      </c>
      <c r="CA125" s="18" t="str">
        <f>IF(NV_23[[#This Row],[UID]]=0,"",NV_23[[#This Row],[UID]])</f>
        <v/>
      </c>
      <c r="CE125" s="18" t="str">
        <f>IF(NV_23[[#This Row],[Status]]=0,"",NV_23[[#This Row],[Status]])</f>
        <v/>
      </c>
    </row>
    <row r="126" spans="6:83">
      <c r="F126" s="19"/>
      <c r="H126" s="53"/>
      <c r="I126" s="53"/>
      <c r="K126" s="53"/>
      <c r="M126" s="18"/>
      <c r="BU126" s="1" t="s">
        <v>71</v>
      </c>
      <c r="BV126" s="1" t="s">
        <v>18</v>
      </c>
      <c r="BW126" s="1" t="s">
        <v>308</v>
      </c>
      <c r="BY126" s="18">
        <f>NV_23[[#This Row],[Part Type]]</f>
        <v>0</v>
      </c>
      <c r="BZ126" s="18">
        <f>NV_23[[#This Row],[Part Nr.]]</f>
        <v>0</v>
      </c>
      <c r="CA126" s="18" t="str">
        <f>IF(NV_23[[#This Row],[UID]]=0,"",NV_23[[#This Row],[UID]])</f>
        <v/>
      </c>
      <c r="CE126" s="18" t="str">
        <f>IF(NV_23[[#This Row],[Status]]=0,"",NV_23[[#This Row],[Status]])</f>
        <v/>
      </c>
    </row>
    <row r="127" spans="6:83">
      <c r="F127" s="19"/>
      <c r="H127" s="53"/>
      <c r="I127" s="53"/>
      <c r="K127" s="53"/>
      <c r="M127" s="18"/>
      <c r="BU127" s="1" t="s">
        <v>71</v>
      </c>
      <c r="BV127" s="1" t="s">
        <v>18</v>
      </c>
      <c r="BW127" s="1" t="s">
        <v>308</v>
      </c>
      <c r="BY127" s="18">
        <f>NV_23[[#This Row],[Part Type]]</f>
        <v>0</v>
      </c>
      <c r="BZ127" s="18">
        <f>NV_23[[#This Row],[Part Nr.]]</f>
        <v>0</v>
      </c>
      <c r="CA127" s="18" t="str">
        <f>IF(NV_23[[#This Row],[UID]]=0,"",NV_23[[#This Row],[UID]])</f>
        <v/>
      </c>
      <c r="CE127" s="18" t="str">
        <f>IF(NV_23[[#This Row],[Status]]=0,"",NV_23[[#This Row],[Status]])</f>
        <v/>
      </c>
    </row>
    <row r="128" spans="6:83">
      <c r="F128" s="19"/>
      <c r="H128" s="53"/>
      <c r="I128" s="53"/>
      <c r="K128" s="53"/>
      <c r="M128" s="18"/>
      <c r="BU128" s="1" t="s">
        <v>71</v>
      </c>
      <c r="BV128" s="1" t="s">
        <v>18</v>
      </c>
      <c r="BW128" s="1" t="s">
        <v>308</v>
      </c>
      <c r="BY128" s="18">
        <f>NV_23[[#This Row],[Part Type]]</f>
        <v>0</v>
      </c>
      <c r="BZ128" s="18">
        <f>NV_23[[#This Row],[Part Nr.]]</f>
        <v>0</v>
      </c>
      <c r="CA128" s="18" t="str">
        <f>IF(NV_23[[#This Row],[UID]]=0,"",NV_23[[#This Row],[UID]])</f>
        <v/>
      </c>
      <c r="CE128" s="18" t="str">
        <f>IF(NV_23[[#This Row],[Status]]=0,"",NV_23[[#This Row],[Status]])</f>
        <v/>
      </c>
    </row>
    <row r="129" spans="6:83">
      <c r="F129" s="19"/>
      <c r="H129" s="53"/>
      <c r="I129" s="53"/>
      <c r="K129" s="53"/>
      <c r="M129" s="18"/>
      <c r="BU129" s="1" t="s">
        <v>71</v>
      </c>
      <c r="BV129" s="1" t="s">
        <v>18</v>
      </c>
      <c r="BW129" s="1" t="s">
        <v>308</v>
      </c>
      <c r="BY129" s="18">
        <f>NV_23[[#This Row],[Part Type]]</f>
        <v>0</v>
      </c>
      <c r="BZ129" s="18">
        <f>NV_23[[#This Row],[Part Nr.]]</f>
        <v>0</v>
      </c>
      <c r="CA129" s="18" t="str">
        <f>IF(NV_23[[#This Row],[UID]]=0,"",NV_23[[#This Row],[UID]])</f>
        <v/>
      </c>
      <c r="CE129" s="18" t="str">
        <f>IF(NV_23[[#This Row],[Status]]=0,"",NV_23[[#This Row],[Status]])</f>
        <v/>
      </c>
    </row>
    <row r="130" spans="6:83">
      <c r="F130" s="19"/>
      <c r="H130" s="53"/>
      <c r="I130" s="53"/>
      <c r="K130" s="53"/>
      <c r="M130" s="18"/>
      <c r="BU130" s="1" t="s">
        <v>71</v>
      </c>
      <c r="BV130" s="1" t="s">
        <v>18</v>
      </c>
      <c r="BW130" s="1" t="s">
        <v>308</v>
      </c>
      <c r="BY130" s="18">
        <f>NV_23[[#This Row],[Part Type]]</f>
        <v>0</v>
      </c>
      <c r="BZ130" s="18">
        <f>NV_23[[#This Row],[Part Nr.]]</f>
        <v>0</v>
      </c>
      <c r="CA130" s="18" t="str">
        <f>IF(NV_23[[#This Row],[UID]]=0,"",NV_23[[#This Row],[UID]])</f>
        <v/>
      </c>
      <c r="CE130" s="18" t="str">
        <f>IF(NV_23[[#This Row],[Status]]=0,"",NV_23[[#This Row],[Status]])</f>
        <v/>
      </c>
    </row>
    <row r="131" spans="6:83">
      <c r="F131" s="19"/>
      <c r="H131" s="53"/>
      <c r="I131" s="53"/>
      <c r="K131" s="53"/>
      <c r="M131" s="18"/>
      <c r="BU131" s="1" t="s">
        <v>71</v>
      </c>
      <c r="BV131" s="1" t="s">
        <v>18</v>
      </c>
      <c r="BW131" s="1" t="s">
        <v>308</v>
      </c>
      <c r="BY131" s="18">
        <f>NV_23[[#This Row],[Part Type]]</f>
        <v>0</v>
      </c>
      <c r="BZ131" s="18">
        <f>NV_23[[#This Row],[Part Nr.]]</f>
        <v>0</v>
      </c>
      <c r="CA131" s="18" t="str">
        <f>IF(NV_23[[#This Row],[UID]]=0,"",NV_23[[#This Row],[UID]])</f>
        <v/>
      </c>
      <c r="CE131" s="18" t="str">
        <f>IF(NV_23[[#This Row],[Status]]=0,"",NV_23[[#This Row],[Status]])</f>
        <v/>
      </c>
    </row>
    <row r="132" spans="6:83">
      <c r="F132" s="19"/>
      <c r="H132" s="53"/>
      <c r="I132" s="53"/>
      <c r="K132" s="53"/>
      <c r="M132" s="18"/>
      <c r="BU132" s="1" t="s">
        <v>71</v>
      </c>
      <c r="BV132" s="1" t="s">
        <v>18</v>
      </c>
      <c r="BW132" s="1" t="s">
        <v>308</v>
      </c>
      <c r="BY132" s="18">
        <f>NV_23[[#This Row],[Part Type]]</f>
        <v>0</v>
      </c>
      <c r="BZ132" s="18">
        <f>NV_23[[#This Row],[Part Nr.]]</f>
        <v>0</v>
      </c>
      <c r="CA132" s="18" t="str">
        <f>IF(NV_23[[#This Row],[UID]]=0,"",NV_23[[#This Row],[UID]])</f>
        <v/>
      </c>
      <c r="CE132" s="18" t="str">
        <f>IF(NV_23[[#This Row],[Status]]=0,"",NV_23[[#This Row],[Status]])</f>
        <v/>
      </c>
    </row>
    <row r="133" spans="6:83">
      <c r="F133" s="19"/>
      <c r="H133" s="53"/>
      <c r="I133" s="53"/>
      <c r="K133" s="53"/>
      <c r="M133" s="18"/>
      <c r="BU133" s="1" t="s">
        <v>71</v>
      </c>
      <c r="BV133" s="1" t="s">
        <v>18</v>
      </c>
      <c r="BW133" s="1" t="s">
        <v>308</v>
      </c>
      <c r="BY133" s="18">
        <f>NV_23[[#This Row],[Part Type]]</f>
        <v>0</v>
      </c>
      <c r="BZ133" s="18">
        <f>NV_23[[#This Row],[Part Nr.]]</f>
        <v>0</v>
      </c>
      <c r="CA133" s="18" t="str">
        <f>IF(NV_23[[#This Row],[UID]]=0,"",NV_23[[#This Row],[UID]])</f>
        <v/>
      </c>
      <c r="CE133" s="18" t="str">
        <f>IF(NV_23[[#This Row],[Status]]=0,"",NV_23[[#This Row],[Status]])</f>
        <v/>
      </c>
    </row>
    <row r="134" spans="6:83">
      <c r="F134" s="19"/>
      <c r="H134" s="53"/>
      <c r="I134" s="53"/>
      <c r="K134" s="53"/>
      <c r="M134" s="18"/>
      <c r="BU134" s="1" t="s">
        <v>71</v>
      </c>
      <c r="BV134" s="1" t="s">
        <v>18</v>
      </c>
      <c r="BW134" s="1" t="s">
        <v>308</v>
      </c>
      <c r="BY134" s="18">
        <f>NV_23[[#This Row],[Part Type]]</f>
        <v>0</v>
      </c>
      <c r="BZ134" s="18">
        <f>NV_23[[#This Row],[Part Nr.]]</f>
        <v>0</v>
      </c>
      <c r="CA134" s="18" t="str">
        <f>IF(NV_23[[#This Row],[UID]]=0,"",NV_23[[#This Row],[UID]])</f>
        <v/>
      </c>
      <c r="CE134" s="18" t="str">
        <f>IF(NV_23[[#This Row],[Status]]=0,"",NV_23[[#This Row],[Status]])</f>
        <v/>
      </c>
    </row>
    <row r="135" spans="6:83">
      <c r="F135" s="19"/>
      <c r="H135" s="53"/>
      <c r="I135" s="53"/>
      <c r="K135" s="53"/>
      <c r="M135" s="18"/>
      <c r="BU135" s="1" t="s">
        <v>71</v>
      </c>
      <c r="BV135" s="1" t="s">
        <v>18</v>
      </c>
      <c r="BW135" s="1" t="s">
        <v>308</v>
      </c>
      <c r="BY135" s="18">
        <f>NV_23[[#This Row],[Part Type]]</f>
        <v>0</v>
      </c>
      <c r="BZ135" s="18">
        <f>NV_23[[#This Row],[Part Nr.]]</f>
        <v>0</v>
      </c>
      <c r="CA135" s="18" t="str">
        <f>IF(NV_23[[#This Row],[UID]]=0,"",NV_23[[#This Row],[UID]])</f>
        <v/>
      </c>
      <c r="CE135" s="18" t="str">
        <f>IF(NV_23[[#This Row],[Status]]=0,"",NV_23[[#This Row],[Status]])</f>
        <v/>
      </c>
    </row>
    <row r="136" spans="6:83">
      <c r="F136" s="19"/>
      <c r="H136" s="53"/>
      <c r="I136" s="53"/>
      <c r="K136" s="53"/>
      <c r="M136" s="18"/>
      <c r="BU136" s="1" t="s">
        <v>71</v>
      </c>
      <c r="BV136" s="1" t="s">
        <v>18</v>
      </c>
      <c r="BW136" s="1" t="s">
        <v>308</v>
      </c>
      <c r="BY136" s="18">
        <f>NV_23[[#This Row],[Part Type]]</f>
        <v>0</v>
      </c>
      <c r="BZ136" s="18">
        <f>NV_23[[#This Row],[Part Nr.]]</f>
        <v>0</v>
      </c>
      <c r="CA136" s="18" t="str">
        <f>IF(NV_23[[#This Row],[UID]]=0,"",NV_23[[#This Row],[UID]])</f>
        <v/>
      </c>
      <c r="CE136" s="18" t="str">
        <f>IF(NV_23[[#This Row],[Status]]=0,"",NV_23[[#This Row],[Status]])</f>
        <v/>
      </c>
    </row>
    <row r="137" spans="6:83">
      <c r="F137" s="19"/>
      <c r="H137" s="53"/>
      <c r="I137" s="53"/>
      <c r="K137" s="53"/>
      <c r="M137" s="18"/>
      <c r="BU137" s="1" t="s">
        <v>71</v>
      </c>
      <c r="BV137" s="1" t="s">
        <v>18</v>
      </c>
      <c r="BW137" s="1" t="s">
        <v>308</v>
      </c>
      <c r="BY137" s="18">
        <f>NV_23[[#This Row],[Part Type]]</f>
        <v>0</v>
      </c>
      <c r="BZ137" s="18">
        <f>NV_23[[#This Row],[Part Nr.]]</f>
        <v>0</v>
      </c>
      <c r="CA137" s="18" t="str">
        <f>IF(NV_23[[#This Row],[UID]]=0,"",NV_23[[#This Row],[UID]])</f>
        <v/>
      </c>
      <c r="CE137" s="18" t="str">
        <f>IF(NV_23[[#This Row],[Status]]=0,"",NV_23[[#This Row],[Status]])</f>
        <v/>
      </c>
    </row>
    <row r="138" spans="6:83">
      <c r="F138" s="19"/>
      <c r="H138" s="53"/>
      <c r="I138" s="53"/>
      <c r="K138" s="53"/>
      <c r="M138" s="18"/>
      <c r="BU138" s="1" t="s">
        <v>71</v>
      </c>
      <c r="BV138" s="1" t="s">
        <v>18</v>
      </c>
      <c r="BW138" s="1" t="s">
        <v>308</v>
      </c>
      <c r="BY138" s="18">
        <f>NV_23[[#This Row],[Part Type]]</f>
        <v>0</v>
      </c>
      <c r="BZ138" s="18">
        <f>NV_23[[#This Row],[Part Nr.]]</f>
        <v>0</v>
      </c>
      <c r="CA138" s="18" t="str">
        <f>IF(NV_23[[#This Row],[UID]]=0,"",NV_23[[#This Row],[UID]])</f>
        <v/>
      </c>
      <c r="CE138" s="18" t="str">
        <f>IF(NV_23[[#This Row],[Status]]=0,"",NV_23[[#This Row],[Status]])</f>
        <v/>
      </c>
    </row>
    <row r="139" spans="6:83">
      <c r="F139" s="19"/>
      <c r="H139" s="53"/>
      <c r="I139" s="53"/>
      <c r="K139" s="53"/>
      <c r="M139" s="18"/>
      <c r="BU139" s="1" t="s">
        <v>71</v>
      </c>
      <c r="BV139" s="1" t="s">
        <v>18</v>
      </c>
      <c r="BW139" s="1" t="s">
        <v>308</v>
      </c>
      <c r="BY139" s="18">
        <f>NV_23[[#This Row],[Part Type]]</f>
        <v>0</v>
      </c>
      <c r="BZ139" s="18">
        <f>NV_23[[#This Row],[Part Nr.]]</f>
        <v>0</v>
      </c>
      <c r="CA139" s="18" t="str">
        <f>IF(NV_23[[#This Row],[UID]]=0,"",NV_23[[#This Row],[UID]])</f>
        <v/>
      </c>
      <c r="CE139" s="18" t="str">
        <f>IF(NV_23[[#This Row],[Status]]=0,"",NV_23[[#This Row],[Status]])</f>
        <v/>
      </c>
    </row>
    <row r="140" spans="6:83">
      <c r="F140" s="19"/>
      <c r="H140" s="53"/>
      <c r="I140" s="53"/>
      <c r="K140" s="53"/>
      <c r="M140" s="18"/>
      <c r="BU140" s="1" t="s">
        <v>71</v>
      </c>
      <c r="BV140" s="1" t="s">
        <v>18</v>
      </c>
      <c r="BW140" s="1" t="s">
        <v>308</v>
      </c>
      <c r="BY140" s="18">
        <f>NV_23[[#This Row],[Part Type]]</f>
        <v>0</v>
      </c>
      <c r="BZ140" s="18">
        <f>NV_23[[#This Row],[Part Nr.]]</f>
        <v>0</v>
      </c>
      <c r="CA140" s="18" t="str">
        <f>IF(NV_23[[#This Row],[UID]]=0,"",NV_23[[#This Row],[UID]])</f>
        <v/>
      </c>
      <c r="CE140" s="18" t="str">
        <f>IF(NV_23[[#This Row],[Status]]=0,"",NV_23[[#This Row],[Status]])</f>
        <v/>
      </c>
    </row>
    <row r="141" spans="6:83">
      <c r="F141" s="19"/>
      <c r="H141" s="53"/>
      <c r="I141" s="53"/>
      <c r="K141" s="53"/>
      <c r="M141" s="18"/>
      <c r="BU141" s="1" t="s">
        <v>71</v>
      </c>
      <c r="BV141" s="1" t="s">
        <v>18</v>
      </c>
      <c r="BW141" s="1" t="s">
        <v>308</v>
      </c>
      <c r="BY141" s="18">
        <f>NV_23[[#This Row],[Part Type]]</f>
        <v>0</v>
      </c>
      <c r="BZ141" s="18">
        <f>NV_23[[#This Row],[Part Nr.]]</f>
        <v>0</v>
      </c>
      <c r="CA141" s="18" t="str">
        <f>IF(NV_23[[#This Row],[UID]]=0,"",NV_23[[#This Row],[UID]])</f>
        <v/>
      </c>
      <c r="CE141" s="18" t="str">
        <f>IF(NV_23[[#This Row],[Status]]=0,"",NV_23[[#This Row],[Status]])</f>
        <v/>
      </c>
    </row>
    <row r="142" spans="6:83">
      <c r="F142" s="19"/>
      <c r="H142" s="53"/>
      <c r="I142" s="53"/>
      <c r="K142" s="53"/>
      <c r="M142" s="18"/>
      <c r="BU142" s="1" t="s">
        <v>71</v>
      </c>
      <c r="BV142" s="1" t="s">
        <v>18</v>
      </c>
      <c r="BW142" s="1" t="s">
        <v>308</v>
      </c>
      <c r="BY142" s="18">
        <f>NV_23[[#This Row],[Part Type]]</f>
        <v>0</v>
      </c>
      <c r="BZ142" s="18">
        <f>NV_23[[#This Row],[Part Nr.]]</f>
        <v>0</v>
      </c>
      <c r="CA142" s="18" t="str">
        <f>IF(NV_23[[#This Row],[UID]]=0,"",NV_23[[#This Row],[UID]])</f>
        <v/>
      </c>
      <c r="CE142" s="18" t="str">
        <f>IF(NV_23[[#This Row],[Status]]=0,"",NV_23[[#This Row],[Status]])</f>
        <v/>
      </c>
    </row>
    <row r="143" spans="6:83">
      <c r="F143" s="19"/>
      <c r="H143" s="53"/>
      <c r="I143" s="53"/>
      <c r="K143" s="53"/>
      <c r="M143" s="18"/>
      <c r="BU143" s="1" t="s">
        <v>71</v>
      </c>
      <c r="BV143" s="1" t="s">
        <v>18</v>
      </c>
      <c r="BW143" s="1" t="s">
        <v>308</v>
      </c>
      <c r="BY143" s="18">
        <f>NV_23[[#This Row],[Part Type]]</f>
        <v>0</v>
      </c>
      <c r="BZ143" s="18">
        <f>NV_23[[#This Row],[Part Nr.]]</f>
        <v>0</v>
      </c>
      <c r="CA143" s="18" t="str">
        <f>IF(NV_23[[#This Row],[UID]]=0,"",NV_23[[#This Row],[UID]])</f>
        <v/>
      </c>
      <c r="CE143" s="18" t="str">
        <f>IF(NV_23[[#This Row],[Status]]=0,"",NV_23[[#This Row],[Status]])</f>
        <v/>
      </c>
    </row>
    <row r="144" spans="6:83">
      <c r="F144" s="19"/>
      <c r="H144" s="53"/>
      <c r="I144" s="53"/>
      <c r="K144" s="53"/>
      <c r="M144" s="18"/>
      <c r="BU144" s="1" t="s">
        <v>71</v>
      </c>
      <c r="BV144" s="1" t="s">
        <v>18</v>
      </c>
      <c r="BW144" s="1" t="s">
        <v>308</v>
      </c>
      <c r="BY144" s="18">
        <f>NV_23[[#This Row],[Part Type]]</f>
        <v>0</v>
      </c>
      <c r="BZ144" s="18">
        <f>NV_23[[#This Row],[Part Nr.]]</f>
        <v>0</v>
      </c>
      <c r="CA144" s="18" t="str">
        <f>IF(NV_23[[#This Row],[UID]]=0,"",NV_23[[#This Row],[UID]])</f>
        <v/>
      </c>
      <c r="CE144" s="18" t="str">
        <f>IF(NV_23[[#This Row],[Status]]=0,"",NV_23[[#This Row],[Status]])</f>
        <v/>
      </c>
    </row>
    <row r="145" spans="6:83">
      <c r="F145" s="19"/>
      <c r="H145" s="53"/>
      <c r="I145" s="53"/>
      <c r="K145" s="53"/>
      <c r="M145" s="18"/>
      <c r="BU145" s="1" t="s">
        <v>71</v>
      </c>
      <c r="BV145" s="1" t="s">
        <v>18</v>
      </c>
      <c r="BW145" s="1" t="s">
        <v>308</v>
      </c>
      <c r="BY145" s="18">
        <f>NV_23[[#This Row],[Part Type]]</f>
        <v>0</v>
      </c>
      <c r="BZ145" s="18">
        <f>NV_23[[#This Row],[Part Nr.]]</f>
        <v>0</v>
      </c>
      <c r="CA145" s="18" t="str">
        <f>IF(NV_23[[#This Row],[UID]]=0,"",NV_23[[#This Row],[UID]])</f>
        <v/>
      </c>
      <c r="CE145" s="18" t="str">
        <f>IF(NV_23[[#This Row],[Status]]=0,"",NV_23[[#This Row],[Status]])</f>
        <v/>
      </c>
    </row>
    <row r="146" spans="6:83">
      <c r="F146" s="19"/>
      <c r="H146" s="53"/>
      <c r="I146" s="53"/>
      <c r="K146" s="53"/>
      <c r="M146" s="18"/>
      <c r="BU146" s="1" t="s">
        <v>71</v>
      </c>
      <c r="BV146" s="1" t="s">
        <v>18</v>
      </c>
      <c r="BW146" s="1" t="s">
        <v>308</v>
      </c>
      <c r="BY146" s="18">
        <f>NV_23[[#This Row],[Part Type]]</f>
        <v>0</v>
      </c>
      <c r="BZ146" s="18">
        <f>NV_23[[#This Row],[Part Nr.]]</f>
        <v>0</v>
      </c>
      <c r="CA146" s="18" t="str">
        <f>IF(NV_23[[#This Row],[UID]]=0,"",NV_23[[#This Row],[UID]])</f>
        <v/>
      </c>
      <c r="CE146" s="18" t="str">
        <f>IF(NV_23[[#This Row],[Status]]=0,"",NV_23[[#This Row],[Status]])</f>
        <v/>
      </c>
    </row>
    <row r="147" spans="6:83">
      <c r="F147" s="19"/>
      <c r="H147" s="53"/>
      <c r="I147" s="53"/>
      <c r="K147" s="53"/>
      <c r="M147" s="18"/>
      <c r="BU147" s="1" t="s">
        <v>71</v>
      </c>
      <c r="BV147" s="1" t="s">
        <v>18</v>
      </c>
      <c r="BW147" s="1" t="s">
        <v>308</v>
      </c>
      <c r="BY147" s="18">
        <f>NV_23[[#This Row],[Part Type]]</f>
        <v>0</v>
      </c>
      <c r="BZ147" s="18">
        <f>NV_23[[#This Row],[Part Nr.]]</f>
        <v>0</v>
      </c>
      <c r="CA147" s="18" t="str">
        <f>IF(NV_23[[#This Row],[UID]]=0,"",NV_23[[#This Row],[UID]])</f>
        <v/>
      </c>
      <c r="CE147" s="18" t="str">
        <f>IF(NV_23[[#This Row],[Status]]=0,"",NV_23[[#This Row],[Status]])</f>
        <v/>
      </c>
    </row>
    <row r="148" spans="6:83">
      <c r="F148" s="19"/>
      <c r="H148" s="53"/>
      <c r="I148" s="53"/>
      <c r="K148" s="53"/>
      <c r="M148" s="18"/>
      <c r="BU148" s="1" t="s">
        <v>71</v>
      </c>
      <c r="BV148" s="1" t="s">
        <v>18</v>
      </c>
      <c r="BW148" s="1" t="s">
        <v>308</v>
      </c>
      <c r="BY148" s="18">
        <f>NV_23[[#This Row],[Part Type]]</f>
        <v>0</v>
      </c>
      <c r="BZ148" s="18">
        <f>NV_23[[#This Row],[Part Nr.]]</f>
        <v>0</v>
      </c>
      <c r="CA148" s="18" t="str">
        <f>IF(NV_23[[#This Row],[UID]]=0,"",NV_23[[#This Row],[UID]])</f>
        <v/>
      </c>
      <c r="CE148" s="18" t="str">
        <f>IF(NV_23[[#This Row],[Status]]=0,"",NV_23[[#This Row],[Status]])</f>
        <v/>
      </c>
    </row>
    <row r="149" spans="6:83">
      <c r="F149" s="19"/>
      <c r="H149" s="53"/>
      <c r="I149" s="53"/>
      <c r="K149" s="53"/>
      <c r="M149" s="18"/>
      <c r="BU149" s="1" t="s">
        <v>71</v>
      </c>
      <c r="BV149" s="1" t="s">
        <v>18</v>
      </c>
      <c r="BW149" s="1" t="s">
        <v>308</v>
      </c>
      <c r="BY149" s="18">
        <f>NV_23[[#This Row],[Part Type]]</f>
        <v>0</v>
      </c>
      <c r="BZ149" s="18">
        <f>NV_23[[#This Row],[Part Nr.]]</f>
        <v>0</v>
      </c>
      <c r="CA149" s="18" t="str">
        <f>IF(NV_23[[#This Row],[UID]]=0,"",NV_23[[#This Row],[UID]])</f>
        <v/>
      </c>
      <c r="CE149" s="18" t="str">
        <f>IF(NV_23[[#This Row],[Status]]=0,"",NV_23[[#This Row],[Status]])</f>
        <v/>
      </c>
    </row>
    <row r="150" spans="6:83">
      <c r="F150" s="19"/>
      <c r="H150" s="53"/>
      <c r="I150" s="53"/>
      <c r="K150" s="53"/>
      <c r="M150" s="18"/>
      <c r="BU150" s="1" t="s">
        <v>71</v>
      </c>
      <c r="BV150" s="1" t="s">
        <v>18</v>
      </c>
      <c r="BW150" s="1" t="s">
        <v>308</v>
      </c>
      <c r="BY150" s="18">
        <f>NV_23[[#This Row],[Part Type]]</f>
        <v>0</v>
      </c>
      <c r="BZ150" s="18">
        <f>NV_23[[#This Row],[Part Nr.]]</f>
        <v>0</v>
      </c>
      <c r="CA150" s="18" t="str">
        <f>IF(NV_23[[#This Row],[UID]]=0,"",NV_23[[#This Row],[UID]])</f>
        <v/>
      </c>
      <c r="CE150" s="18" t="str">
        <f>IF(NV_23[[#This Row],[Status]]=0,"",NV_23[[#This Row],[Status]])</f>
        <v/>
      </c>
    </row>
    <row r="151" spans="6:83">
      <c r="F151" s="19"/>
      <c r="H151" s="53"/>
      <c r="I151" s="53"/>
      <c r="K151" s="53"/>
      <c r="M151" s="18"/>
      <c r="BU151" s="1" t="s">
        <v>71</v>
      </c>
      <c r="BV151" s="1" t="s">
        <v>18</v>
      </c>
      <c r="BW151" s="1" t="s">
        <v>308</v>
      </c>
      <c r="BY151" s="18">
        <f>NV_23[[#This Row],[Part Type]]</f>
        <v>0</v>
      </c>
      <c r="BZ151" s="18">
        <f>NV_23[[#This Row],[Part Nr.]]</f>
        <v>0</v>
      </c>
      <c r="CA151" s="18" t="str">
        <f>IF(NV_23[[#This Row],[UID]]=0,"",NV_23[[#This Row],[UID]])</f>
        <v/>
      </c>
      <c r="CE151" s="18" t="str">
        <f>IF(NV_23[[#This Row],[Status]]=0,"",NV_23[[#This Row],[Status]])</f>
        <v/>
      </c>
    </row>
  </sheetData>
  <phoneticPr fontId="5" type="noConversion"/>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ECBD3-F2F7-7C48-8A4E-AAF5EFBBEA7B}">
  <sheetPr codeName="Sheet14"/>
  <dimension ref="A1:CK151"/>
  <sheetViews>
    <sheetView topLeftCell="C20" zoomScale="91" zoomScaleNormal="91" workbookViewId="0">
      <selection activeCell="C1" sqref="C1"/>
    </sheetView>
  </sheetViews>
  <sheetFormatPr defaultColWidth="10.875" defaultRowHeight="15.95"/>
  <cols>
    <col min="1" max="1" width="16.875" style="18" bestFit="1" customWidth="1"/>
    <col min="2" max="2" width="20.625" style="18" bestFit="1" customWidth="1"/>
    <col min="3" max="3" width="12.625" style="18" bestFit="1" customWidth="1"/>
    <col min="4" max="4" width="24.625" style="18" bestFit="1" customWidth="1"/>
    <col min="5" max="5" width="11.5" style="18" bestFit="1" customWidth="1"/>
    <col min="6" max="6" width="26.875" style="18" bestFit="1" customWidth="1"/>
    <col min="7" max="7" width="26" style="18" bestFit="1" customWidth="1"/>
    <col min="8" max="8" width="26" style="18" customWidth="1"/>
    <col min="9" max="9" width="9.125" style="18" bestFit="1" customWidth="1"/>
    <col min="10" max="11" width="12.375" style="18" bestFit="1" customWidth="1"/>
    <col min="12" max="12" width="17.625" style="18" bestFit="1" customWidth="1"/>
    <col min="13" max="14" width="17.125" style="18" bestFit="1" customWidth="1"/>
    <col min="15" max="15" width="13.625" style="18" bestFit="1" customWidth="1"/>
    <col min="16" max="16" width="10.875" style="18" bestFit="1" customWidth="1"/>
    <col min="17" max="17" width="22.5" style="18" bestFit="1" customWidth="1"/>
    <col min="18" max="18" width="14.125" style="18" bestFit="1" customWidth="1"/>
    <col min="20" max="20" width="11.875" style="18" bestFit="1" customWidth="1"/>
    <col min="21" max="21" width="26.625" style="18" bestFit="1" customWidth="1"/>
    <col min="22" max="22" width="9.125" style="18" bestFit="1" customWidth="1"/>
    <col min="23" max="23" width="13.125" style="18" bestFit="1" customWidth="1"/>
    <col min="24" max="24" width="59" style="18" bestFit="1" customWidth="1"/>
    <col min="25" max="78" width="10.875" style="18"/>
    <col min="79" max="79" width="16.125" style="18" customWidth="1"/>
    <col min="80" max="80" width="19.875" style="18" customWidth="1"/>
    <col min="81" max="81" width="20.5" style="18" customWidth="1"/>
    <col min="82" max="83" width="10.875" style="18"/>
    <col min="84" max="84" width="13.625" style="18" customWidth="1"/>
    <col min="85" max="85" width="12.5" style="18" customWidth="1"/>
    <col min="86" max="86" width="17" style="18" customWidth="1"/>
    <col min="87" max="87" width="10.875" style="18"/>
    <col min="88" max="88" width="15.125" style="18" customWidth="1"/>
    <col min="89" max="16384" width="10.875" style="18"/>
  </cols>
  <sheetData>
    <row r="1" spans="1:89" ht="17.100000000000001">
      <c r="A1" s="18" t="s">
        <v>12</v>
      </c>
      <c r="B1" s="35" t="s">
        <v>95</v>
      </c>
      <c r="C1" s="178" t="s">
        <v>94</v>
      </c>
      <c r="D1" s="18" t="s">
        <v>225</v>
      </c>
      <c r="E1" s="18" t="s">
        <v>226</v>
      </c>
      <c r="F1" s="18" t="s">
        <v>227</v>
      </c>
      <c r="G1" s="18" t="s">
        <v>228</v>
      </c>
      <c r="H1" s="18" t="s">
        <v>1068</v>
      </c>
      <c r="I1" s="18" t="s">
        <v>229</v>
      </c>
      <c r="J1" s="18" t="s">
        <v>230</v>
      </c>
      <c r="K1" s="19" t="s">
        <v>231</v>
      </c>
      <c r="L1" s="19" t="s">
        <v>302</v>
      </c>
      <c r="M1" s="19" t="s">
        <v>303</v>
      </c>
      <c r="N1" s="53" t="s">
        <v>232</v>
      </c>
      <c r="O1" s="19" t="s">
        <v>233</v>
      </c>
      <c r="P1" s="19" t="s">
        <v>1103</v>
      </c>
      <c r="Q1" s="18" t="s">
        <v>234</v>
      </c>
      <c r="R1" s="18" t="s">
        <v>235</v>
      </c>
      <c r="S1" s="18" t="s">
        <v>236</v>
      </c>
      <c r="T1" s="18" t="s">
        <v>117</v>
      </c>
      <c r="U1" s="18" t="s">
        <v>237</v>
      </c>
      <c r="V1" s="18" t="s">
        <v>238</v>
      </c>
      <c r="BZ1" t="s">
        <v>119</v>
      </c>
      <c r="CA1" s="117" t="s">
        <v>2</v>
      </c>
      <c r="CB1" s="118" t="s">
        <v>3</v>
      </c>
      <c r="CC1" s="118" t="s">
        <v>4</v>
      </c>
      <c r="CD1" s="118" t="s">
        <v>5</v>
      </c>
      <c r="CE1" s="118" t="s">
        <v>6</v>
      </c>
      <c r="CF1" s="119" t="s">
        <v>7</v>
      </c>
      <c r="CG1" s="118" t="s">
        <v>8</v>
      </c>
      <c r="CH1" s="118" t="s">
        <v>9</v>
      </c>
      <c r="CI1" s="118" t="s">
        <v>10</v>
      </c>
      <c r="CJ1" s="118" t="s">
        <v>11</v>
      </c>
      <c r="CK1" s="120" t="s">
        <v>12</v>
      </c>
    </row>
    <row r="2" spans="1:89">
      <c r="A2" s="18" t="s">
        <v>1104</v>
      </c>
      <c r="B2" s="18" t="s">
        <v>63</v>
      </c>
      <c r="C2" s="18" t="s">
        <v>1105</v>
      </c>
      <c r="D2" s="28">
        <v>60000</v>
      </c>
      <c r="E2" s="18" t="s">
        <v>902</v>
      </c>
      <c r="F2" s="28" t="s">
        <v>129</v>
      </c>
      <c r="G2" s="19" t="s">
        <v>129</v>
      </c>
      <c r="H2" s="18">
        <v>0.06</v>
      </c>
      <c r="I2" s="18" t="s">
        <v>243</v>
      </c>
      <c r="J2" s="18" t="s">
        <v>243</v>
      </c>
      <c r="K2" s="53">
        <v>2.4375</v>
      </c>
      <c r="L2" s="53">
        <v>2</v>
      </c>
      <c r="M2" s="53">
        <v>1</v>
      </c>
      <c r="N2" s="53">
        <v>6.25E-2</v>
      </c>
      <c r="O2" s="19" t="s">
        <v>59</v>
      </c>
      <c r="P2" s="53">
        <v>5.1875</v>
      </c>
      <c r="Q2" s="18" t="s">
        <v>161</v>
      </c>
      <c r="R2" s="18" t="s">
        <v>129</v>
      </c>
      <c r="S2" s="18" t="s">
        <v>129</v>
      </c>
      <c r="T2" s="18" t="s">
        <v>128</v>
      </c>
      <c r="U2" s="18" t="s">
        <v>173</v>
      </c>
      <c r="V2" s="20" t="s">
        <v>307</v>
      </c>
      <c r="BZ2" t="s">
        <v>131</v>
      </c>
      <c r="CA2" s="1" t="s">
        <v>71</v>
      </c>
      <c r="CB2" s="1" t="s">
        <v>18</v>
      </c>
      <c r="CC2" s="1" t="s">
        <v>308</v>
      </c>
      <c r="CD2" s="1"/>
      <c r="CE2" s="1" t="str">
        <f>NV[[#This Row],[Part Type]]</f>
        <v>Needle Valve</v>
      </c>
      <c r="CF2" s="1" t="str">
        <f>NV[[#This Row],[Part Nr.]]</f>
        <v>60-12HF4</v>
      </c>
      <c r="CG2" s="1" t="str">
        <f>IF(NV[[#This Row],[UID]]=0,"",NV[[#This Row],[UID]])</f>
        <v>NV-A3</v>
      </c>
      <c r="CH2" s="1"/>
      <c r="CI2" s="1"/>
      <c r="CJ2" s="1"/>
      <c r="CK2" s="1" t="str">
        <f>IF(NV[[#This Row],[Status]]=0,"",NV[[#This Row],[Status]])</f>
        <v>Superseded</v>
      </c>
    </row>
    <row r="3" spans="1:89">
      <c r="A3" s="18" t="s">
        <v>1104</v>
      </c>
      <c r="B3" s="18" t="s">
        <v>63</v>
      </c>
      <c r="C3" s="18" t="s">
        <v>1106</v>
      </c>
      <c r="D3" s="28">
        <v>60000</v>
      </c>
      <c r="E3" s="18" t="s">
        <v>902</v>
      </c>
      <c r="F3" s="28" t="s">
        <v>129</v>
      </c>
      <c r="G3" s="19" t="s">
        <v>129</v>
      </c>
      <c r="H3" s="18">
        <v>0.06</v>
      </c>
      <c r="I3" s="18" t="s">
        <v>243</v>
      </c>
      <c r="J3" s="18" t="s">
        <v>243</v>
      </c>
      <c r="K3" s="53">
        <v>2.4375</v>
      </c>
      <c r="L3" s="53">
        <v>2</v>
      </c>
      <c r="M3" s="53">
        <v>1</v>
      </c>
      <c r="N3" s="53">
        <v>6.25E-2</v>
      </c>
      <c r="O3" s="19" t="s">
        <v>59</v>
      </c>
      <c r="P3" s="53">
        <v>5.1875</v>
      </c>
      <c r="Q3" s="18" t="s">
        <v>161</v>
      </c>
      <c r="R3" s="18" t="s">
        <v>129</v>
      </c>
      <c r="S3" s="18" t="s">
        <v>129</v>
      </c>
      <c r="T3" s="18" t="s">
        <v>128</v>
      </c>
      <c r="U3" s="18" t="s">
        <v>173</v>
      </c>
      <c r="V3" s="20" t="s">
        <v>307</v>
      </c>
      <c r="BZ3"/>
      <c r="CA3" s="1" t="s">
        <v>71</v>
      </c>
      <c r="CB3" s="1" t="s">
        <v>18</v>
      </c>
      <c r="CC3" s="1" t="s">
        <v>308</v>
      </c>
      <c r="CD3"/>
      <c r="CE3" t="str">
        <f>NV[[#This Row],[Part Type]]</f>
        <v>Needle Valve</v>
      </c>
      <c r="CF3" t="str">
        <f>NV[[#This Row],[Part Nr.]]</f>
        <v>60-12HF4</v>
      </c>
      <c r="CG3" t="str">
        <f>IF(NV[[#This Row],[UID]]=0,"",NV[[#This Row],[UID]])</f>
        <v>NV-B1</v>
      </c>
      <c r="CH3"/>
      <c r="CI3"/>
      <c r="CJ3"/>
      <c r="CK3" t="str">
        <f>IF(NV[[#This Row],[Status]]=0,"",NV[[#This Row],[Status]])</f>
        <v>Superseded</v>
      </c>
    </row>
    <row r="4" spans="1:89">
      <c r="A4" s="18" t="s">
        <v>1104</v>
      </c>
      <c r="B4" s="18" t="s">
        <v>63</v>
      </c>
      <c r="C4" s="18" t="s">
        <v>1107</v>
      </c>
      <c r="D4" s="28">
        <v>60000</v>
      </c>
      <c r="E4" s="18" t="s">
        <v>902</v>
      </c>
      <c r="F4" s="28" t="s">
        <v>129</v>
      </c>
      <c r="G4" s="19" t="s">
        <v>129</v>
      </c>
      <c r="H4" s="18">
        <v>0.06</v>
      </c>
      <c r="I4" s="18" t="s">
        <v>243</v>
      </c>
      <c r="J4" s="18" t="s">
        <v>243</v>
      </c>
      <c r="K4" s="53">
        <v>2.4375</v>
      </c>
      <c r="L4" s="53">
        <v>2</v>
      </c>
      <c r="M4" s="53">
        <v>1</v>
      </c>
      <c r="N4" s="53">
        <v>6.25E-2</v>
      </c>
      <c r="O4" s="19" t="s">
        <v>59</v>
      </c>
      <c r="P4" s="53">
        <v>5.1875</v>
      </c>
      <c r="Q4" s="18" t="s">
        <v>161</v>
      </c>
      <c r="R4" s="18" t="s">
        <v>129</v>
      </c>
      <c r="S4" s="18" t="s">
        <v>129</v>
      </c>
      <c r="T4" s="18" t="s">
        <v>128</v>
      </c>
      <c r="U4" s="18" t="s">
        <v>173</v>
      </c>
      <c r="V4" s="20" t="s">
        <v>307</v>
      </c>
      <c r="BZ4"/>
      <c r="CA4" s="1" t="s">
        <v>71</v>
      </c>
      <c r="CB4" s="1" t="s">
        <v>18</v>
      </c>
      <c r="CC4" s="1" t="s">
        <v>308</v>
      </c>
      <c r="CD4"/>
      <c r="CE4" t="str">
        <f>NV[[#This Row],[Part Type]]</f>
        <v>Needle Valve</v>
      </c>
      <c r="CF4" t="str">
        <f>NV[[#This Row],[Part Nr.]]</f>
        <v>60-12HF4</v>
      </c>
      <c r="CG4" t="str">
        <f>IF(NV[[#This Row],[UID]]=0,"",NV[[#This Row],[UID]])</f>
        <v>NV-B2</v>
      </c>
      <c r="CH4"/>
      <c r="CI4"/>
      <c r="CJ4"/>
      <c r="CK4" t="str">
        <f>IF(NV[[#This Row],[Status]]=0,"",NV[[#This Row],[Status]])</f>
        <v>Superseded</v>
      </c>
    </row>
    <row r="5" spans="1:89">
      <c r="A5" s="18" t="s">
        <v>1104</v>
      </c>
      <c r="B5" s="18" t="s">
        <v>63</v>
      </c>
      <c r="C5" s="18" t="s">
        <v>1108</v>
      </c>
      <c r="D5" s="28">
        <v>60000</v>
      </c>
      <c r="E5" s="18" t="s">
        <v>902</v>
      </c>
      <c r="F5" s="28" t="s">
        <v>129</v>
      </c>
      <c r="G5" s="19" t="s">
        <v>129</v>
      </c>
      <c r="H5" s="18">
        <v>0.06</v>
      </c>
      <c r="I5" s="18" t="s">
        <v>243</v>
      </c>
      <c r="J5" s="18" t="s">
        <v>243</v>
      </c>
      <c r="K5" s="53">
        <v>2.4375</v>
      </c>
      <c r="L5" s="53">
        <v>2</v>
      </c>
      <c r="M5" s="53">
        <v>1</v>
      </c>
      <c r="N5" s="53">
        <v>6.25E-2</v>
      </c>
      <c r="O5" s="19" t="s">
        <v>59</v>
      </c>
      <c r="P5" s="53">
        <v>5.1875</v>
      </c>
      <c r="Q5" s="18" t="s">
        <v>161</v>
      </c>
      <c r="R5" s="18" t="s">
        <v>129</v>
      </c>
      <c r="S5" s="18" t="s">
        <v>129</v>
      </c>
      <c r="T5" s="18" t="s">
        <v>128</v>
      </c>
      <c r="U5" s="18" t="s">
        <v>173</v>
      </c>
      <c r="V5" s="20" t="s">
        <v>307</v>
      </c>
      <c r="BZ5"/>
      <c r="CA5" s="1" t="s">
        <v>71</v>
      </c>
      <c r="CB5" s="1" t="s">
        <v>18</v>
      </c>
      <c r="CC5" s="1" t="s">
        <v>308</v>
      </c>
      <c r="CD5"/>
      <c r="CE5" t="str">
        <f>NV[[#This Row],[Part Type]]</f>
        <v>Needle Valve</v>
      </c>
      <c r="CF5" t="str">
        <f>NV[[#This Row],[Part Nr.]]</f>
        <v>60-12HF4</v>
      </c>
      <c r="CG5" t="str">
        <f>IF(NV[[#This Row],[UID]]=0,"",NV[[#This Row],[UID]])</f>
        <v>NV-C2</v>
      </c>
      <c r="CH5"/>
      <c r="CI5"/>
      <c r="CJ5"/>
      <c r="CK5" t="str">
        <f>IF(NV[[#This Row],[Status]]=0,"",NV[[#This Row],[Status]])</f>
        <v>Superseded</v>
      </c>
    </row>
    <row r="6" spans="1:89">
      <c r="A6" s="18" t="s">
        <v>1104</v>
      </c>
      <c r="B6" s="18" t="s">
        <v>63</v>
      </c>
      <c r="C6" s="18" t="s">
        <v>1109</v>
      </c>
      <c r="D6" s="28">
        <v>60000</v>
      </c>
      <c r="E6" s="18" t="s">
        <v>902</v>
      </c>
      <c r="F6" s="28" t="s">
        <v>129</v>
      </c>
      <c r="G6" s="19" t="s">
        <v>129</v>
      </c>
      <c r="H6" s="18">
        <v>0.06</v>
      </c>
      <c r="I6" s="18" t="s">
        <v>243</v>
      </c>
      <c r="J6" s="18" t="s">
        <v>243</v>
      </c>
      <c r="K6" s="53">
        <v>2.4375</v>
      </c>
      <c r="L6" s="53">
        <v>2</v>
      </c>
      <c r="M6" s="53">
        <v>1</v>
      </c>
      <c r="N6" s="53">
        <v>6.25E-2</v>
      </c>
      <c r="O6" s="19" t="s">
        <v>59</v>
      </c>
      <c r="P6" s="53">
        <v>5.1875</v>
      </c>
      <c r="Q6" s="18" t="s">
        <v>161</v>
      </c>
      <c r="R6" s="18" t="s">
        <v>129</v>
      </c>
      <c r="S6" s="18" t="s">
        <v>129</v>
      </c>
      <c r="T6" s="18" t="s">
        <v>128</v>
      </c>
      <c r="U6" s="18" t="s">
        <v>173</v>
      </c>
      <c r="V6" s="20" t="s">
        <v>307</v>
      </c>
      <c r="BZ6"/>
      <c r="CA6" s="1" t="s">
        <v>71</v>
      </c>
      <c r="CB6" s="1" t="s">
        <v>18</v>
      </c>
      <c r="CC6" s="1" t="s">
        <v>308</v>
      </c>
      <c r="CD6"/>
      <c r="CE6" t="str">
        <f>NV[[#This Row],[Part Type]]</f>
        <v>Needle Valve</v>
      </c>
      <c r="CF6" t="str">
        <f>NV[[#This Row],[Part Nr.]]</f>
        <v>60-12HF4</v>
      </c>
      <c r="CG6" t="str">
        <f>IF(NV[[#This Row],[UID]]=0,"",NV[[#This Row],[UID]])</f>
        <v>NV-D2</v>
      </c>
      <c r="CH6"/>
      <c r="CI6"/>
      <c r="CJ6"/>
      <c r="CK6" t="str">
        <f>IF(NV[[#This Row],[Status]]=0,"",NV[[#This Row],[Status]])</f>
        <v>Superseded</v>
      </c>
    </row>
    <row r="7" spans="1:89">
      <c r="A7" s="18" t="s">
        <v>1104</v>
      </c>
      <c r="B7" s="18" t="s">
        <v>63</v>
      </c>
      <c r="C7" s="54" t="s">
        <v>1110</v>
      </c>
      <c r="D7" s="28">
        <v>60000</v>
      </c>
      <c r="E7" s="18" t="s">
        <v>902</v>
      </c>
      <c r="F7" s="28" t="s">
        <v>129</v>
      </c>
      <c r="G7" s="19" t="s">
        <v>129</v>
      </c>
      <c r="H7" s="18">
        <v>0.06</v>
      </c>
      <c r="I7" s="18" t="s">
        <v>243</v>
      </c>
      <c r="J7" s="18" t="s">
        <v>243</v>
      </c>
      <c r="K7" s="53">
        <v>2.4375</v>
      </c>
      <c r="L7" s="53">
        <v>2</v>
      </c>
      <c r="M7" s="53">
        <v>1</v>
      </c>
      <c r="N7" s="53">
        <v>6.25E-2</v>
      </c>
      <c r="O7" s="19" t="s">
        <v>59</v>
      </c>
      <c r="P7" s="53">
        <v>5.1875</v>
      </c>
      <c r="Q7" s="18" t="s">
        <v>161</v>
      </c>
      <c r="R7" s="18" t="s">
        <v>129</v>
      </c>
      <c r="S7" s="18" t="s">
        <v>129</v>
      </c>
      <c r="T7" s="18" t="s">
        <v>128</v>
      </c>
      <c r="U7" s="18" t="s">
        <v>173</v>
      </c>
      <c r="V7" s="20" t="s">
        <v>307</v>
      </c>
      <c r="CA7" s="1" t="s">
        <v>71</v>
      </c>
      <c r="CB7" s="1" t="s">
        <v>18</v>
      </c>
      <c r="CC7" s="1" t="s">
        <v>308</v>
      </c>
      <c r="CE7" s="18" t="str">
        <f>NV[[#This Row],[Part Type]]</f>
        <v>Needle Valve</v>
      </c>
      <c r="CF7" s="18" t="str">
        <f>NV[[#This Row],[Part Nr.]]</f>
        <v>60-12HF4</v>
      </c>
      <c r="CG7" s="18" t="str">
        <f>IF(NV[[#This Row],[UID]]=0,"",NV[[#This Row],[UID]])</f>
        <v>NV-F1</v>
      </c>
      <c r="CK7" s="18" t="str">
        <f>IF(NV[[#This Row],[Status]]=0,"",NV[[#This Row],[Status]])</f>
        <v>Superseded</v>
      </c>
    </row>
    <row r="8" spans="1:89">
      <c r="A8" s="18" t="s">
        <v>1104</v>
      </c>
      <c r="B8" s="18" t="s">
        <v>63</v>
      </c>
      <c r="C8" s="18" t="s">
        <v>1111</v>
      </c>
      <c r="D8" s="28">
        <v>60000</v>
      </c>
      <c r="E8" s="18" t="s">
        <v>902</v>
      </c>
      <c r="F8" s="28" t="s">
        <v>129</v>
      </c>
      <c r="G8" s="19" t="s">
        <v>129</v>
      </c>
      <c r="H8" s="18">
        <v>0.06</v>
      </c>
      <c r="I8" s="18" t="s">
        <v>243</v>
      </c>
      <c r="J8" s="18" t="s">
        <v>243</v>
      </c>
      <c r="K8" s="53">
        <v>2.4375</v>
      </c>
      <c r="L8" s="53">
        <v>2</v>
      </c>
      <c r="M8" s="53">
        <v>1</v>
      </c>
      <c r="N8" s="53">
        <v>6.25E-2</v>
      </c>
      <c r="O8" s="19" t="s">
        <v>59</v>
      </c>
      <c r="P8" s="53">
        <v>5.1875</v>
      </c>
      <c r="Q8" s="18" t="s">
        <v>161</v>
      </c>
      <c r="R8" s="18" t="s">
        <v>129</v>
      </c>
      <c r="S8" s="18" t="s">
        <v>129</v>
      </c>
      <c r="T8" s="18" t="s">
        <v>128</v>
      </c>
      <c r="U8" s="18" t="s">
        <v>173</v>
      </c>
      <c r="V8" s="20" t="s">
        <v>307</v>
      </c>
      <c r="CA8" s="1" t="s">
        <v>71</v>
      </c>
      <c r="CB8" s="1" t="s">
        <v>18</v>
      </c>
      <c r="CC8" s="1" t="s">
        <v>308</v>
      </c>
      <c r="CE8" s="18" t="str">
        <f>NV[[#This Row],[Part Type]]</f>
        <v>Needle Valve</v>
      </c>
      <c r="CF8" s="18" t="str">
        <f>NV[[#This Row],[Part Nr.]]</f>
        <v>60-12HF4</v>
      </c>
      <c r="CG8" s="18" t="str">
        <f>IF(NV[[#This Row],[UID]]=0,"",NV[[#This Row],[UID]])</f>
        <v>NV-F2</v>
      </c>
      <c r="CK8" s="18" t="str">
        <f>IF(NV[[#This Row],[Status]]=0,"",NV[[#This Row],[Status]])</f>
        <v>Superseded</v>
      </c>
    </row>
    <row r="9" spans="1:89">
      <c r="A9" s="18" t="s">
        <v>1104</v>
      </c>
      <c r="B9" s="18" t="s">
        <v>63</v>
      </c>
      <c r="C9" s="18" t="s">
        <v>1112</v>
      </c>
      <c r="D9" s="28">
        <v>60000</v>
      </c>
      <c r="E9" s="18" t="s">
        <v>902</v>
      </c>
      <c r="F9" s="28" t="s">
        <v>129</v>
      </c>
      <c r="G9" s="19" t="s">
        <v>129</v>
      </c>
      <c r="H9" s="18">
        <v>0.06</v>
      </c>
      <c r="I9" s="18" t="s">
        <v>243</v>
      </c>
      <c r="J9" s="18" t="s">
        <v>243</v>
      </c>
      <c r="K9" s="53">
        <v>2.4375</v>
      </c>
      <c r="L9" s="53">
        <v>2</v>
      </c>
      <c r="M9" s="53">
        <v>1</v>
      </c>
      <c r="N9" s="53">
        <v>6.25E-2</v>
      </c>
      <c r="O9" s="19" t="s">
        <v>59</v>
      </c>
      <c r="P9" s="53">
        <v>5.1875</v>
      </c>
      <c r="Q9" s="18" t="s">
        <v>161</v>
      </c>
      <c r="R9" s="18" t="s">
        <v>129</v>
      </c>
      <c r="S9" s="18" t="s">
        <v>129</v>
      </c>
      <c r="T9" s="18" t="s">
        <v>128</v>
      </c>
      <c r="U9" s="18" t="s">
        <v>173</v>
      </c>
      <c r="V9" s="20" t="s">
        <v>307</v>
      </c>
      <c r="CA9" s="1" t="s">
        <v>71</v>
      </c>
      <c r="CB9" s="1" t="s">
        <v>18</v>
      </c>
      <c r="CC9" s="1" t="s">
        <v>308</v>
      </c>
      <c r="CE9" s="18" t="str">
        <f>NV[[#This Row],[Part Type]]</f>
        <v>Needle Valve</v>
      </c>
      <c r="CF9" s="18" t="str">
        <f>NV[[#This Row],[Part Nr.]]</f>
        <v>60-12HF4</v>
      </c>
      <c r="CG9" s="18" t="str">
        <f>IF(NV[[#This Row],[UID]]=0,"",NV[[#This Row],[UID]])</f>
        <v>NV-G1</v>
      </c>
      <c r="CK9" s="18" t="str">
        <f>IF(NV[[#This Row],[Status]]=0,"",NV[[#This Row],[Status]])</f>
        <v>Superseded</v>
      </c>
    </row>
    <row r="10" spans="1:89">
      <c r="A10" s="18" t="s">
        <v>1104</v>
      </c>
      <c r="B10" s="18" t="s">
        <v>63</v>
      </c>
      <c r="C10" s="18" t="s">
        <v>1113</v>
      </c>
      <c r="D10" s="28">
        <v>60000</v>
      </c>
      <c r="E10" s="18" t="s">
        <v>902</v>
      </c>
      <c r="F10" s="28" t="s">
        <v>129</v>
      </c>
      <c r="G10" s="19" t="s">
        <v>129</v>
      </c>
      <c r="H10" s="18">
        <v>0.06</v>
      </c>
      <c r="I10" s="18" t="s">
        <v>243</v>
      </c>
      <c r="J10" s="18" t="s">
        <v>243</v>
      </c>
      <c r="K10" s="53">
        <v>2.4375</v>
      </c>
      <c r="L10" s="53">
        <v>2</v>
      </c>
      <c r="M10" s="53">
        <v>1</v>
      </c>
      <c r="N10" s="53">
        <v>6.25E-2</v>
      </c>
      <c r="O10" s="19" t="s">
        <v>59</v>
      </c>
      <c r="P10" s="53">
        <v>5.1875</v>
      </c>
      <c r="Q10" s="18" t="s">
        <v>161</v>
      </c>
      <c r="R10" s="18" t="s">
        <v>129</v>
      </c>
      <c r="S10" s="18" t="s">
        <v>129</v>
      </c>
      <c r="T10" s="18" t="s">
        <v>128</v>
      </c>
      <c r="U10" s="18" t="s">
        <v>173</v>
      </c>
      <c r="V10" s="20" t="s">
        <v>307</v>
      </c>
      <c r="CA10" s="1" t="s">
        <v>71</v>
      </c>
      <c r="CB10" s="1" t="s">
        <v>18</v>
      </c>
      <c r="CC10" s="1" t="s">
        <v>308</v>
      </c>
      <c r="CE10" s="18" t="str">
        <f>NV[[#This Row],[Part Type]]</f>
        <v>Needle Valve</v>
      </c>
      <c r="CF10" s="18" t="str">
        <f>NV[[#This Row],[Part Nr.]]</f>
        <v>60-12HF4</v>
      </c>
      <c r="CG10" s="18" t="str">
        <f>IF(NV[[#This Row],[UID]]=0,"",NV[[#This Row],[UID]])</f>
        <v>NV-G2</v>
      </c>
      <c r="CK10" s="18" t="str">
        <f>IF(NV[[#This Row],[Status]]=0,"",NV[[#This Row],[Status]])</f>
        <v>Superseded</v>
      </c>
    </row>
    <row r="11" spans="1:89">
      <c r="A11" s="18" t="s">
        <v>1104</v>
      </c>
      <c r="B11" s="18" t="s">
        <v>63</v>
      </c>
      <c r="C11" s="18" t="s">
        <v>1114</v>
      </c>
      <c r="D11" s="28">
        <v>60000</v>
      </c>
      <c r="E11" s="18" t="s">
        <v>902</v>
      </c>
      <c r="F11" s="28" t="s">
        <v>129</v>
      </c>
      <c r="G11" s="19" t="s">
        <v>129</v>
      </c>
      <c r="H11" s="18">
        <v>0.06</v>
      </c>
      <c r="I11" s="18" t="s">
        <v>243</v>
      </c>
      <c r="J11" s="18" t="s">
        <v>243</v>
      </c>
      <c r="K11" s="53">
        <v>2.4375</v>
      </c>
      <c r="L11" s="53">
        <v>2</v>
      </c>
      <c r="M11" s="53">
        <v>1</v>
      </c>
      <c r="N11" s="53">
        <v>6.25E-2</v>
      </c>
      <c r="O11" s="19" t="s">
        <v>59</v>
      </c>
      <c r="P11" s="53">
        <v>5.1875</v>
      </c>
      <c r="Q11" s="18" t="s">
        <v>161</v>
      </c>
      <c r="R11" s="18" t="s">
        <v>129</v>
      </c>
      <c r="S11" s="18" t="s">
        <v>129</v>
      </c>
      <c r="T11" s="18" t="s">
        <v>128</v>
      </c>
      <c r="U11" s="18" t="s">
        <v>173</v>
      </c>
      <c r="V11" s="20" t="s">
        <v>307</v>
      </c>
      <c r="CA11" s="1" t="s">
        <v>71</v>
      </c>
      <c r="CB11" s="1" t="s">
        <v>18</v>
      </c>
      <c r="CC11" s="1" t="s">
        <v>308</v>
      </c>
      <c r="CE11" s="18" t="str">
        <f>NV[[#This Row],[Part Type]]</f>
        <v>Needle Valve</v>
      </c>
      <c r="CF11" s="18" t="str">
        <f>NV[[#This Row],[Part Nr.]]</f>
        <v>60-12HF4</v>
      </c>
      <c r="CG11" s="18" t="str">
        <f>IF(NV[[#This Row],[UID]]=0,"",NV[[#This Row],[UID]])</f>
        <v>NV-H1</v>
      </c>
      <c r="CK11" s="18" t="str">
        <f>IF(NV[[#This Row],[Status]]=0,"",NV[[#This Row],[Status]])</f>
        <v>Superseded</v>
      </c>
    </row>
    <row r="12" spans="1:89">
      <c r="A12" s="18" t="s">
        <v>1104</v>
      </c>
      <c r="B12" s="18" t="s">
        <v>63</v>
      </c>
      <c r="C12" s="18" t="s">
        <v>1115</v>
      </c>
      <c r="D12" s="28">
        <v>60000</v>
      </c>
      <c r="E12" s="18" t="s">
        <v>902</v>
      </c>
      <c r="F12" s="28" t="s">
        <v>129</v>
      </c>
      <c r="G12" s="19" t="s">
        <v>129</v>
      </c>
      <c r="H12" s="18">
        <v>0.06</v>
      </c>
      <c r="I12" s="18" t="s">
        <v>243</v>
      </c>
      <c r="J12" s="18" t="s">
        <v>243</v>
      </c>
      <c r="K12" s="53">
        <v>2.4375</v>
      </c>
      <c r="L12" s="53">
        <v>2</v>
      </c>
      <c r="M12" s="53">
        <v>1</v>
      </c>
      <c r="N12" s="53">
        <v>6.25E-2</v>
      </c>
      <c r="O12" s="19" t="s">
        <v>59</v>
      </c>
      <c r="P12" s="53">
        <v>5.1875</v>
      </c>
      <c r="Q12" s="18" t="s">
        <v>161</v>
      </c>
      <c r="R12" s="18" t="s">
        <v>129</v>
      </c>
      <c r="S12" s="18" t="s">
        <v>129</v>
      </c>
      <c r="T12" s="18" t="s">
        <v>128</v>
      </c>
      <c r="U12" s="18" t="s">
        <v>173</v>
      </c>
      <c r="V12" s="20" t="s">
        <v>307</v>
      </c>
      <c r="CA12" s="1" t="s">
        <v>71</v>
      </c>
      <c r="CB12" s="1" t="s">
        <v>18</v>
      </c>
      <c r="CC12" s="1" t="s">
        <v>308</v>
      </c>
      <c r="CE12" s="18" t="str">
        <f>NV[[#This Row],[Part Type]]</f>
        <v>Needle Valve</v>
      </c>
      <c r="CF12" s="18" t="str">
        <f>NV[[#This Row],[Part Nr.]]</f>
        <v>60-12HF4</v>
      </c>
      <c r="CG12" s="18" t="str">
        <f>IF(NV[[#This Row],[UID]]=0,"",NV[[#This Row],[UID]])</f>
        <v>NV-H2</v>
      </c>
      <c r="CK12" s="18" t="str">
        <f>IF(NV[[#This Row],[Status]]=0,"",NV[[#This Row],[Status]])</f>
        <v>Superseded</v>
      </c>
    </row>
    <row r="13" spans="1:89">
      <c r="A13" s="18" t="s">
        <v>1104</v>
      </c>
      <c r="B13" s="18" t="s">
        <v>63</v>
      </c>
      <c r="C13" s="18" t="s">
        <v>1116</v>
      </c>
      <c r="D13" s="28">
        <v>60000</v>
      </c>
      <c r="E13" s="18" t="s">
        <v>902</v>
      </c>
      <c r="F13" s="28" t="s">
        <v>129</v>
      </c>
      <c r="G13" s="19" t="s">
        <v>129</v>
      </c>
      <c r="H13" s="18">
        <v>0.06</v>
      </c>
      <c r="I13" s="18" t="s">
        <v>243</v>
      </c>
      <c r="J13" s="18" t="s">
        <v>243</v>
      </c>
      <c r="K13" s="53">
        <v>2.4375</v>
      </c>
      <c r="L13" s="53">
        <v>2</v>
      </c>
      <c r="M13" s="53">
        <v>1</v>
      </c>
      <c r="N13" s="53">
        <v>6.25E-2</v>
      </c>
      <c r="O13" s="19" t="s">
        <v>59</v>
      </c>
      <c r="P13" s="53">
        <v>5.1875</v>
      </c>
      <c r="Q13" s="18" t="s">
        <v>161</v>
      </c>
      <c r="R13" s="18" t="s">
        <v>129</v>
      </c>
      <c r="S13" s="18" t="s">
        <v>129</v>
      </c>
      <c r="T13" s="18" t="s">
        <v>128</v>
      </c>
      <c r="U13" s="18" t="s">
        <v>173</v>
      </c>
      <c r="V13" s="20" t="s">
        <v>307</v>
      </c>
      <c r="CA13" s="1" t="s">
        <v>71</v>
      </c>
      <c r="CB13" s="1" t="s">
        <v>18</v>
      </c>
      <c r="CC13" s="1" t="s">
        <v>308</v>
      </c>
      <c r="CE13" s="18" t="str">
        <f>NV[[#This Row],[Part Type]]</f>
        <v>Needle Valve</v>
      </c>
      <c r="CF13" s="18" t="str">
        <f>NV[[#This Row],[Part Nr.]]</f>
        <v>60-12HF4</v>
      </c>
      <c r="CG13" s="18" t="str">
        <f>IF(NV[[#This Row],[UID]]=0,"",NV[[#This Row],[UID]])</f>
        <v>NV-K1</v>
      </c>
      <c r="CK13" s="18" t="str">
        <f>IF(NV[[#This Row],[Status]]=0,"",NV[[#This Row],[Status]])</f>
        <v>Superseded</v>
      </c>
    </row>
    <row r="14" spans="1:89">
      <c r="A14" s="18" t="s">
        <v>1104</v>
      </c>
      <c r="B14" s="18" t="s">
        <v>63</v>
      </c>
      <c r="C14" s="18" t="s">
        <v>1117</v>
      </c>
      <c r="D14" s="28">
        <v>60000</v>
      </c>
      <c r="E14" s="18" t="s">
        <v>902</v>
      </c>
      <c r="F14" s="28" t="s">
        <v>129</v>
      </c>
      <c r="G14" s="19" t="s">
        <v>129</v>
      </c>
      <c r="H14" s="18">
        <v>0.06</v>
      </c>
      <c r="I14" s="18" t="s">
        <v>243</v>
      </c>
      <c r="J14" s="18" t="s">
        <v>243</v>
      </c>
      <c r="K14" s="53">
        <v>2.4375</v>
      </c>
      <c r="L14" s="53">
        <v>2</v>
      </c>
      <c r="M14" s="53">
        <v>1</v>
      </c>
      <c r="N14" s="53">
        <v>6.25E-2</v>
      </c>
      <c r="O14" s="19" t="s">
        <v>59</v>
      </c>
      <c r="P14" s="53">
        <v>5.1875</v>
      </c>
      <c r="Q14" s="18" t="s">
        <v>161</v>
      </c>
      <c r="R14" s="18" t="s">
        <v>129</v>
      </c>
      <c r="S14" s="18" t="s">
        <v>129</v>
      </c>
      <c r="T14" s="18" t="s">
        <v>128</v>
      </c>
      <c r="U14" s="18" t="s">
        <v>173</v>
      </c>
      <c r="V14" s="20" t="s">
        <v>307</v>
      </c>
      <c r="CA14" s="1" t="s">
        <v>71</v>
      </c>
      <c r="CB14" s="1" t="s">
        <v>18</v>
      </c>
      <c r="CC14" s="1" t="s">
        <v>308</v>
      </c>
      <c r="CE14" s="18" t="str">
        <f>NV[[#This Row],[Part Type]]</f>
        <v>Needle Valve</v>
      </c>
      <c r="CF14" s="18" t="str">
        <f>NV[[#This Row],[Part Nr.]]</f>
        <v>60-12HF4</v>
      </c>
      <c r="CG14" s="18" t="str">
        <f>IF(NV[[#This Row],[UID]]=0,"",NV[[#This Row],[UID]])</f>
        <v>NV-K2</v>
      </c>
      <c r="CK14" s="18" t="str">
        <f>IF(NV[[#This Row],[Status]]=0,"",NV[[#This Row],[Status]])</f>
        <v>Superseded</v>
      </c>
    </row>
    <row r="15" spans="1:89">
      <c r="A15" s="18" t="s">
        <v>1104</v>
      </c>
      <c r="B15" s="18" t="s">
        <v>63</v>
      </c>
      <c r="C15" s="18" t="s">
        <v>1118</v>
      </c>
      <c r="D15" s="28">
        <v>60000</v>
      </c>
      <c r="E15" s="18" t="s">
        <v>902</v>
      </c>
      <c r="F15" s="28" t="s">
        <v>129</v>
      </c>
      <c r="G15" s="19" t="s">
        <v>129</v>
      </c>
      <c r="H15" s="18">
        <v>0.06</v>
      </c>
      <c r="I15" s="18" t="s">
        <v>243</v>
      </c>
      <c r="J15" s="18" t="s">
        <v>243</v>
      </c>
      <c r="K15" s="53">
        <v>2.4375</v>
      </c>
      <c r="L15" s="53">
        <v>2</v>
      </c>
      <c r="M15" s="53">
        <v>1</v>
      </c>
      <c r="N15" s="53">
        <v>6.25E-2</v>
      </c>
      <c r="O15" s="19" t="s">
        <v>59</v>
      </c>
      <c r="P15" s="53">
        <v>5.1875</v>
      </c>
      <c r="Q15" s="18" t="s">
        <v>161</v>
      </c>
      <c r="R15" s="18" t="s">
        <v>129</v>
      </c>
      <c r="S15" s="18" t="s">
        <v>129</v>
      </c>
      <c r="T15" s="18" t="s">
        <v>128</v>
      </c>
      <c r="U15" s="18" t="s">
        <v>173</v>
      </c>
      <c r="V15" s="20" t="s">
        <v>307</v>
      </c>
      <c r="CA15" s="1" t="s">
        <v>71</v>
      </c>
      <c r="CB15" s="1" t="s">
        <v>18</v>
      </c>
      <c r="CC15" s="1" t="s">
        <v>308</v>
      </c>
      <c r="CE15" s="18" t="str">
        <f>NV[[#This Row],[Part Type]]</f>
        <v>Needle Valve</v>
      </c>
      <c r="CF15" s="18" t="str">
        <f>NV[[#This Row],[Part Nr.]]</f>
        <v>60-12HF4</v>
      </c>
      <c r="CG15" s="18" t="str">
        <f>IF(NV[[#This Row],[UID]]=0,"",NV[[#This Row],[UID]])</f>
        <v>NV-L1</v>
      </c>
      <c r="CK15" s="18" t="str">
        <f>IF(NV[[#This Row],[Status]]=0,"",NV[[#This Row],[Status]])</f>
        <v>Superseded</v>
      </c>
    </row>
    <row r="16" spans="1:89">
      <c r="A16" s="18" t="s">
        <v>1104</v>
      </c>
      <c r="B16" s="18" t="s">
        <v>63</v>
      </c>
      <c r="C16" s="18" t="s">
        <v>1119</v>
      </c>
      <c r="D16" s="28">
        <v>60000</v>
      </c>
      <c r="E16" s="18" t="s">
        <v>902</v>
      </c>
      <c r="F16" s="28" t="s">
        <v>129</v>
      </c>
      <c r="G16" s="19" t="s">
        <v>129</v>
      </c>
      <c r="H16" s="18">
        <v>0.06</v>
      </c>
      <c r="I16" s="18" t="s">
        <v>243</v>
      </c>
      <c r="J16" s="18" t="s">
        <v>243</v>
      </c>
      <c r="K16" s="53">
        <v>2.4375</v>
      </c>
      <c r="L16" s="53">
        <v>2</v>
      </c>
      <c r="M16" s="53">
        <v>1</v>
      </c>
      <c r="N16" s="53">
        <v>6.25E-2</v>
      </c>
      <c r="O16" s="19" t="s">
        <v>59</v>
      </c>
      <c r="P16" s="53">
        <v>5.1875</v>
      </c>
      <c r="Q16" s="18" t="s">
        <v>161</v>
      </c>
      <c r="R16" s="18" t="s">
        <v>129</v>
      </c>
      <c r="S16" s="18" t="s">
        <v>129</v>
      </c>
      <c r="T16" s="18" t="s">
        <v>128</v>
      </c>
      <c r="U16" s="18" t="s">
        <v>173</v>
      </c>
      <c r="V16" s="20" t="s">
        <v>307</v>
      </c>
      <c r="CA16" s="1" t="s">
        <v>71</v>
      </c>
      <c r="CB16" s="1" t="s">
        <v>18</v>
      </c>
      <c r="CC16" s="1" t="s">
        <v>308</v>
      </c>
      <c r="CE16" s="18" t="str">
        <f>NV[[#This Row],[Part Type]]</f>
        <v>Needle Valve</v>
      </c>
      <c r="CF16" s="18" t="str">
        <f>NV[[#This Row],[Part Nr.]]</f>
        <v>60-12HF4</v>
      </c>
      <c r="CG16" s="18" t="str">
        <f>IF(NV[[#This Row],[UID]]=0,"",NV[[#This Row],[UID]])</f>
        <v>NV-L2</v>
      </c>
      <c r="CK16" s="18" t="str">
        <f>IF(NV[[#This Row],[Status]]=0,"",NV[[#This Row],[Status]])</f>
        <v>Superseded</v>
      </c>
    </row>
    <row r="17" spans="1:89">
      <c r="A17" s="18" t="s">
        <v>1104</v>
      </c>
      <c r="B17" s="18" t="s">
        <v>63</v>
      </c>
      <c r="C17" s="18" t="s">
        <v>1120</v>
      </c>
      <c r="D17" s="28">
        <v>60000</v>
      </c>
      <c r="E17" s="18" t="s">
        <v>902</v>
      </c>
      <c r="F17" s="28" t="s">
        <v>129</v>
      </c>
      <c r="G17" s="19" t="s">
        <v>129</v>
      </c>
      <c r="H17" s="18">
        <v>0.06</v>
      </c>
      <c r="I17" s="18" t="s">
        <v>243</v>
      </c>
      <c r="J17" s="18" t="s">
        <v>243</v>
      </c>
      <c r="K17" s="53">
        <v>2.4375</v>
      </c>
      <c r="L17" s="53">
        <v>2</v>
      </c>
      <c r="M17" s="53">
        <v>1</v>
      </c>
      <c r="N17" s="53">
        <v>6.25E-2</v>
      </c>
      <c r="O17" s="19" t="s">
        <v>59</v>
      </c>
      <c r="P17" s="53">
        <v>5.1875</v>
      </c>
      <c r="Q17" s="18" t="s">
        <v>161</v>
      </c>
      <c r="R17" s="18" t="s">
        <v>129</v>
      </c>
      <c r="S17" s="18" t="s">
        <v>129</v>
      </c>
      <c r="T17" s="18" t="s">
        <v>128</v>
      </c>
      <c r="U17" s="18" t="s">
        <v>173</v>
      </c>
      <c r="V17" s="20" t="s">
        <v>307</v>
      </c>
      <c r="CA17" s="1" t="s">
        <v>71</v>
      </c>
      <c r="CB17" s="1" t="s">
        <v>18</v>
      </c>
      <c r="CC17" s="1" t="s">
        <v>308</v>
      </c>
      <c r="CE17" s="18" t="str">
        <f>NV[[#This Row],[Part Type]]</f>
        <v>Needle Valve</v>
      </c>
      <c r="CF17" s="18" t="str">
        <f>NV[[#This Row],[Part Nr.]]</f>
        <v>60-12HF4</v>
      </c>
      <c r="CG17" s="18" t="str">
        <f>IF(NV[[#This Row],[UID]]=0,"",NV[[#This Row],[UID]])</f>
        <v>NV-M1</v>
      </c>
      <c r="CK17" s="18" t="str">
        <f>IF(NV[[#This Row],[Status]]=0,"",NV[[#This Row],[Status]])</f>
        <v>Superseded</v>
      </c>
    </row>
    <row r="18" spans="1:89">
      <c r="A18" s="18" t="s">
        <v>1104</v>
      </c>
      <c r="B18" s="18" t="s">
        <v>63</v>
      </c>
      <c r="C18" s="18" t="s">
        <v>1121</v>
      </c>
      <c r="D18" s="28">
        <v>60000</v>
      </c>
      <c r="E18" s="18" t="s">
        <v>902</v>
      </c>
      <c r="F18" s="28" t="s">
        <v>129</v>
      </c>
      <c r="G18" s="19" t="s">
        <v>129</v>
      </c>
      <c r="H18" s="18">
        <v>0.06</v>
      </c>
      <c r="I18" s="18" t="s">
        <v>243</v>
      </c>
      <c r="J18" s="18" t="s">
        <v>243</v>
      </c>
      <c r="K18" s="53">
        <v>2.4375</v>
      </c>
      <c r="L18" s="53">
        <v>2</v>
      </c>
      <c r="M18" s="53">
        <v>1</v>
      </c>
      <c r="N18" s="53">
        <v>6.25E-2</v>
      </c>
      <c r="O18" s="19" t="s">
        <v>59</v>
      </c>
      <c r="P18" s="53">
        <v>5.1875</v>
      </c>
      <c r="Q18" s="18" t="s">
        <v>161</v>
      </c>
      <c r="R18" s="18" t="s">
        <v>129</v>
      </c>
      <c r="S18" s="18" t="s">
        <v>129</v>
      </c>
      <c r="T18" s="18" t="s">
        <v>128</v>
      </c>
      <c r="U18" s="18" t="s">
        <v>173</v>
      </c>
      <c r="V18" s="20" t="s">
        <v>307</v>
      </c>
      <c r="CA18" s="1" t="s">
        <v>71</v>
      </c>
      <c r="CB18" s="1" t="s">
        <v>18</v>
      </c>
      <c r="CC18" s="1" t="s">
        <v>308</v>
      </c>
      <c r="CE18" s="18" t="str">
        <f>NV[[#This Row],[Part Type]]</f>
        <v>Needle Valve</v>
      </c>
      <c r="CF18" s="18" t="str">
        <f>NV[[#This Row],[Part Nr.]]</f>
        <v>60-12HF4</v>
      </c>
      <c r="CG18" s="18" t="str">
        <f>IF(NV[[#This Row],[UID]]=0,"",NV[[#This Row],[UID]])</f>
        <v>NV-M2</v>
      </c>
      <c r="CK18" s="18" t="str">
        <f>IF(NV[[#This Row],[Status]]=0,"",NV[[#This Row],[Status]])</f>
        <v>Superseded</v>
      </c>
    </row>
    <row r="19" spans="1:89">
      <c r="A19" s="18" t="s">
        <v>1104</v>
      </c>
      <c r="B19" s="18" t="s">
        <v>63</v>
      </c>
      <c r="C19" s="18" t="s">
        <v>1122</v>
      </c>
      <c r="D19" s="28">
        <v>60000</v>
      </c>
      <c r="E19" s="18" t="s">
        <v>902</v>
      </c>
      <c r="F19" s="28" t="s">
        <v>129</v>
      </c>
      <c r="G19" s="19" t="s">
        <v>129</v>
      </c>
      <c r="H19" s="18">
        <v>0.06</v>
      </c>
      <c r="I19" s="18" t="s">
        <v>243</v>
      </c>
      <c r="J19" s="18" t="s">
        <v>243</v>
      </c>
      <c r="K19" s="53">
        <v>2.4375</v>
      </c>
      <c r="L19" s="53">
        <v>2</v>
      </c>
      <c r="M19" s="53">
        <v>1</v>
      </c>
      <c r="N19" s="53">
        <v>6.25E-2</v>
      </c>
      <c r="O19" s="19" t="s">
        <v>59</v>
      </c>
      <c r="P19" s="53">
        <v>5.1875</v>
      </c>
      <c r="Q19" s="18" t="s">
        <v>161</v>
      </c>
      <c r="R19" s="18" t="s">
        <v>129</v>
      </c>
      <c r="S19" s="18" t="s">
        <v>129</v>
      </c>
      <c r="T19" s="18" t="s">
        <v>128</v>
      </c>
      <c r="U19" s="18" t="s">
        <v>173</v>
      </c>
      <c r="V19" s="20" t="s">
        <v>307</v>
      </c>
      <c r="CA19" s="1" t="s">
        <v>71</v>
      </c>
      <c r="CB19" s="1" t="s">
        <v>18</v>
      </c>
      <c r="CC19" s="1" t="s">
        <v>308</v>
      </c>
      <c r="CE19" s="18" t="str">
        <f>NV[[#This Row],[Part Type]]</f>
        <v>Needle Valve</v>
      </c>
      <c r="CF19" s="18" t="str">
        <f>NV[[#This Row],[Part Nr.]]</f>
        <v>60-12HF4</v>
      </c>
      <c r="CG19" s="18" t="str">
        <f>IF(NV[[#This Row],[UID]]=0,"",NV[[#This Row],[UID]])</f>
        <v>NV-N2</v>
      </c>
      <c r="CK19" s="18" t="str">
        <f>IF(NV[[#This Row],[Status]]=0,"",NV[[#This Row],[Status]])</f>
        <v>Superseded</v>
      </c>
    </row>
    <row r="20" spans="1:89">
      <c r="A20" s="18" t="s">
        <v>1104</v>
      </c>
      <c r="B20" s="18" t="s">
        <v>63</v>
      </c>
      <c r="C20" s="18" t="s">
        <v>1123</v>
      </c>
      <c r="D20" s="28">
        <v>60000</v>
      </c>
      <c r="E20" s="18" t="s">
        <v>902</v>
      </c>
      <c r="F20" s="28" t="s">
        <v>129</v>
      </c>
      <c r="G20" s="19" t="s">
        <v>129</v>
      </c>
      <c r="H20" s="18">
        <v>0.06</v>
      </c>
      <c r="I20" s="18" t="s">
        <v>243</v>
      </c>
      <c r="J20" s="18" t="s">
        <v>243</v>
      </c>
      <c r="K20" s="53">
        <v>2.4375</v>
      </c>
      <c r="L20" s="53">
        <v>2</v>
      </c>
      <c r="M20" s="53">
        <v>1</v>
      </c>
      <c r="N20" s="53">
        <v>6.25E-2</v>
      </c>
      <c r="O20" s="19" t="s">
        <v>59</v>
      </c>
      <c r="P20" s="53">
        <v>5.1875</v>
      </c>
      <c r="Q20" s="18" t="s">
        <v>161</v>
      </c>
      <c r="R20" s="18" t="s">
        <v>129</v>
      </c>
      <c r="S20" s="18" t="s">
        <v>129</v>
      </c>
      <c r="T20" s="18" t="s">
        <v>128</v>
      </c>
      <c r="U20" s="18" t="s">
        <v>173</v>
      </c>
      <c r="V20" s="20" t="s">
        <v>307</v>
      </c>
      <c r="CA20" s="1" t="s">
        <v>71</v>
      </c>
      <c r="CB20" s="1" t="s">
        <v>18</v>
      </c>
      <c r="CC20" s="1" t="s">
        <v>308</v>
      </c>
      <c r="CE20" s="18" t="str">
        <f>NV[[#This Row],[Part Type]]</f>
        <v>Needle Valve</v>
      </c>
      <c r="CF20" s="18" t="str">
        <f>NV[[#This Row],[Part Nr.]]</f>
        <v>60-12HF4</v>
      </c>
      <c r="CG20" s="18" t="str">
        <f>IF(NV[[#This Row],[UID]]=0,"",NV[[#This Row],[UID]])</f>
        <v>NV-P1</v>
      </c>
      <c r="CK20" s="18" t="str">
        <f>IF(NV[[#This Row],[Status]]=0,"",NV[[#This Row],[Status]])</f>
        <v>Superseded</v>
      </c>
    </row>
    <row r="21" spans="1:89">
      <c r="A21" s="18" t="s">
        <v>1104</v>
      </c>
      <c r="B21" s="18" t="s">
        <v>63</v>
      </c>
      <c r="C21" s="18" t="s">
        <v>1124</v>
      </c>
      <c r="D21" s="28">
        <v>60000</v>
      </c>
      <c r="E21" s="18" t="s">
        <v>902</v>
      </c>
      <c r="F21" s="28" t="s">
        <v>129</v>
      </c>
      <c r="G21" s="19" t="s">
        <v>129</v>
      </c>
      <c r="H21" s="18">
        <v>0.06</v>
      </c>
      <c r="I21" s="18" t="s">
        <v>243</v>
      </c>
      <c r="J21" s="18" t="s">
        <v>243</v>
      </c>
      <c r="K21" s="53">
        <v>2.4375</v>
      </c>
      <c r="L21" s="53">
        <v>2</v>
      </c>
      <c r="M21" s="53">
        <v>1</v>
      </c>
      <c r="N21" s="53">
        <v>6.25E-2</v>
      </c>
      <c r="O21" s="19" t="s">
        <v>59</v>
      </c>
      <c r="P21" s="53">
        <v>5.1875</v>
      </c>
      <c r="Q21" s="18" t="s">
        <v>161</v>
      </c>
      <c r="R21" s="18" t="s">
        <v>129</v>
      </c>
      <c r="S21" s="18" t="s">
        <v>129</v>
      </c>
      <c r="T21" s="18" t="s">
        <v>128</v>
      </c>
      <c r="U21" s="18" t="s">
        <v>173</v>
      </c>
      <c r="V21" s="20" t="s">
        <v>307</v>
      </c>
      <c r="CA21" s="1" t="s">
        <v>71</v>
      </c>
      <c r="CB21" s="1" t="s">
        <v>18</v>
      </c>
      <c r="CC21" s="1" t="s">
        <v>308</v>
      </c>
      <c r="CE21" s="18" t="str">
        <f>NV[[#This Row],[Part Type]]</f>
        <v>Needle Valve</v>
      </c>
      <c r="CF21" s="18" t="str">
        <f>NV[[#This Row],[Part Nr.]]</f>
        <v>60-12HF4</v>
      </c>
      <c r="CG21" s="18" t="str">
        <f>IF(NV[[#This Row],[UID]]=0,"",NV[[#This Row],[UID]])</f>
        <v>NV-Q1</v>
      </c>
      <c r="CK21" s="18" t="str">
        <f>IF(NV[[#This Row],[Status]]=0,"",NV[[#This Row],[Status]])</f>
        <v>Superseded</v>
      </c>
    </row>
    <row r="22" spans="1:89">
      <c r="A22" s="18" t="s">
        <v>1104</v>
      </c>
      <c r="B22" s="18" t="s">
        <v>63</v>
      </c>
      <c r="C22" s="18" t="s">
        <v>1125</v>
      </c>
      <c r="D22" s="28">
        <v>60000</v>
      </c>
      <c r="E22" s="18" t="s">
        <v>902</v>
      </c>
      <c r="F22" s="28" t="s">
        <v>129</v>
      </c>
      <c r="G22" s="19" t="s">
        <v>129</v>
      </c>
      <c r="H22" s="18">
        <v>0.06</v>
      </c>
      <c r="I22" s="18" t="s">
        <v>243</v>
      </c>
      <c r="J22" s="18" t="s">
        <v>243</v>
      </c>
      <c r="K22" s="53">
        <v>2.4375</v>
      </c>
      <c r="L22" s="53">
        <v>2</v>
      </c>
      <c r="M22" s="53">
        <v>1</v>
      </c>
      <c r="N22" s="53">
        <v>6.25E-2</v>
      </c>
      <c r="O22" s="19" t="s">
        <v>59</v>
      </c>
      <c r="P22" s="53">
        <v>5.1875</v>
      </c>
      <c r="Q22" s="18" t="s">
        <v>161</v>
      </c>
      <c r="R22" s="18" t="s">
        <v>129</v>
      </c>
      <c r="S22" s="18" t="s">
        <v>129</v>
      </c>
      <c r="T22" s="18" t="s">
        <v>128</v>
      </c>
      <c r="U22" s="18" t="s">
        <v>173</v>
      </c>
      <c r="V22" s="20" t="s">
        <v>307</v>
      </c>
      <c r="CA22" s="1" t="s">
        <v>71</v>
      </c>
      <c r="CB22" s="1" t="s">
        <v>18</v>
      </c>
      <c r="CC22" s="1" t="s">
        <v>308</v>
      </c>
      <c r="CE22" s="18" t="str">
        <f>NV[[#This Row],[Part Type]]</f>
        <v>Needle Valve</v>
      </c>
      <c r="CF22" s="18" t="str">
        <f>NV[[#This Row],[Part Nr.]]</f>
        <v>60-12HF4</v>
      </c>
      <c r="CG22" s="18" t="str">
        <f>IF(NV[[#This Row],[UID]]=0,"",NV[[#This Row],[UID]])</f>
        <v>NV-R1</v>
      </c>
      <c r="CK22" s="18" t="str">
        <f>IF(NV[[#This Row],[Status]]=0,"",NV[[#This Row],[Status]])</f>
        <v>Superseded</v>
      </c>
    </row>
    <row r="23" spans="1:89">
      <c r="A23" s="18" t="s">
        <v>1104</v>
      </c>
      <c r="B23" s="18" t="s">
        <v>63</v>
      </c>
      <c r="C23" s="18" t="s">
        <v>1126</v>
      </c>
      <c r="D23" s="28">
        <v>60000</v>
      </c>
      <c r="E23" s="18" t="s">
        <v>902</v>
      </c>
      <c r="F23" s="28" t="s">
        <v>129</v>
      </c>
      <c r="G23" s="19" t="s">
        <v>129</v>
      </c>
      <c r="H23" s="18">
        <v>0.06</v>
      </c>
      <c r="I23" s="18" t="s">
        <v>243</v>
      </c>
      <c r="J23" s="18" t="s">
        <v>243</v>
      </c>
      <c r="K23" s="53">
        <v>2.4375</v>
      </c>
      <c r="L23" s="53">
        <v>2</v>
      </c>
      <c r="M23" s="53">
        <v>1</v>
      </c>
      <c r="N23" s="53">
        <v>6.25E-2</v>
      </c>
      <c r="O23" s="19" t="s">
        <v>59</v>
      </c>
      <c r="P23" s="53">
        <v>5.1875</v>
      </c>
      <c r="Q23" s="18" t="s">
        <v>161</v>
      </c>
      <c r="R23" s="18" t="s">
        <v>129</v>
      </c>
      <c r="S23" s="18" t="s">
        <v>129</v>
      </c>
      <c r="T23" s="18" t="s">
        <v>128</v>
      </c>
      <c r="U23" s="18" t="s">
        <v>173</v>
      </c>
      <c r="V23" s="20" t="s">
        <v>307</v>
      </c>
      <c r="CA23" s="1" t="s">
        <v>71</v>
      </c>
      <c r="CB23" s="1" t="s">
        <v>18</v>
      </c>
      <c r="CC23" s="1" t="s">
        <v>308</v>
      </c>
      <c r="CE23" s="18" t="str">
        <f>NV[[#This Row],[Part Type]]</f>
        <v>Needle Valve</v>
      </c>
      <c r="CF23" s="18" t="str">
        <f>NV[[#This Row],[Part Nr.]]</f>
        <v>60-12HF4</v>
      </c>
      <c r="CG23" s="18" t="str">
        <f>IF(NV[[#This Row],[UID]]=0,"",NV[[#This Row],[UID]])</f>
        <v>NV-Z1</v>
      </c>
      <c r="CK23" s="18" t="str">
        <f>IF(NV[[#This Row],[Status]]=0,"",NV[[#This Row],[Status]])</f>
        <v>Superseded</v>
      </c>
    </row>
    <row r="24" spans="1:89">
      <c r="A24" s="18" t="s">
        <v>1104</v>
      </c>
      <c r="B24" s="18" t="s">
        <v>63</v>
      </c>
      <c r="C24" s="18" t="s">
        <v>1127</v>
      </c>
      <c r="D24" s="28">
        <v>60000</v>
      </c>
      <c r="E24" s="18" t="s">
        <v>902</v>
      </c>
      <c r="F24" s="28" t="s">
        <v>129</v>
      </c>
      <c r="G24" s="19" t="s">
        <v>129</v>
      </c>
      <c r="H24" s="18">
        <v>0.06</v>
      </c>
      <c r="I24" s="18" t="s">
        <v>243</v>
      </c>
      <c r="J24" s="18" t="s">
        <v>243</v>
      </c>
      <c r="K24" s="53">
        <v>2.4375</v>
      </c>
      <c r="L24" s="53">
        <v>2</v>
      </c>
      <c r="M24" s="53">
        <v>1</v>
      </c>
      <c r="N24" s="53">
        <v>6.25E-2</v>
      </c>
      <c r="O24" s="19" t="s">
        <v>59</v>
      </c>
      <c r="P24" s="53">
        <v>5.1875</v>
      </c>
      <c r="Q24" s="18" t="s">
        <v>161</v>
      </c>
      <c r="R24" s="18" t="s">
        <v>129</v>
      </c>
      <c r="S24" s="18" t="s">
        <v>129</v>
      </c>
      <c r="T24" s="18" t="s">
        <v>128</v>
      </c>
      <c r="U24" s="18" t="s">
        <v>173</v>
      </c>
      <c r="V24" s="20" t="s">
        <v>307</v>
      </c>
      <c r="CA24" s="1" t="s">
        <v>71</v>
      </c>
      <c r="CB24" s="1" t="s">
        <v>18</v>
      </c>
      <c r="CC24" s="1" t="s">
        <v>308</v>
      </c>
      <c r="CE24" s="18" t="str">
        <f>NV[[#This Row],[Part Type]]</f>
        <v>Needle Valve</v>
      </c>
      <c r="CF24" s="18" t="str">
        <f>NV[[#This Row],[Part Nr.]]</f>
        <v>60-12HF4</v>
      </c>
      <c r="CG24" s="18" t="str">
        <f>IF(NV[[#This Row],[UID]]=0,"",NV[[#This Row],[UID]])</f>
        <v>NV-Z2</v>
      </c>
      <c r="CK24" s="18" t="str">
        <f>IF(NV[[#This Row],[Status]]=0,"",NV[[#This Row],[Status]])</f>
        <v>Superseded</v>
      </c>
    </row>
    <row r="25" spans="1:89">
      <c r="A25" s="18" t="s">
        <v>120</v>
      </c>
      <c r="B25" s="18" t="s">
        <v>63</v>
      </c>
      <c r="C25" s="18" t="s">
        <v>973</v>
      </c>
      <c r="D25" s="28">
        <v>60000</v>
      </c>
      <c r="E25" s="18" t="s">
        <v>902</v>
      </c>
      <c r="F25" s="28">
        <v>220930</v>
      </c>
      <c r="G25" s="19">
        <v>689.23699999999997</v>
      </c>
      <c r="H25" s="18">
        <v>0.06</v>
      </c>
      <c r="I25" s="18" t="s">
        <v>243</v>
      </c>
      <c r="J25" s="18" t="s">
        <v>243</v>
      </c>
      <c r="K25" s="53">
        <v>2.4375</v>
      </c>
      <c r="L25" s="53">
        <v>2</v>
      </c>
      <c r="M25" s="53">
        <v>1</v>
      </c>
      <c r="N25" s="53">
        <v>6.25E-2</v>
      </c>
      <c r="O25" s="19" t="s">
        <v>59</v>
      </c>
      <c r="P25" s="53">
        <v>5.1875</v>
      </c>
      <c r="Q25" s="18" t="s">
        <v>161</v>
      </c>
      <c r="R25" s="18" t="s">
        <v>1106</v>
      </c>
      <c r="S25" s="18" t="s">
        <v>129</v>
      </c>
      <c r="T25" s="18" t="s">
        <v>128</v>
      </c>
      <c r="U25" s="18" t="s">
        <v>173</v>
      </c>
      <c r="V25" s="20" t="s">
        <v>307</v>
      </c>
      <c r="CA25" s="1" t="s">
        <v>71</v>
      </c>
      <c r="CB25" s="1" t="s">
        <v>18</v>
      </c>
      <c r="CC25" s="1" t="s">
        <v>308</v>
      </c>
      <c r="CE25" s="18" t="str">
        <f>NV[[#This Row],[Part Type]]</f>
        <v>Needle Valve</v>
      </c>
      <c r="CF25" s="18" t="str">
        <f>NV[[#This Row],[Part Nr.]]</f>
        <v>60-12HF4</v>
      </c>
      <c r="CG25" s="18" t="str">
        <f>IF(NV[[#This Row],[UID]]=0,"",NV[[#This Row],[UID]])</f>
        <v>NV-1</v>
      </c>
      <c r="CK25" s="18" t="str">
        <f>IF(NV[[#This Row],[Status]]=0,"",NV[[#This Row],[Status]])</f>
        <v>Active</v>
      </c>
    </row>
    <row r="26" spans="1:89">
      <c r="A26" s="18" t="s">
        <v>120</v>
      </c>
      <c r="B26" s="18" t="s">
        <v>63</v>
      </c>
      <c r="C26" s="18" t="s">
        <v>1128</v>
      </c>
      <c r="D26" s="28">
        <v>60000</v>
      </c>
      <c r="E26" s="18" t="s">
        <v>902</v>
      </c>
      <c r="F26" s="28">
        <v>220930</v>
      </c>
      <c r="G26" s="19">
        <v>683.82</v>
      </c>
      <c r="H26" s="18">
        <v>0.06</v>
      </c>
      <c r="I26" s="18" t="s">
        <v>243</v>
      </c>
      <c r="J26" s="18" t="s">
        <v>243</v>
      </c>
      <c r="K26" s="53">
        <v>2.4375</v>
      </c>
      <c r="L26" s="53">
        <v>2</v>
      </c>
      <c r="M26" s="53">
        <v>1</v>
      </c>
      <c r="N26" s="53">
        <v>6.25E-2</v>
      </c>
      <c r="O26" s="19" t="s">
        <v>59</v>
      </c>
      <c r="P26" s="53">
        <v>5.1875</v>
      </c>
      <c r="Q26" s="18" t="s">
        <v>161</v>
      </c>
      <c r="R26" s="18" t="s">
        <v>1107</v>
      </c>
      <c r="S26" s="18" t="s">
        <v>129</v>
      </c>
      <c r="T26" s="18" t="s">
        <v>128</v>
      </c>
      <c r="U26" s="18" t="s">
        <v>173</v>
      </c>
      <c r="V26" s="20" t="s">
        <v>307</v>
      </c>
      <c r="CA26" s="1" t="s">
        <v>71</v>
      </c>
      <c r="CB26" s="1" t="s">
        <v>18</v>
      </c>
      <c r="CC26" s="1" t="s">
        <v>308</v>
      </c>
      <c r="CE26" s="18" t="str">
        <f>NV[[#This Row],[Part Type]]</f>
        <v>Needle Valve</v>
      </c>
      <c r="CF26" s="18" t="str">
        <f>NV[[#This Row],[Part Nr.]]</f>
        <v>60-12HF4</v>
      </c>
      <c r="CG26" s="18" t="str">
        <f>IF(NV[[#This Row],[UID]]=0,"",NV[[#This Row],[UID]])</f>
        <v>NV-2</v>
      </c>
      <c r="CK26" s="18" t="str">
        <f>IF(NV[[#This Row],[Status]]=0,"",NV[[#This Row],[Status]])</f>
        <v>Active</v>
      </c>
    </row>
    <row r="27" spans="1:89">
      <c r="A27" s="18" t="s">
        <v>120</v>
      </c>
      <c r="B27" s="18" t="s">
        <v>63</v>
      </c>
      <c r="C27" s="18" t="s">
        <v>979</v>
      </c>
      <c r="D27" s="28">
        <v>60000</v>
      </c>
      <c r="E27" s="18" t="s">
        <v>902</v>
      </c>
      <c r="F27" s="28">
        <v>220930</v>
      </c>
      <c r="G27" s="19">
        <v>688.16099999999994</v>
      </c>
      <c r="H27" s="18">
        <v>0.06</v>
      </c>
      <c r="I27" s="18" t="s">
        <v>243</v>
      </c>
      <c r="J27" s="18" t="s">
        <v>243</v>
      </c>
      <c r="K27" s="53">
        <v>2.4375</v>
      </c>
      <c r="L27" s="53">
        <v>2</v>
      </c>
      <c r="M27" s="53">
        <v>1</v>
      </c>
      <c r="N27" s="53">
        <v>6.25E-2</v>
      </c>
      <c r="O27" s="19" t="s">
        <v>59</v>
      </c>
      <c r="P27" s="53">
        <v>5.1875</v>
      </c>
      <c r="Q27" s="18" t="s">
        <v>161</v>
      </c>
      <c r="R27" s="18" t="s">
        <v>1108</v>
      </c>
      <c r="S27" s="18" t="s">
        <v>129</v>
      </c>
      <c r="T27" s="18" t="s">
        <v>128</v>
      </c>
      <c r="U27" s="18" t="s">
        <v>173</v>
      </c>
      <c r="V27" s="20" t="s">
        <v>307</v>
      </c>
      <c r="CA27" s="1" t="s">
        <v>71</v>
      </c>
      <c r="CB27" s="1" t="s">
        <v>18</v>
      </c>
      <c r="CC27" s="1" t="s">
        <v>308</v>
      </c>
      <c r="CE27" s="18" t="str">
        <f>NV[[#This Row],[Part Type]]</f>
        <v>Needle Valve</v>
      </c>
      <c r="CF27" s="18" t="str">
        <f>NV[[#This Row],[Part Nr.]]</f>
        <v>60-12HF4</v>
      </c>
      <c r="CG27" s="18" t="str">
        <f>IF(NV[[#This Row],[UID]]=0,"",NV[[#This Row],[UID]])</f>
        <v>NV-3</v>
      </c>
      <c r="CK27" s="18" t="str">
        <f>IF(NV[[#This Row],[Status]]=0,"",NV[[#This Row],[Status]])</f>
        <v>Active</v>
      </c>
    </row>
    <row r="28" spans="1:89">
      <c r="A28" s="18" t="s">
        <v>120</v>
      </c>
      <c r="B28" s="18" t="s">
        <v>63</v>
      </c>
      <c r="C28" s="18" t="s">
        <v>985</v>
      </c>
      <c r="D28" s="28">
        <v>60000</v>
      </c>
      <c r="E28" s="18" t="s">
        <v>902</v>
      </c>
      <c r="F28" s="28">
        <v>220930</v>
      </c>
      <c r="G28" s="19">
        <v>688.48299999999995</v>
      </c>
      <c r="H28" s="18">
        <v>0.06</v>
      </c>
      <c r="I28" s="18" t="s">
        <v>243</v>
      </c>
      <c r="J28" s="18" t="s">
        <v>243</v>
      </c>
      <c r="K28" s="53">
        <v>2.4375</v>
      </c>
      <c r="L28" s="53">
        <v>2</v>
      </c>
      <c r="M28" s="53">
        <v>1</v>
      </c>
      <c r="N28" s="53">
        <v>6.25E-2</v>
      </c>
      <c r="O28" s="19" t="s">
        <v>59</v>
      </c>
      <c r="P28" s="53">
        <v>5.1875</v>
      </c>
      <c r="Q28" s="18" t="s">
        <v>161</v>
      </c>
      <c r="R28" s="18" t="s">
        <v>1109</v>
      </c>
      <c r="S28" s="18" t="s">
        <v>129</v>
      </c>
      <c r="T28" s="18" t="s">
        <v>128</v>
      </c>
      <c r="U28" s="18" t="s">
        <v>173</v>
      </c>
      <c r="V28" s="20" t="s">
        <v>307</v>
      </c>
      <c r="CA28" s="1" t="s">
        <v>71</v>
      </c>
      <c r="CB28" s="1" t="s">
        <v>18</v>
      </c>
      <c r="CC28" s="1" t="s">
        <v>308</v>
      </c>
      <c r="CE28" s="18" t="str">
        <f>NV[[#This Row],[Part Type]]</f>
        <v>Needle Valve</v>
      </c>
      <c r="CF28" s="18" t="str">
        <f>NV[[#This Row],[Part Nr.]]</f>
        <v>60-12HF4</v>
      </c>
      <c r="CG28" s="18" t="str">
        <f>IF(NV[[#This Row],[UID]]=0,"",NV[[#This Row],[UID]])</f>
        <v>NV-4</v>
      </c>
      <c r="CK28" s="18" t="str">
        <f>IF(NV[[#This Row],[Status]]=0,"",NV[[#This Row],[Status]])</f>
        <v>Active</v>
      </c>
    </row>
    <row r="29" spans="1:89">
      <c r="A29" s="18" t="s">
        <v>120</v>
      </c>
      <c r="B29" s="18" t="s">
        <v>63</v>
      </c>
      <c r="C29" s="54" t="s">
        <v>991</v>
      </c>
      <c r="D29" s="28">
        <v>60000</v>
      </c>
      <c r="E29" s="18" t="s">
        <v>902</v>
      </c>
      <c r="F29" s="28">
        <v>220930</v>
      </c>
      <c r="G29" s="19">
        <v>686.11800000000005</v>
      </c>
      <c r="H29" s="18">
        <v>0.06</v>
      </c>
      <c r="I29" s="18" t="s">
        <v>243</v>
      </c>
      <c r="J29" s="18" t="s">
        <v>243</v>
      </c>
      <c r="K29" s="53">
        <v>2.4375</v>
      </c>
      <c r="L29" s="53">
        <v>2</v>
      </c>
      <c r="M29" s="53">
        <v>1</v>
      </c>
      <c r="N29" s="53">
        <v>6.25E-2</v>
      </c>
      <c r="O29" s="19" t="s">
        <v>59</v>
      </c>
      <c r="P29" s="53">
        <v>5.1875</v>
      </c>
      <c r="Q29" s="18" t="s">
        <v>161</v>
      </c>
      <c r="R29" s="54" t="s">
        <v>1110</v>
      </c>
      <c r="S29" s="18" t="s">
        <v>129</v>
      </c>
      <c r="T29" s="18" t="s">
        <v>128</v>
      </c>
      <c r="U29" s="18" t="s">
        <v>173</v>
      </c>
      <c r="V29" s="20" t="s">
        <v>307</v>
      </c>
      <c r="CA29" s="1" t="s">
        <v>71</v>
      </c>
      <c r="CB29" s="1" t="s">
        <v>18</v>
      </c>
      <c r="CC29" s="1" t="s">
        <v>308</v>
      </c>
      <c r="CE29" s="18" t="str">
        <f>NV[[#This Row],[Part Type]]</f>
        <v>Needle Valve</v>
      </c>
      <c r="CF29" s="18" t="str">
        <f>NV[[#This Row],[Part Nr.]]</f>
        <v>60-12HF4</v>
      </c>
      <c r="CG29" s="18" t="str">
        <f>IF(NV[[#This Row],[UID]]=0,"",NV[[#This Row],[UID]])</f>
        <v>NV-5</v>
      </c>
      <c r="CK29" s="18" t="str">
        <f>IF(NV[[#This Row],[Status]]=0,"",NV[[#This Row],[Status]])</f>
        <v>Active</v>
      </c>
    </row>
    <row r="30" spans="1:89">
      <c r="A30" s="18" t="s">
        <v>120</v>
      </c>
      <c r="B30" s="18" t="s">
        <v>63</v>
      </c>
      <c r="C30" s="18" t="s">
        <v>1129</v>
      </c>
      <c r="D30" s="28">
        <v>60000</v>
      </c>
      <c r="E30" s="18" t="s">
        <v>902</v>
      </c>
      <c r="F30" s="28">
        <v>220930</v>
      </c>
      <c r="G30" s="19">
        <v>687.38900000000001</v>
      </c>
      <c r="H30" s="18">
        <v>0.06</v>
      </c>
      <c r="I30" s="18" t="s">
        <v>243</v>
      </c>
      <c r="J30" s="18" t="s">
        <v>243</v>
      </c>
      <c r="K30" s="53">
        <v>2.4375</v>
      </c>
      <c r="L30" s="53">
        <v>2</v>
      </c>
      <c r="M30" s="53">
        <v>1</v>
      </c>
      <c r="N30" s="53">
        <v>6.25E-2</v>
      </c>
      <c r="O30" s="19" t="s">
        <v>59</v>
      </c>
      <c r="P30" s="53">
        <v>5.1875</v>
      </c>
      <c r="Q30" s="18" t="s">
        <v>161</v>
      </c>
      <c r="R30" s="18" t="s">
        <v>1111</v>
      </c>
      <c r="S30" s="18" t="s">
        <v>129</v>
      </c>
      <c r="T30" s="18" t="s">
        <v>128</v>
      </c>
      <c r="U30" s="18" t="s">
        <v>173</v>
      </c>
      <c r="V30" s="20" t="s">
        <v>307</v>
      </c>
      <c r="CA30" s="1" t="s">
        <v>71</v>
      </c>
      <c r="CB30" s="1" t="s">
        <v>18</v>
      </c>
      <c r="CC30" s="1" t="s">
        <v>308</v>
      </c>
      <c r="CE30" s="18" t="str">
        <f>NV[[#This Row],[Part Type]]</f>
        <v>Needle Valve</v>
      </c>
      <c r="CF30" s="18" t="str">
        <f>NV[[#This Row],[Part Nr.]]</f>
        <v>60-12HF4</v>
      </c>
      <c r="CG30" s="18" t="str">
        <f>IF(NV[[#This Row],[UID]]=0,"",NV[[#This Row],[UID]])</f>
        <v>NV-6</v>
      </c>
      <c r="CK30" s="18" t="str">
        <f>IF(NV[[#This Row],[Status]]=0,"",NV[[#This Row],[Status]])</f>
        <v>Active</v>
      </c>
    </row>
    <row r="31" spans="1:89">
      <c r="A31" s="18" t="s">
        <v>120</v>
      </c>
      <c r="B31" s="18" t="s">
        <v>63</v>
      </c>
      <c r="C31" s="18" t="s">
        <v>1001</v>
      </c>
      <c r="D31" s="28">
        <v>60000</v>
      </c>
      <c r="E31" s="18" t="s">
        <v>902</v>
      </c>
      <c r="F31" s="28">
        <v>220930</v>
      </c>
      <c r="G31" s="19">
        <v>687.07799999999997</v>
      </c>
      <c r="H31" s="18">
        <v>0.06</v>
      </c>
      <c r="I31" s="18" t="s">
        <v>243</v>
      </c>
      <c r="J31" s="18" t="s">
        <v>243</v>
      </c>
      <c r="K31" s="53">
        <v>2.4375</v>
      </c>
      <c r="L31" s="53">
        <v>2</v>
      </c>
      <c r="M31" s="53">
        <v>1</v>
      </c>
      <c r="N31" s="53">
        <v>6.25E-2</v>
      </c>
      <c r="O31" s="19" t="s">
        <v>59</v>
      </c>
      <c r="P31" s="53">
        <v>5.1875</v>
      </c>
      <c r="Q31" s="18" t="s">
        <v>161</v>
      </c>
      <c r="R31" s="18" t="s">
        <v>1112</v>
      </c>
      <c r="S31" s="18" t="s">
        <v>129</v>
      </c>
      <c r="T31" s="18" t="s">
        <v>128</v>
      </c>
      <c r="U31" s="18" t="s">
        <v>173</v>
      </c>
      <c r="V31" s="20" t="s">
        <v>307</v>
      </c>
      <c r="CA31" s="1" t="s">
        <v>71</v>
      </c>
      <c r="CB31" s="1" t="s">
        <v>18</v>
      </c>
      <c r="CC31" s="1" t="s">
        <v>308</v>
      </c>
      <c r="CE31" s="18" t="str">
        <f>NV[[#This Row],[Part Type]]</f>
        <v>Needle Valve</v>
      </c>
      <c r="CF31" s="18" t="str">
        <f>NV[[#This Row],[Part Nr.]]</f>
        <v>60-12HF4</v>
      </c>
      <c r="CG31" s="18" t="str">
        <f>IF(NV[[#This Row],[UID]]=0,"",NV[[#This Row],[UID]])</f>
        <v>NV-7</v>
      </c>
      <c r="CK31" s="18" t="str">
        <f>IF(NV[[#This Row],[Status]]=0,"",NV[[#This Row],[Status]])</f>
        <v>Active</v>
      </c>
    </row>
    <row r="32" spans="1:89">
      <c r="A32" s="18" t="s">
        <v>120</v>
      </c>
      <c r="B32" s="18" t="s">
        <v>63</v>
      </c>
      <c r="C32" s="18" t="s">
        <v>1130</v>
      </c>
      <c r="D32" s="28">
        <v>60000</v>
      </c>
      <c r="E32" s="18" t="s">
        <v>902</v>
      </c>
      <c r="F32" s="28">
        <v>220930</v>
      </c>
      <c r="G32" s="19">
        <v>686.89499999999998</v>
      </c>
      <c r="H32" s="18">
        <v>0.06</v>
      </c>
      <c r="I32" s="18" t="s">
        <v>243</v>
      </c>
      <c r="J32" s="18" t="s">
        <v>243</v>
      </c>
      <c r="K32" s="53">
        <v>2.4375</v>
      </c>
      <c r="L32" s="53">
        <v>2</v>
      </c>
      <c r="M32" s="53">
        <v>1</v>
      </c>
      <c r="N32" s="53">
        <v>6.25E-2</v>
      </c>
      <c r="O32" s="19" t="s">
        <v>59</v>
      </c>
      <c r="P32" s="53">
        <v>5.1875</v>
      </c>
      <c r="Q32" s="18" t="s">
        <v>161</v>
      </c>
      <c r="R32" s="18" t="s">
        <v>1113</v>
      </c>
      <c r="S32" s="18" t="s">
        <v>129</v>
      </c>
      <c r="T32" s="18" t="s">
        <v>128</v>
      </c>
      <c r="U32" s="18" t="s">
        <v>173</v>
      </c>
      <c r="V32" s="20" t="s">
        <v>307</v>
      </c>
      <c r="CA32" s="1" t="s">
        <v>71</v>
      </c>
      <c r="CB32" s="1" t="s">
        <v>18</v>
      </c>
      <c r="CC32" s="1" t="s">
        <v>308</v>
      </c>
      <c r="CE32" s="18" t="str">
        <f>NV[[#This Row],[Part Type]]</f>
        <v>Needle Valve</v>
      </c>
      <c r="CF32" s="18" t="str">
        <f>NV[[#This Row],[Part Nr.]]</f>
        <v>60-12HF4</v>
      </c>
      <c r="CG32" s="18" t="str">
        <f>IF(NV[[#This Row],[UID]]=0,"",NV[[#This Row],[UID]])</f>
        <v>NV-8</v>
      </c>
      <c r="CK32" s="18" t="str">
        <f>IF(NV[[#This Row],[Status]]=0,"",NV[[#This Row],[Status]])</f>
        <v>Active</v>
      </c>
    </row>
    <row r="33" spans="1:89">
      <c r="A33" s="18" t="s">
        <v>120</v>
      </c>
      <c r="B33" s="18" t="s">
        <v>63</v>
      </c>
      <c r="C33" s="18" t="s">
        <v>1131</v>
      </c>
      <c r="D33" s="28">
        <v>60000</v>
      </c>
      <c r="E33" s="18" t="s">
        <v>902</v>
      </c>
      <c r="F33" s="28">
        <v>220930</v>
      </c>
      <c r="G33" s="19">
        <v>687.72699999999998</v>
      </c>
      <c r="H33" s="18">
        <v>0.06</v>
      </c>
      <c r="I33" s="18" t="s">
        <v>243</v>
      </c>
      <c r="J33" s="18" t="s">
        <v>243</v>
      </c>
      <c r="K33" s="53">
        <v>2.4375</v>
      </c>
      <c r="L33" s="53">
        <v>2</v>
      </c>
      <c r="M33" s="53">
        <v>1</v>
      </c>
      <c r="N33" s="53">
        <v>6.25E-2</v>
      </c>
      <c r="O33" s="19" t="s">
        <v>59</v>
      </c>
      <c r="P33" s="53">
        <v>5.1875</v>
      </c>
      <c r="Q33" s="18" t="s">
        <v>161</v>
      </c>
      <c r="R33" s="18" t="s">
        <v>1114</v>
      </c>
      <c r="S33" s="18" t="s">
        <v>129</v>
      </c>
      <c r="T33" s="18" t="s">
        <v>128</v>
      </c>
      <c r="U33" s="18" t="s">
        <v>173</v>
      </c>
      <c r="V33" s="20" t="s">
        <v>307</v>
      </c>
      <c r="CA33" s="1" t="s">
        <v>71</v>
      </c>
      <c r="CB33" s="1" t="s">
        <v>18</v>
      </c>
      <c r="CC33" s="1" t="s">
        <v>308</v>
      </c>
      <c r="CE33" s="18" t="str">
        <f>NV[[#This Row],[Part Type]]</f>
        <v>Needle Valve</v>
      </c>
      <c r="CF33" s="18" t="str">
        <f>NV[[#This Row],[Part Nr.]]</f>
        <v>60-12HF4</v>
      </c>
      <c r="CG33" s="18" t="str">
        <f>IF(NV[[#This Row],[UID]]=0,"",NV[[#This Row],[UID]])</f>
        <v>NV-9</v>
      </c>
      <c r="CK33" s="18" t="str">
        <f>IF(NV[[#This Row],[Status]]=0,"",NV[[#This Row],[Status]])</f>
        <v>Active</v>
      </c>
    </row>
    <row r="34" spans="1:89">
      <c r="A34" s="18" t="s">
        <v>120</v>
      </c>
      <c r="B34" s="18" t="s">
        <v>63</v>
      </c>
      <c r="C34" s="18" t="s">
        <v>1132</v>
      </c>
      <c r="D34" s="28">
        <v>60000</v>
      </c>
      <c r="E34" s="18" t="s">
        <v>902</v>
      </c>
      <c r="F34" s="28">
        <v>220930</v>
      </c>
      <c r="G34" s="19">
        <v>686.99800000000005</v>
      </c>
      <c r="H34" s="18">
        <v>0.06</v>
      </c>
      <c r="I34" s="18" t="s">
        <v>243</v>
      </c>
      <c r="J34" s="18" t="s">
        <v>243</v>
      </c>
      <c r="K34" s="53">
        <v>2.4375</v>
      </c>
      <c r="L34" s="53">
        <v>2</v>
      </c>
      <c r="M34" s="53">
        <v>1</v>
      </c>
      <c r="N34" s="53">
        <v>6.25E-2</v>
      </c>
      <c r="O34" s="19" t="s">
        <v>59</v>
      </c>
      <c r="P34" s="53">
        <v>5.1875</v>
      </c>
      <c r="Q34" s="18" t="s">
        <v>161</v>
      </c>
      <c r="R34" s="18" t="s">
        <v>1115</v>
      </c>
      <c r="S34" s="18" t="s">
        <v>129</v>
      </c>
      <c r="T34" s="18" t="s">
        <v>128</v>
      </c>
      <c r="U34" s="18" t="s">
        <v>173</v>
      </c>
      <c r="V34" s="20" t="s">
        <v>307</v>
      </c>
      <c r="CA34" s="1" t="s">
        <v>71</v>
      </c>
      <c r="CB34" s="1" t="s">
        <v>18</v>
      </c>
      <c r="CC34" s="1" t="s">
        <v>308</v>
      </c>
      <c r="CE34" s="18" t="str">
        <f>NV[[#This Row],[Part Type]]</f>
        <v>Needle Valve</v>
      </c>
      <c r="CF34" s="18" t="str">
        <f>NV[[#This Row],[Part Nr.]]</f>
        <v>60-12HF4</v>
      </c>
      <c r="CG34" s="18" t="str">
        <f>IF(NV[[#This Row],[UID]]=0,"",NV[[#This Row],[UID]])</f>
        <v>NV-10</v>
      </c>
      <c r="CK34" s="18" t="str">
        <f>IF(NV[[#This Row],[Status]]=0,"",NV[[#This Row],[Status]])</f>
        <v>Active</v>
      </c>
    </row>
    <row r="35" spans="1:89">
      <c r="A35" s="18" t="s">
        <v>120</v>
      </c>
      <c r="B35" s="18" t="s">
        <v>63</v>
      </c>
      <c r="C35" s="18" t="s">
        <v>1133</v>
      </c>
      <c r="D35" s="28">
        <v>60000</v>
      </c>
      <c r="E35" s="18" t="s">
        <v>902</v>
      </c>
      <c r="F35" s="28">
        <v>220930</v>
      </c>
      <c r="G35" s="19">
        <v>683.93200000000002</v>
      </c>
      <c r="H35" s="18">
        <v>0.06</v>
      </c>
      <c r="I35" s="18" t="s">
        <v>243</v>
      </c>
      <c r="J35" s="18" t="s">
        <v>243</v>
      </c>
      <c r="K35" s="53">
        <v>2.4375</v>
      </c>
      <c r="L35" s="53">
        <v>2</v>
      </c>
      <c r="M35" s="53">
        <v>1</v>
      </c>
      <c r="N35" s="53">
        <v>6.25E-2</v>
      </c>
      <c r="O35" s="19" t="s">
        <v>59</v>
      </c>
      <c r="P35" s="53">
        <v>5.1875</v>
      </c>
      <c r="Q35" s="18" t="s">
        <v>161</v>
      </c>
      <c r="R35" s="18" t="s">
        <v>1116</v>
      </c>
      <c r="S35" s="18" t="s">
        <v>129</v>
      </c>
      <c r="T35" s="18" t="s">
        <v>128</v>
      </c>
      <c r="U35" s="18" t="s">
        <v>173</v>
      </c>
      <c r="V35" s="20" t="s">
        <v>307</v>
      </c>
      <c r="CA35" s="1" t="s">
        <v>71</v>
      </c>
      <c r="CB35" s="1" t="s">
        <v>18</v>
      </c>
      <c r="CC35" s="1" t="s">
        <v>308</v>
      </c>
      <c r="CE35" s="18" t="str">
        <f>NV[[#This Row],[Part Type]]</f>
        <v>Needle Valve</v>
      </c>
      <c r="CF35" s="18" t="str">
        <f>NV[[#This Row],[Part Nr.]]</f>
        <v>60-12HF4</v>
      </c>
      <c r="CG35" s="18" t="str">
        <f>IF(NV[[#This Row],[UID]]=0,"",NV[[#This Row],[UID]])</f>
        <v>NV-11</v>
      </c>
      <c r="CK35" s="18" t="str">
        <f>IF(NV[[#This Row],[Status]]=0,"",NV[[#This Row],[Status]])</f>
        <v>Active</v>
      </c>
    </row>
    <row r="36" spans="1:89">
      <c r="A36" s="18" t="s">
        <v>120</v>
      </c>
      <c r="B36" s="18" t="s">
        <v>63</v>
      </c>
      <c r="C36" s="18" t="s">
        <v>1134</v>
      </c>
      <c r="D36" s="28">
        <v>60000</v>
      </c>
      <c r="E36" s="18" t="s">
        <v>902</v>
      </c>
      <c r="F36" s="28">
        <v>220930</v>
      </c>
      <c r="G36" s="19">
        <v>685.197</v>
      </c>
      <c r="H36" s="18">
        <v>0.06</v>
      </c>
      <c r="I36" s="18" t="s">
        <v>243</v>
      </c>
      <c r="J36" s="18" t="s">
        <v>243</v>
      </c>
      <c r="K36" s="53">
        <v>2.4375</v>
      </c>
      <c r="L36" s="53">
        <v>2</v>
      </c>
      <c r="M36" s="53">
        <v>1</v>
      </c>
      <c r="N36" s="53">
        <v>6.25E-2</v>
      </c>
      <c r="O36" s="19" t="s">
        <v>59</v>
      </c>
      <c r="P36" s="53">
        <v>5.1875</v>
      </c>
      <c r="Q36" s="18" t="s">
        <v>161</v>
      </c>
      <c r="R36" s="18" t="s">
        <v>1117</v>
      </c>
      <c r="S36" s="18" t="s">
        <v>129</v>
      </c>
      <c r="T36" s="18" t="s">
        <v>128</v>
      </c>
      <c r="U36" s="18" t="s">
        <v>173</v>
      </c>
      <c r="V36" s="20" t="s">
        <v>307</v>
      </c>
      <c r="CA36" s="1" t="s">
        <v>71</v>
      </c>
      <c r="CB36" s="1" t="s">
        <v>18</v>
      </c>
      <c r="CC36" s="1" t="s">
        <v>308</v>
      </c>
      <c r="CE36" s="18" t="str">
        <f>NV[[#This Row],[Part Type]]</f>
        <v>Needle Valve</v>
      </c>
      <c r="CF36" s="18" t="str">
        <f>NV[[#This Row],[Part Nr.]]</f>
        <v>60-12HF4</v>
      </c>
      <c r="CG36" s="18" t="str">
        <f>IF(NV[[#This Row],[UID]]=0,"",NV[[#This Row],[UID]])</f>
        <v>NV-12</v>
      </c>
      <c r="CK36" s="18" t="str">
        <f>IF(NV[[#This Row],[Status]]=0,"",NV[[#This Row],[Status]])</f>
        <v>Active</v>
      </c>
    </row>
    <row r="37" spans="1:89">
      <c r="A37" s="18" t="s">
        <v>120</v>
      </c>
      <c r="B37" s="18" t="s">
        <v>63</v>
      </c>
      <c r="C37" s="18" t="s">
        <v>1135</v>
      </c>
      <c r="D37" s="28">
        <v>60000</v>
      </c>
      <c r="E37" s="18" t="s">
        <v>902</v>
      </c>
      <c r="F37" s="28">
        <v>220930</v>
      </c>
      <c r="G37" s="19">
        <v>687.63099999999997</v>
      </c>
      <c r="H37" s="18">
        <v>0.06</v>
      </c>
      <c r="I37" s="18" t="s">
        <v>243</v>
      </c>
      <c r="J37" s="18" t="s">
        <v>243</v>
      </c>
      <c r="K37" s="53">
        <v>2.4375</v>
      </c>
      <c r="L37" s="53">
        <v>2</v>
      </c>
      <c r="M37" s="53">
        <v>1</v>
      </c>
      <c r="N37" s="53">
        <v>6.25E-2</v>
      </c>
      <c r="O37" s="19" t="s">
        <v>59</v>
      </c>
      <c r="P37" s="53">
        <v>5.1875</v>
      </c>
      <c r="Q37" s="18" t="s">
        <v>161</v>
      </c>
      <c r="R37" s="18" t="s">
        <v>1118</v>
      </c>
      <c r="S37" s="18" t="s">
        <v>129</v>
      </c>
      <c r="T37" s="18" t="s">
        <v>128</v>
      </c>
      <c r="U37" s="18" t="s">
        <v>173</v>
      </c>
      <c r="V37" s="20" t="s">
        <v>307</v>
      </c>
      <c r="CA37" s="1" t="s">
        <v>71</v>
      </c>
      <c r="CB37" s="1" t="s">
        <v>18</v>
      </c>
      <c r="CC37" s="1" t="s">
        <v>308</v>
      </c>
      <c r="CE37" s="18" t="str">
        <f>NV[[#This Row],[Part Type]]</f>
        <v>Needle Valve</v>
      </c>
      <c r="CF37" s="18" t="str">
        <f>NV[[#This Row],[Part Nr.]]</f>
        <v>60-12HF4</v>
      </c>
      <c r="CG37" s="18" t="str">
        <f>IF(NV[[#This Row],[UID]]=0,"",NV[[#This Row],[UID]])</f>
        <v>NV-13</v>
      </c>
      <c r="CK37" s="18" t="str">
        <f>IF(NV[[#This Row],[Status]]=0,"",NV[[#This Row],[Status]])</f>
        <v>Active</v>
      </c>
    </row>
    <row r="38" spans="1:89">
      <c r="A38" s="18" t="s">
        <v>120</v>
      </c>
      <c r="B38" s="18" t="s">
        <v>63</v>
      </c>
      <c r="C38" s="18" t="s">
        <v>1136</v>
      </c>
      <c r="D38" s="28">
        <v>60000</v>
      </c>
      <c r="E38" s="18" t="s">
        <v>902</v>
      </c>
      <c r="F38" s="28">
        <v>220930</v>
      </c>
      <c r="G38" s="19">
        <v>687.303</v>
      </c>
      <c r="H38" s="18">
        <v>0.06</v>
      </c>
      <c r="I38" s="18" t="s">
        <v>243</v>
      </c>
      <c r="J38" s="18" t="s">
        <v>243</v>
      </c>
      <c r="K38" s="53">
        <v>2.4375</v>
      </c>
      <c r="L38" s="53">
        <v>2</v>
      </c>
      <c r="M38" s="53">
        <v>1</v>
      </c>
      <c r="N38" s="53">
        <v>6.25E-2</v>
      </c>
      <c r="O38" s="19" t="s">
        <v>59</v>
      </c>
      <c r="P38" s="53">
        <v>5.1875</v>
      </c>
      <c r="Q38" s="18" t="s">
        <v>161</v>
      </c>
      <c r="R38" s="18" t="s">
        <v>1119</v>
      </c>
      <c r="S38" s="18" t="s">
        <v>129</v>
      </c>
      <c r="T38" s="18" t="s">
        <v>128</v>
      </c>
      <c r="U38" s="18" t="s">
        <v>173</v>
      </c>
      <c r="V38" s="20" t="s">
        <v>307</v>
      </c>
      <c r="CA38" s="1" t="s">
        <v>71</v>
      </c>
      <c r="CB38" s="1" t="s">
        <v>18</v>
      </c>
      <c r="CC38" s="1" t="s">
        <v>308</v>
      </c>
      <c r="CE38" s="18" t="str">
        <f>NV[[#This Row],[Part Type]]</f>
        <v>Needle Valve</v>
      </c>
      <c r="CF38" s="18" t="str">
        <f>NV[[#This Row],[Part Nr.]]</f>
        <v>60-12HF4</v>
      </c>
      <c r="CG38" s="18" t="str">
        <f>IF(NV[[#This Row],[UID]]=0,"",NV[[#This Row],[UID]])</f>
        <v>NV-14</v>
      </c>
      <c r="CK38" s="18" t="str">
        <f>IF(NV[[#This Row],[Status]]=0,"",NV[[#This Row],[Status]])</f>
        <v>Active</v>
      </c>
    </row>
    <row r="39" spans="1:89">
      <c r="A39" s="18" t="s">
        <v>120</v>
      </c>
      <c r="B39" s="18" t="s">
        <v>63</v>
      </c>
      <c r="C39" s="18" t="s">
        <v>1137</v>
      </c>
      <c r="D39" s="28">
        <v>60000</v>
      </c>
      <c r="E39" s="18" t="s">
        <v>902</v>
      </c>
      <c r="F39" s="28">
        <v>220930</v>
      </c>
      <c r="G39" s="19">
        <v>687.34299999999996</v>
      </c>
      <c r="H39" s="18">
        <v>0.06</v>
      </c>
      <c r="I39" s="18" t="s">
        <v>243</v>
      </c>
      <c r="J39" s="18" t="s">
        <v>243</v>
      </c>
      <c r="K39" s="53">
        <v>2.4375</v>
      </c>
      <c r="L39" s="53">
        <v>2</v>
      </c>
      <c r="M39" s="53">
        <v>1</v>
      </c>
      <c r="N39" s="53">
        <v>6.25E-2</v>
      </c>
      <c r="O39" s="19" t="s">
        <v>59</v>
      </c>
      <c r="P39" s="53">
        <v>5.1875</v>
      </c>
      <c r="Q39" s="18" t="s">
        <v>161</v>
      </c>
      <c r="R39" s="18" t="s">
        <v>1120</v>
      </c>
      <c r="S39" s="18" t="s">
        <v>129</v>
      </c>
      <c r="T39" s="18" t="s">
        <v>128</v>
      </c>
      <c r="U39" s="18" t="s">
        <v>173</v>
      </c>
      <c r="V39" s="20" t="s">
        <v>307</v>
      </c>
      <c r="CA39" s="1" t="s">
        <v>71</v>
      </c>
      <c r="CB39" s="1" t="s">
        <v>18</v>
      </c>
      <c r="CC39" s="1" t="s">
        <v>308</v>
      </c>
      <c r="CE39" s="18" t="str">
        <f>NV[[#This Row],[Part Type]]</f>
        <v>Needle Valve</v>
      </c>
      <c r="CF39" s="18" t="str">
        <f>NV[[#This Row],[Part Nr.]]</f>
        <v>60-12HF4</v>
      </c>
      <c r="CG39" s="18" t="str">
        <f>IF(NV[[#This Row],[UID]]=0,"",NV[[#This Row],[UID]])</f>
        <v>NV-15</v>
      </c>
      <c r="CK39" s="18" t="str">
        <f>IF(NV[[#This Row],[Status]]=0,"",NV[[#This Row],[Status]])</f>
        <v>Active</v>
      </c>
    </row>
    <row r="40" spans="1:89">
      <c r="A40" s="18" t="s">
        <v>120</v>
      </c>
      <c r="B40" s="18" t="s">
        <v>63</v>
      </c>
      <c r="C40" s="18" t="s">
        <v>1138</v>
      </c>
      <c r="D40" s="28">
        <v>60000</v>
      </c>
      <c r="E40" s="18" t="s">
        <v>902</v>
      </c>
      <c r="F40" s="28">
        <v>220930</v>
      </c>
      <c r="G40" s="19">
        <v>687.40200000000004</v>
      </c>
      <c r="H40" s="18">
        <v>0.06</v>
      </c>
      <c r="I40" s="18" t="s">
        <v>243</v>
      </c>
      <c r="J40" s="18" t="s">
        <v>243</v>
      </c>
      <c r="K40" s="53">
        <v>2.4375</v>
      </c>
      <c r="L40" s="53">
        <v>2</v>
      </c>
      <c r="M40" s="53">
        <v>1</v>
      </c>
      <c r="N40" s="53">
        <v>6.25E-2</v>
      </c>
      <c r="O40" s="19" t="s">
        <v>59</v>
      </c>
      <c r="P40" s="53">
        <v>5.1875</v>
      </c>
      <c r="Q40" s="18" t="s">
        <v>161</v>
      </c>
      <c r="R40" s="18" t="s">
        <v>1121</v>
      </c>
      <c r="S40" s="18" t="s">
        <v>129</v>
      </c>
      <c r="T40" s="18" t="s">
        <v>128</v>
      </c>
      <c r="U40" s="18" t="s">
        <v>173</v>
      </c>
      <c r="V40" s="20" t="s">
        <v>307</v>
      </c>
      <c r="CA40" s="1" t="s">
        <v>71</v>
      </c>
      <c r="CB40" s="1" t="s">
        <v>18</v>
      </c>
      <c r="CC40" s="1" t="s">
        <v>308</v>
      </c>
      <c r="CE40" s="18" t="str">
        <f>NV[[#This Row],[Part Type]]</f>
        <v>Needle Valve</v>
      </c>
      <c r="CF40" s="18" t="str">
        <f>NV[[#This Row],[Part Nr.]]</f>
        <v>60-12HF4</v>
      </c>
      <c r="CG40" s="18" t="str">
        <f>IF(NV[[#This Row],[UID]]=0,"",NV[[#This Row],[UID]])</f>
        <v>NV-16</v>
      </c>
      <c r="CK40" s="18" t="str">
        <f>IF(NV[[#This Row],[Status]]=0,"",NV[[#This Row],[Status]])</f>
        <v>Active</v>
      </c>
    </row>
    <row r="41" spans="1:89">
      <c r="A41" s="18" t="s">
        <v>120</v>
      </c>
      <c r="B41" s="18" t="s">
        <v>63</v>
      </c>
      <c r="C41" s="18" t="s">
        <v>1139</v>
      </c>
      <c r="D41" s="28">
        <v>60000</v>
      </c>
      <c r="E41" s="18" t="s">
        <v>902</v>
      </c>
      <c r="F41" s="28">
        <v>220930</v>
      </c>
      <c r="G41" s="19">
        <v>687.53099999999995</v>
      </c>
      <c r="H41" s="18">
        <v>0.06</v>
      </c>
      <c r="I41" s="18" t="s">
        <v>243</v>
      </c>
      <c r="J41" s="18" t="s">
        <v>243</v>
      </c>
      <c r="K41" s="53">
        <v>2.4375</v>
      </c>
      <c r="L41" s="53">
        <v>2</v>
      </c>
      <c r="M41" s="53">
        <v>1</v>
      </c>
      <c r="N41" s="53">
        <v>6.25E-2</v>
      </c>
      <c r="O41" s="19" t="s">
        <v>59</v>
      </c>
      <c r="P41" s="53">
        <v>5.1875</v>
      </c>
      <c r="Q41" s="18" t="s">
        <v>161</v>
      </c>
      <c r="R41" s="18" t="s">
        <v>1122</v>
      </c>
      <c r="S41" s="18" t="s">
        <v>129</v>
      </c>
      <c r="T41" s="18" t="s">
        <v>128</v>
      </c>
      <c r="U41" s="18" t="s">
        <v>173</v>
      </c>
      <c r="V41" s="20" t="s">
        <v>307</v>
      </c>
      <c r="CA41" s="1" t="s">
        <v>71</v>
      </c>
      <c r="CB41" s="1" t="s">
        <v>18</v>
      </c>
      <c r="CC41" s="1" t="s">
        <v>308</v>
      </c>
      <c r="CE41" s="18" t="str">
        <f>NV[[#This Row],[Part Type]]</f>
        <v>Needle Valve</v>
      </c>
      <c r="CF41" s="18" t="str">
        <f>NV[[#This Row],[Part Nr.]]</f>
        <v>60-12HF4</v>
      </c>
      <c r="CG41" s="18" t="str">
        <f>IF(NV[[#This Row],[UID]]=0,"",NV[[#This Row],[UID]])</f>
        <v>NV-17</v>
      </c>
      <c r="CK41" s="18" t="str">
        <f>IF(NV[[#This Row],[Status]]=0,"",NV[[#This Row],[Status]])</f>
        <v>Active</v>
      </c>
    </row>
    <row r="42" spans="1:89">
      <c r="A42" s="18" t="s">
        <v>120</v>
      </c>
      <c r="B42" s="18" t="s">
        <v>63</v>
      </c>
      <c r="C42" s="18" t="s">
        <v>1006</v>
      </c>
      <c r="D42" s="28">
        <v>60000</v>
      </c>
      <c r="E42" s="18" t="s">
        <v>902</v>
      </c>
      <c r="F42" s="28">
        <v>220930</v>
      </c>
      <c r="G42" s="19">
        <v>687.202</v>
      </c>
      <c r="H42" s="18">
        <v>0.06</v>
      </c>
      <c r="I42" s="18" t="s">
        <v>243</v>
      </c>
      <c r="J42" s="18" t="s">
        <v>243</v>
      </c>
      <c r="K42" s="53">
        <v>2.4375</v>
      </c>
      <c r="L42" s="53">
        <v>2</v>
      </c>
      <c r="M42" s="53">
        <v>1</v>
      </c>
      <c r="N42" s="53">
        <v>6.25E-2</v>
      </c>
      <c r="O42" s="19" t="s">
        <v>59</v>
      </c>
      <c r="P42" s="53">
        <v>5.1875</v>
      </c>
      <c r="Q42" s="18" t="s">
        <v>161</v>
      </c>
      <c r="R42" s="18" t="s">
        <v>1123</v>
      </c>
      <c r="S42" s="18" t="s">
        <v>129</v>
      </c>
      <c r="T42" s="18" t="s">
        <v>128</v>
      </c>
      <c r="U42" s="18" t="s">
        <v>173</v>
      </c>
      <c r="V42" s="20" t="s">
        <v>307</v>
      </c>
      <c r="CA42" s="1" t="s">
        <v>71</v>
      </c>
      <c r="CB42" s="1" t="s">
        <v>18</v>
      </c>
      <c r="CC42" s="1" t="s">
        <v>308</v>
      </c>
      <c r="CE42" s="18" t="str">
        <f>NV[[#This Row],[Part Type]]</f>
        <v>Needle Valve</v>
      </c>
      <c r="CF42" s="18" t="str">
        <f>NV[[#This Row],[Part Nr.]]</f>
        <v>60-12HF4</v>
      </c>
      <c r="CG42" s="18" t="str">
        <f>IF(NV[[#This Row],[UID]]=0,"",NV[[#This Row],[UID]])</f>
        <v>NV-18</v>
      </c>
      <c r="CK42" s="18" t="str">
        <f>IF(NV[[#This Row],[Status]]=0,"",NV[[#This Row],[Status]])</f>
        <v>Active</v>
      </c>
    </row>
    <row r="43" spans="1:89">
      <c r="A43" s="18" t="s">
        <v>120</v>
      </c>
      <c r="B43" s="18" t="s">
        <v>63</v>
      </c>
      <c r="C43" s="18" t="s">
        <v>1012</v>
      </c>
      <c r="D43" s="28">
        <v>60000</v>
      </c>
      <c r="E43" s="18" t="s">
        <v>902</v>
      </c>
      <c r="F43" s="28">
        <v>220930</v>
      </c>
      <c r="G43" s="19">
        <v>687.20299999999997</v>
      </c>
      <c r="H43" s="18">
        <v>0.06</v>
      </c>
      <c r="I43" s="18" t="s">
        <v>243</v>
      </c>
      <c r="J43" s="18" t="s">
        <v>243</v>
      </c>
      <c r="K43" s="53">
        <v>2.4375</v>
      </c>
      <c r="L43" s="53">
        <v>2</v>
      </c>
      <c r="M43" s="53">
        <v>1</v>
      </c>
      <c r="N43" s="53">
        <v>6.25E-2</v>
      </c>
      <c r="O43" s="19" t="s">
        <v>59</v>
      </c>
      <c r="P43" s="53">
        <v>5.1875</v>
      </c>
      <c r="Q43" s="18" t="s">
        <v>161</v>
      </c>
      <c r="R43" s="18" t="s">
        <v>1124</v>
      </c>
      <c r="S43" s="18" t="s">
        <v>129</v>
      </c>
      <c r="T43" s="18" t="s">
        <v>128</v>
      </c>
      <c r="U43" s="18" t="s">
        <v>173</v>
      </c>
      <c r="V43" s="20" t="s">
        <v>307</v>
      </c>
      <c r="CA43" s="1" t="s">
        <v>71</v>
      </c>
      <c r="CB43" s="1" t="s">
        <v>18</v>
      </c>
      <c r="CC43" s="1" t="s">
        <v>308</v>
      </c>
      <c r="CE43" s="18" t="str">
        <f>NV[[#This Row],[Part Type]]</f>
        <v>Needle Valve</v>
      </c>
      <c r="CF43" s="18" t="str">
        <f>NV[[#This Row],[Part Nr.]]</f>
        <v>60-12HF4</v>
      </c>
      <c r="CG43" s="18" t="str">
        <f>IF(NV[[#This Row],[UID]]=0,"",NV[[#This Row],[UID]])</f>
        <v>NV-19</v>
      </c>
      <c r="CK43" s="18" t="str">
        <f>IF(NV[[#This Row],[Status]]=0,"",NV[[#This Row],[Status]])</f>
        <v>Active</v>
      </c>
    </row>
    <row r="44" spans="1:89">
      <c r="A44" s="18" t="s">
        <v>120</v>
      </c>
      <c r="B44" s="18" t="s">
        <v>63</v>
      </c>
      <c r="C44" s="18" t="s">
        <v>1019</v>
      </c>
      <c r="D44" s="28">
        <v>60000</v>
      </c>
      <c r="E44" s="18" t="s">
        <v>902</v>
      </c>
      <c r="F44" s="28">
        <v>220929</v>
      </c>
      <c r="G44" s="19">
        <v>236.613</v>
      </c>
      <c r="H44" s="18">
        <v>0.06</v>
      </c>
      <c r="I44" s="18" t="s">
        <v>243</v>
      </c>
      <c r="J44" s="18" t="s">
        <v>243</v>
      </c>
      <c r="K44" s="53">
        <v>2.4375</v>
      </c>
      <c r="L44" s="53">
        <v>2</v>
      </c>
      <c r="M44" s="53">
        <v>1</v>
      </c>
      <c r="N44" s="53">
        <v>6.25E-2</v>
      </c>
      <c r="O44" s="19" t="s">
        <v>59</v>
      </c>
      <c r="P44" s="53">
        <v>5.1875</v>
      </c>
      <c r="Q44" s="18" t="s">
        <v>161</v>
      </c>
      <c r="R44" s="18" t="s">
        <v>1125</v>
      </c>
      <c r="S44" s="18" t="s">
        <v>129</v>
      </c>
      <c r="T44" s="18" t="s">
        <v>128</v>
      </c>
      <c r="U44" s="18" t="s">
        <v>173</v>
      </c>
      <c r="V44" s="20" t="s">
        <v>307</v>
      </c>
      <c r="CA44" s="1" t="s">
        <v>71</v>
      </c>
      <c r="CB44" s="1" t="s">
        <v>18</v>
      </c>
      <c r="CC44" s="1" t="s">
        <v>308</v>
      </c>
      <c r="CE44" s="18" t="str">
        <f>NV[[#This Row],[Part Type]]</f>
        <v>Needle Valve</v>
      </c>
      <c r="CF44" s="18" t="str">
        <f>NV[[#This Row],[Part Nr.]]</f>
        <v>60-12HF4</v>
      </c>
      <c r="CG44" s="18" t="str">
        <f>IF(NV[[#This Row],[UID]]=0,"",NV[[#This Row],[UID]])</f>
        <v>NV-20</v>
      </c>
      <c r="CK44" s="18" t="str">
        <f>IF(NV[[#This Row],[Status]]=0,"",NV[[#This Row],[Status]])</f>
        <v>Active</v>
      </c>
    </row>
    <row r="45" spans="1:89">
      <c r="A45" s="18" t="s">
        <v>120</v>
      </c>
      <c r="B45" s="18" t="s">
        <v>63</v>
      </c>
      <c r="C45" s="18" t="s">
        <v>1140</v>
      </c>
      <c r="D45" s="28">
        <v>60000</v>
      </c>
      <c r="E45" s="18" t="s">
        <v>902</v>
      </c>
      <c r="F45" s="28">
        <v>220930</v>
      </c>
      <c r="G45" s="19">
        <v>687.04700000000003</v>
      </c>
      <c r="H45" s="18">
        <v>0.06</v>
      </c>
      <c r="I45" s="18" t="s">
        <v>243</v>
      </c>
      <c r="J45" s="18" t="s">
        <v>243</v>
      </c>
      <c r="K45" s="53">
        <v>2.4375</v>
      </c>
      <c r="L45" s="53">
        <v>2</v>
      </c>
      <c r="M45" s="53">
        <v>1</v>
      </c>
      <c r="N45" s="53">
        <v>6.25E-2</v>
      </c>
      <c r="O45" s="19" t="s">
        <v>59</v>
      </c>
      <c r="P45" s="53">
        <v>5.1875</v>
      </c>
      <c r="Q45" s="18" t="s">
        <v>161</v>
      </c>
      <c r="R45" s="18" t="s">
        <v>1126</v>
      </c>
      <c r="S45" s="18" t="s">
        <v>129</v>
      </c>
      <c r="T45" s="18" t="s">
        <v>128</v>
      </c>
      <c r="U45" s="18" t="s">
        <v>173</v>
      </c>
      <c r="V45" s="20" t="s">
        <v>307</v>
      </c>
      <c r="CA45" s="1" t="s">
        <v>71</v>
      </c>
      <c r="CB45" s="1" t="s">
        <v>18</v>
      </c>
      <c r="CC45" s="1" t="s">
        <v>308</v>
      </c>
      <c r="CE45" s="18" t="str">
        <f>NV[[#This Row],[Part Type]]</f>
        <v>Needle Valve</v>
      </c>
      <c r="CF45" s="18" t="str">
        <f>NV[[#This Row],[Part Nr.]]</f>
        <v>60-12HF4</v>
      </c>
      <c r="CG45" s="18" t="str">
        <f>IF(NV[[#This Row],[UID]]=0,"",NV[[#This Row],[UID]])</f>
        <v>NV-21</v>
      </c>
      <c r="CK45" s="18" t="str">
        <f>IF(NV[[#This Row],[Status]]=0,"",NV[[#This Row],[Status]])</f>
        <v>Active</v>
      </c>
    </row>
    <row r="46" spans="1:89">
      <c r="A46" s="18" t="s">
        <v>120</v>
      </c>
      <c r="B46" s="18" t="s">
        <v>63</v>
      </c>
      <c r="C46" s="18" t="s">
        <v>1141</v>
      </c>
      <c r="D46" s="28">
        <v>60000</v>
      </c>
      <c r="E46" s="18" t="s">
        <v>902</v>
      </c>
      <c r="F46" s="28">
        <v>220930</v>
      </c>
      <c r="G46" s="19">
        <v>686.88599999999997</v>
      </c>
      <c r="H46" s="18">
        <v>0.06</v>
      </c>
      <c r="I46" s="18" t="s">
        <v>243</v>
      </c>
      <c r="J46" s="18" t="s">
        <v>243</v>
      </c>
      <c r="K46" s="53">
        <v>2.4375</v>
      </c>
      <c r="L46" s="53">
        <v>2</v>
      </c>
      <c r="M46" s="53">
        <v>1</v>
      </c>
      <c r="N46" s="53">
        <v>6.25E-2</v>
      </c>
      <c r="O46" s="19" t="s">
        <v>59</v>
      </c>
      <c r="P46" s="53">
        <v>5.1875</v>
      </c>
      <c r="Q46" s="18" t="s">
        <v>161</v>
      </c>
      <c r="R46" s="18" t="s">
        <v>1127</v>
      </c>
      <c r="S46" s="18" t="s">
        <v>129</v>
      </c>
      <c r="T46" s="18" t="s">
        <v>128</v>
      </c>
      <c r="U46" s="18" t="s">
        <v>173</v>
      </c>
      <c r="V46" s="20" t="s">
        <v>307</v>
      </c>
      <c r="CA46" s="1" t="s">
        <v>71</v>
      </c>
      <c r="CB46" s="1" t="s">
        <v>18</v>
      </c>
      <c r="CC46" s="1" t="s">
        <v>308</v>
      </c>
      <c r="CE46" s="18" t="str">
        <f>NV[[#This Row],[Part Type]]</f>
        <v>Needle Valve</v>
      </c>
      <c r="CF46" s="18" t="str">
        <f>NV[[#This Row],[Part Nr.]]</f>
        <v>60-12HF4</v>
      </c>
      <c r="CG46" s="18" t="str">
        <f>IF(NV[[#This Row],[UID]]=0,"",NV[[#This Row],[UID]])</f>
        <v>NV-22</v>
      </c>
      <c r="CK46" s="18" t="str">
        <f>IF(NV[[#This Row],[Status]]=0,"",NV[[#This Row],[Status]])</f>
        <v>Active</v>
      </c>
    </row>
    <row r="47" spans="1:89">
      <c r="A47" s="18" t="s">
        <v>140</v>
      </c>
      <c r="B47" s="18" t="s">
        <v>63</v>
      </c>
      <c r="C47" s="18" t="s">
        <v>996</v>
      </c>
      <c r="D47" s="28">
        <v>60000</v>
      </c>
      <c r="E47" s="18" t="s">
        <v>902</v>
      </c>
      <c r="F47" s="28">
        <v>220930</v>
      </c>
      <c r="G47" s="19">
        <v>687.48</v>
      </c>
      <c r="H47" s="18">
        <v>0.06</v>
      </c>
      <c r="I47" s="18" t="s">
        <v>243</v>
      </c>
      <c r="J47" s="18" t="s">
        <v>243</v>
      </c>
      <c r="K47" s="53">
        <v>2.4375</v>
      </c>
      <c r="L47" s="53">
        <v>2</v>
      </c>
      <c r="M47" s="53">
        <v>1</v>
      </c>
      <c r="N47" s="53">
        <v>6.25E-2</v>
      </c>
      <c r="O47" s="19" t="s">
        <v>59</v>
      </c>
      <c r="P47" s="53">
        <v>5.1875</v>
      </c>
      <c r="Q47" s="18" t="s">
        <v>161</v>
      </c>
      <c r="R47" s="18" t="s">
        <v>129</v>
      </c>
      <c r="S47" s="18" t="s">
        <v>129</v>
      </c>
      <c r="T47" s="18" t="s">
        <v>128</v>
      </c>
      <c r="U47" s="18" t="s">
        <v>173</v>
      </c>
      <c r="V47" s="20" t="s">
        <v>307</v>
      </c>
      <c r="CA47" s="1" t="s">
        <v>71</v>
      </c>
      <c r="CB47" s="1" t="s">
        <v>18</v>
      </c>
      <c r="CC47" s="1" t="s">
        <v>308</v>
      </c>
      <c r="CE47" s="18" t="str">
        <f>NV[[#This Row],[Part Type]]</f>
        <v>Needle Valve</v>
      </c>
      <c r="CF47" s="18" t="str">
        <f>NV[[#This Row],[Part Nr.]]</f>
        <v>60-12HF4</v>
      </c>
      <c r="CG47" s="18" t="str">
        <f>IF(NV[[#This Row],[UID]]=0,"",NV[[#This Row],[UID]])</f>
        <v>NV-23</v>
      </c>
      <c r="CK47" s="18" t="str">
        <f>IF(NV[[#This Row],[Status]]=0,"",NV[[#This Row],[Status]])</f>
        <v>New</v>
      </c>
    </row>
    <row r="48" spans="1:89">
      <c r="A48" s="18" t="s">
        <v>120</v>
      </c>
      <c r="B48" s="18" t="s">
        <v>63</v>
      </c>
      <c r="C48" s="18" t="s">
        <v>967</v>
      </c>
      <c r="D48" s="28">
        <v>60000</v>
      </c>
      <c r="E48" s="18" t="s">
        <v>902</v>
      </c>
      <c r="F48" s="28">
        <v>220930</v>
      </c>
      <c r="G48" s="19">
        <v>683.25099999999998</v>
      </c>
      <c r="H48" s="18">
        <v>0.06</v>
      </c>
      <c r="I48" s="18" t="s">
        <v>243</v>
      </c>
      <c r="J48" s="18" t="s">
        <v>243</v>
      </c>
      <c r="K48" s="53">
        <v>2.4375</v>
      </c>
      <c r="L48" s="53">
        <v>2</v>
      </c>
      <c r="M48" s="53">
        <v>1</v>
      </c>
      <c r="N48" s="53">
        <v>6.25E-2</v>
      </c>
      <c r="O48" s="19" t="s">
        <v>59</v>
      </c>
      <c r="P48" s="53">
        <v>5.1875</v>
      </c>
      <c r="Q48" s="18" t="s">
        <v>161</v>
      </c>
      <c r="R48" s="18" t="s">
        <v>1105</v>
      </c>
      <c r="S48" s="18" t="s">
        <v>129</v>
      </c>
      <c r="T48" s="18" t="s">
        <v>128</v>
      </c>
      <c r="U48" s="18" t="s">
        <v>173</v>
      </c>
      <c r="V48" s="20" t="s">
        <v>307</v>
      </c>
      <c r="CA48" s="1" t="s">
        <v>71</v>
      </c>
      <c r="CB48" s="1" t="s">
        <v>18</v>
      </c>
      <c r="CC48" s="1" t="s">
        <v>308</v>
      </c>
      <c r="CE48" s="18" t="str">
        <f>NV[[#This Row],[Part Type]]</f>
        <v>Needle Valve</v>
      </c>
      <c r="CF48" s="18" t="str">
        <f>NV[[#This Row],[Part Nr.]]</f>
        <v>60-12HF4</v>
      </c>
      <c r="CG48" s="18" t="str">
        <f>IF(NV[[#This Row],[UID]]=0,"",NV[[#This Row],[UID]])</f>
        <v>NV-24</v>
      </c>
      <c r="CK48" s="18" t="str">
        <f>IF(NV[[#This Row],[Status]]=0,"",NV[[#This Row],[Status]])</f>
        <v>Active</v>
      </c>
    </row>
    <row r="49" spans="1:89">
      <c r="A49" s="18" t="s">
        <v>140</v>
      </c>
      <c r="B49" s="18" t="s">
        <v>63</v>
      </c>
      <c r="C49" s="18" t="s">
        <v>1142</v>
      </c>
      <c r="D49" s="28">
        <v>60000</v>
      </c>
      <c r="E49" s="18" t="s">
        <v>902</v>
      </c>
      <c r="F49" s="28">
        <v>220930</v>
      </c>
      <c r="G49" s="19">
        <v>683.28399999999999</v>
      </c>
      <c r="H49" s="18">
        <v>0.06</v>
      </c>
      <c r="I49" s="18" t="s">
        <v>243</v>
      </c>
      <c r="J49" s="18" t="s">
        <v>243</v>
      </c>
      <c r="K49" s="53">
        <v>2.4375</v>
      </c>
      <c r="L49" s="53">
        <v>2</v>
      </c>
      <c r="M49" s="53">
        <v>1</v>
      </c>
      <c r="N49" s="53">
        <v>6.25E-2</v>
      </c>
      <c r="O49" s="19" t="s">
        <v>59</v>
      </c>
      <c r="P49" s="53">
        <v>5.1875</v>
      </c>
      <c r="Q49" s="18" t="s">
        <v>161</v>
      </c>
      <c r="R49" s="18" t="s">
        <v>129</v>
      </c>
      <c r="S49" s="18" t="s">
        <v>129</v>
      </c>
      <c r="T49" s="18" t="s">
        <v>128</v>
      </c>
      <c r="U49" s="18" t="s">
        <v>173</v>
      </c>
      <c r="V49" s="20" t="s">
        <v>307</v>
      </c>
      <c r="CA49" s="1" t="s">
        <v>71</v>
      </c>
      <c r="CB49" s="1" t="s">
        <v>18</v>
      </c>
      <c r="CC49" s="1" t="s">
        <v>308</v>
      </c>
      <c r="CE49" s="18" t="str">
        <f>NV[[#This Row],[Part Type]]</f>
        <v>Needle Valve</v>
      </c>
      <c r="CF49" s="18" t="str">
        <f>NV[[#This Row],[Part Nr.]]</f>
        <v>60-12HF4</v>
      </c>
      <c r="CG49" s="18" t="str">
        <f>IF(NV[[#This Row],[UID]]=0,"",NV[[#This Row],[UID]])</f>
        <v>NV-25</v>
      </c>
      <c r="CK49" s="18" t="str">
        <f>IF(NV[[#This Row],[Status]]=0,"",NV[[#This Row],[Status]])</f>
        <v>New</v>
      </c>
    </row>
    <row r="50" spans="1:89">
      <c r="A50" s="18" t="s">
        <v>140</v>
      </c>
      <c r="B50" s="18" t="s">
        <v>63</v>
      </c>
      <c r="C50" s="18" t="s">
        <v>1143</v>
      </c>
      <c r="D50" s="28">
        <v>60000</v>
      </c>
      <c r="E50" s="18" t="s">
        <v>902</v>
      </c>
      <c r="F50" s="28">
        <v>220930</v>
      </c>
      <c r="G50" s="19">
        <v>685.76199999999994</v>
      </c>
      <c r="H50" s="18">
        <v>0.06</v>
      </c>
      <c r="I50" s="18" t="s">
        <v>243</v>
      </c>
      <c r="J50" s="18" t="s">
        <v>243</v>
      </c>
      <c r="K50" s="53">
        <v>2.4375</v>
      </c>
      <c r="L50" s="53">
        <v>2</v>
      </c>
      <c r="M50" s="53">
        <v>1</v>
      </c>
      <c r="N50" s="53">
        <v>6.25E-2</v>
      </c>
      <c r="O50" s="19" t="s">
        <v>59</v>
      </c>
      <c r="P50" s="53">
        <v>5.1875</v>
      </c>
      <c r="Q50" s="18" t="s">
        <v>161</v>
      </c>
      <c r="R50" s="18" t="s">
        <v>129</v>
      </c>
      <c r="S50" s="18" t="s">
        <v>129</v>
      </c>
      <c r="T50" s="18" t="s">
        <v>128</v>
      </c>
      <c r="U50" s="18" t="s">
        <v>173</v>
      </c>
      <c r="V50" s="20" t="s">
        <v>307</v>
      </c>
      <c r="CA50" s="1" t="s">
        <v>71</v>
      </c>
      <c r="CB50" s="1" t="s">
        <v>18</v>
      </c>
      <c r="CC50" s="1" t="s">
        <v>308</v>
      </c>
      <c r="CE50" s="18" t="str">
        <f>NV[[#This Row],[Part Type]]</f>
        <v>Needle Valve</v>
      </c>
      <c r="CF50" s="18" t="str">
        <f>NV[[#This Row],[Part Nr.]]</f>
        <v>60-12HF4</v>
      </c>
      <c r="CG50" s="18" t="str">
        <f>IF(NV[[#This Row],[UID]]=0,"",NV[[#This Row],[UID]])</f>
        <v>NV-26</v>
      </c>
      <c r="CK50" s="18" t="str">
        <f>IF(NV[[#This Row],[Status]]=0,"",NV[[#This Row],[Status]])</f>
        <v>New</v>
      </c>
    </row>
    <row r="51" spans="1:89">
      <c r="A51" s="18" t="s">
        <v>140</v>
      </c>
      <c r="B51" s="18" t="s">
        <v>63</v>
      </c>
      <c r="C51" s="18" t="s">
        <v>1144</v>
      </c>
      <c r="D51" s="28">
        <v>60000</v>
      </c>
      <c r="E51" s="18" t="s">
        <v>1145</v>
      </c>
      <c r="F51" s="28">
        <v>220930</v>
      </c>
      <c r="G51" s="19">
        <v>685.92600000000004</v>
      </c>
      <c r="H51" s="18">
        <v>0.04</v>
      </c>
      <c r="I51" s="18" t="s">
        <v>243</v>
      </c>
      <c r="J51" s="18" t="s">
        <v>243</v>
      </c>
      <c r="K51" s="53">
        <v>2.4375</v>
      </c>
      <c r="L51" s="53">
        <v>2</v>
      </c>
      <c r="M51" s="53">
        <v>1</v>
      </c>
      <c r="N51" s="53">
        <v>6.25E-2</v>
      </c>
      <c r="O51" s="19" t="s">
        <v>1146</v>
      </c>
      <c r="P51" s="53">
        <v>5.1875</v>
      </c>
      <c r="Q51" s="18" t="s">
        <v>161</v>
      </c>
      <c r="R51" s="18" t="s">
        <v>129</v>
      </c>
      <c r="S51" s="18" t="s">
        <v>129</v>
      </c>
      <c r="T51" s="18" t="s">
        <v>128</v>
      </c>
      <c r="U51" s="18" t="s">
        <v>173</v>
      </c>
      <c r="V51" s="20" t="s">
        <v>307</v>
      </c>
      <c r="CA51" s="1" t="s">
        <v>71</v>
      </c>
      <c r="CB51" s="1" t="s">
        <v>18</v>
      </c>
      <c r="CC51" s="1" t="s">
        <v>308</v>
      </c>
      <c r="CE51" s="18" t="str">
        <f>NV[[#This Row],[Part Type]]</f>
        <v>Needle Valve</v>
      </c>
      <c r="CF51" s="18" t="str">
        <f>NV[[#This Row],[Part Nr.]]</f>
        <v>60-11HF4</v>
      </c>
      <c r="CG51" s="18" t="str">
        <f>IF(NV[[#This Row],[UID]]=0,"",NV[[#This Row],[UID]])</f>
        <v>NV-27</v>
      </c>
      <c r="CK51" s="18" t="str">
        <f>IF(NV[[#This Row],[Status]]=0,"",NV[[#This Row],[Status]])</f>
        <v>New</v>
      </c>
    </row>
    <row r="52" spans="1:89">
      <c r="A52" s="18" t="s">
        <v>140</v>
      </c>
      <c r="B52" s="18" t="s">
        <v>63</v>
      </c>
      <c r="C52" s="18" t="s">
        <v>1147</v>
      </c>
      <c r="D52" s="28">
        <v>60000</v>
      </c>
      <c r="E52" s="18" t="s">
        <v>1145</v>
      </c>
      <c r="F52" s="28">
        <v>220930</v>
      </c>
      <c r="G52" s="19">
        <v>686.15700000000004</v>
      </c>
      <c r="H52" s="18">
        <v>0.04</v>
      </c>
      <c r="I52" s="18" t="s">
        <v>243</v>
      </c>
      <c r="J52" s="18" t="s">
        <v>243</v>
      </c>
      <c r="K52" s="53">
        <v>2.4375</v>
      </c>
      <c r="L52" s="53">
        <v>2</v>
      </c>
      <c r="M52" s="53">
        <v>1</v>
      </c>
      <c r="N52" s="53">
        <v>6.25E-2</v>
      </c>
      <c r="O52" s="19" t="s">
        <v>1146</v>
      </c>
      <c r="P52" s="53">
        <v>5.1875</v>
      </c>
      <c r="Q52" s="18" t="s">
        <v>161</v>
      </c>
      <c r="R52" s="18" t="s">
        <v>129</v>
      </c>
      <c r="S52" s="18" t="s">
        <v>129</v>
      </c>
      <c r="T52" s="18" t="s">
        <v>128</v>
      </c>
      <c r="U52" s="18" t="s">
        <v>173</v>
      </c>
      <c r="V52" s="20" t="s">
        <v>307</v>
      </c>
      <c r="CA52" s="1" t="s">
        <v>71</v>
      </c>
      <c r="CB52" s="1" t="s">
        <v>18</v>
      </c>
      <c r="CC52" s="1" t="s">
        <v>308</v>
      </c>
      <c r="CE52" s="18" t="str">
        <f>NV[[#This Row],[Part Type]]</f>
        <v>Needle Valve</v>
      </c>
      <c r="CF52" s="18" t="str">
        <f>NV[[#This Row],[Part Nr.]]</f>
        <v>60-11HF4</v>
      </c>
      <c r="CG52" s="18" t="str">
        <f>IF(NV[[#This Row],[UID]]=0,"",NV[[#This Row],[UID]])</f>
        <v>NV-28</v>
      </c>
      <c r="CK52" s="18" t="str">
        <f>IF(NV[[#This Row],[Status]]=0,"",NV[[#This Row],[Status]])</f>
        <v>New</v>
      </c>
    </row>
    <row r="53" spans="1:89">
      <c r="A53" s="18" t="s">
        <v>140</v>
      </c>
      <c r="B53" s="18" t="s">
        <v>63</v>
      </c>
      <c r="C53" s="18" t="s">
        <v>1148</v>
      </c>
      <c r="D53" s="28">
        <v>100000</v>
      </c>
      <c r="E53" s="18" t="s">
        <v>1149</v>
      </c>
      <c r="F53" s="28">
        <v>221003</v>
      </c>
      <c r="G53" s="19">
        <v>947.81799999999998</v>
      </c>
      <c r="H53" s="18">
        <v>0.04</v>
      </c>
      <c r="I53" s="18" t="s">
        <v>243</v>
      </c>
      <c r="J53" s="18" t="s">
        <v>243</v>
      </c>
      <c r="K53" s="53">
        <v>2.5</v>
      </c>
      <c r="L53" s="53">
        <v>2.625</v>
      </c>
      <c r="M53" s="53">
        <v>1.5</v>
      </c>
      <c r="N53" s="53">
        <v>6.25E-2</v>
      </c>
      <c r="O53" s="19" t="s">
        <v>1146</v>
      </c>
      <c r="P53" s="53">
        <v>5</v>
      </c>
      <c r="Q53" s="18" t="s">
        <v>161</v>
      </c>
      <c r="R53" s="18" t="s">
        <v>129</v>
      </c>
      <c r="S53" s="18" t="s">
        <v>129</v>
      </c>
      <c r="T53" s="18" t="s">
        <v>128</v>
      </c>
      <c r="U53" s="18" t="s">
        <v>173</v>
      </c>
      <c r="V53" s="20" t="s">
        <v>1150</v>
      </c>
      <c r="CA53" s="1" t="s">
        <v>71</v>
      </c>
      <c r="CB53" s="1" t="s">
        <v>18</v>
      </c>
      <c r="CC53" s="1" t="s">
        <v>308</v>
      </c>
      <c r="CE53" s="18" t="str">
        <f>NV[[#This Row],[Part Type]]</f>
        <v>Needle Valve</v>
      </c>
      <c r="CF53" s="18" t="str">
        <f>NV[[#This Row],[Part Nr.]]</f>
        <v>100-11XF4</v>
      </c>
      <c r="CG53" s="18" t="str">
        <f>IF(NV[[#This Row],[UID]]=0,"",NV[[#This Row],[UID]])</f>
        <v>NV-29</v>
      </c>
      <c r="CK53" s="18" t="str">
        <f>IF(NV[[#This Row],[Status]]=0,"",NV[[#This Row],[Status]])</f>
        <v>New</v>
      </c>
    </row>
    <row r="54" spans="1:89">
      <c r="A54" s="18" t="s">
        <v>1104</v>
      </c>
      <c r="B54" s="18" t="s">
        <v>63</v>
      </c>
      <c r="C54" s="18" t="s">
        <v>1151</v>
      </c>
      <c r="D54" s="28">
        <v>100000</v>
      </c>
      <c r="E54" s="18" t="s">
        <v>1149</v>
      </c>
      <c r="F54" s="28">
        <v>221003</v>
      </c>
      <c r="G54" s="19">
        <v>928.40599999999995</v>
      </c>
      <c r="H54" s="18">
        <v>0.04</v>
      </c>
      <c r="I54" s="18" t="s">
        <v>243</v>
      </c>
      <c r="J54" s="18" t="s">
        <v>243</v>
      </c>
      <c r="K54" s="53">
        <v>2.5</v>
      </c>
      <c r="L54" s="53">
        <v>2.625</v>
      </c>
      <c r="M54" s="53">
        <v>1.5</v>
      </c>
      <c r="N54" s="53">
        <v>6.25E-2</v>
      </c>
      <c r="O54" s="19" t="s">
        <v>1146</v>
      </c>
      <c r="P54" s="53">
        <v>5</v>
      </c>
      <c r="Q54" s="18" t="s">
        <v>161</v>
      </c>
      <c r="R54" s="18" t="s">
        <v>129</v>
      </c>
      <c r="S54" s="18" t="s">
        <v>1152</v>
      </c>
      <c r="T54" s="18" t="s">
        <v>128</v>
      </c>
      <c r="U54" s="18" t="s">
        <v>173</v>
      </c>
      <c r="V54" s="20" t="s">
        <v>1150</v>
      </c>
      <c r="CA54" s="1" t="s">
        <v>71</v>
      </c>
      <c r="CB54" s="1" t="s">
        <v>18</v>
      </c>
      <c r="CC54" s="1" t="s">
        <v>308</v>
      </c>
      <c r="CE54" s="18" t="str">
        <f>NV[[#This Row],[Part Type]]</f>
        <v>Needle Valve</v>
      </c>
      <c r="CF54" s="18" t="str">
        <f>NV[[#This Row],[Part Nr.]]</f>
        <v>100-11XF4</v>
      </c>
      <c r="CG54" s="18" t="str">
        <f>IF(NV[[#This Row],[UID]]=0,"",NV[[#This Row],[UID]])</f>
        <v>NV-30</v>
      </c>
      <c r="CK54" s="18" t="str">
        <f>IF(NV[[#This Row],[Status]]=0,"",NV[[#This Row],[Status]])</f>
        <v>Superseded</v>
      </c>
    </row>
    <row r="55" spans="1:89">
      <c r="A55" s="18" t="s">
        <v>120</v>
      </c>
      <c r="B55" s="18" t="s">
        <v>63</v>
      </c>
      <c r="C55" s="18" t="s">
        <v>1153</v>
      </c>
      <c r="D55" s="28">
        <v>100000</v>
      </c>
      <c r="E55" s="18" t="s">
        <v>1149</v>
      </c>
      <c r="F55" s="28">
        <v>221003</v>
      </c>
      <c r="G55" s="19">
        <v>817.03200000000004</v>
      </c>
      <c r="H55" s="18">
        <v>0.04</v>
      </c>
      <c r="I55" s="18" t="s">
        <v>243</v>
      </c>
      <c r="J55" s="18" t="s">
        <v>243</v>
      </c>
      <c r="K55" s="53">
        <v>2.5</v>
      </c>
      <c r="L55" s="53">
        <v>2.625</v>
      </c>
      <c r="M55" s="53">
        <v>1.5</v>
      </c>
      <c r="N55" s="53">
        <v>6.25E-2</v>
      </c>
      <c r="O55" s="19" t="s">
        <v>1146</v>
      </c>
      <c r="P55" s="53">
        <v>5</v>
      </c>
      <c r="Q55" s="18" t="s">
        <v>161</v>
      </c>
      <c r="R55" s="18" t="s">
        <v>129</v>
      </c>
      <c r="S55" s="18" t="s">
        <v>129</v>
      </c>
      <c r="T55" s="18" t="s">
        <v>128</v>
      </c>
      <c r="U55" s="18" t="s">
        <v>173</v>
      </c>
      <c r="V55" s="20" t="s">
        <v>1150</v>
      </c>
      <c r="CA55" s="1" t="s">
        <v>71</v>
      </c>
      <c r="CB55" s="1" t="s">
        <v>18</v>
      </c>
      <c r="CC55" s="1" t="s">
        <v>308</v>
      </c>
      <c r="CE55" s="18" t="str">
        <f>NV[[#This Row],[Part Type]]</f>
        <v>Needle Valve</v>
      </c>
      <c r="CF55" s="18" t="str">
        <f>NV[[#This Row],[Part Nr.]]</f>
        <v>100-11XF4</v>
      </c>
      <c r="CG55" s="18" t="str">
        <f>IF(NV[[#This Row],[UID]]=0,"",NV[[#This Row],[UID]])</f>
        <v>NV-31</v>
      </c>
      <c r="CK55" s="18" t="str">
        <f>IF(NV[[#This Row],[Status]]=0,"",NV[[#This Row],[Status]])</f>
        <v>Active</v>
      </c>
    </row>
    <row r="56" spans="1:89">
      <c r="A56" s="18" t="s">
        <v>120</v>
      </c>
      <c r="B56" s="18" t="s">
        <v>63</v>
      </c>
      <c r="C56" s="18" t="s">
        <v>1154</v>
      </c>
      <c r="D56" s="28">
        <v>60000</v>
      </c>
      <c r="E56" s="18" t="s">
        <v>1155</v>
      </c>
      <c r="F56" s="17">
        <v>230215</v>
      </c>
      <c r="G56" s="19">
        <v>744.65700000000004</v>
      </c>
      <c r="H56" s="18">
        <v>0.06</v>
      </c>
      <c r="I56" s="18" t="s">
        <v>242</v>
      </c>
      <c r="J56" s="18" t="s">
        <v>242</v>
      </c>
      <c r="K56" s="53">
        <v>2.8125</v>
      </c>
      <c r="L56" s="53">
        <v>2</v>
      </c>
      <c r="M56" s="53">
        <v>1</v>
      </c>
      <c r="N56" s="53">
        <v>6.25E-2</v>
      </c>
      <c r="O56" s="19" t="s">
        <v>59</v>
      </c>
      <c r="P56" s="53">
        <v>2.5625</v>
      </c>
      <c r="Q56" s="18" t="s">
        <v>161</v>
      </c>
      <c r="R56" s="18" t="s">
        <v>129</v>
      </c>
      <c r="S56" s="18" t="s">
        <v>129</v>
      </c>
      <c r="T56" s="18" t="s">
        <v>128</v>
      </c>
      <c r="U56" s="18" t="s">
        <v>173</v>
      </c>
      <c r="V56" s="20" t="s">
        <v>307</v>
      </c>
      <c r="CA56" s="1" t="s">
        <v>71</v>
      </c>
      <c r="CB56" s="1" t="s">
        <v>18</v>
      </c>
      <c r="CC56" s="1" t="s">
        <v>308</v>
      </c>
      <c r="CE56" s="18" t="str">
        <f>NV[[#This Row],[Part Type]]</f>
        <v>Needle Valve</v>
      </c>
      <c r="CF56" s="18" t="str">
        <f>NV[[#This Row],[Part Nr.]]</f>
        <v>60-12-HF6</v>
      </c>
      <c r="CG56" s="18" t="str">
        <f>IF(NV[[#This Row],[UID]]=0,"",NV[[#This Row],[UID]])</f>
        <v>NV-32</v>
      </c>
      <c r="CK56" s="18" t="str">
        <f>IF(NV[[#This Row],[Status]]=0,"",NV[[#This Row],[Status]])</f>
        <v>Active</v>
      </c>
    </row>
    <row r="57" spans="1:89">
      <c r="A57" s="18" t="s">
        <v>120</v>
      </c>
      <c r="B57" s="18" t="s">
        <v>63</v>
      </c>
      <c r="C57" s="18" t="s">
        <v>1156</v>
      </c>
      <c r="D57" s="28">
        <v>60000</v>
      </c>
      <c r="E57" s="18" t="s">
        <v>1155</v>
      </c>
      <c r="F57" s="17">
        <v>230215</v>
      </c>
      <c r="G57" s="19">
        <v>743.79700000000003</v>
      </c>
      <c r="H57" s="18">
        <v>0.06</v>
      </c>
      <c r="I57" s="18" t="s">
        <v>242</v>
      </c>
      <c r="J57" s="18" t="s">
        <v>242</v>
      </c>
      <c r="K57" s="53">
        <v>2.8125</v>
      </c>
      <c r="L57" s="53">
        <v>2</v>
      </c>
      <c r="M57" s="53">
        <v>1</v>
      </c>
      <c r="N57" s="53">
        <v>6.25E-2</v>
      </c>
      <c r="O57" s="19" t="s">
        <v>59</v>
      </c>
      <c r="P57" s="53">
        <v>2.5625</v>
      </c>
      <c r="Q57" s="18" t="s">
        <v>161</v>
      </c>
      <c r="R57" s="18" t="s">
        <v>129</v>
      </c>
      <c r="S57" s="18" t="s">
        <v>129</v>
      </c>
      <c r="T57" s="18" t="s">
        <v>128</v>
      </c>
      <c r="U57" s="18" t="s">
        <v>173</v>
      </c>
      <c r="V57" s="20" t="s">
        <v>307</v>
      </c>
      <c r="CA57" s="1" t="s">
        <v>71</v>
      </c>
      <c r="CB57" s="1" t="s">
        <v>18</v>
      </c>
      <c r="CC57" s="1" t="s">
        <v>308</v>
      </c>
      <c r="CE57" s="18" t="str">
        <f>NV[[#This Row],[Part Type]]</f>
        <v>Needle Valve</v>
      </c>
      <c r="CF57" s="18" t="str">
        <f>NV[[#This Row],[Part Nr.]]</f>
        <v>60-12-HF6</v>
      </c>
      <c r="CG57" s="18" t="str">
        <f>IF(NV[[#This Row],[UID]]=0,"",NV[[#This Row],[UID]])</f>
        <v>NV-33</v>
      </c>
      <c r="CK57" s="18" t="str">
        <f>IF(NV[[#This Row],[Status]]=0,"",NV[[#This Row],[Status]])</f>
        <v>Active</v>
      </c>
    </row>
    <row r="58" spans="1:89">
      <c r="D58" s="28"/>
      <c r="G58" s="19"/>
      <c r="K58" s="53"/>
      <c r="L58" s="53"/>
      <c r="M58" s="53"/>
      <c r="N58" s="53"/>
      <c r="O58" s="19"/>
      <c r="P58" s="53"/>
      <c r="S58" s="18"/>
      <c r="CA58" s="1" t="s">
        <v>71</v>
      </c>
      <c r="CB58" s="1" t="s">
        <v>18</v>
      </c>
      <c r="CC58" s="1" t="s">
        <v>308</v>
      </c>
      <c r="CE58" s="18">
        <f>NV[[#This Row],[Part Type]]</f>
        <v>0</v>
      </c>
      <c r="CF58" s="18">
        <f>NV[[#This Row],[Part Nr.]]</f>
        <v>0</v>
      </c>
      <c r="CG58" s="18" t="str">
        <f>IF(NV[[#This Row],[UID]]=0,"",NV[[#This Row],[UID]])</f>
        <v/>
      </c>
      <c r="CK58" s="18" t="str">
        <f>IF(NV[[#This Row],[Status]]=0,"",NV[[#This Row],[Status]])</f>
        <v/>
      </c>
    </row>
    <row r="59" spans="1:89">
      <c r="D59" s="28"/>
      <c r="G59" s="19"/>
      <c r="K59" s="53"/>
      <c r="L59" s="53"/>
      <c r="M59" s="53"/>
      <c r="N59" s="53"/>
      <c r="O59" s="19"/>
      <c r="P59" s="53"/>
      <c r="S59" s="18"/>
      <c r="CA59" s="1" t="s">
        <v>71</v>
      </c>
      <c r="CB59" s="1" t="s">
        <v>18</v>
      </c>
      <c r="CC59" s="1" t="s">
        <v>308</v>
      </c>
      <c r="CE59" s="18">
        <f>NV[[#This Row],[Part Type]]</f>
        <v>0</v>
      </c>
      <c r="CF59" s="18">
        <f>NV[[#This Row],[Part Nr.]]</f>
        <v>0</v>
      </c>
      <c r="CG59" s="18" t="str">
        <f>IF(NV[[#This Row],[UID]]=0,"",NV[[#This Row],[UID]])</f>
        <v/>
      </c>
      <c r="CK59" s="18" t="str">
        <f>IF(NV[[#This Row],[Status]]=0,"",NV[[#This Row],[Status]])</f>
        <v/>
      </c>
    </row>
    <row r="60" spans="1:89">
      <c r="D60" s="28"/>
      <c r="G60" s="19"/>
      <c r="K60" s="53"/>
      <c r="L60" s="53"/>
      <c r="M60" s="53"/>
      <c r="N60" s="53"/>
      <c r="O60" s="19"/>
      <c r="P60" s="53"/>
      <c r="S60" s="18"/>
      <c r="CA60" s="1" t="s">
        <v>71</v>
      </c>
      <c r="CB60" s="1" t="s">
        <v>18</v>
      </c>
      <c r="CC60" s="1" t="s">
        <v>308</v>
      </c>
      <c r="CE60" s="18">
        <f>NV[[#This Row],[Part Type]]</f>
        <v>0</v>
      </c>
      <c r="CF60" s="18">
        <f>NV[[#This Row],[Part Nr.]]</f>
        <v>0</v>
      </c>
      <c r="CG60" s="18" t="str">
        <f>IF(NV[[#This Row],[UID]]=0,"",NV[[#This Row],[UID]])</f>
        <v/>
      </c>
      <c r="CK60" s="18" t="str">
        <f>IF(NV[[#This Row],[Status]]=0,"",NV[[#This Row],[Status]])</f>
        <v/>
      </c>
    </row>
    <row r="61" spans="1:89">
      <c r="D61" s="28"/>
      <c r="G61" s="19"/>
      <c r="K61" s="53"/>
      <c r="L61" s="53"/>
      <c r="M61" s="53"/>
      <c r="N61" s="53"/>
      <c r="O61" s="19"/>
      <c r="P61" s="53"/>
      <c r="S61" s="18"/>
      <c r="CA61" s="1" t="s">
        <v>71</v>
      </c>
      <c r="CB61" s="1" t="s">
        <v>18</v>
      </c>
      <c r="CC61" s="1" t="s">
        <v>308</v>
      </c>
      <c r="CE61" s="18">
        <f>NV[[#This Row],[Part Type]]</f>
        <v>0</v>
      </c>
      <c r="CF61" s="18">
        <f>NV[[#This Row],[Part Nr.]]</f>
        <v>0</v>
      </c>
      <c r="CG61" s="18" t="str">
        <f>IF(NV[[#This Row],[UID]]=0,"",NV[[#This Row],[UID]])</f>
        <v/>
      </c>
      <c r="CK61" s="18" t="str">
        <f>IF(NV[[#This Row],[Status]]=0,"",NV[[#This Row],[Status]])</f>
        <v/>
      </c>
    </row>
    <row r="62" spans="1:89">
      <c r="D62" s="28"/>
      <c r="G62" s="19"/>
      <c r="K62" s="53"/>
      <c r="L62" s="53"/>
      <c r="M62" s="53"/>
      <c r="N62" s="53"/>
      <c r="O62" s="19"/>
      <c r="P62" s="53"/>
      <c r="S62" s="18"/>
      <c r="CA62" s="1" t="s">
        <v>71</v>
      </c>
      <c r="CB62" s="1" t="s">
        <v>18</v>
      </c>
      <c r="CC62" s="1" t="s">
        <v>308</v>
      </c>
      <c r="CE62" s="18">
        <f>NV[[#This Row],[Part Type]]</f>
        <v>0</v>
      </c>
      <c r="CF62" s="18">
        <f>NV[[#This Row],[Part Nr.]]</f>
        <v>0</v>
      </c>
      <c r="CG62" s="18" t="str">
        <f>IF(NV[[#This Row],[UID]]=0,"",NV[[#This Row],[UID]])</f>
        <v/>
      </c>
      <c r="CK62" s="18" t="str">
        <f>IF(NV[[#This Row],[Status]]=0,"",NV[[#This Row],[Status]])</f>
        <v/>
      </c>
    </row>
    <row r="63" spans="1:89">
      <c r="D63" s="28"/>
      <c r="G63" s="19"/>
      <c r="K63" s="53"/>
      <c r="L63" s="53"/>
      <c r="M63" s="53"/>
      <c r="N63" s="53"/>
      <c r="O63" s="19"/>
      <c r="P63" s="53"/>
      <c r="S63" s="18"/>
      <c r="CA63" s="1" t="s">
        <v>71</v>
      </c>
      <c r="CB63" s="1" t="s">
        <v>18</v>
      </c>
      <c r="CC63" s="1" t="s">
        <v>308</v>
      </c>
      <c r="CE63" s="18">
        <f>NV[[#This Row],[Part Type]]</f>
        <v>0</v>
      </c>
      <c r="CF63" s="18">
        <f>NV[[#This Row],[Part Nr.]]</f>
        <v>0</v>
      </c>
      <c r="CG63" s="18" t="str">
        <f>IF(NV[[#This Row],[UID]]=0,"",NV[[#This Row],[UID]])</f>
        <v/>
      </c>
      <c r="CK63" s="18" t="str">
        <f>IF(NV[[#This Row],[Status]]=0,"",NV[[#This Row],[Status]])</f>
        <v/>
      </c>
    </row>
    <row r="64" spans="1:89">
      <c r="D64" s="28"/>
      <c r="G64" s="19"/>
      <c r="K64" s="53"/>
      <c r="L64" s="53"/>
      <c r="M64" s="53"/>
      <c r="N64" s="53"/>
      <c r="O64" s="19"/>
      <c r="P64" s="53"/>
      <c r="S64" s="18"/>
      <c r="CA64" s="1" t="s">
        <v>71</v>
      </c>
      <c r="CB64" s="1" t="s">
        <v>18</v>
      </c>
      <c r="CC64" s="1" t="s">
        <v>308</v>
      </c>
      <c r="CE64" s="18">
        <f>NV[[#This Row],[Part Type]]</f>
        <v>0</v>
      </c>
      <c r="CF64" s="18">
        <f>NV[[#This Row],[Part Nr.]]</f>
        <v>0</v>
      </c>
      <c r="CG64" s="18" t="str">
        <f>IF(NV[[#This Row],[UID]]=0,"",NV[[#This Row],[UID]])</f>
        <v/>
      </c>
      <c r="CK64" s="18" t="str">
        <f>IF(NV[[#This Row],[Status]]=0,"",NV[[#This Row],[Status]])</f>
        <v/>
      </c>
    </row>
    <row r="65" spans="4:89">
      <c r="D65" s="28"/>
      <c r="G65" s="19"/>
      <c r="K65" s="53"/>
      <c r="L65" s="53"/>
      <c r="M65" s="53"/>
      <c r="N65" s="53"/>
      <c r="O65" s="19"/>
      <c r="P65" s="53"/>
      <c r="S65" s="18"/>
      <c r="CA65" s="1" t="s">
        <v>71</v>
      </c>
      <c r="CB65" s="1" t="s">
        <v>18</v>
      </c>
      <c r="CC65" s="1" t="s">
        <v>308</v>
      </c>
      <c r="CE65" s="18">
        <f>NV[[#This Row],[Part Type]]</f>
        <v>0</v>
      </c>
      <c r="CF65" s="18">
        <f>NV[[#This Row],[Part Nr.]]</f>
        <v>0</v>
      </c>
      <c r="CG65" s="18" t="str">
        <f>IF(NV[[#This Row],[UID]]=0,"",NV[[#This Row],[UID]])</f>
        <v/>
      </c>
      <c r="CK65" s="18" t="str">
        <f>IF(NV[[#This Row],[Status]]=0,"",NV[[#This Row],[Status]])</f>
        <v/>
      </c>
    </row>
    <row r="66" spans="4:89">
      <c r="D66" s="28"/>
      <c r="G66" s="19"/>
      <c r="K66" s="53"/>
      <c r="L66" s="53"/>
      <c r="M66" s="53"/>
      <c r="N66" s="53"/>
      <c r="O66" s="19"/>
      <c r="P66" s="53"/>
      <c r="S66" s="18"/>
      <c r="CA66" s="1" t="s">
        <v>71</v>
      </c>
      <c r="CB66" s="1" t="s">
        <v>18</v>
      </c>
      <c r="CC66" s="1" t="s">
        <v>308</v>
      </c>
      <c r="CE66" s="18">
        <f>NV[[#This Row],[Part Type]]</f>
        <v>0</v>
      </c>
      <c r="CF66" s="18">
        <f>NV[[#This Row],[Part Nr.]]</f>
        <v>0</v>
      </c>
      <c r="CG66" s="18" t="str">
        <f>IF(NV[[#This Row],[UID]]=0,"",NV[[#This Row],[UID]])</f>
        <v/>
      </c>
      <c r="CK66" s="18" t="str">
        <f>IF(NV[[#This Row],[Status]]=0,"",NV[[#This Row],[Status]])</f>
        <v/>
      </c>
    </row>
    <row r="67" spans="4:89">
      <c r="D67" s="28"/>
      <c r="G67" s="19"/>
      <c r="K67" s="53"/>
      <c r="L67" s="53"/>
      <c r="M67" s="53"/>
      <c r="N67" s="53"/>
      <c r="O67" s="19"/>
      <c r="P67" s="53"/>
      <c r="S67" s="18"/>
      <c r="CA67" s="1" t="s">
        <v>71</v>
      </c>
      <c r="CB67" s="1" t="s">
        <v>18</v>
      </c>
      <c r="CC67" s="1" t="s">
        <v>308</v>
      </c>
      <c r="CE67" s="18">
        <f>NV[[#This Row],[Part Type]]</f>
        <v>0</v>
      </c>
      <c r="CF67" s="18">
        <f>NV[[#This Row],[Part Nr.]]</f>
        <v>0</v>
      </c>
      <c r="CG67" s="18" t="str">
        <f>IF(NV[[#This Row],[UID]]=0,"",NV[[#This Row],[UID]])</f>
        <v/>
      </c>
      <c r="CK67" s="18" t="str">
        <f>IF(NV[[#This Row],[Status]]=0,"",NV[[#This Row],[Status]])</f>
        <v/>
      </c>
    </row>
    <row r="68" spans="4:89">
      <c r="D68" s="28"/>
      <c r="G68" s="19"/>
      <c r="K68" s="53"/>
      <c r="L68" s="53"/>
      <c r="M68" s="53"/>
      <c r="N68" s="53"/>
      <c r="O68" s="19"/>
      <c r="P68" s="53"/>
      <c r="S68" s="18"/>
      <c r="CA68" s="1" t="s">
        <v>71</v>
      </c>
      <c r="CB68" s="1" t="s">
        <v>18</v>
      </c>
      <c r="CC68" s="1" t="s">
        <v>308</v>
      </c>
      <c r="CE68" s="18">
        <f>NV[[#This Row],[Part Type]]</f>
        <v>0</v>
      </c>
      <c r="CF68" s="18">
        <f>NV[[#This Row],[Part Nr.]]</f>
        <v>0</v>
      </c>
      <c r="CG68" s="18" t="str">
        <f>IF(NV[[#This Row],[UID]]=0,"",NV[[#This Row],[UID]])</f>
        <v/>
      </c>
      <c r="CK68" s="18" t="str">
        <f>IF(NV[[#This Row],[Status]]=0,"",NV[[#This Row],[Status]])</f>
        <v/>
      </c>
    </row>
    <row r="69" spans="4:89">
      <c r="D69" s="28"/>
      <c r="G69" s="19"/>
      <c r="K69" s="53"/>
      <c r="L69" s="53"/>
      <c r="M69" s="53"/>
      <c r="N69" s="53"/>
      <c r="O69" s="19"/>
      <c r="P69" s="53"/>
      <c r="S69" s="18"/>
      <c r="CA69" s="1" t="s">
        <v>71</v>
      </c>
      <c r="CB69" s="1" t="s">
        <v>18</v>
      </c>
      <c r="CC69" s="1" t="s">
        <v>308</v>
      </c>
      <c r="CE69" s="18">
        <f>NV[[#This Row],[Part Type]]</f>
        <v>0</v>
      </c>
      <c r="CF69" s="18">
        <f>NV[[#This Row],[Part Nr.]]</f>
        <v>0</v>
      </c>
      <c r="CG69" s="18" t="str">
        <f>IF(NV[[#This Row],[UID]]=0,"",NV[[#This Row],[UID]])</f>
        <v/>
      </c>
      <c r="CK69" s="18" t="str">
        <f>IF(NV[[#This Row],[Status]]=0,"",NV[[#This Row],[Status]])</f>
        <v/>
      </c>
    </row>
    <row r="70" spans="4:89">
      <c r="D70" s="28"/>
      <c r="G70" s="19"/>
      <c r="K70" s="53"/>
      <c r="L70" s="53"/>
      <c r="M70" s="53"/>
      <c r="N70" s="53"/>
      <c r="O70" s="19"/>
      <c r="P70" s="53"/>
      <c r="S70" s="18"/>
      <c r="CA70" s="1" t="s">
        <v>71</v>
      </c>
      <c r="CB70" s="1" t="s">
        <v>18</v>
      </c>
      <c r="CC70" s="1" t="s">
        <v>308</v>
      </c>
      <c r="CE70" s="18">
        <f>NV[[#This Row],[Part Type]]</f>
        <v>0</v>
      </c>
      <c r="CF70" s="18">
        <f>NV[[#This Row],[Part Nr.]]</f>
        <v>0</v>
      </c>
      <c r="CG70" s="18" t="str">
        <f>IF(NV[[#This Row],[UID]]=0,"",NV[[#This Row],[UID]])</f>
        <v/>
      </c>
      <c r="CK70" s="18" t="str">
        <f>IF(NV[[#This Row],[Status]]=0,"",NV[[#This Row],[Status]])</f>
        <v/>
      </c>
    </row>
    <row r="71" spans="4:89">
      <c r="D71" s="28"/>
      <c r="G71" s="19"/>
      <c r="K71" s="53"/>
      <c r="L71" s="53"/>
      <c r="M71" s="53"/>
      <c r="N71" s="53"/>
      <c r="O71" s="19"/>
      <c r="P71" s="53"/>
      <c r="S71" s="18"/>
      <c r="CA71" s="1" t="s">
        <v>71</v>
      </c>
      <c r="CB71" s="1" t="s">
        <v>18</v>
      </c>
      <c r="CC71" s="1" t="s">
        <v>308</v>
      </c>
      <c r="CE71" s="18">
        <f>NV[[#This Row],[Part Type]]</f>
        <v>0</v>
      </c>
      <c r="CF71" s="18">
        <f>NV[[#This Row],[Part Nr.]]</f>
        <v>0</v>
      </c>
      <c r="CG71" s="18" t="str">
        <f>IF(NV[[#This Row],[UID]]=0,"",NV[[#This Row],[UID]])</f>
        <v/>
      </c>
      <c r="CK71" s="18" t="str">
        <f>IF(NV[[#This Row],[Status]]=0,"",NV[[#This Row],[Status]])</f>
        <v/>
      </c>
    </row>
    <row r="72" spans="4:89">
      <c r="D72" s="28"/>
      <c r="G72" s="19"/>
      <c r="K72" s="53"/>
      <c r="L72" s="53"/>
      <c r="M72" s="53"/>
      <c r="N72" s="53"/>
      <c r="O72" s="19"/>
      <c r="P72" s="53"/>
      <c r="S72" s="18"/>
      <c r="CA72" s="1" t="s">
        <v>71</v>
      </c>
      <c r="CB72" s="1" t="s">
        <v>18</v>
      </c>
      <c r="CC72" s="1" t="s">
        <v>308</v>
      </c>
      <c r="CE72" s="18">
        <f>NV[[#This Row],[Part Type]]</f>
        <v>0</v>
      </c>
      <c r="CF72" s="18">
        <f>NV[[#This Row],[Part Nr.]]</f>
        <v>0</v>
      </c>
      <c r="CG72" s="18" t="str">
        <f>IF(NV[[#This Row],[UID]]=0,"",NV[[#This Row],[UID]])</f>
        <v/>
      </c>
      <c r="CK72" s="18" t="str">
        <f>IF(NV[[#This Row],[Status]]=0,"",NV[[#This Row],[Status]])</f>
        <v/>
      </c>
    </row>
    <row r="73" spans="4:89">
      <c r="D73" s="28"/>
      <c r="G73" s="19"/>
      <c r="K73" s="53"/>
      <c r="L73" s="53"/>
      <c r="M73" s="53"/>
      <c r="N73" s="53"/>
      <c r="O73" s="19"/>
      <c r="P73" s="53"/>
      <c r="S73" s="18"/>
      <c r="CA73" s="1" t="s">
        <v>71</v>
      </c>
      <c r="CB73" s="1" t="s">
        <v>18</v>
      </c>
      <c r="CC73" s="1" t="s">
        <v>308</v>
      </c>
      <c r="CE73" s="18">
        <f>NV[[#This Row],[Part Type]]</f>
        <v>0</v>
      </c>
      <c r="CF73" s="18">
        <f>NV[[#This Row],[Part Nr.]]</f>
        <v>0</v>
      </c>
      <c r="CG73" s="18" t="str">
        <f>IF(NV[[#This Row],[UID]]=0,"",NV[[#This Row],[UID]])</f>
        <v/>
      </c>
      <c r="CK73" s="18" t="str">
        <f>IF(NV[[#This Row],[Status]]=0,"",NV[[#This Row],[Status]])</f>
        <v/>
      </c>
    </row>
    <row r="74" spans="4:89">
      <c r="D74" s="28"/>
      <c r="G74" s="19"/>
      <c r="K74" s="53"/>
      <c r="L74" s="53"/>
      <c r="M74" s="53"/>
      <c r="N74" s="53"/>
      <c r="O74" s="19"/>
      <c r="P74" s="53"/>
      <c r="S74" s="18"/>
      <c r="CA74" s="1" t="s">
        <v>71</v>
      </c>
      <c r="CB74" s="1" t="s">
        <v>18</v>
      </c>
      <c r="CC74" s="1" t="s">
        <v>308</v>
      </c>
      <c r="CE74" s="18">
        <f>NV[[#This Row],[Part Type]]</f>
        <v>0</v>
      </c>
      <c r="CF74" s="18">
        <f>NV[[#This Row],[Part Nr.]]</f>
        <v>0</v>
      </c>
      <c r="CG74" s="18" t="str">
        <f>IF(NV[[#This Row],[UID]]=0,"",NV[[#This Row],[UID]])</f>
        <v/>
      </c>
      <c r="CK74" s="18" t="str">
        <f>IF(NV[[#This Row],[Status]]=0,"",NV[[#This Row],[Status]])</f>
        <v/>
      </c>
    </row>
    <row r="75" spans="4:89">
      <c r="D75" s="28"/>
      <c r="G75" s="19"/>
      <c r="K75" s="53"/>
      <c r="L75" s="53"/>
      <c r="M75" s="53"/>
      <c r="N75" s="53"/>
      <c r="O75" s="19"/>
      <c r="P75" s="53"/>
      <c r="S75" s="18"/>
      <c r="CA75" s="1" t="s">
        <v>71</v>
      </c>
      <c r="CB75" s="1" t="s">
        <v>18</v>
      </c>
      <c r="CC75" s="1" t="s">
        <v>308</v>
      </c>
      <c r="CE75" s="18">
        <f>NV[[#This Row],[Part Type]]</f>
        <v>0</v>
      </c>
      <c r="CF75" s="18">
        <f>NV[[#This Row],[Part Nr.]]</f>
        <v>0</v>
      </c>
      <c r="CG75" s="18" t="str">
        <f>IF(NV[[#This Row],[UID]]=0,"",NV[[#This Row],[UID]])</f>
        <v/>
      </c>
      <c r="CK75" s="18" t="str">
        <f>IF(NV[[#This Row],[Status]]=0,"",NV[[#This Row],[Status]])</f>
        <v/>
      </c>
    </row>
    <row r="76" spans="4:89">
      <c r="D76" s="28"/>
      <c r="G76" s="19"/>
      <c r="K76" s="53"/>
      <c r="L76" s="53"/>
      <c r="M76" s="53"/>
      <c r="N76" s="53"/>
      <c r="O76" s="19"/>
      <c r="P76" s="53"/>
      <c r="S76" s="18"/>
      <c r="CA76" s="1" t="s">
        <v>71</v>
      </c>
      <c r="CB76" s="1" t="s">
        <v>18</v>
      </c>
      <c r="CC76" s="1" t="s">
        <v>308</v>
      </c>
      <c r="CE76" s="18">
        <f>NV[[#This Row],[Part Type]]</f>
        <v>0</v>
      </c>
      <c r="CF76" s="18">
        <f>NV[[#This Row],[Part Nr.]]</f>
        <v>0</v>
      </c>
      <c r="CG76" s="18" t="str">
        <f>IF(NV[[#This Row],[UID]]=0,"",NV[[#This Row],[UID]])</f>
        <v/>
      </c>
      <c r="CK76" s="18" t="str">
        <f>IF(NV[[#This Row],[Status]]=0,"",NV[[#This Row],[Status]])</f>
        <v/>
      </c>
    </row>
    <row r="77" spans="4:89">
      <c r="D77" s="28"/>
      <c r="G77" s="19"/>
      <c r="K77" s="53"/>
      <c r="L77" s="53"/>
      <c r="M77" s="53"/>
      <c r="N77" s="53"/>
      <c r="O77" s="19"/>
      <c r="P77" s="53"/>
      <c r="S77" s="18"/>
      <c r="CA77" s="1" t="s">
        <v>71</v>
      </c>
      <c r="CB77" s="1" t="s">
        <v>18</v>
      </c>
      <c r="CC77" s="1" t="s">
        <v>308</v>
      </c>
      <c r="CE77" s="18">
        <f>NV[[#This Row],[Part Type]]</f>
        <v>0</v>
      </c>
      <c r="CF77" s="18">
        <f>NV[[#This Row],[Part Nr.]]</f>
        <v>0</v>
      </c>
      <c r="CG77" s="18" t="str">
        <f>IF(NV[[#This Row],[UID]]=0,"",NV[[#This Row],[UID]])</f>
        <v/>
      </c>
      <c r="CK77" s="18" t="str">
        <f>IF(NV[[#This Row],[Status]]=0,"",NV[[#This Row],[Status]])</f>
        <v/>
      </c>
    </row>
    <row r="78" spans="4:89">
      <c r="D78" s="28"/>
      <c r="G78" s="19"/>
      <c r="K78" s="53"/>
      <c r="L78" s="53"/>
      <c r="M78" s="53"/>
      <c r="N78" s="53"/>
      <c r="O78" s="19"/>
      <c r="P78" s="53"/>
      <c r="S78" s="18"/>
      <c r="CA78" s="1" t="s">
        <v>71</v>
      </c>
      <c r="CB78" s="1" t="s">
        <v>18</v>
      </c>
      <c r="CC78" s="1" t="s">
        <v>308</v>
      </c>
      <c r="CE78" s="18">
        <f>NV[[#This Row],[Part Type]]</f>
        <v>0</v>
      </c>
      <c r="CF78" s="18">
        <f>NV[[#This Row],[Part Nr.]]</f>
        <v>0</v>
      </c>
      <c r="CG78" s="18" t="str">
        <f>IF(NV[[#This Row],[UID]]=0,"",NV[[#This Row],[UID]])</f>
        <v/>
      </c>
      <c r="CK78" s="18" t="str">
        <f>IF(NV[[#This Row],[Status]]=0,"",NV[[#This Row],[Status]])</f>
        <v/>
      </c>
    </row>
    <row r="79" spans="4:89">
      <c r="D79" s="28"/>
      <c r="G79" s="19"/>
      <c r="K79" s="53"/>
      <c r="L79" s="53"/>
      <c r="M79" s="53"/>
      <c r="N79" s="53"/>
      <c r="O79" s="19"/>
      <c r="P79" s="53"/>
      <c r="S79" s="18"/>
      <c r="CA79" s="1" t="s">
        <v>71</v>
      </c>
      <c r="CB79" s="1" t="s">
        <v>18</v>
      </c>
      <c r="CC79" s="1" t="s">
        <v>308</v>
      </c>
      <c r="CE79" s="18">
        <f>NV[[#This Row],[Part Type]]</f>
        <v>0</v>
      </c>
      <c r="CF79" s="18">
        <f>NV[[#This Row],[Part Nr.]]</f>
        <v>0</v>
      </c>
      <c r="CG79" s="18" t="str">
        <f>IF(NV[[#This Row],[UID]]=0,"",NV[[#This Row],[UID]])</f>
        <v/>
      </c>
      <c r="CK79" s="18" t="str">
        <f>IF(NV[[#This Row],[Status]]=0,"",NV[[#This Row],[Status]])</f>
        <v/>
      </c>
    </row>
    <row r="80" spans="4:89">
      <c r="D80" s="28"/>
      <c r="G80" s="19"/>
      <c r="K80" s="53"/>
      <c r="L80" s="53"/>
      <c r="M80" s="53"/>
      <c r="N80" s="53"/>
      <c r="O80" s="19"/>
      <c r="P80" s="53"/>
      <c r="S80" s="18"/>
      <c r="CA80" s="1" t="s">
        <v>71</v>
      </c>
      <c r="CB80" s="1" t="s">
        <v>18</v>
      </c>
      <c r="CC80" s="1" t="s">
        <v>308</v>
      </c>
      <c r="CE80" s="18">
        <f>NV[[#This Row],[Part Type]]</f>
        <v>0</v>
      </c>
      <c r="CF80" s="18">
        <f>NV[[#This Row],[Part Nr.]]</f>
        <v>0</v>
      </c>
      <c r="CG80" s="18" t="str">
        <f>IF(NV[[#This Row],[UID]]=0,"",NV[[#This Row],[UID]])</f>
        <v/>
      </c>
      <c r="CK80" s="18" t="str">
        <f>IF(NV[[#This Row],[Status]]=0,"",NV[[#This Row],[Status]])</f>
        <v/>
      </c>
    </row>
    <row r="81" spans="4:89">
      <c r="D81" s="28"/>
      <c r="G81" s="19"/>
      <c r="K81" s="53"/>
      <c r="L81" s="53"/>
      <c r="M81" s="53"/>
      <c r="N81" s="53"/>
      <c r="O81" s="19"/>
      <c r="P81" s="53"/>
      <c r="S81" s="18"/>
      <c r="CA81" s="1" t="s">
        <v>71</v>
      </c>
      <c r="CB81" s="1" t="s">
        <v>18</v>
      </c>
      <c r="CC81" s="1" t="s">
        <v>308</v>
      </c>
      <c r="CE81" s="18">
        <f>NV[[#This Row],[Part Type]]</f>
        <v>0</v>
      </c>
      <c r="CF81" s="18">
        <f>NV[[#This Row],[Part Nr.]]</f>
        <v>0</v>
      </c>
      <c r="CG81" s="18" t="str">
        <f>IF(NV[[#This Row],[UID]]=0,"",NV[[#This Row],[UID]])</f>
        <v/>
      </c>
      <c r="CK81" s="18" t="str">
        <f>IF(NV[[#This Row],[Status]]=0,"",NV[[#This Row],[Status]])</f>
        <v/>
      </c>
    </row>
    <row r="82" spans="4:89">
      <c r="D82" s="28"/>
      <c r="G82" s="19"/>
      <c r="K82" s="53"/>
      <c r="L82" s="53"/>
      <c r="M82" s="53"/>
      <c r="N82" s="53"/>
      <c r="O82" s="19"/>
      <c r="P82" s="53"/>
      <c r="S82" s="18"/>
      <c r="CA82" s="1" t="s">
        <v>71</v>
      </c>
      <c r="CB82" s="1" t="s">
        <v>18</v>
      </c>
      <c r="CC82" s="1" t="s">
        <v>308</v>
      </c>
      <c r="CE82" s="18">
        <f>NV[[#This Row],[Part Type]]</f>
        <v>0</v>
      </c>
      <c r="CF82" s="18">
        <f>NV[[#This Row],[Part Nr.]]</f>
        <v>0</v>
      </c>
      <c r="CG82" s="18" t="str">
        <f>IF(NV[[#This Row],[UID]]=0,"",NV[[#This Row],[UID]])</f>
        <v/>
      </c>
      <c r="CK82" s="18" t="str">
        <f>IF(NV[[#This Row],[Status]]=0,"",NV[[#This Row],[Status]])</f>
        <v/>
      </c>
    </row>
    <row r="83" spans="4:89">
      <c r="D83" s="28"/>
      <c r="G83" s="19"/>
      <c r="K83" s="53"/>
      <c r="L83" s="53"/>
      <c r="M83" s="53"/>
      <c r="N83" s="53"/>
      <c r="O83" s="19"/>
      <c r="P83" s="53"/>
      <c r="S83" s="18"/>
      <c r="CA83" s="1" t="s">
        <v>71</v>
      </c>
      <c r="CB83" s="1" t="s">
        <v>18</v>
      </c>
      <c r="CC83" s="1" t="s">
        <v>308</v>
      </c>
      <c r="CE83" s="18">
        <f>NV[[#This Row],[Part Type]]</f>
        <v>0</v>
      </c>
      <c r="CF83" s="18">
        <f>NV[[#This Row],[Part Nr.]]</f>
        <v>0</v>
      </c>
      <c r="CG83" s="18" t="str">
        <f>IF(NV[[#This Row],[UID]]=0,"",NV[[#This Row],[UID]])</f>
        <v/>
      </c>
      <c r="CK83" s="18" t="str">
        <f>IF(NV[[#This Row],[Status]]=0,"",NV[[#This Row],[Status]])</f>
        <v/>
      </c>
    </row>
    <row r="84" spans="4:89">
      <c r="D84" s="28"/>
      <c r="G84" s="19"/>
      <c r="K84" s="53"/>
      <c r="L84" s="53"/>
      <c r="M84" s="53"/>
      <c r="N84" s="53"/>
      <c r="O84" s="19"/>
      <c r="P84" s="53"/>
      <c r="S84" s="18"/>
      <c r="CA84" s="1" t="s">
        <v>71</v>
      </c>
      <c r="CB84" s="1" t="s">
        <v>18</v>
      </c>
      <c r="CC84" s="1" t="s">
        <v>308</v>
      </c>
      <c r="CE84" s="18">
        <f>NV[[#This Row],[Part Type]]</f>
        <v>0</v>
      </c>
      <c r="CF84" s="18">
        <f>NV[[#This Row],[Part Nr.]]</f>
        <v>0</v>
      </c>
      <c r="CG84" s="18" t="str">
        <f>IF(NV[[#This Row],[UID]]=0,"",NV[[#This Row],[UID]])</f>
        <v/>
      </c>
      <c r="CK84" s="18" t="str">
        <f>IF(NV[[#This Row],[Status]]=0,"",NV[[#This Row],[Status]])</f>
        <v/>
      </c>
    </row>
    <row r="85" spans="4:89">
      <c r="D85" s="28"/>
      <c r="G85" s="19"/>
      <c r="K85" s="53"/>
      <c r="L85" s="53"/>
      <c r="M85" s="53"/>
      <c r="N85" s="53"/>
      <c r="O85" s="19"/>
      <c r="P85" s="53"/>
      <c r="S85" s="18"/>
      <c r="CA85" s="1" t="s">
        <v>71</v>
      </c>
      <c r="CB85" s="1" t="s">
        <v>18</v>
      </c>
      <c r="CC85" s="1" t="s">
        <v>308</v>
      </c>
      <c r="CE85" s="18">
        <f>NV[[#This Row],[Part Type]]</f>
        <v>0</v>
      </c>
      <c r="CF85" s="18">
        <f>NV[[#This Row],[Part Nr.]]</f>
        <v>0</v>
      </c>
      <c r="CG85" s="18" t="str">
        <f>IF(NV[[#This Row],[UID]]=0,"",NV[[#This Row],[UID]])</f>
        <v/>
      </c>
      <c r="CK85" s="18" t="str">
        <f>IF(NV[[#This Row],[Status]]=0,"",NV[[#This Row],[Status]])</f>
        <v/>
      </c>
    </row>
    <row r="86" spans="4:89">
      <c r="D86" s="28"/>
      <c r="G86" s="19"/>
      <c r="K86" s="53"/>
      <c r="L86" s="53"/>
      <c r="M86" s="53"/>
      <c r="N86" s="53"/>
      <c r="O86" s="19"/>
      <c r="P86" s="53"/>
      <c r="S86" s="18"/>
      <c r="CA86" s="1" t="s">
        <v>71</v>
      </c>
      <c r="CB86" s="1" t="s">
        <v>18</v>
      </c>
      <c r="CC86" s="1" t="s">
        <v>308</v>
      </c>
      <c r="CE86" s="18">
        <f>NV[[#This Row],[Part Type]]</f>
        <v>0</v>
      </c>
      <c r="CF86" s="18">
        <f>NV[[#This Row],[Part Nr.]]</f>
        <v>0</v>
      </c>
      <c r="CG86" s="18" t="str">
        <f>IF(NV[[#This Row],[UID]]=0,"",NV[[#This Row],[UID]])</f>
        <v/>
      </c>
      <c r="CK86" s="18" t="str">
        <f>IF(NV[[#This Row],[Status]]=0,"",NV[[#This Row],[Status]])</f>
        <v/>
      </c>
    </row>
    <row r="87" spans="4:89">
      <c r="D87" s="28"/>
      <c r="G87" s="19"/>
      <c r="K87" s="53"/>
      <c r="L87" s="53"/>
      <c r="M87" s="53"/>
      <c r="N87" s="53"/>
      <c r="O87" s="19"/>
      <c r="P87" s="53"/>
      <c r="S87" s="18"/>
      <c r="CA87" s="1" t="s">
        <v>71</v>
      </c>
      <c r="CB87" s="1" t="s">
        <v>18</v>
      </c>
      <c r="CC87" s="1" t="s">
        <v>308</v>
      </c>
      <c r="CE87" s="18">
        <f>NV[[#This Row],[Part Type]]</f>
        <v>0</v>
      </c>
      <c r="CF87" s="18">
        <f>NV[[#This Row],[Part Nr.]]</f>
        <v>0</v>
      </c>
      <c r="CG87" s="18" t="str">
        <f>IF(NV[[#This Row],[UID]]=0,"",NV[[#This Row],[UID]])</f>
        <v/>
      </c>
      <c r="CK87" s="18" t="str">
        <f>IF(NV[[#This Row],[Status]]=0,"",NV[[#This Row],[Status]])</f>
        <v/>
      </c>
    </row>
    <row r="88" spans="4:89">
      <c r="D88" s="28"/>
      <c r="G88" s="19"/>
      <c r="K88" s="53"/>
      <c r="L88" s="53"/>
      <c r="M88" s="53"/>
      <c r="N88" s="53"/>
      <c r="O88" s="19"/>
      <c r="P88" s="53"/>
      <c r="S88" s="18"/>
      <c r="CA88" s="1" t="s">
        <v>71</v>
      </c>
      <c r="CB88" s="1" t="s">
        <v>18</v>
      </c>
      <c r="CC88" s="1" t="s">
        <v>308</v>
      </c>
      <c r="CE88" s="18">
        <f>NV[[#This Row],[Part Type]]</f>
        <v>0</v>
      </c>
      <c r="CF88" s="18">
        <f>NV[[#This Row],[Part Nr.]]</f>
        <v>0</v>
      </c>
      <c r="CG88" s="18" t="str">
        <f>IF(NV[[#This Row],[UID]]=0,"",NV[[#This Row],[UID]])</f>
        <v/>
      </c>
      <c r="CK88" s="18" t="str">
        <f>IF(NV[[#This Row],[Status]]=0,"",NV[[#This Row],[Status]])</f>
        <v/>
      </c>
    </row>
    <row r="89" spans="4:89">
      <c r="D89" s="28"/>
      <c r="G89" s="19"/>
      <c r="K89" s="53"/>
      <c r="L89" s="53"/>
      <c r="M89" s="53"/>
      <c r="N89" s="53"/>
      <c r="O89" s="19"/>
      <c r="P89" s="53"/>
      <c r="S89" s="18"/>
      <c r="CA89" s="1" t="s">
        <v>71</v>
      </c>
      <c r="CB89" s="1" t="s">
        <v>18</v>
      </c>
      <c r="CC89" s="1" t="s">
        <v>308</v>
      </c>
      <c r="CE89" s="18">
        <f>NV[[#This Row],[Part Type]]</f>
        <v>0</v>
      </c>
      <c r="CF89" s="18">
        <f>NV[[#This Row],[Part Nr.]]</f>
        <v>0</v>
      </c>
      <c r="CG89" s="18" t="str">
        <f>IF(NV[[#This Row],[UID]]=0,"",NV[[#This Row],[UID]])</f>
        <v/>
      </c>
      <c r="CK89" s="18" t="str">
        <f>IF(NV[[#This Row],[Status]]=0,"",NV[[#This Row],[Status]])</f>
        <v/>
      </c>
    </row>
    <row r="90" spans="4:89">
      <c r="D90" s="28"/>
      <c r="G90" s="19"/>
      <c r="K90" s="53"/>
      <c r="L90" s="53"/>
      <c r="M90" s="53"/>
      <c r="N90" s="53"/>
      <c r="O90" s="19"/>
      <c r="P90" s="53"/>
      <c r="S90" s="18"/>
      <c r="CA90" s="1" t="s">
        <v>71</v>
      </c>
      <c r="CB90" s="1" t="s">
        <v>18</v>
      </c>
      <c r="CC90" s="1" t="s">
        <v>308</v>
      </c>
      <c r="CE90" s="18">
        <f>NV[[#This Row],[Part Type]]</f>
        <v>0</v>
      </c>
      <c r="CF90" s="18">
        <f>NV[[#This Row],[Part Nr.]]</f>
        <v>0</v>
      </c>
      <c r="CG90" s="18" t="str">
        <f>IF(NV[[#This Row],[UID]]=0,"",NV[[#This Row],[UID]])</f>
        <v/>
      </c>
      <c r="CK90" s="18" t="str">
        <f>IF(NV[[#This Row],[Status]]=0,"",NV[[#This Row],[Status]])</f>
        <v/>
      </c>
    </row>
    <row r="91" spans="4:89">
      <c r="D91" s="28"/>
      <c r="G91" s="19"/>
      <c r="K91" s="53"/>
      <c r="L91" s="53"/>
      <c r="M91" s="53"/>
      <c r="N91" s="53"/>
      <c r="O91" s="19"/>
      <c r="P91" s="53"/>
      <c r="S91" s="18"/>
      <c r="CA91" s="1" t="s">
        <v>71</v>
      </c>
      <c r="CB91" s="1" t="s">
        <v>18</v>
      </c>
      <c r="CC91" s="1" t="s">
        <v>308</v>
      </c>
      <c r="CE91" s="18">
        <f>NV[[#This Row],[Part Type]]</f>
        <v>0</v>
      </c>
      <c r="CF91" s="18">
        <f>NV[[#This Row],[Part Nr.]]</f>
        <v>0</v>
      </c>
      <c r="CG91" s="18" t="str">
        <f>IF(NV[[#This Row],[UID]]=0,"",NV[[#This Row],[UID]])</f>
        <v/>
      </c>
      <c r="CK91" s="18" t="str">
        <f>IF(NV[[#This Row],[Status]]=0,"",NV[[#This Row],[Status]])</f>
        <v/>
      </c>
    </row>
    <row r="92" spans="4:89">
      <c r="D92" s="28"/>
      <c r="G92" s="19"/>
      <c r="K92" s="53"/>
      <c r="L92" s="53"/>
      <c r="M92" s="53"/>
      <c r="N92" s="53"/>
      <c r="O92" s="19"/>
      <c r="P92" s="53"/>
      <c r="S92" s="18"/>
      <c r="CA92" s="1" t="s">
        <v>71</v>
      </c>
      <c r="CB92" s="1" t="s">
        <v>18</v>
      </c>
      <c r="CC92" s="1" t="s">
        <v>308</v>
      </c>
      <c r="CE92" s="18">
        <f>NV[[#This Row],[Part Type]]</f>
        <v>0</v>
      </c>
      <c r="CF92" s="18">
        <f>NV[[#This Row],[Part Nr.]]</f>
        <v>0</v>
      </c>
      <c r="CG92" s="18" t="str">
        <f>IF(NV[[#This Row],[UID]]=0,"",NV[[#This Row],[UID]])</f>
        <v/>
      </c>
      <c r="CK92" s="18" t="str">
        <f>IF(NV[[#This Row],[Status]]=0,"",NV[[#This Row],[Status]])</f>
        <v/>
      </c>
    </row>
    <row r="93" spans="4:89">
      <c r="D93" s="28"/>
      <c r="G93" s="19"/>
      <c r="K93" s="53"/>
      <c r="L93" s="53"/>
      <c r="M93" s="53"/>
      <c r="N93" s="53"/>
      <c r="O93" s="19"/>
      <c r="P93" s="53"/>
      <c r="S93" s="18"/>
      <c r="CA93" s="1" t="s">
        <v>71</v>
      </c>
      <c r="CB93" s="1" t="s">
        <v>18</v>
      </c>
      <c r="CC93" s="1" t="s">
        <v>308</v>
      </c>
      <c r="CE93" s="18">
        <f>NV[[#This Row],[Part Type]]</f>
        <v>0</v>
      </c>
      <c r="CF93" s="18">
        <f>NV[[#This Row],[Part Nr.]]</f>
        <v>0</v>
      </c>
      <c r="CG93" s="18" t="str">
        <f>IF(NV[[#This Row],[UID]]=0,"",NV[[#This Row],[UID]])</f>
        <v/>
      </c>
      <c r="CK93" s="18" t="str">
        <f>IF(NV[[#This Row],[Status]]=0,"",NV[[#This Row],[Status]])</f>
        <v/>
      </c>
    </row>
    <row r="94" spans="4:89">
      <c r="D94" s="28"/>
      <c r="G94" s="19"/>
      <c r="K94" s="53"/>
      <c r="L94" s="53"/>
      <c r="M94" s="53"/>
      <c r="N94" s="53"/>
      <c r="O94" s="19"/>
      <c r="P94" s="53"/>
      <c r="S94" s="18"/>
      <c r="CA94" s="1" t="s">
        <v>71</v>
      </c>
      <c r="CB94" s="1" t="s">
        <v>18</v>
      </c>
      <c r="CC94" s="1" t="s">
        <v>308</v>
      </c>
      <c r="CE94" s="18">
        <f>NV[[#This Row],[Part Type]]</f>
        <v>0</v>
      </c>
      <c r="CF94" s="18">
        <f>NV[[#This Row],[Part Nr.]]</f>
        <v>0</v>
      </c>
      <c r="CG94" s="18" t="str">
        <f>IF(NV[[#This Row],[UID]]=0,"",NV[[#This Row],[UID]])</f>
        <v/>
      </c>
      <c r="CK94" s="18" t="str">
        <f>IF(NV[[#This Row],[Status]]=0,"",NV[[#This Row],[Status]])</f>
        <v/>
      </c>
    </row>
    <row r="95" spans="4:89">
      <c r="D95" s="28"/>
      <c r="G95" s="19"/>
      <c r="K95" s="53"/>
      <c r="L95" s="53"/>
      <c r="M95" s="53"/>
      <c r="N95" s="53"/>
      <c r="O95" s="19"/>
      <c r="P95" s="53"/>
      <c r="S95" s="18"/>
      <c r="CA95" s="1" t="s">
        <v>71</v>
      </c>
      <c r="CB95" s="1" t="s">
        <v>18</v>
      </c>
      <c r="CC95" s="1" t="s">
        <v>308</v>
      </c>
      <c r="CE95" s="18">
        <f>NV[[#This Row],[Part Type]]</f>
        <v>0</v>
      </c>
      <c r="CF95" s="18">
        <f>NV[[#This Row],[Part Nr.]]</f>
        <v>0</v>
      </c>
      <c r="CG95" s="18" t="str">
        <f>IF(NV[[#This Row],[UID]]=0,"",NV[[#This Row],[UID]])</f>
        <v/>
      </c>
      <c r="CK95" s="18" t="str">
        <f>IF(NV[[#This Row],[Status]]=0,"",NV[[#This Row],[Status]])</f>
        <v/>
      </c>
    </row>
    <row r="96" spans="4:89">
      <c r="D96" s="28"/>
      <c r="G96" s="19"/>
      <c r="K96" s="53"/>
      <c r="L96" s="53"/>
      <c r="M96" s="53"/>
      <c r="N96" s="53"/>
      <c r="O96" s="19"/>
      <c r="P96" s="53"/>
      <c r="S96" s="18"/>
      <c r="CA96" s="1" t="s">
        <v>71</v>
      </c>
      <c r="CB96" s="1" t="s">
        <v>18</v>
      </c>
      <c r="CC96" s="1" t="s">
        <v>308</v>
      </c>
      <c r="CE96" s="18">
        <f>NV[[#This Row],[Part Type]]</f>
        <v>0</v>
      </c>
      <c r="CF96" s="18">
        <f>NV[[#This Row],[Part Nr.]]</f>
        <v>0</v>
      </c>
      <c r="CG96" s="18" t="str">
        <f>IF(NV[[#This Row],[UID]]=0,"",NV[[#This Row],[UID]])</f>
        <v/>
      </c>
      <c r="CK96" s="18" t="str">
        <f>IF(NV[[#This Row],[Status]]=0,"",NV[[#This Row],[Status]])</f>
        <v/>
      </c>
    </row>
    <row r="97" spans="4:89">
      <c r="D97" s="28"/>
      <c r="G97" s="19"/>
      <c r="K97" s="53"/>
      <c r="L97" s="53"/>
      <c r="M97" s="53"/>
      <c r="N97" s="53"/>
      <c r="O97" s="19"/>
      <c r="P97" s="53"/>
      <c r="S97" s="18"/>
      <c r="CA97" s="1" t="s">
        <v>71</v>
      </c>
      <c r="CB97" s="1" t="s">
        <v>18</v>
      </c>
      <c r="CC97" s="1" t="s">
        <v>308</v>
      </c>
      <c r="CE97" s="18">
        <f>NV[[#This Row],[Part Type]]</f>
        <v>0</v>
      </c>
      <c r="CF97" s="18">
        <f>NV[[#This Row],[Part Nr.]]</f>
        <v>0</v>
      </c>
      <c r="CG97" s="18" t="str">
        <f>IF(NV[[#This Row],[UID]]=0,"",NV[[#This Row],[UID]])</f>
        <v/>
      </c>
      <c r="CK97" s="18" t="str">
        <f>IF(NV[[#This Row],[Status]]=0,"",NV[[#This Row],[Status]])</f>
        <v/>
      </c>
    </row>
    <row r="98" spans="4:89">
      <c r="D98" s="28"/>
      <c r="G98" s="19"/>
      <c r="K98" s="53"/>
      <c r="L98" s="53"/>
      <c r="M98" s="53"/>
      <c r="N98" s="53"/>
      <c r="O98" s="19"/>
      <c r="P98" s="53"/>
      <c r="S98" s="18"/>
      <c r="CA98" s="1" t="s">
        <v>71</v>
      </c>
      <c r="CB98" s="1" t="s">
        <v>18</v>
      </c>
      <c r="CC98" s="1" t="s">
        <v>308</v>
      </c>
      <c r="CE98" s="18">
        <f>NV[[#This Row],[Part Type]]</f>
        <v>0</v>
      </c>
      <c r="CF98" s="18">
        <f>NV[[#This Row],[Part Nr.]]</f>
        <v>0</v>
      </c>
      <c r="CG98" s="18" t="str">
        <f>IF(NV[[#This Row],[UID]]=0,"",NV[[#This Row],[UID]])</f>
        <v/>
      </c>
      <c r="CK98" s="18" t="str">
        <f>IF(NV[[#This Row],[Status]]=0,"",NV[[#This Row],[Status]])</f>
        <v/>
      </c>
    </row>
    <row r="99" spans="4:89">
      <c r="D99" s="28"/>
      <c r="G99" s="19"/>
      <c r="K99" s="53"/>
      <c r="L99" s="53"/>
      <c r="M99" s="53"/>
      <c r="N99" s="53"/>
      <c r="O99" s="19"/>
      <c r="P99" s="53"/>
      <c r="S99" s="18"/>
      <c r="CA99" s="1" t="s">
        <v>71</v>
      </c>
      <c r="CB99" s="1" t="s">
        <v>18</v>
      </c>
      <c r="CC99" s="1" t="s">
        <v>308</v>
      </c>
      <c r="CE99" s="18">
        <f>NV[[#This Row],[Part Type]]</f>
        <v>0</v>
      </c>
      <c r="CF99" s="18">
        <f>NV[[#This Row],[Part Nr.]]</f>
        <v>0</v>
      </c>
      <c r="CG99" s="18" t="str">
        <f>IF(NV[[#This Row],[UID]]=0,"",NV[[#This Row],[UID]])</f>
        <v/>
      </c>
      <c r="CK99" s="18" t="str">
        <f>IF(NV[[#This Row],[Status]]=0,"",NV[[#This Row],[Status]])</f>
        <v/>
      </c>
    </row>
    <row r="100" spans="4:89">
      <c r="D100" s="28"/>
      <c r="G100" s="19"/>
      <c r="K100" s="53"/>
      <c r="L100" s="53"/>
      <c r="M100" s="53"/>
      <c r="N100" s="53"/>
      <c r="O100" s="19"/>
      <c r="P100" s="53"/>
      <c r="S100" s="18"/>
      <c r="CA100" s="1" t="s">
        <v>71</v>
      </c>
      <c r="CB100" s="1" t="s">
        <v>18</v>
      </c>
      <c r="CC100" s="1" t="s">
        <v>308</v>
      </c>
      <c r="CE100" s="18">
        <f>NV[[#This Row],[Part Type]]</f>
        <v>0</v>
      </c>
      <c r="CF100" s="18">
        <f>NV[[#This Row],[Part Nr.]]</f>
        <v>0</v>
      </c>
      <c r="CG100" s="18" t="str">
        <f>IF(NV[[#This Row],[UID]]=0,"",NV[[#This Row],[UID]])</f>
        <v/>
      </c>
      <c r="CK100" s="18" t="str">
        <f>IF(NV[[#This Row],[Status]]=0,"",NV[[#This Row],[Status]])</f>
        <v/>
      </c>
    </row>
    <row r="101" spans="4:89">
      <c r="D101" s="28"/>
      <c r="G101" s="19"/>
      <c r="K101" s="53"/>
      <c r="L101" s="53"/>
      <c r="M101" s="53"/>
      <c r="N101" s="53"/>
      <c r="O101" s="19"/>
      <c r="P101" s="53"/>
      <c r="S101" s="18"/>
      <c r="CA101" s="1" t="s">
        <v>71</v>
      </c>
      <c r="CB101" s="1" t="s">
        <v>18</v>
      </c>
      <c r="CC101" s="1" t="s">
        <v>308</v>
      </c>
      <c r="CE101" s="18">
        <f>NV[[#This Row],[Part Type]]</f>
        <v>0</v>
      </c>
      <c r="CF101" s="18">
        <f>NV[[#This Row],[Part Nr.]]</f>
        <v>0</v>
      </c>
      <c r="CG101" s="18" t="str">
        <f>IF(NV[[#This Row],[UID]]=0,"",NV[[#This Row],[UID]])</f>
        <v/>
      </c>
      <c r="CK101" s="18" t="str">
        <f>IF(NV[[#This Row],[Status]]=0,"",NV[[#This Row],[Status]])</f>
        <v/>
      </c>
    </row>
    <row r="102" spans="4:89">
      <c r="D102" s="28"/>
      <c r="G102" s="19"/>
      <c r="K102" s="53"/>
      <c r="L102" s="53"/>
      <c r="M102" s="53"/>
      <c r="N102" s="53"/>
      <c r="O102" s="19"/>
      <c r="P102" s="53"/>
      <c r="S102" s="18"/>
      <c r="CA102" s="1" t="s">
        <v>71</v>
      </c>
      <c r="CB102" s="1" t="s">
        <v>18</v>
      </c>
      <c r="CC102" s="1" t="s">
        <v>308</v>
      </c>
      <c r="CE102" s="18">
        <f>NV[[#This Row],[Part Type]]</f>
        <v>0</v>
      </c>
      <c r="CF102" s="18">
        <f>NV[[#This Row],[Part Nr.]]</f>
        <v>0</v>
      </c>
      <c r="CG102" s="18" t="str">
        <f>IF(NV[[#This Row],[UID]]=0,"",NV[[#This Row],[UID]])</f>
        <v/>
      </c>
      <c r="CK102" s="18" t="str">
        <f>IF(NV[[#This Row],[Status]]=0,"",NV[[#This Row],[Status]])</f>
        <v/>
      </c>
    </row>
    <row r="103" spans="4:89">
      <c r="D103" s="28"/>
      <c r="G103" s="19"/>
      <c r="K103" s="53"/>
      <c r="L103" s="53"/>
      <c r="M103" s="53"/>
      <c r="N103" s="53"/>
      <c r="O103" s="19"/>
      <c r="P103" s="53"/>
      <c r="S103" s="18"/>
      <c r="CA103" s="1" t="s">
        <v>71</v>
      </c>
      <c r="CB103" s="1" t="s">
        <v>18</v>
      </c>
      <c r="CC103" s="1" t="s">
        <v>308</v>
      </c>
      <c r="CE103" s="18">
        <f>NV[[#This Row],[Part Type]]</f>
        <v>0</v>
      </c>
      <c r="CF103" s="18">
        <f>NV[[#This Row],[Part Nr.]]</f>
        <v>0</v>
      </c>
      <c r="CG103" s="18" t="str">
        <f>IF(NV[[#This Row],[UID]]=0,"",NV[[#This Row],[UID]])</f>
        <v/>
      </c>
      <c r="CK103" s="18" t="str">
        <f>IF(NV[[#This Row],[Status]]=0,"",NV[[#This Row],[Status]])</f>
        <v/>
      </c>
    </row>
    <row r="104" spans="4:89">
      <c r="D104" s="28"/>
      <c r="G104" s="19"/>
      <c r="K104" s="53"/>
      <c r="L104" s="53"/>
      <c r="M104" s="53"/>
      <c r="N104" s="53"/>
      <c r="O104" s="19"/>
      <c r="P104" s="53"/>
      <c r="S104" s="18"/>
      <c r="CA104" s="1" t="s">
        <v>71</v>
      </c>
      <c r="CB104" s="1" t="s">
        <v>18</v>
      </c>
      <c r="CC104" s="1" t="s">
        <v>308</v>
      </c>
      <c r="CE104" s="18">
        <f>NV[[#This Row],[Part Type]]</f>
        <v>0</v>
      </c>
      <c r="CF104" s="18">
        <f>NV[[#This Row],[Part Nr.]]</f>
        <v>0</v>
      </c>
      <c r="CG104" s="18" t="str">
        <f>IF(NV[[#This Row],[UID]]=0,"",NV[[#This Row],[UID]])</f>
        <v/>
      </c>
      <c r="CK104" s="18" t="str">
        <f>IF(NV[[#This Row],[Status]]=0,"",NV[[#This Row],[Status]])</f>
        <v/>
      </c>
    </row>
    <row r="105" spans="4:89">
      <c r="D105" s="28"/>
      <c r="G105" s="19"/>
      <c r="K105" s="53"/>
      <c r="L105" s="53"/>
      <c r="M105" s="53"/>
      <c r="N105" s="53"/>
      <c r="O105" s="19"/>
      <c r="P105" s="53"/>
      <c r="S105" s="18"/>
      <c r="CA105" s="1" t="s">
        <v>71</v>
      </c>
      <c r="CB105" s="1" t="s">
        <v>18</v>
      </c>
      <c r="CC105" s="1" t="s">
        <v>308</v>
      </c>
      <c r="CE105" s="18">
        <f>NV[[#This Row],[Part Type]]</f>
        <v>0</v>
      </c>
      <c r="CF105" s="18">
        <f>NV[[#This Row],[Part Nr.]]</f>
        <v>0</v>
      </c>
      <c r="CG105" s="18" t="str">
        <f>IF(NV[[#This Row],[UID]]=0,"",NV[[#This Row],[UID]])</f>
        <v/>
      </c>
      <c r="CK105" s="18" t="str">
        <f>IF(NV[[#This Row],[Status]]=0,"",NV[[#This Row],[Status]])</f>
        <v/>
      </c>
    </row>
    <row r="106" spans="4:89">
      <c r="D106" s="28"/>
      <c r="G106" s="19"/>
      <c r="K106" s="53"/>
      <c r="L106" s="53"/>
      <c r="M106" s="53"/>
      <c r="N106" s="53"/>
      <c r="O106" s="19"/>
      <c r="P106" s="53"/>
      <c r="S106" s="18"/>
      <c r="CA106" s="1" t="s">
        <v>71</v>
      </c>
      <c r="CB106" s="1" t="s">
        <v>18</v>
      </c>
      <c r="CC106" s="1" t="s">
        <v>308</v>
      </c>
      <c r="CE106" s="18">
        <f>NV[[#This Row],[Part Type]]</f>
        <v>0</v>
      </c>
      <c r="CF106" s="18">
        <f>NV[[#This Row],[Part Nr.]]</f>
        <v>0</v>
      </c>
      <c r="CG106" s="18" t="str">
        <f>IF(NV[[#This Row],[UID]]=0,"",NV[[#This Row],[UID]])</f>
        <v/>
      </c>
      <c r="CK106" s="18" t="str">
        <f>IF(NV[[#This Row],[Status]]=0,"",NV[[#This Row],[Status]])</f>
        <v/>
      </c>
    </row>
    <row r="107" spans="4:89">
      <c r="D107" s="28"/>
      <c r="G107" s="19"/>
      <c r="K107" s="53"/>
      <c r="L107" s="53"/>
      <c r="M107" s="53"/>
      <c r="N107" s="53"/>
      <c r="O107" s="19"/>
      <c r="P107" s="53"/>
      <c r="S107" s="18"/>
      <c r="CA107" s="1" t="s">
        <v>71</v>
      </c>
      <c r="CB107" s="1" t="s">
        <v>18</v>
      </c>
      <c r="CC107" s="1" t="s">
        <v>308</v>
      </c>
      <c r="CE107" s="18">
        <f>NV[[#This Row],[Part Type]]</f>
        <v>0</v>
      </c>
      <c r="CF107" s="18">
        <f>NV[[#This Row],[Part Nr.]]</f>
        <v>0</v>
      </c>
      <c r="CG107" s="18" t="str">
        <f>IF(NV[[#This Row],[UID]]=0,"",NV[[#This Row],[UID]])</f>
        <v/>
      </c>
      <c r="CK107" s="18" t="str">
        <f>IF(NV[[#This Row],[Status]]=0,"",NV[[#This Row],[Status]])</f>
        <v/>
      </c>
    </row>
    <row r="108" spans="4:89">
      <c r="D108" s="28"/>
      <c r="G108" s="19"/>
      <c r="K108" s="53"/>
      <c r="L108" s="53"/>
      <c r="M108" s="53"/>
      <c r="N108" s="53"/>
      <c r="O108" s="19"/>
      <c r="P108" s="53"/>
      <c r="S108" s="18"/>
      <c r="CA108" s="1" t="s">
        <v>71</v>
      </c>
      <c r="CB108" s="1" t="s">
        <v>18</v>
      </c>
      <c r="CC108" s="1" t="s">
        <v>308</v>
      </c>
      <c r="CE108" s="18">
        <f>NV[[#This Row],[Part Type]]</f>
        <v>0</v>
      </c>
      <c r="CF108" s="18">
        <f>NV[[#This Row],[Part Nr.]]</f>
        <v>0</v>
      </c>
      <c r="CG108" s="18" t="str">
        <f>IF(NV[[#This Row],[UID]]=0,"",NV[[#This Row],[UID]])</f>
        <v/>
      </c>
      <c r="CK108" s="18" t="str">
        <f>IF(NV[[#This Row],[Status]]=0,"",NV[[#This Row],[Status]])</f>
        <v/>
      </c>
    </row>
    <row r="109" spans="4:89">
      <c r="D109" s="28"/>
      <c r="G109" s="19"/>
      <c r="K109" s="53"/>
      <c r="L109" s="53"/>
      <c r="M109" s="53"/>
      <c r="N109" s="53"/>
      <c r="O109" s="19"/>
      <c r="P109" s="53"/>
      <c r="S109" s="18"/>
      <c r="CA109" s="1" t="s">
        <v>71</v>
      </c>
      <c r="CB109" s="1" t="s">
        <v>18</v>
      </c>
      <c r="CC109" s="1" t="s">
        <v>308</v>
      </c>
      <c r="CE109" s="18">
        <f>NV[[#This Row],[Part Type]]</f>
        <v>0</v>
      </c>
      <c r="CF109" s="18">
        <f>NV[[#This Row],[Part Nr.]]</f>
        <v>0</v>
      </c>
      <c r="CG109" s="18" t="str">
        <f>IF(NV[[#This Row],[UID]]=0,"",NV[[#This Row],[UID]])</f>
        <v/>
      </c>
      <c r="CK109" s="18" t="str">
        <f>IF(NV[[#This Row],[Status]]=0,"",NV[[#This Row],[Status]])</f>
        <v/>
      </c>
    </row>
    <row r="110" spans="4:89">
      <c r="D110" s="28"/>
      <c r="G110" s="19"/>
      <c r="K110" s="53"/>
      <c r="L110" s="53"/>
      <c r="M110" s="53"/>
      <c r="N110" s="53"/>
      <c r="O110" s="19"/>
      <c r="P110" s="53"/>
      <c r="S110" s="18"/>
      <c r="CA110" s="1" t="s">
        <v>71</v>
      </c>
      <c r="CB110" s="1" t="s">
        <v>18</v>
      </c>
      <c r="CC110" s="1" t="s">
        <v>308</v>
      </c>
      <c r="CE110" s="18">
        <f>NV[[#This Row],[Part Type]]</f>
        <v>0</v>
      </c>
      <c r="CF110" s="18">
        <f>NV[[#This Row],[Part Nr.]]</f>
        <v>0</v>
      </c>
      <c r="CG110" s="18" t="str">
        <f>IF(NV[[#This Row],[UID]]=0,"",NV[[#This Row],[UID]])</f>
        <v/>
      </c>
      <c r="CK110" s="18" t="str">
        <f>IF(NV[[#This Row],[Status]]=0,"",NV[[#This Row],[Status]])</f>
        <v/>
      </c>
    </row>
    <row r="111" spans="4:89">
      <c r="D111" s="28"/>
      <c r="G111" s="19"/>
      <c r="K111" s="53"/>
      <c r="L111" s="53"/>
      <c r="M111" s="53"/>
      <c r="N111" s="53"/>
      <c r="O111" s="19"/>
      <c r="P111" s="53"/>
      <c r="S111" s="18"/>
      <c r="CA111" s="1" t="s">
        <v>71</v>
      </c>
      <c r="CB111" s="1" t="s">
        <v>18</v>
      </c>
      <c r="CC111" s="1" t="s">
        <v>308</v>
      </c>
      <c r="CE111" s="18">
        <f>NV[[#This Row],[Part Type]]</f>
        <v>0</v>
      </c>
      <c r="CF111" s="18">
        <f>NV[[#This Row],[Part Nr.]]</f>
        <v>0</v>
      </c>
      <c r="CG111" s="18" t="str">
        <f>IF(NV[[#This Row],[UID]]=0,"",NV[[#This Row],[UID]])</f>
        <v/>
      </c>
      <c r="CK111" s="18" t="str">
        <f>IF(NV[[#This Row],[Status]]=0,"",NV[[#This Row],[Status]])</f>
        <v/>
      </c>
    </row>
    <row r="112" spans="4:89">
      <c r="D112" s="28"/>
      <c r="G112" s="19"/>
      <c r="K112" s="53"/>
      <c r="L112" s="53"/>
      <c r="M112" s="53"/>
      <c r="N112" s="53"/>
      <c r="O112" s="19"/>
      <c r="P112" s="53"/>
      <c r="S112" s="18"/>
      <c r="CA112" s="1" t="s">
        <v>71</v>
      </c>
      <c r="CB112" s="1" t="s">
        <v>18</v>
      </c>
      <c r="CC112" s="1" t="s">
        <v>308</v>
      </c>
      <c r="CE112" s="18">
        <f>NV[[#This Row],[Part Type]]</f>
        <v>0</v>
      </c>
      <c r="CF112" s="18">
        <f>NV[[#This Row],[Part Nr.]]</f>
        <v>0</v>
      </c>
      <c r="CG112" s="18" t="str">
        <f>IF(NV[[#This Row],[UID]]=0,"",NV[[#This Row],[UID]])</f>
        <v/>
      </c>
      <c r="CK112" s="18" t="str">
        <f>IF(NV[[#This Row],[Status]]=0,"",NV[[#This Row],[Status]])</f>
        <v/>
      </c>
    </row>
    <row r="113" spans="4:89">
      <c r="D113" s="28"/>
      <c r="G113" s="19"/>
      <c r="K113" s="53"/>
      <c r="L113" s="53"/>
      <c r="M113" s="53"/>
      <c r="N113" s="53"/>
      <c r="O113" s="19"/>
      <c r="P113" s="53"/>
      <c r="S113" s="18"/>
      <c r="CA113" s="1" t="s">
        <v>71</v>
      </c>
      <c r="CB113" s="1" t="s">
        <v>18</v>
      </c>
      <c r="CC113" s="1" t="s">
        <v>308</v>
      </c>
      <c r="CE113" s="18">
        <f>NV[[#This Row],[Part Type]]</f>
        <v>0</v>
      </c>
      <c r="CF113" s="18">
        <f>NV[[#This Row],[Part Nr.]]</f>
        <v>0</v>
      </c>
      <c r="CG113" s="18" t="str">
        <f>IF(NV[[#This Row],[UID]]=0,"",NV[[#This Row],[UID]])</f>
        <v/>
      </c>
      <c r="CK113" s="18" t="str">
        <f>IF(NV[[#This Row],[Status]]=0,"",NV[[#This Row],[Status]])</f>
        <v/>
      </c>
    </row>
    <row r="114" spans="4:89">
      <c r="D114" s="28"/>
      <c r="G114" s="19"/>
      <c r="K114" s="53"/>
      <c r="L114" s="53"/>
      <c r="M114" s="53"/>
      <c r="N114" s="53"/>
      <c r="O114" s="19"/>
      <c r="P114" s="53"/>
      <c r="S114" s="18"/>
      <c r="CA114" s="1" t="s">
        <v>71</v>
      </c>
      <c r="CB114" s="1" t="s">
        <v>18</v>
      </c>
      <c r="CC114" s="1" t="s">
        <v>308</v>
      </c>
      <c r="CE114" s="18">
        <f>NV[[#This Row],[Part Type]]</f>
        <v>0</v>
      </c>
      <c r="CF114" s="18">
        <f>NV[[#This Row],[Part Nr.]]</f>
        <v>0</v>
      </c>
      <c r="CG114" s="18" t="str">
        <f>IF(NV[[#This Row],[UID]]=0,"",NV[[#This Row],[UID]])</f>
        <v/>
      </c>
      <c r="CK114" s="18" t="str">
        <f>IF(NV[[#This Row],[Status]]=0,"",NV[[#This Row],[Status]])</f>
        <v/>
      </c>
    </row>
    <row r="115" spans="4:89">
      <c r="D115" s="28"/>
      <c r="G115" s="19"/>
      <c r="K115" s="53"/>
      <c r="L115" s="53"/>
      <c r="M115" s="53"/>
      <c r="N115" s="53"/>
      <c r="O115" s="19"/>
      <c r="P115" s="53"/>
      <c r="S115" s="18"/>
      <c r="CA115" s="1" t="s">
        <v>71</v>
      </c>
      <c r="CB115" s="1" t="s">
        <v>18</v>
      </c>
      <c r="CC115" s="1" t="s">
        <v>308</v>
      </c>
      <c r="CE115" s="18">
        <f>NV[[#This Row],[Part Type]]</f>
        <v>0</v>
      </c>
      <c r="CF115" s="18">
        <f>NV[[#This Row],[Part Nr.]]</f>
        <v>0</v>
      </c>
      <c r="CG115" s="18" t="str">
        <f>IF(NV[[#This Row],[UID]]=0,"",NV[[#This Row],[UID]])</f>
        <v/>
      </c>
      <c r="CK115" s="18" t="str">
        <f>IF(NV[[#This Row],[Status]]=0,"",NV[[#This Row],[Status]])</f>
        <v/>
      </c>
    </row>
    <row r="116" spans="4:89">
      <c r="D116" s="28"/>
      <c r="G116" s="19"/>
      <c r="K116" s="53"/>
      <c r="L116" s="53"/>
      <c r="M116" s="53"/>
      <c r="N116" s="53"/>
      <c r="O116" s="19"/>
      <c r="P116" s="53"/>
      <c r="S116" s="18"/>
      <c r="CA116" s="1" t="s">
        <v>71</v>
      </c>
      <c r="CB116" s="1" t="s">
        <v>18</v>
      </c>
      <c r="CC116" s="1" t="s">
        <v>308</v>
      </c>
      <c r="CE116" s="18">
        <f>NV[[#This Row],[Part Type]]</f>
        <v>0</v>
      </c>
      <c r="CF116" s="18">
        <f>NV[[#This Row],[Part Nr.]]</f>
        <v>0</v>
      </c>
      <c r="CG116" s="18" t="str">
        <f>IF(NV[[#This Row],[UID]]=0,"",NV[[#This Row],[UID]])</f>
        <v/>
      </c>
      <c r="CK116" s="18" t="str">
        <f>IF(NV[[#This Row],[Status]]=0,"",NV[[#This Row],[Status]])</f>
        <v/>
      </c>
    </row>
    <row r="117" spans="4:89">
      <c r="D117" s="28"/>
      <c r="G117" s="19"/>
      <c r="K117" s="53"/>
      <c r="L117" s="53"/>
      <c r="M117" s="53"/>
      <c r="N117" s="53"/>
      <c r="O117" s="19"/>
      <c r="P117" s="53"/>
      <c r="S117" s="18"/>
      <c r="CA117" s="1" t="s">
        <v>71</v>
      </c>
      <c r="CB117" s="1" t="s">
        <v>18</v>
      </c>
      <c r="CC117" s="1" t="s">
        <v>308</v>
      </c>
      <c r="CE117" s="18">
        <f>NV[[#This Row],[Part Type]]</f>
        <v>0</v>
      </c>
      <c r="CF117" s="18">
        <f>NV[[#This Row],[Part Nr.]]</f>
        <v>0</v>
      </c>
      <c r="CG117" s="18" t="str">
        <f>IF(NV[[#This Row],[UID]]=0,"",NV[[#This Row],[UID]])</f>
        <v/>
      </c>
      <c r="CK117" s="18" t="str">
        <f>IF(NV[[#This Row],[Status]]=0,"",NV[[#This Row],[Status]])</f>
        <v/>
      </c>
    </row>
    <row r="118" spans="4:89">
      <c r="D118" s="28"/>
      <c r="G118" s="19"/>
      <c r="K118" s="53"/>
      <c r="L118" s="53"/>
      <c r="M118" s="53"/>
      <c r="N118" s="53"/>
      <c r="O118" s="19"/>
      <c r="P118" s="53"/>
      <c r="S118" s="18"/>
      <c r="CA118" s="1" t="s">
        <v>71</v>
      </c>
      <c r="CB118" s="1" t="s">
        <v>18</v>
      </c>
      <c r="CC118" s="1" t="s">
        <v>308</v>
      </c>
      <c r="CE118" s="18">
        <f>NV[[#This Row],[Part Type]]</f>
        <v>0</v>
      </c>
      <c r="CF118" s="18">
        <f>NV[[#This Row],[Part Nr.]]</f>
        <v>0</v>
      </c>
      <c r="CG118" s="18" t="str">
        <f>IF(NV[[#This Row],[UID]]=0,"",NV[[#This Row],[UID]])</f>
        <v/>
      </c>
      <c r="CK118" s="18" t="str">
        <f>IF(NV[[#This Row],[Status]]=0,"",NV[[#This Row],[Status]])</f>
        <v/>
      </c>
    </row>
    <row r="119" spans="4:89">
      <c r="D119" s="28"/>
      <c r="G119" s="19"/>
      <c r="K119" s="53"/>
      <c r="L119" s="53"/>
      <c r="M119" s="53"/>
      <c r="N119" s="53"/>
      <c r="O119" s="19"/>
      <c r="P119" s="53"/>
      <c r="S119" s="18"/>
      <c r="CA119" s="1" t="s">
        <v>71</v>
      </c>
      <c r="CB119" s="1" t="s">
        <v>18</v>
      </c>
      <c r="CC119" s="1" t="s">
        <v>308</v>
      </c>
      <c r="CE119" s="18">
        <f>NV[[#This Row],[Part Type]]</f>
        <v>0</v>
      </c>
      <c r="CF119" s="18">
        <f>NV[[#This Row],[Part Nr.]]</f>
        <v>0</v>
      </c>
      <c r="CG119" s="18" t="str">
        <f>IF(NV[[#This Row],[UID]]=0,"",NV[[#This Row],[UID]])</f>
        <v/>
      </c>
      <c r="CK119" s="18" t="str">
        <f>IF(NV[[#This Row],[Status]]=0,"",NV[[#This Row],[Status]])</f>
        <v/>
      </c>
    </row>
    <row r="120" spans="4:89">
      <c r="D120" s="28"/>
      <c r="G120" s="19"/>
      <c r="K120" s="53"/>
      <c r="L120" s="53"/>
      <c r="M120" s="53"/>
      <c r="N120" s="53"/>
      <c r="O120" s="19"/>
      <c r="P120" s="53"/>
      <c r="S120" s="18"/>
      <c r="CA120" s="1" t="s">
        <v>71</v>
      </c>
      <c r="CB120" s="1" t="s">
        <v>18</v>
      </c>
      <c r="CC120" s="1" t="s">
        <v>308</v>
      </c>
      <c r="CE120" s="18">
        <f>NV[[#This Row],[Part Type]]</f>
        <v>0</v>
      </c>
      <c r="CF120" s="18">
        <f>NV[[#This Row],[Part Nr.]]</f>
        <v>0</v>
      </c>
      <c r="CG120" s="18" t="str">
        <f>IF(NV[[#This Row],[UID]]=0,"",NV[[#This Row],[UID]])</f>
        <v/>
      </c>
      <c r="CK120" s="18" t="str">
        <f>IF(NV[[#This Row],[Status]]=0,"",NV[[#This Row],[Status]])</f>
        <v/>
      </c>
    </row>
    <row r="121" spans="4:89">
      <c r="D121" s="28"/>
      <c r="G121" s="19"/>
      <c r="K121" s="53"/>
      <c r="L121" s="53"/>
      <c r="M121" s="53"/>
      <c r="N121" s="53"/>
      <c r="O121" s="19"/>
      <c r="P121" s="53"/>
      <c r="S121" s="18"/>
      <c r="CA121" s="1" t="s">
        <v>71</v>
      </c>
      <c r="CB121" s="1" t="s">
        <v>18</v>
      </c>
      <c r="CC121" s="1" t="s">
        <v>308</v>
      </c>
      <c r="CE121" s="18">
        <f>NV[[#This Row],[Part Type]]</f>
        <v>0</v>
      </c>
      <c r="CF121" s="18">
        <f>NV[[#This Row],[Part Nr.]]</f>
        <v>0</v>
      </c>
      <c r="CG121" s="18" t="str">
        <f>IF(NV[[#This Row],[UID]]=0,"",NV[[#This Row],[UID]])</f>
        <v/>
      </c>
      <c r="CK121" s="18" t="str">
        <f>IF(NV[[#This Row],[Status]]=0,"",NV[[#This Row],[Status]])</f>
        <v/>
      </c>
    </row>
    <row r="122" spans="4:89">
      <c r="D122" s="28"/>
      <c r="G122" s="19"/>
      <c r="K122" s="53"/>
      <c r="L122" s="53"/>
      <c r="M122" s="53"/>
      <c r="N122" s="53"/>
      <c r="O122" s="19"/>
      <c r="P122" s="53"/>
      <c r="S122" s="18"/>
      <c r="CA122" s="1" t="s">
        <v>71</v>
      </c>
      <c r="CB122" s="1" t="s">
        <v>18</v>
      </c>
      <c r="CC122" s="1" t="s">
        <v>308</v>
      </c>
      <c r="CE122" s="18">
        <f>NV[[#This Row],[Part Type]]</f>
        <v>0</v>
      </c>
      <c r="CF122" s="18">
        <f>NV[[#This Row],[Part Nr.]]</f>
        <v>0</v>
      </c>
      <c r="CG122" s="18" t="str">
        <f>IF(NV[[#This Row],[UID]]=0,"",NV[[#This Row],[UID]])</f>
        <v/>
      </c>
      <c r="CK122" s="18" t="str">
        <f>IF(NV[[#This Row],[Status]]=0,"",NV[[#This Row],[Status]])</f>
        <v/>
      </c>
    </row>
    <row r="123" spans="4:89">
      <c r="D123" s="28"/>
      <c r="G123" s="19"/>
      <c r="K123" s="53"/>
      <c r="L123" s="53"/>
      <c r="M123" s="53"/>
      <c r="N123" s="53"/>
      <c r="O123" s="19"/>
      <c r="P123" s="53"/>
      <c r="S123" s="18"/>
      <c r="CA123" s="1" t="s">
        <v>71</v>
      </c>
      <c r="CB123" s="1" t="s">
        <v>18</v>
      </c>
      <c r="CC123" s="1" t="s">
        <v>308</v>
      </c>
      <c r="CE123" s="18">
        <f>NV[[#This Row],[Part Type]]</f>
        <v>0</v>
      </c>
      <c r="CF123" s="18">
        <f>NV[[#This Row],[Part Nr.]]</f>
        <v>0</v>
      </c>
      <c r="CG123" s="18" t="str">
        <f>IF(NV[[#This Row],[UID]]=0,"",NV[[#This Row],[UID]])</f>
        <v/>
      </c>
      <c r="CK123" s="18" t="str">
        <f>IF(NV[[#This Row],[Status]]=0,"",NV[[#This Row],[Status]])</f>
        <v/>
      </c>
    </row>
    <row r="124" spans="4:89">
      <c r="D124" s="28"/>
      <c r="G124" s="19"/>
      <c r="K124" s="53"/>
      <c r="L124" s="53"/>
      <c r="M124" s="53"/>
      <c r="N124" s="53"/>
      <c r="O124" s="19"/>
      <c r="P124" s="53"/>
      <c r="S124" s="18"/>
      <c r="CA124" s="1" t="s">
        <v>71</v>
      </c>
      <c r="CB124" s="1" t="s">
        <v>18</v>
      </c>
      <c r="CC124" s="1" t="s">
        <v>308</v>
      </c>
      <c r="CE124" s="18">
        <f>NV[[#This Row],[Part Type]]</f>
        <v>0</v>
      </c>
      <c r="CF124" s="18">
        <f>NV[[#This Row],[Part Nr.]]</f>
        <v>0</v>
      </c>
      <c r="CG124" s="18" t="str">
        <f>IF(NV[[#This Row],[UID]]=0,"",NV[[#This Row],[UID]])</f>
        <v/>
      </c>
      <c r="CK124" s="18" t="str">
        <f>IF(NV[[#This Row],[Status]]=0,"",NV[[#This Row],[Status]])</f>
        <v/>
      </c>
    </row>
    <row r="125" spans="4:89">
      <c r="D125" s="28"/>
      <c r="G125" s="19"/>
      <c r="K125" s="53"/>
      <c r="L125" s="53"/>
      <c r="M125" s="53"/>
      <c r="N125" s="53"/>
      <c r="O125" s="19"/>
      <c r="P125" s="53"/>
      <c r="S125" s="18"/>
      <c r="CA125" s="1" t="s">
        <v>71</v>
      </c>
      <c r="CB125" s="1" t="s">
        <v>18</v>
      </c>
      <c r="CC125" s="1" t="s">
        <v>308</v>
      </c>
      <c r="CE125" s="18">
        <f>NV[[#This Row],[Part Type]]</f>
        <v>0</v>
      </c>
      <c r="CF125" s="18">
        <f>NV[[#This Row],[Part Nr.]]</f>
        <v>0</v>
      </c>
      <c r="CG125" s="18" t="str">
        <f>IF(NV[[#This Row],[UID]]=0,"",NV[[#This Row],[UID]])</f>
        <v/>
      </c>
      <c r="CK125" s="18" t="str">
        <f>IF(NV[[#This Row],[Status]]=0,"",NV[[#This Row],[Status]])</f>
        <v/>
      </c>
    </row>
    <row r="126" spans="4:89">
      <c r="D126" s="28"/>
      <c r="G126" s="19"/>
      <c r="K126" s="53"/>
      <c r="L126" s="53"/>
      <c r="M126" s="53"/>
      <c r="N126" s="53"/>
      <c r="O126" s="19"/>
      <c r="P126" s="53"/>
      <c r="S126" s="18"/>
      <c r="CA126" s="1" t="s">
        <v>71</v>
      </c>
      <c r="CB126" s="1" t="s">
        <v>18</v>
      </c>
      <c r="CC126" s="1" t="s">
        <v>308</v>
      </c>
      <c r="CE126" s="18">
        <f>NV[[#This Row],[Part Type]]</f>
        <v>0</v>
      </c>
      <c r="CF126" s="18">
        <f>NV[[#This Row],[Part Nr.]]</f>
        <v>0</v>
      </c>
      <c r="CG126" s="18" t="str">
        <f>IF(NV[[#This Row],[UID]]=0,"",NV[[#This Row],[UID]])</f>
        <v/>
      </c>
      <c r="CK126" s="18" t="str">
        <f>IF(NV[[#This Row],[Status]]=0,"",NV[[#This Row],[Status]])</f>
        <v/>
      </c>
    </row>
    <row r="127" spans="4:89">
      <c r="D127" s="28"/>
      <c r="G127" s="19"/>
      <c r="K127" s="53"/>
      <c r="L127" s="53"/>
      <c r="M127" s="53"/>
      <c r="N127" s="53"/>
      <c r="O127" s="19"/>
      <c r="P127" s="53"/>
      <c r="S127" s="18"/>
      <c r="CA127" s="1" t="s">
        <v>71</v>
      </c>
      <c r="CB127" s="1" t="s">
        <v>18</v>
      </c>
      <c r="CC127" s="1" t="s">
        <v>308</v>
      </c>
      <c r="CE127" s="18">
        <f>NV[[#This Row],[Part Type]]</f>
        <v>0</v>
      </c>
      <c r="CF127" s="18">
        <f>NV[[#This Row],[Part Nr.]]</f>
        <v>0</v>
      </c>
      <c r="CG127" s="18" t="str">
        <f>IF(NV[[#This Row],[UID]]=0,"",NV[[#This Row],[UID]])</f>
        <v/>
      </c>
      <c r="CK127" s="18" t="str">
        <f>IF(NV[[#This Row],[Status]]=0,"",NV[[#This Row],[Status]])</f>
        <v/>
      </c>
    </row>
    <row r="128" spans="4:89">
      <c r="D128" s="28"/>
      <c r="G128" s="19"/>
      <c r="K128" s="53"/>
      <c r="L128" s="53"/>
      <c r="M128" s="53"/>
      <c r="N128" s="53"/>
      <c r="O128" s="19"/>
      <c r="P128" s="53"/>
      <c r="S128" s="18"/>
      <c r="CA128" s="1" t="s">
        <v>71</v>
      </c>
      <c r="CB128" s="1" t="s">
        <v>18</v>
      </c>
      <c r="CC128" s="1" t="s">
        <v>308</v>
      </c>
      <c r="CE128" s="18">
        <f>NV[[#This Row],[Part Type]]</f>
        <v>0</v>
      </c>
      <c r="CF128" s="18">
        <f>NV[[#This Row],[Part Nr.]]</f>
        <v>0</v>
      </c>
      <c r="CG128" s="18" t="str">
        <f>IF(NV[[#This Row],[UID]]=0,"",NV[[#This Row],[UID]])</f>
        <v/>
      </c>
      <c r="CK128" s="18" t="str">
        <f>IF(NV[[#This Row],[Status]]=0,"",NV[[#This Row],[Status]])</f>
        <v/>
      </c>
    </row>
    <row r="129" spans="4:89">
      <c r="D129" s="28"/>
      <c r="G129" s="19"/>
      <c r="K129" s="53"/>
      <c r="L129" s="53"/>
      <c r="M129" s="53"/>
      <c r="N129" s="53"/>
      <c r="O129" s="19"/>
      <c r="P129" s="53"/>
      <c r="S129" s="18"/>
      <c r="CA129" s="1" t="s">
        <v>71</v>
      </c>
      <c r="CB129" s="1" t="s">
        <v>18</v>
      </c>
      <c r="CC129" s="1" t="s">
        <v>308</v>
      </c>
      <c r="CE129" s="18">
        <f>NV[[#This Row],[Part Type]]</f>
        <v>0</v>
      </c>
      <c r="CF129" s="18">
        <f>NV[[#This Row],[Part Nr.]]</f>
        <v>0</v>
      </c>
      <c r="CG129" s="18" t="str">
        <f>IF(NV[[#This Row],[UID]]=0,"",NV[[#This Row],[UID]])</f>
        <v/>
      </c>
      <c r="CK129" s="18" t="str">
        <f>IF(NV[[#This Row],[Status]]=0,"",NV[[#This Row],[Status]])</f>
        <v/>
      </c>
    </row>
    <row r="130" spans="4:89">
      <c r="D130" s="28"/>
      <c r="G130" s="19"/>
      <c r="K130" s="53"/>
      <c r="L130" s="53"/>
      <c r="M130" s="53"/>
      <c r="N130" s="53"/>
      <c r="O130" s="19"/>
      <c r="P130" s="53"/>
      <c r="S130" s="18"/>
      <c r="CA130" s="1" t="s">
        <v>71</v>
      </c>
      <c r="CB130" s="1" t="s">
        <v>18</v>
      </c>
      <c r="CC130" s="1" t="s">
        <v>308</v>
      </c>
      <c r="CE130" s="18">
        <f>NV[[#This Row],[Part Type]]</f>
        <v>0</v>
      </c>
      <c r="CF130" s="18">
        <f>NV[[#This Row],[Part Nr.]]</f>
        <v>0</v>
      </c>
      <c r="CG130" s="18" t="str">
        <f>IF(NV[[#This Row],[UID]]=0,"",NV[[#This Row],[UID]])</f>
        <v/>
      </c>
      <c r="CK130" s="18" t="str">
        <f>IF(NV[[#This Row],[Status]]=0,"",NV[[#This Row],[Status]])</f>
        <v/>
      </c>
    </row>
    <row r="131" spans="4:89">
      <c r="D131" s="28"/>
      <c r="G131" s="19"/>
      <c r="K131" s="53"/>
      <c r="L131" s="53"/>
      <c r="M131" s="53"/>
      <c r="N131" s="53"/>
      <c r="O131" s="19"/>
      <c r="P131" s="53"/>
      <c r="S131" s="18"/>
      <c r="CA131" s="1" t="s">
        <v>71</v>
      </c>
      <c r="CB131" s="1" t="s">
        <v>18</v>
      </c>
      <c r="CC131" s="1" t="s">
        <v>308</v>
      </c>
      <c r="CE131" s="18">
        <f>NV[[#This Row],[Part Type]]</f>
        <v>0</v>
      </c>
      <c r="CF131" s="18">
        <f>NV[[#This Row],[Part Nr.]]</f>
        <v>0</v>
      </c>
      <c r="CG131" s="18" t="str">
        <f>IF(NV[[#This Row],[UID]]=0,"",NV[[#This Row],[UID]])</f>
        <v/>
      </c>
      <c r="CK131" s="18" t="str">
        <f>IF(NV[[#This Row],[Status]]=0,"",NV[[#This Row],[Status]])</f>
        <v/>
      </c>
    </row>
    <row r="132" spans="4:89">
      <c r="D132" s="28"/>
      <c r="G132" s="19"/>
      <c r="K132" s="53"/>
      <c r="L132" s="53"/>
      <c r="M132" s="53"/>
      <c r="N132" s="53"/>
      <c r="O132" s="19"/>
      <c r="P132" s="53"/>
      <c r="S132" s="18"/>
      <c r="CA132" s="1" t="s">
        <v>71</v>
      </c>
      <c r="CB132" s="1" t="s">
        <v>18</v>
      </c>
      <c r="CC132" s="1" t="s">
        <v>308</v>
      </c>
      <c r="CE132" s="18">
        <f>NV[[#This Row],[Part Type]]</f>
        <v>0</v>
      </c>
      <c r="CF132" s="18">
        <f>NV[[#This Row],[Part Nr.]]</f>
        <v>0</v>
      </c>
      <c r="CG132" s="18" t="str">
        <f>IF(NV[[#This Row],[UID]]=0,"",NV[[#This Row],[UID]])</f>
        <v/>
      </c>
      <c r="CK132" s="18" t="str">
        <f>IF(NV[[#This Row],[Status]]=0,"",NV[[#This Row],[Status]])</f>
        <v/>
      </c>
    </row>
    <row r="133" spans="4:89">
      <c r="D133" s="28"/>
      <c r="G133" s="19"/>
      <c r="K133" s="53"/>
      <c r="L133" s="53"/>
      <c r="M133" s="53"/>
      <c r="N133" s="53"/>
      <c r="O133" s="19"/>
      <c r="P133" s="53"/>
      <c r="S133" s="18"/>
      <c r="CA133" s="1" t="s">
        <v>71</v>
      </c>
      <c r="CB133" s="1" t="s">
        <v>18</v>
      </c>
      <c r="CC133" s="1" t="s">
        <v>308</v>
      </c>
      <c r="CE133" s="18">
        <f>NV[[#This Row],[Part Type]]</f>
        <v>0</v>
      </c>
      <c r="CF133" s="18">
        <f>NV[[#This Row],[Part Nr.]]</f>
        <v>0</v>
      </c>
      <c r="CG133" s="18" t="str">
        <f>IF(NV[[#This Row],[UID]]=0,"",NV[[#This Row],[UID]])</f>
        <v/>
      </c>
      <c r="CK133" s="18" t="str">
        <f>IF(NV[[#This Row],[Status]]=0,"",NV[[#This Row],[Status]])</f>
        <v/>
      </c>
    </row>
    <row r="134" spans="4:89">
      <c r="D134" s="28"/>
      <c r="G134" s="19"/>
      <c r="K134" s="53"/>
      <c r="L134" s="53"/>
      <c r="M134" s="53"/>
      <c r="N134" s="53"/>
      <c r="O134" s="19"/>
      <c r="P134" s="53"/>
      <c r="S134" s="18"/>
      <c r="CA134" s="1" t="s">
        <v>71</v>
      </c>
      <c r="CB134" s="1" t="s">
        <v>18</v>
      </c>
      <c r="CC134" s="1" t="s">
        <v>308</v>
      </c>
      <c r="CE134" s="18">
        <f>NV[[#This Row],[Part Type]]</f>
        <v>0</v>
      </c>
      <c r="CF134" s="18">
        <f>NV[[#This Row],[Part Nr.]]</f>
        <v>0</v>
      </c>
      <c r="CG134" s="18" t="str">
        <f>IF(NV[[#This Row],[UID]]=0,"",NV[[#This Row],[UID]])</f>
        <v/>
      </c>
      <c r="CK134" s="18" t="str">
        <f>IF(NV[[#This Row],[Status]]=0,"",NV[[#This Row],[Status]])</f>
        <v/>
      </c>
    </row>
    <row r="135" spans="4:89">
      <c r="D135" s="28"/>
      <c r="G135" s="19"/>
      <c r="K135" s="53"/>
      <c r="L135" s="53"/>
      <c r="M135" s="53"/>
      <c r="N135" s="53"/>
      <c r="O135" s="19"/>
      <c r="P135" s="53"/>
      <c r="S135" s="18"/>
      <c r="CA135" s="1" t="s">
        <v>71</v>
      </c>
      <c r="CB135" s="1" t="s">
        <v>18</v>
      </c>
      <c r="CC135" s="1" t="s">
        <v>308</v>
      </c>
      <c r="CE135" s="18">
        <f>NV[[#This Row],[Part Type]]</f>
        <v>0</v>
      </c>
      <c r="CF135" s="18">
        <f>NV[[#This Row],[Part Nr.]]</f>
        <v>0</v>
      </c>
      <c r="CG135" s="18" t="str">
        <f>IF(NV[[#This Row],[UID]]=0,"",NV[[#This Row],[UID]])</f>
        <v/>
      </c>
      <c r="CK135" s="18" t="str">
        <f>IF(NV[[#This Row],[Status]]=0,"",NV[[#This Row],[Status]])</f>
        <v/>
      </c>
    </row>
    <row r="136" spans="4:89">
      <c r="D136" s="28"/>
      <c r="G136" s="19"/>
      <c r="K136" s="53"/>
      <c r="L136" s="53"/>
      <c r="M136" s="53"/>
      <c r="N136" s="53"/>
      <c r="O136" s="19"/>
      <c r="P136" s="53"/>
      <c r="S136" s="18"/>
      <c r="CA136" s="1" t="s">
        <v>71</v>
      </c>
      <c r="CB136" s="1" t="s">
        <v>18</v>
      </c>
      <c r="CC136" s="1" t="s">
        <v>308</v>
      </c>
      <c r="CE136" s="18">
        <f>NV[[#This Row],[Part Type]]</f>
        <v>0</v>
      </c>
      <c r="CF136" s="18">
        <f>NV[[#This Row],[Part Nr.]]</f>
        <v>0</v>
      </c>
      <c r="CG136" s="18" t="str">
        <f>IF(NV[[#This Row],[UID]]=0,"",NV[[#This Row],[UID]])</f>
        <v/>
      </c>
      <c r="CK136" s="18" t="str">
        <f>IF(NV[[#This Row],[Status]]=0,"",NV[[#This Row],[Status]])</f>
        <v/>
      </c>
    </row>
    <row r="137" spans="4:89">
      <c r="D137" s="28"/>
      <c r="G137" s="19"/>
      <c r="K137" s="53"/>
      <c r="L137" s="53"/>
      <c r="M137" s="53"/>
      <c r="N137" s="53"/>
      <c r="O137" s="19"/>
      <c r="P137" s="53"/>
      <c r="S137" s="18"/>
      <c r="CA137" s="1" t="s">
        <v>71</v>
      </c>
      <c r="CB137" s="1" t="s">
        <v>18</v>
      </c>
      <c r="CC137" s="1" t="s">
        <v>308</v>
      </c>
      <c r="CE137" s="18">
        <f>NV[[#This Row],[Part Type]]</f>
        <v>0</v>
      </c>
      <c r="CF137" s="18">
        <f>NV[[#This Row],[Part Nr.]]</f>
        <v>0</v>
      </c>
      <c r="CG137" s="18" t="str">
        <f>IF(NV[[#This Row],[UID]]=0,"",NV[[#This Row],[UID]])</f>
        <v/>
      </c>
      <c r="CK137" s="18" t="str">
        <f>IF(NV[[#This Row],[Status]]=0,"",NV[[#This Row],[Status]])</f>
        <v/>
      </c>
    </row>
    <row r="138" spans="4:89">
      <c r="D138" s="28"/>
      <c r="G138" s="19"/>
      <c r="K138" s="53"/>
      <c r="L138" s="53"/>
      <c r="M138" s="53"/>
      <c r="N138" s="53"/>
      <c r="O138" s="19"/>
      <c r="P138" s="53"/>
      <c r="S138" s="18"/>
      <c r="CA138" s="1" t="s">
        <v>71</v>
      </c>
      <c r="CB138" s="1" t="s">
        <v>18</v>
      </c>
      <c r="CC138" s="1" t="s">
        <v>308</v>
      </c>
      <c r="CE138" s="18">
        <f>NV[[#This Row],[Part Type]]</f>
        <v>0</v>
      </c>
      <c r="CF138" s="18">
        <f>NV[[#This Row],[Part Nr.]]</f>
        <v>0</v>
      </c>
      <c r="CG138" s="18" t="str">
        <f>IF(NV[[#This Row],[UID]]=0,"",NV[[#This Row],[UID]])</f>
        <v/>
      </c>
      <c r="CK138" s="18" t="str">
        <f>IF(NV[[#This Row],[Status]]=0,"",NV[[#This Row],[Status]])</f>
        <v/>
      </c>
    </row>
    <row r="139" spans="4:89">
      <c r="D139" s="28"/>
      <c r="G139" s="19"/>
      <c r="K139" s="53"/>
      <c r="L139" s="53"/>
      <c r="M139" s="53"/>
      <c r="N139" s="53"/>
      <c r="O139" s="19"/>
      <c r="P139" s="53"/>
      <c r="S139" s="18"/>
      <c r="CA139" s="1" t="s">
        <v>71</v>
      </c>
      <c r="CB139" s="1" t="s">
        <v>18</v>
      </c>
      <c r="CC139" s="1" t="s">
        <v>308</v>
      </c>
      <c r="CE139" s="18">
        <f>NV[[#This Row],[Part Type]]</f>
        <v>0</v>
      </c>
      <c r="CF139" s="18">
        <f>NV[[#This Row],[Part Nr.]]</f>
        <v>0</v>
      </c>
      <c r="CG139" s="18" t="str">
        <f>IF(NV[[#This Row],[UID]]=0,"",NV[[#This Row],[UID]])</f>
        <v/>
      </c>
      <c r="CK139" s="18" t="str">
        <f>IF(NV[[#This Row],[Status]]=0,"",NV[[#This Row],[Status]])</f>
        <v/>
      </c>
    </row>
    <row r="140" spans="4:89">
      <c r="D140" s="28"/>
      <c r="G140" s="19"/>
      <c r="K140" s="53"/>
      <c r="L140" s="53"/>
      <c r="M140" s="53"/>
      <c r="N140" s="53"/>
      <c r="O140" s="19"/>
      <c r="P140" s="53"/>
      <c r="S140" s="18"/>
      <c r="CA140" s="1" t="s">
        <v>71</v>
      </c>
      <c r="CB140" s="1" t="s">
        <v>18</v>
      </c>
      <c r="CC140" s="1" t="s">
        <v>308</v>
      </c>
      <c r="CE140" s="18">
        <f>NV[[#This Row],[Part Type]]</f>
        <v>0</v>
      </c>
      <c r="CF140" s="18">
        <f>NV[[#This Row],[Part Nr.]]</f>
        <v>0</v>
      </c>
      <c r="CG140" s="18" t="str">
        <f>IF(NV[[#This Row],[UID]]=0,"",NV[[#This Row],[UID]])</f>
        <v/>
      </c>
      <c r="CK140" s="18" t="str">
        <f>IF(NV[[#This Row],[Status]]=0,"",NV[[#This Row],[Status]])</f>
        <v/>
      </c>
    </row>
    <row r="141" spans="4:89">
      <c r="D141" s="28"/>
      <c r="G141" s="19"/>
      <c r="K141" s="53"/>
      <c r="L141" s="53"/>
      <c r="M141" s="53"/>
      <c r="N141" s="53"/>
      <c r="O141" s="19"/>
      <c r="P141" s="53"/>
      <c r="S141" s="18"/>
      <c r="CA141" s="1" t="s">
        <v>71</v>
      </c>
      <c r="CB141" s="1" t="s">
        <v>18</v>
      </c>
      <c r="CC141" s="1" t="s">
        <v>308</v>
      </c>
      <c r="CE141" s="18">
        <f>NV[[#This Row],[Part Type]]</f>
        <v>0</v>
      </c>
      <c r="CF141" s="18">
        <f>NV[[#This Row],[Part Nr.]]</f>
        <v>0</v>
      </c>
      <c r="CG141" s="18" t="str">
        <f>IF(NV[[#This Row],[UID]]=0,"",NV[[#This Row],[UID]])</f>
        <v/>
      </c>
      <c r="CK141" s="18" t="str">
        <f>IF(NV[[#This Row],[Status]]=0,"",NV[[#This Row],[Status]])</f>
        <v/>
      </c>
    </row>
    <row r="142" spans="4:89">
      <c r="D142" s="28"/>
      <c r="G142" s="19"/>
      <c r="K142" s="53"/>
      <c r="L142" s="53"/>
      <c r="M142" s="53"/>
      <c r="N142" s="53"/>
      <c r="O142" s="19"/>
      <c r="P142" s="53"/>
      <c r="S142" s="18"/>
      <c r="CA142" s="1" t="s">
        <v>71</v>
      </c>
      <c r="CB142" s="1" t="s">
        <v>18</v>
      </c>
      <c r="CC142" s="1" t="s">
        <v>308</v>
      </c>
      <c r="CE142" s="18">
        <f>NV[[#This Row],[Part Type]]</f>
        <v>0</v>
      </c>
      <c r="CF142" s="18">
        <f>NV[[#This Row],[Part Nr.]]</f>
        <v>0</v>
      </c>
      <c r="CG142" s="18" t="str">
        <f>IF(NV[[#This Row],[UID]]=0,"",NV[[#This Row],[UID]])</f>
        <v/>
      </c>
      <c r="CK142" s="18" t="str">
        <f>IF(NV[[#This Row],[Status]]=0,"",NV[[#This Row],[Status]])</f>
        <v/>
      </c>
    </row>
    <row r="143" spans="4:89">
      <c r="D143" s="28"/>
      <c r="G143" s="19"/>
      <c r="K143" s="53"/>
      <c r="L143" s="53"/>
      <c r="M143" s="53"/>
      <c r="N143" s="53"/>
      <c r="O143" s="19"/>
      <c r="P143" s="53"/>
      <c r="S143" s="18"/>
      <c r="CA143" s="1" t="s">
        <v>71</v>
      </c>
      <c r="CB143" s="1" t="s">
        <v>18</v>
      </c>
      <c r="CC143" s="1" t="s">
        <v>308</v>
      </c>
      <c r="CE143" s="18">
        <f>NV[[#This Row],[Part Type]]</f>
        <v>0</v>
      </c>
      <c r="CF143" s="18">
        <f>NV[[#This Row],[Part Nr.]]</f>
        <v>0</v>
      </c>
      <c r="CG143" s="18" t="str">
        <f>IF(NV[[#This Row],[UID]]=0,"",NV[[#This Row],[UID]])</f>
        <v/>
      </c>
      <c r="CK143" s="18" t="str">
        <f>IF(NV[[#This Row],[Status]]=0,"",NV[[#This Row],[Status]])</f>
        <v/>
      </c>
    </row>
    <row r="144" spans="4:89">
      <c r="D144" s="28"/>
      <c r="G144" s="19"/>
      <c r="K144" s="53"/>
      <c r="L144" s="53"/>
      <c r="M144" s="53"/>
      <c r="N144" s="53"/>
      <c r="O144" s="19"/>
      <c r="P144" s="53"/>
      <c r="S144" s="18"/>
      <c r="CA144" s="1" t="s">
        <v>71</v>
      </c>
      <c r="CB144" s="1" t="s">
        <v>18</v>
      </c>
      <c r="CC144" s="1" t="s">
        <v>308</v>
      </c>
      <c r="CE144" s="18">
        <f>NV[[#This Row],[Part Type]]</f>
        <v>0</v>
      </c>
      <c r="CF144" s="18">
        <f>NV[[#This Row],[Part Nr.]]</f>
        <v>0</v>
      </c>
      <c r="CG144" s="18" t="str">
        <f>IF(NV[[#This Row],[UID]]=0,"",NV[[#This Row],[UID]])</f>
        <v/>
      </c>
      <c r="CK144" s="18" t="str">
        <f>IF(NV[[#This Row],[Status]]=0,"",NV[[#This Row],[Status]])</f>
        <v/>
      </c>
    </row>
    <row r="145" spans="4:89">
      <c r="D145" s="28"/>
      <c r="G145" s="19"/>
      <c r="K145" s="53"/>
      <c r="L145" s="53"/>
      <c r="M145" s="53"/>
      <c r="N145" s="53"/>
      <c r="O145" s="19"/>
      <c r="P145" s="53"/>
      <c r="S145" s="18"/>
      <c r="CA145" s="1" t="s">
        <v>71</v>
      </c>
      <c r="CB145" s="1" t="s">
        <v>18</v>
      </c>
      <c r="CC145" s="1" t="s">
        <v>308</v>
      </c>
      <c r="CE145" s="18">
        <f>NV[[#This Row],[Part Type]]</f>
        <v>0</v>
      </c>
      <c r="CF145" s="18">
        <f>NV[[#This Row],[Part Nr.]]</f>
        <v>0</v>
      </c>
      <c r="CG145" s="18" t="str">
        <f>IF(NV[[#This Row],[UID]]=0,"",NV[[#This Row],[UID]])</f>
        <v/>
      </c>
      <c r="CK145" s="18" t="str">
        <f>IF(NV[[#This Row],[Status]]=0,"",NV[[#This Row],[Status]])</f>
        <v/>
      </c>
    </row>
    <row r="146" spans="4:89">
      <c r="D146" s="28"/>
      <c r="G146" s="19"/>
      <c r="K146" s="53"/>
      <c r="L146" s="53"/>
      <c r="M146" s="53"/>
      <c r="N146" s="53"/>
      <c r="O146" s="19"/>
      <c r="P146" s="53"/>
      <c r="S146" s="18"/>
      <c r="CA146" s="1" t="s">
        <v>71</v>
      </c>
      <c r="CB146" s="1" t="s">
        <v>18</v>
      </c>
      <c r="CC146" s="1" t="s">
        <v>308</v>
      </c>
      <c r="CE146" s="18">
        <f>NV[[#This Row],[Part Type]]</f>
        <v>0</v>
      </c>
      <c r="CF146" s="18">
        <f>NV[[#This Row],[Part Nr.]]</f>
        <v>0</v>
      </c>
      <c r="CG146" s="18" t="str">
        <f>IF(NV[[#This Row],[UID]]=0,"",NV[[#This Row],[UID]])</f>
        <v/>
      </c>
      <c r="CK146" s="18" t="str">
        <f>IF(NV[[#This Row],[Status]]=0,"",NV[[#This Row],[Status]])</f>
        <v/>
      </c>
    </row>
    <row r="147" spans="4:89">
      <c r="D147" s="28"/>
      <c r="G147" s="19"/>
      <c r="K147" s="53"/>
      <c r="L147" s="53"/>
      <c r="M147" s="53"/>
      <c r="N147" s="53"/>
      <c r="O147" s="19"/>
      <c r="P147" s="53"/>
      <c r="S147" s="18"/>
      <c r="CA147" s="1" t="s">
        <v>71</v>
      </c>
      <c r="CB147" s="1" t="s">
        <v>18</v>
      </c>
      <c r="CC147" s="1" t="s">
        <v>308</v>
      </c>
      <c r="CE147" s="18">
        <f>NV[[#This Row],[Part Type]]</f>
        <v>0</v>
      </c>
      <c r="CF147" s="18">
        <f>NV[[#This Row],[Part Nr.]]</f>
        <v>0</v>
      </c>
      <c r="CG147" s="18" t="str">
        <f>IF(NV[[#This Row],[UID]]=0,"",NV[[#This Row],[UID]])</f>
        <v/>
      </c>
      <c r="CK147" s="18" t="str">
        <f>IF(NV[[#This Row],[Status]]=0,"",NV[[#This Row],[Status]])</f>
        <v/>
      </c>
    </row>
    <row r="148" spans="4:89">
      <c r="D148" s="28"/>
      <c r="G148" s="19"/>
      <c r="K148" s="53"/>
      <c r="L148" s="53"/>
      <c r="M148" s="53"/>
      <c r="N148" s="53"/>
      <c r="O148" s="19"/>
      <c r="P148" s="53"/>
      <c r="S148" s="18"/>
      <c r="CA148" s="1" t="s">
        <v>71</v>
      </c>
      <c r="CB148" s="1" t="s">
        <v>18</v>
      </c>
      <c r="CC148" s="1" t="s">
        <v>308</v>
      </c>
      <c r="CE148" s="18">
        <f>NV[[#This Row],[Part Type]]</f>
        <v>0</v>
      </c>
      <c r="CF148" s="18">
        <f>NV[[#This Row],[Part Nr.]]</f>
        <v>0</v>
      </c>
      <c r="CG148" s="18" t="str">
        <f>IF(NV[[#This Row],[UID]]=0,"",NV[[#This Row],[UID]])</f>
        <v/>
      </c>
      <c r="CK148" s="18" t="str">
        <f>IF(NV[[#This Row],[Status]]=0,"",NV[[#This Row],[Status]])</f>
        <v/>
      </c>
    </row>
    <row r="149" spans="4:89">
      <c r="D149" s="28"/>
      <c r="G149" s="19"/>
      <c r="K149" s="53"/>
      <c r="L149" s="53"/>
      <c r="M149" s="53"/>
      <c r="N149" s="53"/>
      <c r="O149" s="19"/>
      <c r="P149" s="53"/>
      <c r="S149" s="18"/>
      <c r="CA149" s="1" t="s">
        <v>71</v>
      </c>
      <c r="CB149" s="1" t="s">
        <v>18</v>
      </c>
      <c r="CC149" s="1" t="s">
        <v>308</v>
      </c>
      <c r="CE149" s="18">
        <f>NV[[#This Row],[Part Type]]</f>
        <v>0</v>
      </c>
      <c r="CF149" s="18">
        <f>NV[[#This Row],[Part Nr.]]</f>
        <v>0</v>
      </c>
      <c r="CG149" s="18" t="str">
        <f>IF(NV[[#This Row],[UID]]=0,"",NV[[#This Row],[UID]])</f>
        <v/>
      </c>
      <c r="CK149" s="18" t="str">
        <f>IF(NV[[#This Row],[Status]]=0,"",NV[[#This Row],[Status]])</f>
        <v/>
      </c>
    </row>
    <row r="150" spans="4:89">
      <c r="D150" s="28"/>
      <c r="G150" s="19"/>
      <c r="K150" s="53"/>
      <c r="L150" s="53"/>
      <c r="M150" s="53"/>
      <c r="N150" s="53"/>
      <c r="O150" s="19"/>
      <c r="P150" s="53"/>
      <c r="S150" s="18"/>
      <c r="CA150" s="1" t="s">
        <v>71</v>
      </c>
      <c r="CB150" s="1" t="s">
        <v>18</v>
      </c>
      <c r="CC150" s="1" t="s">
        <v>308</v>
      </c>
      <c r="CE150" s="18">
        <f>NV[[#This Row],[Part Type]]</f>
        <v>0</v>
      </c>
      <c r="CF150" s="18">
        <f>NV[[#This Row],[Part Nr.]]</f>
        <v>0</v>
      </c>
      <c r="CG150" s="18" t="str">
        <f>IF(NV[[#This Row],[UID]]=0,"",NV[[#This Row],[UID]])</f>
        <v/>
      </c>
      <c r="CK150" s="18" t="str">
        <f>IF(NV[[#This Row],[Status]]=0,"",NV[[#This Row],[Status]])</f>
        <v/>
      </c>
    </row>
    <row r="151" spans="4:89">
      <c r="D151" s="28"/>
      <c r="G151" s="19"/>
      <c r="K151" s="53"/>
      <c r="L151" s="53"/>
      <c r="M151" s="53"/>
      <c r="N151" s="53"/>
      <c r="O151" s="19"/>
      <c r="P151" s="53"/>
      <c r="S151" s="18"/>
      <c r="CA151" s="1" t="s">
        <v>71</v>
      </c>
      <c r="CB151" s="1" t="s">
        <v>18</v>
      </c>
      <c r="CC151" s="1" t="s">
        <v>308</v>
      </c>
      <c r="CE151" s="18">
        <f>NV[[#This Row],[Part Type]]</f>
        <v>0</v>
      </c>
      <c r="CF151" s="18">
        <f>NV[[#This Row],[Part Nr.]]</f>
        <v>0</v>
      </c>
      <c r="CG151" s="18" t="str">
        <f>IF(NV[[#This Row],[UID]]=0,"",NV[[#This Row],[UID]])</f>
        <v/>
      </c>
      <c r="CK151" s="18" t="str">
        <f>IF(NV[[#This Row],[Status]]=0,"",NV[[#This Row],[Status]])</f>
        <v/>
      </c>
    </row>
  </sheetData>
  <phoneticPr fontId="5" type="noConversion"/>
  <hyperlinks>
    <hyperlink ref="V25" r:id="rId1" xr:uid="{B26D143F-1E97-724D-9A56-4482F369AC80}"/>
    <hyperlink ref="V3" r:id="rId2" xr:uid="{447B2D0D-0B3C-554D-9492-89C70474D149}"/>
    <hyperlink ref="V57" r:id="rId3" xr:uid="{233DB734-115B-6742-B7C4-8E106445B75D}"/>
  </hyperlinks>
  <pageMargins left="0.7" right="0.7" top="0.75" bottom="0.75" header="0.3" footer="0.3"/>
  <tableParts count="2">
    <tablePart r:id="rId4"/>
    <tablePart r:id="rId5"/>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54450-C137-40FB-AF1B-DE3C0E09B2D0}">
  <sheetPr codeName="Sheet15"/>
  <dimension ref="A1:CL151"/>
  <sheetViews>
    <sheetView workbookViewId="0">
      <pane xSplit="3" ySplit="1" topLeftCell="P55" activePane="bottomRight" state="frozen"/>
      <selection pane="bottomRight" activeCell="R80" sqref="R80"/>
      <selection pane="bottomLeft" activeCell="A2" sqref="A2"/>
      <selection pane="topRight" activeCell="D1" sqref="D1"/>
    </sheetView>
  </sheetViews>
  <sheetFormatPr defaultColWidth="11" defaultRowHeight="15.75" customHeight="1"/>
  <cols>
    <col min="1" max="1" width="10.375" style="18" bestFit="1" customWidth="1"/>
    <col min="2" max="2" width="10.375" style="18" customWidth="1"/>
    <col min="3" max="3" width="15.375" style="18" bestFit="1" customWidth="1"/>
    <col min="4" max="4" width="11.5" style="18" bestFit="1" customWidth="1"/>
    <col min="5" max="5" width="20.625" style="18" bestFit="1" customWidth="1"/>
    <col min="6" max="6" width="20" style="18" bestFit="1" customWidth="1"/>
    <col min="7" max="7" width="9.375" style="18" bestFit="1" customWidth="1"/>
    <col min="9" max="9" width="26.125" style="18" bestFit="1" customWidth="1"/>
    <col min="10" max="10" width="12.125" style="18" bestFit="1" customWidth="1"/>
    <col min="11" max="11" width="26.5" style="18" bestFit="1" customWidth="1"/>
    <col min="12" max="12" width="15.625" style="18" bestFit="1" customWidth="1"/>
    <col min="13" max="13" width="20" style="18" bestFit="1" customWidth="1"/>
    <col min="14" max="14" width="20.5" style="18" bestFit="1" customWidth="1"/>
    <col min="15" max="15" width="19.125" style="18" bestFit="1" customWidth="1"/>
    <col min="16" max="16" width="21.375" style="18" bestFit="1" customWidth="1"/>
    <col min="17" max="17" width="11.5" style="18" bestFit="1" customWidth="1"/>
    <col min="18" max="18" width="36.5" style="18" customWidth="1"/>
    <col min="19" max="19" width="11.5" style="18" bestFit="1" customWidth="1"/>
    <col min="20" max="20" width="15" style="18" bestFit="1" customWidth="1"/>
    <col min="21" max="21" width="19.375" style="18" bestFit="1" customWidth="1"/>
    <col min="22" max="22" width="25.125" style="18" bestFit="1" customWidth="1"/>
    <col min="23" max="23" width="9.5" style="18" bestFit="1" customWidth="1"/>
    <col min="24" max="24" width="11.625" style="18" bestFit="1" customWidth="1"/>
    <col min="25" max="25" width="103.5" style="18" bestFit="1" customWidth="1"/>
    <col min="26" max="26" width="31.625" style="18" customWidth="1"/>
    <col min="27" max="79" width="11" style="18"/>
    <col min="80" max="80" width="15.5" style="18" customWidth="1"/>
    <col min="81" max="81" width="19.125" style="18" customWidth="1"/>
    <col min="82" max="82" width="20.375" style="18" customWidth="1"/>
    <col min="83" max="84" width="11" style="18"/>
    <col min="85" max="85" width="15.5" style="18" customWidth="1"/>
    <col min="86" max="86" width="12.625" style="18" customWidth="1"/>
    <col min="87" max="87" width="16.5" style="18" customWidth="1"/>
    <col min="88" max="88" width="11" style="18"/>
    <col min="89" max="89" width="14.625" style="18" customWidth="1"/>
    <col min="90" max="16384" width="11" style="18"/>
  </cols>
  <sheetData>
    <row r="1" spans="1:90" ht="17.100000000000001">
      <c r="A1" s="68" t="s">
        <v>12</v>
      </c>
      <c r="B1" s="35" t="s">
        <v>95</v>
      </c>
      <c r="C1" s="183" t="s">
        <v>94</v>
      </c>
      <c r="D1" s="68" t="s">
        <v>1157</v>
      </c>
      <c r="E1" s="68" t="s">
        <v>1158</v>
      </c>
      <c r="F1" s="68" t="s">
        <v>101</v>
      </c>
      <c r="G1" s="68" t="s">
        <v>1159</v>
      </c>
      <c r="H1" s="18" t="s">
        <v>227</v>
      </c>
      <c r="I1" s="68" t="s">
        <v>228</v>
      </c>
      <c r="J1" s="68" t="s">
        <v>1160</v>
      </c>
      <c r="K1" s="68" t="s">
        <v>1161</v>
      </c>
      <c r="L1" s="68" t="s">
        <v>1162</v>
      </c>
      <c r="M1" s="69" t="s">
        <v>1163</v>
      </c>
      <c r="N1" s="69" t="s">
        <v>1164</v>
      </c>
      <c r="O1" s="69" t="s">
        <v>1165</v>
      </c>
      <c r="P1" s="69" t="s">
        <v>395</v>
      </c>
      <c r="Q1" s="69" t="s">
        <v>396</v>
      </c>
      <c r="R1" s="175" t="s">
        <v>113</v>
      </c>
      <c r="S1" s="68" t="s">
        <v>114</v>
      </c>
      <c r="T1" s="68" t="s">
        <v>115</v>
      </c>
      <c r="U1" s="68" t="s">
        <v>116</v>
      </c>
      <c r="V1" s="68" t="s">
        <v>117</v>
      </c>
      <c r="W1" s="68" t="s">
        <v>96</v>
      </c>
      <c r="X1" s="70" t="s">
        <v>342</v>
      </c>
      <c r="Y1" s="68" t="s">
        <v>236</v>
      </c>
      <c r="CA1" t="s">
        <v>119</v>
      </c>
      <c r="CB1" s="117" t="s">
        <v>2</v>
      </c>
      <c r="CC1" s="118" t="s">
        <v>3</v>
      </c>
      <c r="CD1" s="118" t="s">
        <v>4</v>
      </c>
      <c r="CE1" s="118" t="s">
        <v>5</v>
      </c>
      <c r="CF1" s="118" t="s">
        <v>6</v>
      </c>
      <c r="CG1" s="119" t="s">
        <v>7</v>
      </c>
      <c r="CH1" s="118" t="s">
        <v>8</v>
      </c>
      <c r="CI1" s="118" t="s">
        <v>9</v>
      </c>
      <c r="CJ1" s="118" t="s">
        <v>10</v>
      </c>
      <c r="CK1" s="118" t="s">
        <v>11</v>
      </c>
      <c r="CL1" s="120" t="s">
        <v>12</v>
      </c>
    </row>
    <row r="2" spans="1:90" s="11" customFormat="1" ht="15.95">
      <c r="A2" s="9" t="s">
        <v>140</v>
      </c>
      <c r="B2" s="9" t="s">
        <v>64</v>
      </c>
      <c r="C2" s="9" t="s">
        <v>1166</v>
      </c>
      <c r="D2" s="9" t="s">
        <v>122</v>
      </c>
      <c r="E2" s="9" t="s">
        <v>124</v>
      </c>
      <c r="F2" s="9" t="s">
        <v>1167</v>
      </c>
      <c r="G2" s="9" t="s">
        <v>1168</v>
      </c>
      <c r="H2" s="9" t="s">
        <v>129</v>
      </c>
      <c r="I2" s="56" t="s">
        <v>129</v>
      </c>
      <c r="J2" s="100" t="s">
        <v>1169</v>
      </c>
      <c r="K2" s="10">
        <v>190.63</v>
      </c>
      <c r="L2" s="10">
        <v>0</v>
      </c>
      <c r="M2" s="5">
        <v>250</v>
      </c>
      <c r="N2" s="5">
        <v>36259</v>
      </c>
      <c r="O2" s="5">
        <v>575</v>
      </c>
      <c r="P2" s="10" t="s">
        <v>129</v>
      </c>
      <c r="Q2" s="10" t="s">
        <v>129</v>
      </c>
      <c r="R2" s="10"/>
      <c r="S2" s="9" t="s">
        <v>128</v>
      </c>
      <c r="T2" s="12">
        <v>39600</v>
      </c>
      <c r="U2" s="36" t="s">
        <v>129</v>
      </c>
      <c r="V2" s="12" t="s">
        <v>128</v>
      </c>
      <c r="W2" s="12" t="s">
        <v>128</v>
      </c>
      <c r="X2" s="67" t="s">
        <v>1170</v>
      </c>
      <c r="CA2" t="s">
        <v>131</v>
      </c>
      <c r="CB2" s="1" t="s">
        <v>71</v>
      </c>
      <c r="CC2" s="1" t="s">
        <v>18</v>
      </c>
      <c r="CD2" s="1" t="s">
        <v>132</v>
      </c>
      <c r="CE2" s="1"/>
      <c r="CF2" s="151" t="str">
        <f>NZ[[#This Row],[Part Type]]</f>
        <v>Nozzle</v>
      </c>
      <c r="CG2" s="1" t="str">
        <f>IF(NZ[[#This Row],[UID]]=0,"",NZ[[#This Row],[Reactor]]&amp;"-"&amp;NZ[[#This Row],[Nozzle Material]])</f>
        <v>Old 1"-Rene 41</v>
      </c>
      <c r="CH2" s="6" t="str">
        <f>IF(NZ[[#This Row],[UID]]=0,"",NZ[[#This Row],[UID]])</f>
        <v>NZ-A</v>
      </c>
      <c r="CI2" s="1"/>
      <c r="CJ2" s="1"/>
      <c r="CK2" s="1"/>
      <c r="CL2" s="6" t="s">
        <v>120</v>
      </c>
    </row>
    <row r="3" spans="1:90" ht="15.95">
      <c r="A3" s="36" t="s">
        <v>140</v>
      </c>
      <c r="B3" s="9" t="s">
        <v>64</v>
      </c>
      <c r="C3" s="36" t="s">
        <v>1171</v>
      </c>
      <c r="D3" s="36" t="s">
        <v>122</v>
      </c>
      <c r="E3" s="36" t="s">
        <v>124</v>
      </c>
      <c r="F3" s="36" t="s">
        <v>1167</v>
      </c>
      <c r="G3" s="36" t="s">
        <v>1168</v>
      </c>
      <c r="H3" s="18">
        <v>221004</v>
      </c>
      <c r="I3" s="19">
        <v>191.227</v>
      </c>
      <c r="J3" s="100" t="s">
        <v>1169</v>
      </c>
      <c r="K3" s="18">
        <v>191.57</v>
      </c>
      <c r="L3" s="18">
        <v>0</v>
      </c>
      <c r="M3" s="71">
        <v>250</v>
      </c>
      <c r="N3" s="71">
        <v>36259</v>
      </c>
      <c r="O3" s="71">
        <v>575</v>
      </c>
      <c r="P3" s="18" t="s">
        <v>129</v>
      </c>
      <c r="Q3" s="18" t="s">
        <v>129</v>
      </c>
      <c r="S3" s="36" t="s">
        <v>128</v>
      </c>
      <c r="T3" s="58">
        <v>39600</v>
      </c>
      <c r="U3" s="36" t="s">
        <v>129</v>
      </c>
      <c r="V3" s="58" t="s">
        <v>128</v>
      </c>
      <c r="W3" s="58" t="s">
        <v>123</v>
      </c>
      <c r="X3" s="72" t="s">
        <v>1170</v>
      </c>
      <c r="CA3"/>
      <c r="CB3" s="1" t="s">
        <v>71</v>
      </c>
      <c r="CC3" s="1" t="s">
        <v>18</v>
      </c>
      <c r="CD3" s="1" t="s">
        <v>132</v>
      </c>
      <c r="CE3"/>
      <c r="CF3" s="134" t="str">
        <f>NZ[[#This Row],[Part Type]]</f>
        <v>Nozzle</v>
      </c>
      <c r="CG3" t="str">
        <f>IF(NZ[[#This Row],[UID]]=0,"",NZ[[#This Row],[Reactor]]&amp;"-"&amp;NZ[[#This Row],[Nozzle Material]])</f>
        <v>Old 1"-Rene 41</v>
      </c>
      <c r="CH3" s="11" t="str">
        <f>IF(NZ[[#This Row],[UID]]=0,"",NZ[[#This Row],[UID]])</f>
        <v>NZ-B</v>
      </c>
      <c r="CI3"/>
      <c r="CJ3"/>
      <c r="CK3"/>
      <c r="CL3" s="11" t="s">
        <v>120</v>
      </c>
    </row>
    <row r="4" spans="1:90" ht="15.95">
      <c r="A4" s="36" t="s">
        <v>120</v>
      </c>
      <c r="B4" s="9" t="s">
        <v>64</v>
      </c>
      <c r="C4" s="36" t="s">
        <v>1172</v>
      </c>
      <c r="D4" s="36" t="s">
        <v>122</v>
      </c>
      <c r="E4" s="36" t="s">
        <v>124</v>
      </c>
      <c r="F4" s="36" t="s">
        <v>1167</v>
      </c>
      <c r="G4" s="36" t="s">
        <v>1168</v>
      </c>
      <c r="H4" s="18">
        <v>221004</v>
      </c>
      <c r="I4" s="19">
        <v>190.42400000000001</v>
      </c>
      <c r="J4" s="100" t="s">
        <v>1169</v>
      </c>
      <c r="K4" s="18">
        <v>191.07</v>
      </c>
      <c r="L4" s="18">
        <v>0</v>
      </c>
      <c r="M4" s="71">
        <v>250</v>
      </c>
      <c r="N4" s="71">
        <v>36259</v>
      </c>
      <c r="O4" s="71">
        <v>575</v>
      </c>
      <c r="P4" s="18" t="s">
        <v>129</v>
      </c>
      <c r="Q4" s="18" t="s">
        <v>129</v>
      </c>
      <c r="S4" s="36" t="s">
        <v>128</v>
      </c>
      <c r="T4" s="58">
        <v>39600</v>
      </c>
      <c r="U4" s="36" t="s">
        <v>129</v>
      </c>
      <c r="V4" s="58" t="s">
        <v>128</v>
      </c>
      <c r="W4" s="58" t="s">
        <v>123</v>
      </c>
      <c r="X4" s="72" t="s">
        <v>1170</v>
      </c>
      <c r="CA4"/>
      <c r="CB4" s="1" t="s">
        <v>71</v>
      </c>
      <c r="CC4" s="1" t="s">
        <v>18</v>
      </c>
      <c r="CD4" s="1" t="s">
        <v>132</v>
      </c>
      <c r="CE4"/>
      <c r="CF4" s="134" t="str">
        <f>NZ[[#This Row],[Part Type]]</f>
        <v>Nozzle</v>
      </c>
      <c r="CG4" t="str">
        <f>IF(NZ[[#This Row],[UID]]=0,"",NZ[[#This Row],[Reactor]]&amp;"-"&amp;NZ[[#This Row],[Nozzle Material]])</f>
        <v>Old 1"-Rene 41</v>
      </c>
      <c r="CH4" s="11" t="str">
        <f>IF(NZ[[#This Row],[UID]]=0,"",NZ[[#This Row],[UID]])</f>
        <v>NZ-C</v>
      </c>
      <c r="CI4"/>
      <c r="CJ4"/>
      <c r="CK4"/>
      <c r="CL4" s="11" t="str">
        <f>IF(NZ[[#This Row],[Status]]=0,"",NZ[[#This Row],[Status]])</f>
        <v>Active</v>
      </c>
    </row>
    <row r="5" spans="1:90" s="11" customFormat="1" ht="15.95">
      <c r="A5" s="9" t="s">
        <v>120</v>
      </c>
      <c r="B5" s="9" t="s">
        <v>64</v>
      </c>
      <c r="C5" s="9" t="s">
        <v>1173</v>
      </c>
      <c r="D5" s="9" t="s">
        <v>122</v>
      </c>
      <c r="E5" s="9" t="s">
        <v>124</v>
      </c>
      <c r="F5" s="9" t="s">
        <v>1167</v>
      </c>
      <c r="G5" s="9" t="s">
        <v>1168</v>
      </c>
      <c r="H5" s="9" t="s">
        <v>129</v>
      </c>
      <c r="I5" s="56" t="s">
        <v>129</v>
      </c>
      <c r="J5" s="100" t="s">
        <v>1169</v>
      </c>
      <c r="K5" s="10">
        <v>189.38</v>
      </c>
      <c r="L5" s="10">
        <v>0</v>
      </c>
      <c r="M5" s="5">
        <v>250</v>
      </c>
      <c r="N5" s="5">
        <v>36259</v>
      </c>
      <c r="O5" s="5">
        <v>575</v>
      </c>
      <c r="P5" s="10" t="s">
        <v>129</v>
      </c>
      <c r="Q5" s="10" t="s">
        <v>129</v>
      </c>
      <c r="R5" s="10"/>
      <c r="S5" s="9" t="s">
        <v>128</v>
      </c>
      <c r="T5" s="12">
        <v>39600</v>
      </c>
      <c r="U5" s="36" t="s">
        <v>129</v>
      </c>
      <c r="V5" s="12" t="s">
        <v>128</v>
      </c>
      <c r="W5" s="12" t="s">
        <v>128</v>
      </c>
      <c r="X5" s="67" t="s">
        <v>1170</v>
      </c>
      <c r="CA5"/>
      <c r="CB5" s="1" t="s">
        <v>71</v>
      </c>
      <c r="CC5" s="1" t="s">
        <v>18</v>
      </c>
      <c r="CD5" s="1" t="s">
        <v>132</v>
      </c>
      <c r="CE5"/>
      <c r="CF5" s="134" t="str">
        <f>NZ[[#This Row],[Part Type]]</f>
        <v>Nozzle</v>
      </c>
      <c r="CG5" t="str">
        <f>IF(NZ[[#This Row],[UID]]=0,"",NZ[[#This Row],[Reactor]]&amp;"-"&amp;NZ[[#This Row],[Nozzle Material]])</f>
        <v>Old 1"-Rene 41</v>
      </c>
      <c r="CH5" s="11" t="str">
        <f>IF(NZ[[#This Row],[UID]]=0,"",NZ[[#This Row],[UID]])</f>
        <v>NZ-D</v>
      </c>
      <c r="CI5"/>
      <c r="CJ5"/>
      <c r="CK5"/>
      <c r="CL5" s="11" t="str">
        <f>IF(NZ[[#This Row],[Status]]=0,"",NZ[[#This Row],[Status]])</f>
        <v>Active</v>
      </c>
    </row>
    <row r="6" spans="1:90" ht="15.95">
      <c r="A6" s="36" t="s">
        <v>140</v>
      </c>
      <c r="B6" s="9" t="s">
        <v>64</v>
      </c>
      <c r="C6" s="36" t="s">
        <v>1174</v>
      </c>
      <c r="D6" s="36" t="s">
        <v>122</v>
      </c>
      <c r="E6" s="36" t="s">
        <v>164</v>
      </c>
      <c r="F6" s="36" t="s">
        <v>165</v>
      </c>
      <c r="G6" s="36" t="s">
        <v>1168</v>
      </c>
      <c r="H6" s="18">
        <v>221004</v>
      </c>
      <c r="I6" s="19">
        <v>191.82300000000001</v>
      </c>
      <c r="J6" s="100" t="s">
        <v>1169</v>
      </c>
      <c r="K6" s="18">
        <v>192.27</v>
      </c>
      <c r="L6" s="18">
        <v>0</v>
      </c>
      <c r="M6" s="71">
        <v>100</v>
      </c>
      <c r="N6" s="71">
        <v>14504</v>
      </c>
      <c r="O6" s="71">
        <v>575</v>
      </c>
      <c r="P6" s="18" t="s">
        <v>129</v>
      </c>
      <c r="Q6" s="18" t="s">
        <v>129</v>
      </c>
      <c r="S6" s="36" t="s">
        <v>128</v>
      </c>
      <c r="T6" s="58">
        <v>39600</v>
      </c>
      <c r="U6" s="36" t="s">
        <v>129</v>
      </c>
      <c r="V6" s="58" t="s">
        <v>128</v>
      </c>
      <c r="W6" s="58" t="s">
        <v>123</v>
      </c>
      <c r="X6" s="72" t="s">
        <v>1170</v>
      </c>
      <c r="CA6"/>
      <c r="CB6" s="1" t="s">
        <v>71</v>
      </c>
      <c r="CC6" s="1" t="s">
        <v>18</v>
      </c>
      <c r="CD6" s="1" t="s">
        <v>132</v>
      </c>
      <c r="CE6"/>
      <c r="CF6" s="134" t="str">
        <f>NZ[[#This Row],[Part Type]]</f>
        <v>Nozzle</v>
      </c>
      <c r="CG6" t="str">
        <f>IF(NZ[[#This Row],[UID]]=0,"",NZ[[#This Row],[Reactor]]&amp;"-"&amp;NZ[[#This Row],[Nozzle Material]])</f>
        <v>Old 1"-Inconel 625</v>
      </c>
      <c r="CH6" s="11" t="str">
        <f>IF(NZ[[#This Row],[UID]]=0,"",NZ[[#This Row],[UID]])</f>
        <v>NZ-E</v>
      </c>
      <c r="CI6"/>
      <c r="CJ6"/>
      <c r="CK6"/>
      <c r="CL6" s="11" t="s">
        <v>120</v>
      </c>
    </row>
    <row r="7" spans="1:90" ht="15.95">
      <c r="A7" s="36" t="s">
        <v>120</v>
      </c>
      <c r="B7" s="9" t="s">
        <v>64</v>
      </c>
      <c r="C7" s="36" t="s">
        <v>1175</v>
      </c>
      <c r="D7" s="36" t="s">
        <v>122</v>
      </c>
      <c r="E7" s="36" t="s">
        <v>164</v>
      </c>
      <c r="F7" s="36" t="s">
        <v>165</v>
      </c>
      <c r="G7" s="36" t="s">
        <v>1168</v>
      </c>
      <c r="H7" s="18">
        <v>221004</v>
      </c>
      <c r="I7" s="19">
        <v>186.95400000000001</v>
      </c>
      <c r="J7" s="100" t="s">
        <v>1169</v>
      </c>
      <c r="K7" s="18">
        <v>194.04</v>
      </c>
      <c r="L7" s="18">
        <v>0</v>
      </c>
      <c r="M7" s="71">
        <v>100</v>
      </c>
      <c r="N7" s="71">
        <v>14504</v>
      </c>
      <c r="O7" s="71">
        <v>575</v>
      </c>
      <c r="P7" s="18" t="s">
        <v>129</v>
      </c>
      <c r="Q7" s="18" t="s">
        <v>129</v>
      </c>
      <c r="S7" s="36" t="s">
        <v>128</v>
      </c>
      <c r="T7" s="58">
        <v>39600</v>
      </c>
      <c r="U7" s="36" t="s">
        <v>129</v>
      </c>
      <c r="V7" s="58" t="s">
        <v>128</v>
      </c>
      <c r="W7" s="58" t="s">
        <v>123</v>
      </c>
      <c r="X7" s="72" t="s">
        <v>1170</v>
      </c>
      <c r="CB7" s="1" t="s">
        <v>71</v>
      </c>
      <c r="CC7" s="1" t="s">
        <v>18</v>
      </c>
      <c r="CD7" s="1" t="s">
        <v>132</v>
      </c>
      <c r="CF7" s="36" t="str">
        <f>NZ[[#This Row],[Part Type]]</f>
        <v>Nozzle</v>
      </c>
      <c r="CG7" s="18" t="str">
        <f>IF(NZ[[#This Row],[UID]]=0,"",NZ[[#This Row],[Reactor]]&amp;"-"&amp;NZ[[#This Row],[Nozzle Material]])</f>
        <v>Old 1"-Inconel 625</v>
      </c>
      <c r="CH7" s="18" t="str">
        <f>IF(NZ[[#This Row],[UID]]=0,"",NZ[[#This Row],[UID]])</f>
        <v>NZ-F</v>
      </c>
      <c r="CL7" s="18" t="str">
        <f>IF(NZ[[#This Row],[Status]]=0,"",NZ[[#This Row],[Status]])</f>
        <v>Active</v>
      </c>
    </row>
    <row r="8" spans="1:90" ht="15.95">
      <c r="A8" s="36" t="s">
        <v>1176</v>
      </c>
      <c r="B8" s="9" t="s">
        <v>64</v>
      </c>
      <c r="C8" s="36" t="s">
        <v>1177</v>
      </c>
      <c r="D8" s="36" t="s">
        <v>122</v>
      </c>
      <c r="E8" s="36" t="s">
        <v>164</v>
      </c>
      <c r="F8" s="36" t="s">
        <v>165</v>
      </c>
      <c r="G8" s="36" t="s">
        <v>1168</v>
      </c>
      <c r="H8" s="36">
        <v>230226</v>
      </c>
      <c r="I8" s="19">
        <v>189.91</v>
      </c>
      <c r="J8" s="100" t="s">
        <v>1169</v>
      </c>
      <c r="K8" s="18">
        <v>194.56</v>
      </c>
      <c r="L8" s="18">
        <v>0</v>
      </c>
      <c r="M8" s="71">
        <v>100</v>
      </c>
      <c r="N8" s="71">
        <v>14504</v>
      </c>
      <c r="O8" s="71">
        <v>575</v>
      </c>
      <c r="P8" s="18" t="s">
        <v>129</v>
      </c>
      <c r="Q8" s="18" t="s">
        <v>129</v>
      </c>
      <c r="S8" s="36" t="s">
        <v>128</v>
      </c>
      <c r="T8" s="58">
        <v>39600</v>
      </c>
      <c r="U8" s="36" t="s">
        <v>129</v>
      </c>
      <c r="V8" s="58" t="s">
        <v>128</v>
      </c>
      <c r="W8" s="58" t="s">
        <v>123</v>
      </c>
      <c r="X8" s="72" t="s">
        <v>1170</v>
      </c>
      <c r="Y8" s="18" t="s">
        <v>1178</v>
      </c>
      <c r="CB8" s="1" t="s">
        <v>71</v>
      </c>
      <c r="CC8" s="1" t="s">
        <v>18</v>
      </c>
      <c r="CD8" s="1" t="s">
        <v>132</v>
      </c>
      <c r="CF8" s="36" t="str">
        <f>NZ[[#This Row],[Part Type]]</f>
        <v>Nozzle</v>
      </c>
      <c r="CG8" s="18" t="str">
        <f>IF(NZ[[#This Row],[UID]]=0,"",NZ[[#This Row],[Reactor]]&amp;"-"&amp;NZ[[#This Row],[Nozzle Material]])</f>
        <v>Old 1"-Inconel 625</v>
      </c>
      <c r="CH8" s="18" t="str">
        <f>IF(NZ[[#This Row],[UID]]=0,"",NZ[[#This Row],[UID]])</f>
        <v>NZ-G</v>
      </c>
      <c r="CL8" s="18" t="str">
        <f>IF(NZ[[#This Row],[Status]]=0,"",NZ[[#This Row],[Status]])</f>
        <v>Broken</v>
      </c>
    </row>
    <row r="9" spans="1:90" s="11" customFormat="1" ht="15.95">
      <c r="A9" s="9" t="s">
        <v>120</v>
      </c>
      <c r="B9" s="9" t="s">
        <v>64</v>
      </c>
      <c r="C9" s="9" t="s">
        <v>1179</v>
      </c>
      <c r="D9" s="9" t="s">
        <v>122</v>
      </c>
      <c r="E9" s="9" t="s">
        <v>164</v>
      </c>
      <c r="F9" s="9" t="s">
        <v>165</v>
      </c>
      <c r="G9" s="9" t="s">
        <v>1168</v>
      </c>
      <c r="H9" s="9" t="s">
        <v>129</v>
      </c>
      <c r="I9" s="56" t="s">
        <v>129</v>
      </c>
      <c r="J9" s="100" t="s">
        <v>1169</v>
      </c>
      <c r="K9" s="10">
        <v>195.2</v>
      </c>
      <c r="L9" s="10">
        <v>0</v>
      </c>
      <c r="M9" s="5">
        <v>100</v>
      </c>
      <c r="N9" s="5">
        <v>14504</v>
      </c>
      <c r="O9" s="5">
        <v>575</v>
      </c>
      <c r="P9" s="10" t="s">
        <v>129</v>
      </c>
      <c r="Q9" s="10" t="s">
        <v>129</v>
      </c>
      <c r="R9" s="10"/>
      <c r="S9" s="9" t="s">
        <v>128</v>
      </c>
      <c r="T9" s="12">
        <v>39600</v>
      </c>
      <c r="U9" s="36" t="s">
        <v>129</v>
      </c>
      <c r="V9" s="12" t="s">
        <v>128</v>
      </c>
      <c r="W9" s="12" t="s">
        <v>128</v>
      </c>
      <c r="X9" s="67" t="s">
        <v>1170</v>
      </c>
      <c r="CA9" s="18"/>
      <c r="CB9" s="1" t="s">
        <v>71</v>
      </c>
      <c r="CC9" s="1" t="s">
        <v>18</v>
      </c>
      <c r="CD9" s="1" t="s">
        <v>132</v>
      </c>
      <c r="CE9" s="18"/>
      <c r="CF9" s="36" t="str">
        <f>NZ[[#This Row],[Part Type]]</f>
        <v>Nozzle</v>
      </c>
      <c r="CG9" s="18" t="str">
        <f>IF(NZ[[#This Row],[UID]]=0,"",NZ[[#This Row],[Reactor]]&amp;"-"&amp;NZ[[#This Row],[Nozzle Material]])</f>
        <v>Old 1"-Inconel 625</v>
      </c>
      <c r="CH9" s="18" t="str">
        <f>IF(NZ[[#This Row],[UID]]=0,"",NZ[[#This Row],[UID]])</f>
        <v>NZ-H</v>
      </c>
      <c r="CI9" s="18"/>
      <c r="CJ9" s="18"/>
      <c r="CK9" s="18"/>
      <c r="CL9" s="18" t="str">
        <f>IF(NZ[[#This Row],[Status]]=0,"",NZ[[#This Row],[Status]])</f>
        <v>Active</v>
      </c>
    </row>
    <row r="10" spans="1:90" ht="15.95">
      <c r="A10" s="36" t="s">
        <v>120</v>
      </c>
      <c r="B10" s="9" t="s">
        <v>64</v>
      </c>
      <c r="C10" s="36" t="s">
        <v>1180</v>
      </c>
      <c r="D10" s="36" t="s">
        <v>122</v>
      </c>
      <c r="E10" s="36" t="s">
        <v>124</v>
      </c>
      <c r="F10" s="36" t="s">
        <v>1167</v>
      </c>
      <c r="G10" s="36" t="s">
        <v>1168</v>
      </c>
      <c r="H10" s="18">
        <v>221004</v>
      </c>
      <c r="I10" s="19">
        <v>190.93199999999999</v>
      </c>
      <c r="J10" s="100" t="s">
        <v>1169</v>
      </c>
      <c r="K10" s="18">
        <v>190.91</v>
      </c>
      <c r="L10" s="18">
        <v>0</v>
      </c>
      <c r="M10" s="71">
        <v>250</v>
      </c>
      <c r="N10" s="71">
        <v>36259</v>
      </c>
      <c r="O10" s="71">
        <v>575</v>
      </c>
      <c r="P10" s="18" t="s">
        <v>129</v>
      </c>
      <c r="Q10" s="18" t="s">
        <v>129</v>
      </c>
      <c r="S10" s="36" t="s">
        <v>128</v>
      </c>
      <c r="T10" s="58">
        <v>39600</v>
      </c>
      <c r="U10" s="36" t="s">
        <v>129</v>
      </c>
      <c r="V10" s="58" t="s">
        <v>128</v>
      </c>
      <c r="W10" s="58" t="s">
        <v>123</v>
      </c>
      <c r="X10" s="72" t="s">
        <v>1170</v>
      </c>
      <c r="CB10" s="1" t="s">
        <v>71</v>
      </c>
      <c r="CC10" s="1" t="s">
        <v>18</v>
      </c>
      <c r="CD10" s="1" t="s">
        <v>132</v>
      </c>
      <c r="CF10" s="36" t="str">
        <f>NZ[[#This Row],[Part Type]]</f>
        <v>Nozzle</v>
      </c>
      <c r="CG10" s="18" t="str">
        <f>IF(NZ[[#This Row],[UID]]=0,"",NZ[[#This Row],[Reactor]]&amp;"-"&amp;NZ[[#This Row],[Nozzle Material]])</f>
        <v>Old 1"-Rene 41</v>
      </c>
      <c r="CH10" s="18" t="str">
        <f>IF(NZ[[#This Row],[UID]]=0,"",NZ[[#This Row],[UID]])</f>
        <v>NZ-I</v>
      </c>
      <c r="CL10" s="18" t="str">
        <f>IF(NZ[[#This Row],[Status]]=0,"",NZ[[#This Row],[Status]])</f>
        <v>Active</v>
      </c>
    </row>
    <row r="11" spans="1:90" s="11" customFormat="1" ht="15.95">
      <c r="A11" s="9" t="s">
        <v>120</v>
      </c>
      <c r="B11" s="9" t="s">
        <v>64</v>
      </c>
      <c r="C11" s="9" t="s">
        <v>1181</v>
      </c>
      <c r="D11" s="9" t="s">
        <v>122</v>
      </c>
      <c r="E11" s="9" t="s">
        <v>124</v>
      </c>
      <c r="F11" s="9" t="s">
        <v>1167</v>
      </c>
      <c r="G11" s="9" t="s">
        <v>1168</v>
      </c>
      <c r="H11" s="9" t="s">
        <v>129</v>
      </c>
      <c r="I11" s="56" t="s">
        <v>129</v>
      </c>
      <c r="J11" s="100" t="s">
        <v>1169</v>
      </c>
      <c r="K11" s="10">
        <v>191.58</v>
      </c>
      <c r="L11" s="10">
        <v>0</v>
      </c>
      <c r="M11" s="5">
        <v>250</v>
      </c>
      <c r="N11" s="5">
        <v>36259</v>
      </c>
      <c r="O11" s="5">
        <v>575</v>
      </c>
      <c r="P11" s="10" t="s">
        <v>129</v>
      </c>
      <c r="Q11" s="10" t="s">
        <v>129</v>
      </c>
      <c r="R11" s="10"/>
      <c r="S11" s="9" t="s">
        <v>128</v>
      </c>
      <c r="T11" s="12">
        <v>39600</v>
      </c>
      <c r="U11" s="36" t="s">
        <v>129</v>
      </c>
      <c r="V11" s="12" t="s">
        <v>128</v>
      </c>
      <c r="W11" s="12" t="s">
        <v>128</v>
      </c>
      <c r="X11" s="67" t="s">
        <v>1170</v>
      </c>
      <c r="CB11" s="1" t="s">
        <v>71</v>
      </c>
      <c r="CC11" s="1" t="s">
        <v>18</v>
      </c>
      <c r="CD11" s="1" t="s">
        <v>132</v>
      </c>
      <c r="CF11" s="134" t="str">
        <f>NZ[[#This Row],[Part Type]]</f>
        <v>Nozzle</v>
      </c>
      <c r="CG11" s="11" t="str">
        <f>IF(NZ[[#This Row],[UID]]=0,"",NZ[[#This Row],[Reactor]]&amp;"-"&amp;NZ[[#This Row],[Nozzle Material]])</f>
        <v>Old 1"-Rene 41</v>
      </c>
      <c r="CH11" s="11" t="str">
        <f>IF(NZ[[#This Row],[UID]]=0,"",NZ[[#This Row],[UID]])</f>
        <v>NZ-J</v>
      </c>
      <c r="CL11" s="11" t="str">
        <f>IF(NZ[[#This Row],[Status]]=0,"",NZ[[#This Row],[Status]])</f>
        <v>Active</v>
      </c>
    </row>
    <row r="12" spans="1:90" ht="15.95">
      <c r="A12" s="36" t="s">
        <v>1176</v>
      </c>
      <c r="B12" s="9" t="s">
        <v>64</v>
      </c>
      <c r="C12" s="36" t="s">
        <v>1182</v>
      </c>
      <c r="D12" s="36" t="s">
        <v>122</v>
      </c>
      <c r="E12" s="36" t="s">
        <v>164</v>
      </c>
      <c r="F12" s="36" t="s">
        <v>165</v>
      </c>
      <c r="G12" s="36" t="s">
        <v>1168</v>
      </c>
      <c r="H12" s="36">
        <v>230226</v>
      </c>
      <c r="I12" s="19">
        <v>192.751</v>
      </c>
      <c r="J12" s="100" t="s">
        <v>1169</v>
      </c>
      <c r="K12" s="18">
        <v>192.68</v>
      </c>
      <c r="L12" s="18">
        <v>0</v>
      </c>
      <c r="M12" s="71">
        <v>100</v>
      </c>
      <c r="N12" s="71">
        <v>14504</v>
      </c>
      <c r="O12" s="71">
        <v>575</v>
      </c>
      <c r="P12" s="18" t="s">
        <v>129</v>
      </c>
      <c r="Q12" s="18" t="s">
        <v>129</v>
      </c>
      <c r="S12" s="36" t="s">
        <v>128</v>
      </c>
      <c r="T12" s="58">
        <v>39600</v>
      </c>
      <c r="U12" s="36" t="s">
        <v>129</v>
      </c>
      <c r="V12" s="58" t="s">
        <v>128</v>
      </c>
      <c r="W12" s="58" t="s">
        <v>123</v>
      </c>
      <c r="X12" s="72" t="s">
        <v>1170</v>
      </c>
      <c r="Y12" s="36" t="s">
        <v>1183</v>
      </c>
      <c r="CB12" s="1" t="s">
        <v>71</v>
      </c>
      <c r="CC12" s="1" t="s">
        <v>18</v>
      </c>
      <c r="CD12" s="1" t="s">
        <v>132</v>
      </c>
      <c r="CF12" s="36" t="str">
        <f>NZ[[#This Row],[Part Type]]</f>
        <v>Nozzle</v>
      </c>
      <c r="CG12" s="18" t="str">
        <f>IF(NZ[[#This Row],[UID]]=0,"",NZ[[#This Row],[Reactor]]&amp;"-"&amp;NZ[[#This Row],[Nozzle Material]])</f>
        <v>Old 1"-Inconel 625</v>
      </c>
      <c r="CH12" s="18" t="str">
        <f>IF(NZ[[#This Row],[UID]]=0,"",NZ[[#This Row],[UID]])</f>
        <v>NZ-K</v>
      </c>
      <c r="CL12" s="18" t="str">
        <f>IF(NZ[[#This Row],[Status]]=0,"",NZ[[#This Row],[Status]])</f>
        <v>Broken</v>
      </c>
    </row>
    <row r="13" spans="1:90" ht="15.95">
      <c r="A13" s="36" t="s">
        <v>1176</v>
      </c>
      <c r="B13" s="9" t="s">
        <v>64</v>
      </c>
      <c r="C13" s="36" t="s">
        <v>1184</v>
      </c>
      <c r="D13" s="36" t="s">
        <v>122</v>
      </c>
      <c r="E13" s="36" t="s">
        <v>124</v>
      </c>
      <c r="F13" s="36" t="s">
        <v>1167</v>
      </c>
      <c r="G13" s="36" t="s">
        <v>1168</v>
      </c>
      <c r="H13" s="36">
        <v>230226</v>
      </c>
      <c r="I13" s="19">
        <v>188.858</v>
      </c>
      <c r="J13" s="100" t="s">
        <v>1169</v>
      </c>
      <c r="K13" s="18">
        <v>188.85</v>
      </c>
      <c r="L13" s="18">
        <v>0</v>
      </c>
      <c r="M13" s="71">
        <v>250</v>
      </c>
      <c r="N13" s="71">
        <v>36259</v>
      </c>
      <c r="O13" s="71">
        <v>575</v>
      </c>
      <c r="P13" s="18" t="s">
        <v>129</v>
      </c>
      <c r="Q13" s="18" t="s">
        <v>129</v>
      </c>
      <c r="S13" s="36" t="s">
        <v>128</v>
      </c>
      <c r="T13" s="58">
        <v>39600</v>
      </c>
      <c r="U13" s="36" t="s">
        <v>129</v>
      </c>
      <c r="V13" s="58" t="s">
        <v>128</v>
      </c>
      <c r="W13" s="58" t="s">
        <v>123</v>
      </c>
      <c r="X13" s="72" t="s">
        <v>1170</v>
      </c>
      <c r="Y13" s="36" t="s">
        <v>1185</v>
      </c>
      <c r="CB13" s="1" t="s">
        <v>71</v>
      </c>
      <c r="CC13" s="1" t="s">
        <v>18</v>
      </c>
      <c r="CD13" s="1" t="s">
        <v>132</v>
      </c>
      <c r="CF13" s="36" t="str">
        <f>NZ[[#This Row],[Part Type]]</f>
        <v>Nozzle</v>
      </c>
      <c r="CG13" s="18" t="str">
        <f>IF(NZ[[#This Row],[UID]]=0,"",NZ[[#This Row],[Reactor]]&amp;"-"&amp;NZ[[#This Row],[Nozzle Material]])</f>
        <v>Old 1"-Rene 41</v>
      </c>
      <c r="CH13" s="18" t="str">
        <f>IF(NZ[[#This Row],[UID]]=0,"",NZ[[#This Row],[UID]])</f>
        <v>NZ-L</v>
      </c>
      <c r="CL13" s="18" t="str">
        <f>IF(NZ[[#This Row],[Status]]=0,"",NZ[[#This Row],[Status]])</f>
        <v>Broken</v>
      </c>
    </row>
    <row r="14" spans="1:90" ht="15.95">
      <c r="A14" s="36" t="s">
        <v>1176</v>
      </c>
      <c r="B14" s="9" t="s">
        <v>64</v>
      </c>
      <c r="C14" s="36" t="s">
        <v>1186</v>
      </c>
      <c r="D14" s="36" t="s">
        <v>122</v>
      </c>
      <c r="E14" s="36" t="s">
        <v>124</v>
      </c>
      <c r="F14" s="36" t="s">
        <v>1167</v>
      </c>
      <c r="G14" s="36" t="s">
        <v>1187</v>
      </c>
      <c r="H14" s="18">
        <v>221004</v>
      </c>
      <c r="I14" s="19">
        <v>190.66900000000001</v>
      </c>
      <c r="J14" s="100" t="s">
        <v>1169</v>
      </c>
      <c r="K14" s="18">
        <v>190.63</v>
      </c>
      <c r="L14" s="18">
        <v>0</v>
      </c>
      <c r="M14" s="71">
        <v>250</v>
      </c>
      <c r="N14" s="71">
        <v>36259</v>
      </c>
      <c r="O14" s="71">
        <v>575</v>
      </c>
      <c r="P14" s="18" t="s">
        <v>129</v>
      </c>
      <c r="Q14" s="18" t="s">
        <v>129</v>
      </c>
      <c r="S14" s="36" t="s">
        <v>128</v>
      </c>
      <c r="T14" s="58">
        <v>39600</v>
      </c>
      <c r="U14" s="36" t="s">
        <v>129</v>
      </c>
      <c r="V14" s="58" t="s">
        <v>128</v>
      </c>
      <c r="W14" s="58" t="s">
        <v>123</v>
      </c>
      <c r="X14" s="72" t="s">
        <v>1170</v>
      </c>
      <c r="Y14" s="36" t="s">
        <v>1188</v>
      </c>
      <c r="CB14" s="1" t="s">
        <v>71</v>
      </c>
      <c r="CC14" s="1" t="s">
        <v>18</v>
      </c>
      <c r="CD14" s="1" t="s">
        <v>132</v>
      </c>
      <c r="CF14" s="36" t="str">
        <f>NZ[[#This Row],[Part Type]]</f>
        <v>Nozzle</v>
      </c>
      <c r="CG14" s="18" t="str">
        <f>IF(NZ[[#This Row],[UID]]=0,"",NZ[[#This Row],[Reactor]]&amp;"-"&amp;NZ[[#This Row],[Nozzle Material]])</f>
        <v>Old 1"-Rene 41</v>
      </c>
      <c r="CH14" s="18" t="str">
        <f>IF(NZ[[#This Row],[UID]]=0,"",NZ[[#This Row],[UID]])</f>
        <v>NZ-M</v>
      </c>
      <c r="CL14" s="18" t="str">
        <f>IF(NZ[[#This Row],[Status]]=0,"",NZ[[#This Row],[Status]])</f>
        <v>Broken</v>
      </c>
    </row>
    <row r="15" spans="1:90" ht="15.95">
      <c r="A15" s="36" t="s">
        <v>1176</v>
      </c>
      <c r="B15" s="9" t="s">
        <v>64</v>
      </c>
      <c r="C15" s="36" t="s">
        <v>1189</v>
      </c>
      <c r="D15" s="36" t="s">
        <v>122</v>
      </c>
      <c r="E15" s="36" t="s">
        <v>124</v>
      </c>
      <c r="F15" s="36" t="s">
        <v>125</v>
      </c>
      <c r="G15" s="36" t="s">
        <v>1187</v>
      </c>
      <c r="H15" s="36">
        <v>230226</v>
      </c>
      <c r="I15" s="19">
        <v>189.751</v>
      </c>
      <c r="J15" s="100" t="s">
        <v>1190</v>
      </c>
      <c r="K15" s="18">
        <v>189.7</v>
      </c>
      <c r="L15" s="18">
        <v>0</v>
      </c>
      <c r="M15" s="71">
        <v>250</v>
      </c>
      <c r="N15" s="71">
        <v>36259</v>
      </c>
      <c r="O15" s="71">
        <v>575</v>
      </c>
      <c r="P15" s="18" t="s">
        <v>129</v>
      </c>
      <c r="Q15" s="18" t="s">
        <v>129</v>
      </c>
      <c r="S15" s="36" t="s">
        <v>128</v>
      </c>
      <c r="T15" s="58">
        <v>39448</v>
      </c>
      <c r="U15" s="36" t="s">
        <v>129</v>
      </c>
      <c r="V15" s="58" t="s">
        <v>128</v>
      </c>
      <c r="W15" s="58" t="s">
        <v>123</v>
      </c>
      <c r="X15" s="72" t="s">
        <v>1170</v>
      </c>
      <c r="Y15" s="36" t="s">
        <v>1191</v>
      </c>
      <c r="CB15" s="1" t="s">
        <v>71</v>
      </c>
      <c r="CC15" s="1" t="s">
        <v>18</v>
      </c>
      <c r="CD15" s="1" t="s">
        <v>132</v>
      </c>
      <c r="CF15" s="36" t="str">
        <f>NZ[[#This Row],[Part Type]]</f>
        <v>Nozzle</v>
      </c>
      <c r="CG15" s="18" t="str">
        <f>IF(NZ[[#This Row],[UID]]=0,"",NZ[[#This Row],[Reactor]]&amp;"-"&amp;NZ[[#This Row],[Nozzle Material]])</f>
        <v>Old 1"-Rene 41</v>
      </c>
      <c r="CH15" s="18" t="str">
        <f>IF(NZ[[#This Row],[UID]]=0,"",NZ[[#This Row],[UID]])</f>
        <v>NZ-N</v>
      </c>
      <c r="CL15" s="18" t="str">
        <f>IF(NZ[[#This Row],[Status]]=0,"",NZ[[#This Row],[Status]])</f>
        <v>Broken</v>
      </c>
    </row>
    <row r="16" spans="1:90" ht="15.95">
      <c r="A16" s="36" t="s">
        <v>140</v>
      </c>
      <c r="B16" s="9" t="s">
        <v>64</v>
      </c>
      <c r="C16" s="36" t="s">
        <v>1192</v>
      </c>
      <c r="D16" s="36" t="s">
        <v>122</v>
      </c>
      <c r="E16" s="36" t="s">
        <v>124</v>
      </c>
      <c r="F16" s="36" t="s">
        <v>1167</v>
      </c>
      <c r="G16" s="36" t="s">
        <v>1168</v>
      </c>
      <c r="H16" s="18">
        <v>221004</v>
      </c>
      <c r="I16" s="19">
        <v>190.61799999999999</v>
      </c>
      <c r="J16" s="100" t="s">
        <v>1169</v>
      </c>
      <c r="K16" s="18">
        <v>190.65</v>
      </c>
      <c r="L16" s="18">
        <v>0</v>
      </c>
      <c r="M16" s="71">
        <v>250</v>
      </c>
      <c r="N16" s="71">
        <v>36259</v>
      </c>
      <c r="O16" s="71">
        <v>575</v>
      </c>
      <c r="P16" s="18" t="s">
        <v>129</v>
      </c>
      <c r="Q16" s="18" t="s">
        <v>129</v>
      </c>
      <c r="S16" s="36" t="s">
        <v>128</v>
      </c>
      <c r="T16" s="58">
        <v>39600</v>
      </c>
      <c r="U16" s="36" t="s">
        <v>129</v>
      </c>
      <c r="V16" s="58" t="s">
        <v>128</v>
      </c>
      <c r="W16" s="58" t="s">
        <v>123</v>
      </c>
      <c r="X16" s="72" t="s">
        <v>1170</v>
      </c>
      <c r="Y16" s="36" t="s">
        <v>1193</v>
      </c>
      <c r="CB16" s="1" t="s">
        <v>71</v>
      </c>
      <c r="CC16" s="1" t="s">
        <v>18</v>
      </c>
      <c r="CD16" s="1" t="s">
        <v>132</v>
      </c>
      <c r="CF16" s="36" t="str">
        <f>NZ[[#This Row],[Part Type]]</f>
        <v>Nozzle</v>
      </c>
      <c r="CG16" s="18" t="str">
        <f>IF(NZ[[#This Row],[UID]]=0,"",NZ[[#This Row],[Reactor]]&amp;"-"&amp;NZ[[#This Row],[Nozzle Material]])</f>
        <v>Old 1"-Rene 41</v>
      </c>
      <c r="CH16" s="18" t="str">
        <f>IF(NZ[[#This Row],[UID]]=0,"",NZ[[#This Row],[UID]])</f>
        <v>NZ-P</v>
      </c>
      <c r="CL16" s="11" t="s">
        <v>120</v>
      </c>
    </row>
    <row r="17" spans="1:90" s="11" customFormat="1" ht="15.95">
      <c r="A17" s="9" t="s">
        <v>120</v>
      </c>
      <c r="B17" s="9" t="s">
        <v>64</v>
      </c>
      <c r="C17" s="9" t="s">
        <v>1194</v>
      </c>
      <c r="D17" s="9" t="s">
        <v>182</v>
      </c>
      <c r="E17" s="9" t="s">
        <v>124</v>
      </c>
      <c r="F17" s="9" t="s">
        <v>125</v>
      </c>
      <c r="G17" s="9" t="s">
        <v>1168</v>
      </c>
      <c r="H17" s="9" t="s">
        <v>129</v>
      </c>
      <c r="I17" s="56" t="s">
        <v>129</v>
      </c>
      <c r="J17" s="101" t="s">
        <v>1195</v>
      </c>
      <c r="K17" s="10">
        <v>632.17999999999995</v>
      </c>
      <c r="L17" s="10">
        <v>25.1</v>
      </c>
      <c r="M17" s="5">
        <v>200</v>
      </c>
      <c r="N17" s="5">
        <v>29008</v>
      </c>
      <c r="O17" s="5">
        <v>600</v>
      </c>
      <c r="P17" s="10" t="s">
        <v>129</v>
      </c>
      <c r="Q17" s="10" t="s">
        <v>129</v>
      </c>
      <c r="R17" s="10"/>
      <c r="S17" s="9" t="s">
        <v>178</v>
      </c>
      <c r="T17" s="12">
        <v>39995</v>
      </c>
      <c r="U17" s="36" t="s">
        <v>129</v>
      </c>
      <c r="V17" s="12" t="s">
        <v>128</v>
      </c>
      <c r="W17" s="12" t="s">
        <v>128</v>
      </c>
      <c r="X17" s="67" t="s">
        <v>1196</v>
      </c>
      <c r="CB17" s="1" t="s">
        <v>71</v>
      </c>
      <c r="CC17" s="1" t="s">
        <v>18</v>
      </c>
      <c r="CD17" s="1" t="s">
        <v>132</v>
      </c>
      <c r="CF17" s="134" t="str">
        <f>NZ[[#This Row],[Part Type]]</f>
        <v>Nozzle</v>
      </c>
      <c r="CG17" s="11" t="str">
        <f>IF(NZ[[#This Row],[UID]]=0,"",NZ[[#This Row],[Reactor]]&amp;"-"&amp;NZ[[#This Row],[Nozzle Material]])</f>
        <v>New 1"-Rene 41</v>
      </c>
      <c r="CH17" s="11" t="str">
        <f>IF(NZ[[#This Row],[UID]]=0,"",NZ[[#This Row],[UID]])</f>
        <v>NZ-Q</v>
      </c>
      <c r="CL17" s="11" t="str">
        <f>IF(NZ[[#This Row],[Status]]=0,"",NZ[[#This Row],[Status]])</f>
        <v>Active</v>
      </c>
    </row>
    <row r="18" spans="1:90" s="11" customFormat="1" ht="15.95">
      <c r="A18" s="9" t="s">
        <v>120</v>
      </c>
      <c r="B18" s="9" t="s">
        <v>64</v>
      </c>
      <c r="C18" s="9" t="s">
        <v>1197</v>
      </c>
      <c r="D18" s="9" t="s">
        <v>182</v>
      </c>
      <c r="E18" s="9" t="s">
        <v>124</v>
      </c>
      <c r="F18" s="9" t="s">
        <v>125</v>
      </c>
      <c r="G18" s="9" t="s">
        <v>1168</v>
      </c>
      <c r="H18" s="9" t="s">
        <v>129</v>
      </c>
      <c r="I18" s="56" t="s">
        <v>129</v>
      </c>
      <c r="J18" s="101" t="s">
        <v>1198</v>
      </c>
      <c r="K18" s="10">
        <v>634.84</v>
      </c>
      <c r="L18" s="10">
        <v>25.1</v>
      </c>
      <c r="M18" s="5">
        <v>200</v>
      </c>
      <c r="N18" s="5">
        <v>29008</v>
      </c>
      <c r="O18" s="5">
        <v>600</v>
      </c>
      <c r="P18" s="10" t="s">
        <v>129</v>
      </c>
      <c r="Q18" s="10" t="s">
        <v>129</v>
      </c>
      <c r="R18" s="10"/>
      <c r="S18" s="9" t="s">
        <v>178</v>
      </c>
      <c r="T18" s="12">
        <v>40148</v>
      </c>
      <c r="U18" s="36" t="s">
        <v>129</v>
      </c>
      <c r="V18" s="12" t="s">
        <v>128</v>
      </c>
      <c r="W18" s="12" t="s">
        <v>128</v>
      </c>
      <c r="X18" s="67" t="s">
        <v>1196</v>
      </c>
      <c r="CB18" s="1" t="s">
        <v>71</v>
      </c>
      <c r="CC18" s="1" t="s">
        <v>18</v>
      </c>
      <c r="CD18" s="1" t="s">
        <v>132</v>
      </c>
      <c r="CF18" s="134" t="str">
        <f>NZ[[#This Row],[Part Type]]</f>
        <v>Nozzle</v>
      </c>
      <c r="CG18" s="11" t="str">
        <f>IF(NZ[[#This Row],[UID]]=0,"",NZ[[#This Row],[Reactor]]&amp;"-"&amp;NZ[[#This Row],[Nozzle Material]])</f>
        <v>New 1"-Rene 41</v>
      </c>
      <c r="CH18" s="11" t="str">
        <f>IF(NZ[[#This Row],[UID]]=0,"",NZ[[#This Row],[UID]])</f>
        <v>NZ-R</v>
      </c>
      <c r="CL18" s="11" t="str">
        <f>IF(NZ[[#This Row],[Status]]=0,"",NZ[[#This Row],[Status]])</f>
        <v>Active</v>
      </c>
    </row>
    <row r="19" spans="1:90" s="11" customFormat="1" ht="15.95">
      <c r="A19" s="9" t="s">
        <v>120</v>
      </c>
      <c r="B19" s="9" t="s">
        <v>64</v>
      </c>
      <c r="C19" s="9" t="s">
        <v>1199</v>
      </c>
      <c r="D19" s="9" t="s">
        <v>176</v>
      </c>
      <c r="E19" s="9" t="s">
        <v>124</v>
      </c>
      <c r="F19" s="9" t="s">
        <v>125</v>
      </c>
      <c r="G19" s="9" t="s">
        <v>1168</v>
      </c>
      <c r="H19" s="9" t="s">
        <v>129</v>
      </c>
      <c r="I19" s="56" t="s">
        <v>129</v>
      </c>
      <c r="J19" s="101" t="s">
        <v>1195</v>
      </c>
      <c r="K19" s="10">
        <v>130.21</v>
      </c>
      <c r="L19" s="10">
        <v>0</v>
      </c>
      <c r="M19" s="5">
        <v>400</v>
      </c>
      <c r="N19" s="5">
        <v>58015</v>
      </c>
      <c r="O19" s="5">
        <v>600</v>
      </c>
      <c r="P19" s="10" t="s">
        <v>129</v>
      </c>
      <c r="Q19" s="10" t="s">
        <v>129</v>
      </c>
      <c r="R19" s="10"/>
      <c r="S19" s="9" t="s">
        <v>178</v>
      </c>
      <c r="T19" s="12">
        <v>39995</v>
      </c>
      <c r="U19" s="36" t="s">
        <v>129</v>
      </c>
      <c r="V19" s="12" t="s">
        <v>128</v>
      </c>
      <c r="W19" s="12" t="s">
        <v>128</v>
      </c>
      <c r="X19" s="67" t="s">
        <v>765</v>
      </c>
      <c r="Y19" s="9" t="s">
        <v>1200</v>
      </c>
      <c r="CB19" s="1" t="s">
        <v>71</v>
      </c>
      <c r="CC19" s="1" t="s">
        <v>18</v>
      </c>
      <c r="CD19" s="1" t="s">
        <v>132</v>
      </c>
      <c r="CF19" s="134" t="str">
        <f>NZ[[#This Row],[Part Type]]</f>
        <v>Nozzle</v>
      </c>
      <c r="CG19" s="11" t="str">
        <f>IF(NZ[[#This Row],[UID]]=0,"",NZ[[#This Row],[Reactor]]&amp;"-"&amp;NZ[[#This Row],[Nozzle Material]])</f>
        <v>400 MPa-Rene 41</v>
      </c>
      <c r="CH19" s="11" t="str">
        <f>IF(NZ[[#This Row],[UID]]=0,"",NZ[[#This Row],[UID]])</f>
        <v>NZ-S</v>
      </c>
      <c r="CL19" s="11" t="str">
        <f>IF(NZ[[#This Row],[Status]]=0,"",NZ[[#This Row],[Status]])</f>
        <v>Active</v>
      </c>
    </row>
    <row r="20" spans="1:90" s="11" customFormat="1" ht="15.95">
      <c r="A20" s="9" t="s">
        <v>120</v>
      </c>
      <c r="B20" s="9" t="s">
        <v>64</v>
      </c>
      <c r="C20" s="9" t="s">
        <v>1201</v>
      </c>
      <c r="D20" s="9" t="s">
        <v>176</v>
      </c>
      <c r="E20" s="9" t="s">
        <v>124</v>
      </c>
      <c r="F20" s="9" t="s">
        <v>125</v>
      </c>
      <c r="G20" s="9" t="s">
        <v>1168</v>
      </c>
      <c r="H20" s="9" t="s">
        <v>129</v>
      </c>
      <c r="I20" s="56" t="s">
        <v>129</v>
      </c>
      <c r="J20" s="101" t="s">
        <v>1198</v>
      </c>
      <c r="K20" s="10">
        <v>142.33000000000001</v>
      </c>
      <c r="L20" s="10">
        <v>0</v>
      </c>
      <c r="M20" s="5">
        <v>400</v>
      </c>
      <c r="N20" s="5">
        <v>58015</v>
      </c>
      <c r="O20" s="5">
        <v>600</v>
      </c>
      <c r="P20" s="10" t="s">
        <v>129</v>
      </c>
      <c r="Q20" s="10" t="s">
        <v>129</v>
      </c>
      <c r="R20" s="10"/>
      <c r="S20" s="9" t="s">
        <v>178</v>
      </c>
      <c r="T20" s="12">
        <v>40148</v>
      </c>
      <c r="U20" s="36" t="s">
        <v>129</v>
      </c>
      <c r="V20" s="12" t="s">
        <v>128</v>
      </c>
      <c r="W20" s="12" t="s">
        <v>128</v>
      </c>
      <c r="X20" s="67" t="s">
        <v>765</v>
      </c>
      <c r="CB20" s="1" t="s">
        <v>71</v>
      </c>
      <c r="CC20" s="1" t="s">
        <v>18</v>
      </c>
      <c r="CD20" s="1" t="s">
        <v>132</v>
      </c>
      <c r="CF20" s="134" t="str">
        <f>NZ[[#This Row],[Part Type]]</f>
        <v>Nozzle</v>
      </c>
      <c r="CG20" s="11" t="str">
        <f>IF(NZ[[#This Row],[UID]]=0,"",NZ[[#This Row],[Reactor]]&amp;"-"&amp;NZ[[#This Row],[Nozzle Material]])</f>
        <v>400 MPa-Rene 41</v>
      </c>
      <c r="CH20" s="11" t="str">
        <f>IF(NZ[[#This Row],[UID]]=0,"",NZ[[#This Row],[UID]])</f>
        <v>NZ-T</v>
      </c>
      <c r="CL20" s="11" t="str">
        <f>IF(NZ[[#This Row],[Status]]=0,"",NZ[[#This Row],[Status]])</f>
        <v>Active</v>
      </c>
    </row>
    <row r="21" spans="1:90" s="11" customFormat="1" ht="15.95">
      <c r="A21" s="9" t="s">
        <v>140</v>
      </c>
      <c r="B21" s="9" t="s">
        <v>64</v>
      </c>
      <c r="C21" s="9" t="s">
        <v>1202</v>
      </c>
      <c r="D21" s="9" t="s">
        <v>176</v>
      </c>
      <c r="E21" s="9" t="s">
        <v>124</v>
      </c>
      <c r="F21" s="9" t="s">
        <v>1167</v>
      </c>
      <c r="G21" s="9" t="s">
        <v>1168</v>
      </c>
      <c r="H21" s="9" t="s">
        <v>129</v>
      </c>
      <c r="I21" s="56" t="s">
        <v>129</v>
      </c>
      <c r="J21" s="101" t="s">
        <v>1203</v>
      </c>
      <c r="K21" s="10">
        <v>142.37</v>
      </c>
      <c r="L21" s="10">
        <v>0</v>
      </c>
      <c r="M21" s="5">
        <v>400</v>
      </c>
      <c r="N21" s="5">
        <v>58015</v>
      </c>
      <c r="O21" s="5">
        <v>600</v>
      </c>
      <c r="P21" s="10" t="s">
        <v>129</v>
      </c>
      <c r="Q21" s="10" t="s">
        <v>129</v>
      </c>
      <c r="R21" s="10"/>
      <c r="S21" s="9" t="s">
        <v>128</v>
      </c>
      <c r="T21" s="12">
        <v>40118</v>
      </c>
      <c r="U21" s="36" t="s">
        <v>129</v>
      </c>
      <c r="V21" s="12" t="s">
        <v>128</v>
      </c>
      <c r="W21" s="12" t="s">
        <v>128</v>
      </c>
      <c r="X21" s="67" t="s">
        <v>765</v>
      </c>
      <c r="CB21" s="1" t="s">
        <v>71</v>
      </c>
      <c r="CC21" s="1" t="s">
        <v>18</v>
      </c>
      <c r="CD21" s="1" t="s">
        <v>132</v>
      </c>
      <c r="CF21" s="134" t="str">
        <f>NZ[[#This Row],[Part Type]]</f>
        <v>Nozzle</v>
      </c>
      <c r="CG21" s="11" t="str">
        <f>IF(NZ[[#This Row],[UID]]=0,"",NZ[[#This Row],[Reactor]]&amp;"-"&amp;NZ[[#This Row],[Nozzle Material]])</f>
        <v>400 MPa-Rene 41</v>
      </c>
      <c r="CH21" s="11" t="str">
        <f>IF(NZ[[#This Row],[UID]]=0,"",NZ[[#This Row],[UID]])</f>
        <v>NZ-U</v>
      </c>
      <c r="CL21" s="11" t="s">
        <v>120</v>
      </c>
    </row>
    <row r="22" spans="1:90" ht="15.95">
      <c r="A22" s="36" t="s">
        <v>1204</v>
      </c>
      <c r="B22" s="9" t="s">
        <v>64</v>
      </c>
      <c r="C22" s="36" t="s">
        <v>1205</v>
      </c>
      <c r="D22" s="36" t="s">
        <v>122</v>
      </c>
      <c r="E22" s="36" t="s">
        <v>124</v>
      </c>
      <c r="F22" s="36" t="s">
        <v>1167</v>
      </c>
      <c r="G22" s="36" t="s">
        <v>1187</v>
      </c>
      <c r="H22" s="18">
        <v>221004</v>
      </c>
      <c r="I22" s="19">
        <v>189.29599999999999</v>
      </c>
      <c r="J22" s="100" t="s">
        <v>1190</v>
      </c>
      <c r="K22" s="18">
        <v>189.3</v>
      </c>
      <c r="L22" s="18">
        <v>0</v>
      </c>
      <c r="M22" s="71">
        <v>250</v>
      </c>
      <c r="N22" s="71">
        <v>36259</v>
      </c>
      <c r="O22" s="71">
        <v>575</v>
      </c>
      <c r="P22" s="18" t="s">
        <v>129</v>
      </c>
      <c r="Q22" s="18" t="s">
        <v>129</v>
      </c>
      <c r="S22" s="36" t="s">
        <v>128</v>
      </c>
      <c r="T22" s="58">
        <v>39448</v>
      </c>
      <c r="U22" s="36" t="s">
        <v>129</v>
      </c>
      <c r="V22" s="58" t="s">
        <v>128</v>
      </c>
      <c r="W22" s="58" t="s">
        <v>123</v>
      </c>
      <c r="X22" s="72" t="s">
        <v>1170</v>
      </c>
      <c r="Y22" s="36" t="s">
        <v>1206</v>
      </c>
      <c r="CB22" s="1" t="s">
        <v>71</v>
      </c>
      <c r="CC22" s="1" t="s">
        <v>18</v>
      </c>
      <c r="CD22" s="1" t="s">
        <v>132</v>
      </c>
      <c r="CF22" s="36" t="str">
        <f>NZ[[#This Row],[Part Type]]</f>
        <v>Nozzle</v>
      </c>
      <c r="CG22" s="18" t="str">
        <f>IF(NZ[[#This Row],[UID]]=0,"",NZ[[#This Row],[Reactor]]&amp;"-"&amp;NZ[[#This Row],[Nozzle Material]])</f>
        <v>Old 1"-Rene 41</v>
      </c>
      <c r="CH22" s="18" t="str">
        <f>IF(NZ[[#This Row],[UID]]=0,"",NZ[[#This Row],[UID]])</f>
        <v>NZ-O</v>
      </c>
      <c r="CL22" s="18" t="str">
        <f>IF(NZ[[#This Row],[Status]]=0,"",NZ[[#This Row],[Status]])</f>
        <v>Usable</v>
      </c>
    </row>
    <row r="23" spans="1:90" ht="15.95">
      <c r="A23" s="36" t="s">
        <v>120</v>
      </c>
      <c r="B23" s="9" t="s">
        <v>64</v>
      </c>
      <c r="C23" s="36" t="s">
        <v>1207</v>
      </c>
      <c r="D23" s="36" t="s">
        <v>182</v>
      </c>
      <c r="E23" s="36" t="s">
        <v>124</v>
      </c>
      <c r="F23" s="36" t="s">
        <v>1167</v>
      </c>
      <c r="G23" s="36" t="s">
        <v>1168</v>
      </c>
      <c r="H23" s="18">
        <v>221004</v>
      </c>
      <c r="I23" s="19">
        <v>425.67599999999999</v>
      </c>
      <c r="J23" s="100" t="s">
        <v>1208</v>
      </c>
      <c r="K23" s="18">
        <v>425.76</v>
      </c>
      <c r="L23" s="18">
        <v>0</v>
      </c>
      <c r="M23" s="71">
        <v>200</v>
      </c>
      <c r="N23" s="71">
        <v>29008</v>
      </c>
      <c r="O23" s="71">
        <v>600</v>
      </c>
      <c r="P23" s="18" t="s">
        <v>129</v>
      </c>
      <c r="Q23" s="18" t="s">
        <v>129</v>
      </c>
      <c r="S23" s="36" t="s">
        <v>178</v>
      </c>
      <c r="T23" s="58">
        <v>40575</v>
      </c>
      <c r="U23" s="36" t="s">
        <v>129</v>
      </c>
      <c r="V23" s="58" t="s">
        <v>128</v>
      </c>
      <c r="W23" s="58" t="s">
        <v>123</v>
      </c>
      <c r="X23" s="72" t="s">
        <v>1209</v>
      </c>
      <c r="CB23" s="1" t="s">
        <v>71</v>
      </c>
      <c r="CC23" s="1" t="s">
        <v>18</v>
      </c>
      <c r="CD23" s="1" t="s">
        <v>132</v>
      </c>
      <c r="CF23" s="36" t="str">
        <f>NZ[[#This Row],[Part Type]]</f>
        <v>Nozzle</v>
      </c>
      <c r="CG23" s="18" t="str">
        <f>IF(NZ[[#This Row],[UID]]=0,"",NZ[[#This Row],[Reactor]]&amp;"-"&amp;NZ[[#This Row],[Nozzle Material]])</f>
        <v>New 1"-Rene 41</v>
      </c>
      <c r="CH23" s="18" t="str">
        <f>IF(NZ[[#This Row],[UID]]=0,"",NZ[[#This Row],[UID]])</f>
        <v>NZ-V</v>
      </c>
      <c r="CL23" s="18" t="str">
        <f>IF(NZ[[#This Row],[Status]]=0,"",NZ[[#This Row],[Status]])</f>
        <v>Active</v>
      </c>
    </row>
    <row r="24" spans="1:90" ht="15.95">
      <c r="A24" s="36" t="s">
        <v>120</v>
      </c>
      <c r="B24" s="9" t="s">
        <v>64</v>
      </c>
      <c r="C24" s="36" t="s">
        <v>1210</v>
      </c>
      <c r="D24" s="36" t="s">
        <v>182</v>
      </c>
      <c r="E24" s="36" t="s">
        <v>124</v>
      </c>
      <c r="F24" s="36" t="s">
        <v>1167</v>
      </c>
      <c r="G24" s="36" t="s">
        <v>1168</v>
      </c>
      <c r="H24" s="18">
        <v>221004</v>
      </c>
      <c r="I24" s="19">
        <v>425.87</v>
      </c>
      <c r="J24" s="100" t="s">
        <v>1208</v>
      </c>
      <c r="K24" s="18">
        <v>425.83</v>
      </c>
      <c r="L24" s="18">
        <v>0</v>
      </c>
      <c r="M24" s="71">
        <v>200</v>
      </c>
      <c r="N24" s="71">
        <v>29008</v>
      </c>
      <c r="O24" s="71">
        <v>600</v>
      </c>
      <c r="P24" s="18" t="s">
        <v>129</v>
      </c>
      <c r="Q24" s="18" t="s">
        <v>129</v>
      </c>
      <c r="S24" s="36" t="s">
        <v>178</v>
      </c>
      <c r="T24" s="58">
        <v>40575</v>
      </c>
      <c r="U24" s="36" t="s">
        <v>129</v>
      </c>
      <c r="V24" s="58" t="s">
        <v>128</v>
      </c>
      <c r="W24" s="58" t="s">
        <v>123</v>
      </c>
      <c r="X24" s="72" t="s">
        <v>1209</v>
      </c>
      <c r="CB24" s="1" t="s">
        <v>71</v>
      </c>
      <c r="CC24" s="1" t="s">
        <v>18</v>
      </c>
      <c r="CD24" s="1" t="s">
        <v>132</v>
      </c>
      <c r="CF24" s="36" t="str">
        <f>NZ[[#This Row],[Part Type]]</f>
        <v>Nozzle</v>
      </c>
      <c r="CG24" s="18" t="str">
        <f>IF(NZ[[#This Row],[UID]]=0,"",NZ[[#This Row],[Reactor]]&amp;"-"&amp;NZ[[#This Row],[Nozzle Material]])</f>
        <v>New 1"-Rene 41</v>
      </c>
      <c r="CH24" s="18" t="str">
        <f>IF(NZ[[#This Row],[UID]]=0,"",NZ[[#This Row],[UID]])</f>
        <v>NZ-W</v>
      </c>
      <c r="CL24" s="18" t="str">
        <f>IF(NZ[[#This Row],[Status]]=0,"",NZ[[#This Row],[Status]])</f>
        <v>Active</v>
      </c>
    </row>
    <row r="25" spans="1:90" ht="15.95">
      <c r="A25" s="36" t="s">
        <v>120</v>
      </c>
      <c r="B25" s="9" t="s">
        <v>64</v>
      </c>
      <c r="C25" s="36" t="s">
        <v>1211</v>
      </c>
      <c r="D25" s="36" t="s">
        <v>182</v>
      </c>
      <c r="E25" s="36" t="s">
        <v>124</v>
      </c>
      <c r="F25" s="36" t="s">
        <v>1167</v>
      </c>
      <c r="G25" s="36" t="s">
        <v>1168</v>
      </c>
      <c r="H25" s="18">
        <v>221004</v>
      </c>
      <c r="I25" s="19">
        <v>425.90100000000001</v>
      </c>
      <c r="J25" s="100" t="s">
        <v>1208</v>
      </c>
      <c r="K25" s="18">
        <v>425.74</v>
      </c>
      <c r="L25" s="18">
        <v>0</v>
      </c>
      <c r="M25" s="71">
        <v>200</v>
      </c>
      <c r="N25" s="71">
        <v>29008</v>
      </c>
      <c r="O25" s="71">
        <v>600</v>
      </c>
      <c r="P25" s="18" t="s">
        <v>129</v>
      </c>
      <c r="Q25" s="18" t="s">
        <v>129</v>
      </c>
      <c r="S25" s="36" t="s">
        <v>178</v>
      </c>
      <c r="T25" s="58">
        <v>40575</v>
      </c>
      <c r="U25" s="36" t="s">
        <v>129</v>
      </c>
      <c r="V25" s="58" t="s">
        <v>128</v>
      </c>
      <c r="W25" s="58" t="s">
        <v>123</v>
      </c>
      <c r="X25" s="72" t="s">
        <v>1209</v>
      </c>
      <c r="Y25" s="18" t="s">
        <v>1212</v>
      </c>
      <c r="CB25" s="1" t="s">
        <v>71</v>
      </c>
      <c r="CC25" s="1" t="s">
        <v>18</v>
      </c>
      <c r="CD25" s="1" t="s">
        <v>132</v>
      </c>
      <c r="CF25" s="36" t="str">
        <f>NZ[[#This Row],[Part Type]]</f>
        <v>Nozzle</v>
      </c>
      <c r="CG25" s="18" t="str">
        <f>IF(NZ[[#This Row],[UID]]=0,"",NZ[[#This Row],[Reactor]]&amp;"-"&amp;NZ[[#This Row],[Nozzle Material]])</f>
        <v>New 1"-Rene 41</v>
      </c>
      <c r="CH25" s="18" t="str">
        <f>IF(NZ[[#This Row],[UID]]=0,"",NZ[[#This Row],[UID]])</f>
        <v>NZ-X</v>
      </c>
      <c r="CL25" s="18" t="str">
        <f>IF(NZ[[#This Row],[Status]]=0,"",NZ[[#This Row],[Status]])</f>
        <v>Active</v>
      </c>
    </row>
    <row r="26" spans="1:90" ht="15.95">
      <c r="A26" s="36" t="s">
        <v>120</v>
      </c>
      <c r="B26" s="9" t="s">
        <v>64</v>
      </c>
      <c r="C26" s="36" t="s">
        <v>1213</v>
      </c>
      <c r="D26" s="36" t="s">
        <v>182</v>
      </c>
      <c r="E26" s="36" t="s">
        <v>124</v>
      </c>
      <c r="F26" s="36" t="s">
        <v>1167</v>
      </c>
      <c r="G26" s="36" t="s">
        <v>1168</v>
      </c>
      <c r="H26" s="18">
        <v>221004</v>
      </c>
      <c r="I26" s="19">
        <v>425.65300000000002</v>
      </c>
      <c r="J26" s="100" t="s">
        <v>1208</v>
      </c>
      <c r="K26" s="18">
        <v>425.99</v>
      </c>
      <c r="L26" s="18">
        <v>0</v>
      </c>
      <c r="M26" s="71">
        <v>200</v>
      </c>
      <c r="N26" s="71">
        <v>29008</v>
      </c>
      <c r="O26" s="71">
        <v>600</v>
      </c>
      <c r="P26" s="18" t="s">
        <v>129</v>
      </c>
      <c r="Q26" s="18" t="s">
        <v>129</v>
      </c>
      <c r="S26" s="36" t="s">
        <v>178</v>
      </c>
      <c r="T26" s="58">
        <v>40575</v>
      </c>
      <c r="U26" s="36" t="s">
        <v>129</v>
      </c>
      <c r="V26" s="58" t="s">
        <v>128</v>
      </c>
      <c r="W26" s="58" t="s">
        <v>123</v>
      </c>
      <c r="X26" s="72" t="s">
        <v>1209</v>
      </c>
      <c r="Y26" s="18" t="s">
        <v>1214</v>
      </c>
      <c r="CB26" s="1" t="s">
        <v>71</v>
      </c>
      <c r="CC26" s="1" t="s">
        <v>18</v>
      </c>
      <c r="CD26" s="1" t="s">
        <v>132</v>
      </c>
      <c r="CF26" s="36" t="str">
        <f>NZ[[#This Row],[Part Type]]</f>
        <v>Nozzle</v>
      </c>
      <c r="CG26" s="18" t="str">
        <f>IF(NZ[[#This Row],[UID]]=0,"",NZ[[#This Row],[Reactor]]&amp;"-"&amp;NZ[[#This Row],[Nozzle Material]])</f>
        <v>New 1"-Rene 41</v>
      </c>
      <c r="CH26" s="18" t="str">
        <f>IF(NZ[[#This Row],[UID]]=0,"",NZ[[#This Row],[UID]])</f>
        <v>NZ-Y</v>
      </c>
      <c r="CL26" s="18" t="str">
        <f>IF(NZ[[#This Row],[Status]]=0,"",NZ[[#This Row],[Status]])</f>
        <v>Active</v>
      </c>
    </row>
    <row r="27" spans="1:90" ht="15.95">
      <c r="A27" s="36" t="s">
        <v>120</v>
      </c>
      <c r="B27" s="9" t="s">
        <v>64</v>
      </c>
      <c r="C27" s="36" t="s">
        <v>1215</v>
      </c>
      <c r="D27" s="36" t="s">
        <v>182</v>
      </c>
      <c r="E27" s="36" t="s">
        <v>124</v>
      </c>
      <c r="F27" s="36" t="s">
        <v>1167</v>
      </c>
      <c r="G27" s="36" t="s">
        <v>1168</v>
      </c>
      <c r="H27" s="18">
        <v>221004</v>
      </c>
      <c r="I27" s="19">
        <v>426.846</v>
      </c>
      <c r="J27" s="100" t="s">
        <v>1208</v>
      </c>
      <c r="K27" s="18">
        <v>426.78</v>
      </c>
      <c r="L27" s="18">
        <v>0</v>
      </c>
      <c r="M27" s="71">
        <v>200</v>
      </c>
      <c r="N27" s="71">
        <v>29008</v>
      </c>
      <c r="O27" s="71">
        <v>600</v>
      </c>
      <c r="P27" s="18" t="s">
        <v>129</v>
      </c>
      <c r="Q27" s="18" t="s">
        <v>129</v>
      </c>
      <c r="S27" s="36" t="s">
        <v>178</v>
      </c>
      <c r="T27" s="58">
        <v>40575</v>
      </c>
      <c r="U27" s="36" t="s">
        <v>129</v>
      </c>
      <c r="V27" s="58" t="s">
        <v>128</v>
      </c>
      <c r="W27" s="58" t="s">
        <v>123</v>
      </c>
      <c r="X27" s="72" t="s">
        <v>1209</v>
      </c>
      <c r="Y27" s="18" t="s">
        <v>1216</v>
      </c>
      <c r="CB27" s="1" t="s">
        <v>71</v>
      </c>
      <c r="CC27" s="1" t="s">
        <v>18</v>
      </c>
      <c r="CD27" s="1" t="s">
        <v>132</v>
      </c>
      <c r="CF27" s="36" t="str">
        <f>NZ[[#This Row],[Part Type]]</f>
        <v>Nozzle</v>
      </c>
      <c r="CG27" s="18" t="str">
        <f>IF(NZ[[#This Row],[UID]]=0,"",NZ[[#This Row],[Reactor]]&amp;"-"&amp;NZ[[#This Row],[Nozzle Material]])</f>
        <v>New 1"-Rene 41</v>
      </c>
      <c r="CH27" s="18" t="str">
        <f>IF(NZ[[#This Row],[UID]]=0,"",NZ[[#This Row],[UID]])</f>
        <v>NZ-Z</v>
      </c>
      <c r="CL27" s="18" t="str">
        <f>IF(NZ[[#This Row],[Status]]=0,"",NZ[[#This Row],[Status]])</f>
        <v>Active</v>
      </c>
    </row>
    <row r="28" spans="1:90" ht="15.95">
      <c r="A28" s="36" t="s">
        <v>120</v>
      </c>
      <c r="B28" s="9" t="s">
        <v>64</v>
      </c>
      <c r="C28" s="36" t="s">
        <v>1217</v>
      </c>
      <c r="D28" s="36" t="s">
        <v>182</v>
      </c>
      <c r="E28" s="36" t="s">
        <v>124</v>
      </c>
      <c r="F28" s="36" t="s">
        <v>1167</v>
      </c>
      <c r="G28" s="36" t="s">
        <v>1168</v>
      </c>
      <c r="H28" s="18">
        <v>221004</v>
      </c>
      <c r="I28" s="19">
        <v>421.65</v>
      </c>
      <c r="J28" s="100" t="s">
        <v>1208</v>
      </c>
      <c r="K28" s="18">
        <v>425.72</v>
      </c>
      <c r="L28" s="18">
        <v>0</v>
      </c>
      <c r="M28" s="71">
        <v>200</v>
      </c>
      <c r="N28" s="71">
        <v>29008</v>
      </c>
      <c r="O28" s="71">
        <v>600</v>
      </c>
      <c r="P28" s="18" t="s">
        <v>129</v>
      </c>
      <c r="Q28" s="18" t="s">
        <v>129</v>
      </c>
      <c r="S28" s="36" t="s">
        <v>178</v>
      </c>
      <c r="T28" s="58">
        <v>40575</v>
      </c>
      <c r="U28" s="36" t="s">
        <v>129</v>
      </c>
      <c r="V28" s="58" t="s">
        <v>128</v>
      </c>
      <c r="W28" s="58" t="s">
        <v>123</v>
      </c>
      <c r="X28" s="72" t="s">
        <v>1209</v>
      </c>
      <c r="Y28" s="18" t="s">
        <v>1218</v>
      </c>
      <c r="CB28" s="1" t="s">
        <v>71</v>
      </c>
      <c r="CC28" s="1" t="s">
        <v>18</v>
      </c>
      <c r="CD28" s="1" t="s">
        <v>132</v>
      </c>
      <c r="CF28" s="36" t="str">
        <f>NZ[[#This Row],[Part Type]]</f>
        <v>Nozzle</v>
      </c>
      <c r="CG28" s="18" t="str">
        <f>IF(NZ[[#This Row],[UID]]=0,"",NZ[[#This Row],[Reactor]]&amp;"-"&amp;NZ[[#This Row],[Nozzle Material]])</f>
        <v>New 1"-Rene 41</v>
      </c>
      <c r="CH28" s="18" t="str">
        <f>IF(NZ[[#This Row],[UID]]=0,"",NZ[[#This Row],[UID]])</f>
        <v>NZ-AA</v>
      </c>
      <c r="CL28" s="18" t="str">
        <f>IF(NZ[[#This Row],[Status]]=0,"",NZ[[#This Row],[Status]])</f>
        <v>Active</v>
      </c>
    </row>
    <row r="29" spans="1:90" ht="15.95">
      <c r="A29" s="36" t="s">
        <v>140</v>
      </c>
      <c r="B29" s="9" t="s">
        <v>64</v>
      </c>
      <c r="C29" s="36" t="s">
        <v>1219</v>
      </c>
      <c r="D29" s="36" t="s">
        <v>182</v>
      </c>
      <c r="E29" s="36" t="s">
        <v>164</v>
      </c>
      <c r="F29" s="36" t="s">
        <v>165</v>
      </c>
      <c r="G29" s="36" t="s">
        <v>1168</v>
      </c>
      <c r="H29" s="18">
        <v>221004</v>
      </c>
      <c r="I29" s="19">
        <v>434.49099999999999</v>
      </c>
      <c r="J29" s="100" t="s">
        <v>1208</v>
      </c>
      <c r="K29" s="18">
        <v>434.54</v>
      </c>
      <c r="L29" s="18">
        <v>0</v>
      </c>
      <c r="M29" s="71">
        <v>200</v>
      </c>
      <c r="N29" s="71">
        <v>29008</v>
      </c>
      <c r="O29" s="71">
        <v>600</v>
      </c>
      <c r="P29" s="18" t="s">
        <v>129</v>
      </c>
      <c r="Q29" s="18" t="s">
        <v>129</v>
      </c>
      <c r="S29" s="36" t="s">
        <v>178</v>
      </c>
      <c r="T29" s="58">
        <v>40575</v>
      </c>
      <c r="U29" s="36" t="s">
        <v>129</v>
      </c>
      <c r="V29" s="58" t="s">
        <v>128</v>
      </c>
      <c r="W29" s="58" t="s">
        <v>123</v>
      </c>
      <c r="X29" s="72" t="s">
        <v>1209</v>
      </c>
      <c r="CB29" s="1" t="s">
        <v>71</v>
      </c>
      <c r="CC29" s="1" t="s">
        <v>18</v>
      </c>
      <c r="CD29" s="1" t="s">
        <v>132</v>
      </c>
      <c r="CF29" s="36" t="str">
        <f>NZ[[#This Row],[Part Type]]</f>
        <v>Nozzle</v>
      </c>
      <c r="CG29" s="18" t="str">
        <f>IF(NZ[[#This Row],[UID]]=0,"",NZ[[#This Row],[Reactor]]&amp;"-"&amp;NZ[[#This Row],[Nozzle Material]])</f>
        <v>New 1"-Inconel 625</v>
      </c>
      <c r="CH29" s="18" t="str">
        <f>IF(NZ[[#This Row],[UID]]=0,"",NZ[[#This Row],[UID]])</f>
        <v>NZ-AB</v>
      </c>
      <c r="CL29" s="11" t="s">
        <v>120</v>
      </c>
    </row>
    <row r="30" spans="1:90" ht="15.95">
      <c r="A30" s="36" t="s">
        <v>140</v>
      </c>
      <c r="B30" s="9" t="s">
        <v>64</v>
      </c>
      <c r="C30" s="36" t="s">
        <v>1220</v>
      </c>
      <c r="D30" s="36" t="s">
        <v>182</v>
      </c>
      <c r="E30" s="36" t="s">
        <v>164</v>
      </c>
      <c r="F30" s="36" t="s">
        <v>165</v>
      </c>
      <c r="G30" s="36" t="s">
        <v>1168</v>
      </c>
      <c r="H30" s="18">
        <v>221004</v>
      </c>
      <c r="I30" s="19">
        <v>434.30500000000001</v>
      </c>
      <c r="J30" s="100" t="s">
        <v>1208</v>
      </c>
      <c r="K30" s="18">
        <v>434.37</v>
      </c>
      <c r="L30" s="18">
        <v>0</v>
      </c>
      <c r="M30" s="71">
        <v>200</v>
      </c>
      <c r="N30" s="71">
        <v>29008</v>
      </c>
      <c r="O30" s="71">
        <v>600</v>
      </c>
      <c r="P30" s="18" t="s">
        <v>129</v>
      </c>
      <c r="Q30" s="18" t="s">
        <v>129</v>
      </c>
      <c r="S30" s="36" t="s">
        <v>178</v>
      </c>
      <c r="T30" s="58">
        <v>40575</v>
      </c>
      <c r="U30" s="36" t="s">
        <v>129</v>
      </c>
      <c r="V30" s="58" t="s">
        <v>128</v>
      </c>
      <c r="W30" s="58" t="s">
        <v>123</v>
      </c>
      <c r="X30" s="72" t="s">
        <v>1209</v>
      </c>
      <c r="CB30" s="1" t="s">
        <v>71</v>
      </c>
      <c r="CC30" s="1" t="s">
        <v>18</v>
      </c>
      <c r="CD30" s="1" t="s">
        <v>132</v>
      </c>
      <c r="CF30" s="36" t="str">
        <f>NZ[[#This Row],[Part Type]]</f>
        <v>Nozzle</v>
      </c>
      <c r="CG30" s="18" t="str">
        <f>IF(NZ[[#This Row],[UID]]=0,"",NZ[[#This Row],[Reactor]]&amp;"-"&amp;NZ[[#This Row],[Nozzle Material]])</f>
        <v>New 1"-Inconel 625</v>
      </c>
      <c r="CH30" s="18" t="str">
        <f>IF(NZ[[#This Row],[UID]]=0,"",NZ[[#This Row],[UID]])</f>
        <v>NZ-AC</v>
      </c>
      <c r="CL30" s="11" t="s">
        <v>120</v>
      </c>
    </row>
    <row r="31" spans="1:90" ht="15.95">
      <c r="A31" s="36" t="s">
        <v>140</v>
      </c>
      <c r="B31" s="9" t="s">
        <v>64</v>
      </c>
      <c r="C31" s="36" t="s">
        <v>1221</v>
      </c>
      <c r="D31" s="36" t="s">
        <v>182</v>
      </c>
      <c r="E31" s="36" t="s">
        <v>164</v>
      </c>
      <c r="F31" s="36" t="s">
        <v>165</v>
      </c>
      <c r="G31" s="36" t="s">
        <v>1168</v>
      </c>
      <c r="H31" s="28">
        <v>220929</v>
      </c>
      <c r="I31" s="19">
        <v>433.23500000000001</v>
      </c>
      <c r="J31" s="100" t="s">
        <v>1208</v>
      </c>
      <c r="K31" s="18">
        <v>433.32</v>
      </c>
      <c r="L31" s="18">
        <v>0</v>
      </c>
      <c r="M31" s="71">
        <v>200</v>
      </c>
      <c r="N31" s="71">
        <v>29008</v>
      </c>
      <c r="O31" s="71">
        <v>600</v>
      </c>
      <c r="P31" s="18" t="s">
        <v>129</v>
      </c>
      <c r="Q31" s="18" t="s">
        <v>129</v>
      </c>
      <c r="S31" s="36" t="s">
        <v>178</v>
      </c>
      <c r="T31" s="58">
        <v>40575</v>
      </c>
      <c r="U31" s="36" t="s">
        <v>129</v>
      </c>
      <c r="V31" s="58" t="s">
        <v>128</v>
      </c>
      <c r="W31" s="58" t="s">
        <v>123</v>
      </c>
      <c r="X31" s="72" t="s">
        <v>1209</v>
      </c>
      <c r="CB31" s="1" t="s">
        <v>71</v>
      </c>
      <c r="CC31" s="1" t="s">
        <v>18</v>
      </c>
      <c r="CD31" s="1" t="s">
        <v>132</v>
      </c>
      <c r="CF31" s="36" t="str">
        <f>NZ[[#This Row],[Part Type]]</f>
        <v>Nozzle</v>
      </c>
      <c r="CG31" s="18" t="str">
        <f>IF(NZ[[#This Row],[UID]]=0,"",NZ[[#This Row],[Reactor]]&amp;"-"&amp;NZ[[#This Row],[Nozzle Material]])</f>
        <v>New 1"-Inconel 625</v>
      </c>
      <c r="CH31" s="18" t="str">
        <f>IF(NZ[[#This Row],[UID]]=0,"",NZ[[#This Row],[UID]])</f>
        <v>NZ-AD</v>
      </c>
      <c r="CL31" s="11" t="s">
        <v>120</v>
      </c>
    </row>
    <row r="32" spans="1:90" s="11" customFormat="1" ht="15.95">
      <c r="A32" s="9" t="s">
        <v>140</v>
      </c>
      <c r="B32" s="9" t="s">
        <v>64</v>
      </c>
      <c r="C32" s="9" t="s">
        <v>1222</v>
      </c>
      <c r="D32" s="9" t="s">
        <v>182</v>
      </c>
      <c r="E32" s="9" t="s">
        <v>164</v>
      </c>
      <c r="F32" s="9" t="s">
        <v>165</v>
      </c>
      <c r="G32" s="9" t="s">
        <v>1168</v>
      </c>
      <c r="H32" s="9" t="s">
        <v>129</v>
      </c>
      <c r="I32" s="56" t="s">
        <v>129</v>
      </c>
      <c r="J32" s="100" t="s">
        <v>1208</v>
      </c>
      <c r="K32" s="10">
        <v>434.53</v>
      </c>
      <c r="L32" s="10">
        <v>0</v>
      </c>
      <c r="M32" s="5">
        <v>200</v>
      </c>
      <c r="N32" s="5">
        <v>29008</v>
      </c>
      <c r="O32" s="5">
        <v>600</v>
      </c>
      <c r="P32" s="10" t="s">
        <v>129</v>
      </c>
      <c r="Q32" s="10" t="s">
        <v>129</v>
      </c>
      <c r="R32" s="10"/>
      <c r="S32" s="9" t="s">
        <v>178</v>
      </c>
      <c r="T32" s="12">
        <v>40575</v>
      </c>
      <c r="U32" s="36" t="s">
        <v>129</v>
      </c>
      <c r="V32" s="12" t="s">
        <v>128</v>
      </c>
      <c r="W32" s="12" t="s">
        <v>128</v>
      </c>
      <c r="X32" s="67" t="s">
        <v>1209</v>
      </c>
      <c r="CB32" s="1" t="s">
        <v>71</v>
      </c>
      <c r="CC32" s="1" t="s">
        <v>18</v>
      </c>
      <c r="CD32" s="1" t="s">
        <v>132</v>
      </c>
      <c r="CF32" s="134" t="str">
        <f>NZ[[#This Row],[Part Type]]</f>
        <v>Nozzle</v>
      </c>
      <c r="CG32" s="11" t="str">
        <f>IF(NZ[[#This Row],[UID]]=0,"",NZ[[#This Row],[Reactor]]&amp;"-"&amp;NZ[[#This Row],[Nozzle Material]])</f>
        <v>New 1"-Inconel 625</v>
      </c>
      <c r="CH32" s="11" t="str">
        <f>IF(NZ[[#This Row],[UID]]=0,"",NZ[[#This Row],[UID]])</f>
        <v>NZ-AE</v>
      </c>
      <c r="CL32" s="11" t="s">
        <v>120</v>
      </c>
    </row>
    <row r="33" spans="1:90" ht="15.95">
      <c r="A33" s="36" t="s">
        <v>140</v>
      </c>
      <c r="B33" s="9" t="s">
        <v>64</v>
      </c>
      <c r="C33" s="36" t="s">
        <v>1223</v>
      </c>
      <c r="D33" s="36" t="s">
        <v>182</v>
      </c>
      <c r="E33" s="36" t="s">
        <v>124</v>
      </c>
      <c r="F33" s="36" t="s">
        <v>1167</v>
      </c>
      <c r="G33" s="36" t="s">
        <v>1168</v>
      </c>
      <c r="H33" s="18">
        <v>221004</v>
      </c>
      <c r="I33" s="19">
        <v>421.94</v>
      </c>
      <c r="J33" s="100" t="s">
        <v>1224</v>
      </c>
      <c r="K33" s="18">
        <v>421.92</v>
      </c>
      <c r="L33" s="18">
        <v>0</v>
      </c>
      <c r="M33" s="71">
        <v>200</v>
      </c>
      <c r="N33" s="71">
        <v>29008</v>
      </c>
      <c r="O33" s="71">
        <v>600</v>
      </c>
      <c r="P33" s="18" t="s">
        <v>129</v>
      </c>
      <c r="Q33" s="18" t="s">
        <v>129</v>
      </c>
      <c r="S33" s="36" t="s">
        <v>128</v>
      </c>
      <c r="T33" s="58">
        <v>40674</v>
      </c>
      <c r="U33" s="36" t="s">
        <v>129</v>
      </c>
      <c r="V33" s="58" t="s">
        <v>128</v>
      </c>
      <c r="W33" s="58" t="s">
        <v>123</v>
      </c>
      <c r="X33" s="72" t="s">
        <v>1209</v>
      </c>
      <c r="CB33" s="1" t="s">
        <v>71</v>
      </c>
      <c r="CC33" s="1" t="s">
        <v>18</v>
      </c>
      <c r="CD33" s="1" t="s">
        <v>132</v>
      </c>
      <c r="CF33" s="36" t="str">
        <f>NZ[[#This Row],[Part Type]]</f>
        <v>Nozzle</v>
      </c>
      <c r="CG33" s="18" t="str">
        <f>IF(NZ[[#This Row],[UID]]=0,"",NZ[[#This Row],[Reactor]]&amp;"-"&amp;NZ[[#This Row],[Nozzle Material]])</f>
        <v>New 1"-Rene 41</v>
      </c>
      <c r="CH33" s="18" t="str">
        <f>IF(NZ[[#This Row],[UID]]=0,"",NZ[[#This Row],[UID]])</f>
        <v>NZ-AF</v>
      </c>
      <c r="CL33" s="11" t="s">
        <v>120</v>
      </c>
    </row>
    <row r="34" spans="1:90" ht="15.95">
      <c r="A34" s="36" t="s">
        <v>140</v>
      </c>
      <c r="B34" s="9" t="s">
        <v>64</v>
      </c>
      <c r="C34" s="36" t="s">
        <v>1225</v>
      </c>
      <c r="D34" s="36" t="s">
        <v>182</v>
      </c>
      <c r="E34" s="36" t="s">
        <v>124</v>
      </c>
      <c r="F34" s="36" t="s">
        <v>1167</v>
      </c>
      <c r="G34" s="36" t="s">
        <v>1168</v>
      </c>
      <c r="H34" s="18">
        <v>221004</v>
      </c>
      <c r="I34" s="19">
        <v>416.36799999999999</v>
      </c>
      <c r="J34" s="100" t="s">
        <v>1224</v>
      </c>
      <c r="K34" s="18">
        <v>420.39</v>
      </c>
      <c r="L34" s="18">
        <v>0</v>
      </c>
      <c r="M34" s="71">
        <v>200</v>
      </c>
      <c r="N34" s="71">
        <v>29008</v>
      </c>
      <c r="O34" s="71">
        <v>600</v>
      </c>
      <c r="P34" s="18" t="s">
        <v>129</v>
      </c>
      <c r="Q34" s="18" t="s">
        <v>129</v>
      </c>
      <c r="S34" s="36" t="s">
        <v>128</v>
      </c>
      <c r="T34" s="58">
        <v>40674</v>
      </c>
      <c r="U34" s="36" t="s">
        <v>129</v>
      </c>
      <c r="V34" s="58" t="s">
        <v>128</v>
      </c>
      <c r="W34" s="58" t="s">
        <v>123</v>
      </c>
      <c r="X34" s="72" t="s">
        <v>1209</v>
      </c>
      <c r="Y34" s="18" t="s">
        <v>1218</v>
      </c>
      <c r="CB34" s="1" t="s">
        <v>71</v>
      </c>
      <c r="CC34" s="1" t="s">
        <v>18</v>
      </c>
      <c r="CD34" s="1" t="s">
        <v>132</v>
      </c>
      <c r="CF34" s="36" t="str">
        <f>NZ[[#This Row],[Part Type]]</f>
        <v>Nozzle</v>
      </c>
      <c r="CG34" s="18" t="str">
        <f>IF(NZ[[#This Row],[UID]]=0,"",NZ[[#This Row],[Reactor]]&amp;"-"&amp;NZ[[#This Row],[Nozzle Material]])</f>
        <v>New 1"-Rene 41</v>
      </c>
      <c r="CH34" s="18" t="str">
        <f>IF(NZ[[#This Row],[UID]]=0,"",NZ[[#This Row],[UID]])</f>
        <v>NZ-AG</v>
      </c>
      <c r="CL34" s="11" t="s">
        <v>120</v>
      </c>
    </row>
    <row r="35" spans="1:90" ht="15.95">
      <c r="A35" s="36" t="s">
        <v>120</v>
      </c>
      <c r="B35" s="9" t="s">
        <v>64</v>
      </c>
      <c r="C35" s="36" t="s">
        <v>1226</v>
      </c>
      <c r="D35" s="36" t="s">
        <v>122</v>
      </c>
      <c r="E35" s="36" t="s">
        <v>124</v>
      </c>
      <c r="F35" s="36" t="s">
        <v>1167</v>
      </c>
      <c r="G35" s="36" t="s">
        <v>1168</v>
      </c>
      <c r="H35" s="18">
        <v>221004</v>
      </c>
      <c r="I35" s="19">
        <v>170.02</v>
      </c>
      <c r="J35" s="36" t="s">
        <v>129</v>
      </c>
      <c r="K35" s="36" t="s">
        <v>129</v>
      </c>
      <c r="L35" s="18" t="s">
        <v>1227</v>
      </c>
      <c r="M35" s="71">
        <v>250</v>
      </c>
      <c r="N35" s="71">
        <v>36259</v>
      </c>
      <c r="O35" s="71">
        <v>575</v>
      </c>
      <c r="P35" s="18" t="s">
        <v>129</v>
      </c>
      <c r="Q35" s="18" t="s">
        <v>129</v>
      </c>
      <c r="S35" s="36" t="s">
        <v>128</v>
      </c>
      <c r="T35" s="58">
        <v>41501</v>
      </c>
      <c r="U35" s="36" t="s">
        <v>129</v>
      </c>
      <c r="V35" s="58" t="s">
        <v>128</v>
      </c>
      <c r="W35" s="58" t="s">
        <v>123</v>
      </c>
      <c r="X35" s="72" t="s">
        <v>1170</v>
      </c>
      <c r="Y35" s="36" t="s">
        <v>1228</v>
      </c>
      <c r="CB35" s="1" t="s">
        <v>71</v>
      </c>
      <c r="CC35" s="1" t="s">
        <v>18</v>
      </c>
      <c r="CD35" s="1" t="s">
        <v>132</v>
      </c>
      <c r="CF35" s="36" t="str">
        <f>NZ[[#This Row],[Part Type]]</f>
        <v>Nozzle</v>
      </c>
      <c r="CG35" s="18" t="str">
        <f>IF(NZ[[#This Row],[UID]]=0,"",NZ[[#This Row],[Reactor]]&amp;"-"&amp;NZ[[#This Row],[Nozzle Material]])</f>
        <v>Old 1"-Rene 41</v>
      </c>
      <c r="CH35" s="18" t="str">
        <f>IF(NZ[[#This Row],[UID]]=0,"",NZ[[#This Row],[UID]])</f>
        <v>NZ-AH</v>
      </c>
      <c r="CL35" s="18" t="str">
        <f>IF(NZ[[#This Row],[Status]]=0,"",NZ[[#This Row],[Status]])</f>
        <v>Active</v>
      </c>
    </row>
    <row r="36" spans="1:90" ht="15.95">
      <c r="A36" s="36" t="s">
        <v>140</v>
      </c>
      <c r="B36" s="9" t="s">
        <v>64</v>
      </c>
      <c r="C36" s="36" t="s">
        <v>1229</v>
      </c>
      <c r="D36" s="36" t="s">
        <v>122</v>
      </c>
      <c r="E36" s="36" t="s">
        <v>124</v>
      </c>
      <c r="F36" s="36" t="s">
        <v>1167</v>
      </c>
      <c r="G36" s="36" t="s">
        <v>1168</v>
      </c>
      <c r="H36" s="18">
        <v>221004</v>
      </c>
      <c r="I36" s="19">
        <v>190.23</v>
      </c>
      <c r="J36" s="36" t="s">
        <v>129</v>
      </c>
      <c r="K36" s="36" t="s">
        <v>129</v>
      </c>
      <c r="L36" s="18">
        <v>0</v>
      </c>
      <c r="M36" s="71">
        <v>250</v>
      </c>
      <c r="N36" s="71">
        <v>36259</v>
      </c>
      <c r="O36" s="71">
        <v>575</v>
      </c>
      <c r="P36" s="18" t="s">
        <v>129</v>
      </c>
      <c r="Q36" s="18" t="s">
        <v>129</v>
      </c>
      <c r="S36" s="36" t="s">
        <v>128</v>
      </c>
      <c r="T36" s="58" t="s">
        <v>171</v>
      </c>
      <c r="U36" s="36" t="s">
        <v>129</v>
      </c>
      <c r="V36" s="58" t="s">
        <v>128</v>
      </c>
      <c r="W36" s="58" t="s">
        <v>123</v>
      </c>
      <c r="X36" s="72" t="s">
        <v>1170</v>
      </c>
      <c r="Y36" s="58" t="s">
        <v>1230</v>
      </c>
      <c r="CB36" s="1" t="s">
        <v>71</v>
      </c>
      <c r="CC36" s="1" t="s">
        <v>18</v>
      </c>
      <c r="CD36" s="1" t="s">
        <v>132</v>
      </c>
      <c r="CF36" s="36" t="str">
        <f>NZ[[#This Row],[Part Type]]</f>
        <v>Nozzle</v>
      </c>
      <c r="CG36" s="18" t="str">
        <f>IF(NZ[[#This Row],[UID]]=0,"",NZ[[#This Row],[Reactor]]&amp;"-"&amp;NZ[[#This Row],[Nozzle Material]])</f>
        <v>Old 1"-Rene 41</v>
      </c>
      <c r="CH36" s="18" t="str">
        <f>IF(NZ[[#This Row],[UID]]=0,"",NZ[[#This Row],[UID]])</f>
        <v>NZ-AI</v>
      </c>
      <c r="CL36" s="11" t="s">
        <v>120</v>
      </c>
    </row>
    <row r="37" spans="1:90" ht="15.95">
      <c r="A37" s="36" t="s">
        <v>140</v>
      </c>
      <c r="B37" s="9" t="s">
        <v>64</v>
      </c>
      <c r="C37" s="36" t="s">
        <v>1231</v>
      </c>
      <c r="D37" s="36" t="s">
        <v>122</v>
      </c>
      <c r="E37" s="36" t="s">
        <v>124</v>
      </c>
      <c r="F37" s="36" t="s">
        <v>1167</v>
      </c>
      <c r="G37" s="36" t="s">
        <v>1168</v>
      </c>
      <c r="H37" s="18">
        <v>221004</v>
      </c>
      <c r="I37" s="19">
        <v>189.90899999999999</v>
      </c>
      <c r="J37" s="36" t="s">
        <v>129</v>
      </c>
      <c r="K37" s="36" t="s">
        <v>129</v>
      </c>
      <c r="L37" s="18">
        <v>0</v>
      </c>
      <c r="M37" s="71">
        <v>250</v>
      </c>
      <c r="N37" s="71">
        <v>36259</v>
      </c>
      <c r="O37" s="71">
        <v>575</v>
      </c>
      <c r="P37" s="18" t="s">
        <v>129</v>
      </c>
      <c r="Q37" s="18" t="s">
        <v>129</v>
      </c>
      <c r="S37" s="36" t="s">
        <v>128</v>
      </c>
      <c r="T37" s="58" t="s">
        <v>171</v>
      </c>
      <c r="U37" s="36" t="s">
        <v>129</v>
      </c>
      <c r="V37" s="58" t="s">
        <v>128</v>
      </c>
      <c r="W37" s="58" t="s">
        <v>123</v>
      </c>
      <c r="X37" s="72" t="s">
        <v>1170</v>
      </c>
      <c r="Y37" s="58" t="s">
        <v>1230</v>
      </c>
      <c r="CB37" s="1" t="s">
        <v>71</v>
      </c>
      <c r="CC37" s="1" t="s">
        <v>18</v>
      </c>
      <c r="CD37" s="1" t="s">
        <v>132</v>
      </c>
      <c r="CF37" s="36" t="str">
        <f>NZ[[#This Row],[Part Type]]</f>
        <v>Nozzle</v>
      </c>
      <c r="CG37" s="18" t="str">
        <f>IF(NZ[[#This Row],[UID]]=0,"",NZ[[#This Row],[Reactor]]&amp;"-"&amp;NZ[[#This Row],[Nozzle Material]])</f>
        <v>Old 1"-Rene 41</v>
      </c>
      <c r="CH37" s="18" t="str">
        <f>IF(NZ[[#This Row],[UID]]=0,"",NZ[[#This Row],[UID]])</f>
        <v>NZ-AJ</v>
      </c>
      <c r="CL37" s="11" t="s">
        <v>120</v>
      </c>
    </row>
    <row r="38" spans="1:90" ht="15.95">
      <c r="A38" s="36" t="s">
        <v>120</v>
      </c>
      <c r="B38" s="9" t="s">
        <v>64</v>
      </c>
      <c r="C38" s="36" t="s">
        <v>1232</v>
      </c>
      <c r="D38" s="36" t="s">
        <v>122</v>
      </c>
      <c r="E38" s="36" t="s">
        <v>124</v>
      </c>
      <c r="F38" s="36" t="s">
        <v>1167</v>
      </c>
      <c r="G38" s="36" t="s">
        <v>1168</v>
      </c>
      <c r="H38" s="18">
        <v>221004</v>
      </c>
      <c r="I38" s="19">
        <v>190.56</v>
      </c>
      <c r="J38" s="36" t="s">
        <v>129</v>
      </c>
      <c r="K38" s="36" t="s">
        <v>129</v>
      </c>
      <c r="L38" s="18">
        <v>0</v>
      </c>
      <c r="M38" s="71">
        <v>250</v>
      </c>
      <c r="N38" s="71">
        <v>36259</v>
      </c>
      <c r="O38" s="71">
        <v>575</v>
      </c>
      <c r="P38" s="18" t="s">
        <v>129</v>
      </c>
      <c r="Q38" s="18" t="s">
        <v>129</v>
      </c>
      <c r="S38" s="36" t="s">
        <v>128</v>
      </c>
      <c r="T38" s="58" t="s">
        <v>171</v>
      </c>
      <c r="U38" s="36" t="s">
        <v>129</v>
      </c>
      <c r="V38" s="58" t="s">
        <v>128</v>
      </c>
      <c r="W38" s="58" t="s">
        <v>123</v>
      </c>
      <c r="X38" s="72" t="s">
        <v>1170</v>
      </c>
      <c r="Y38" s="18" t="s">
        <v>1233</v>
      </c>
      <c r="CB38" s="1" t="s">
        <v>71</v>
      </c>
      <c r="CC38" s="1" t="s">
        <v>18</v>
      </c>
      <c r="CD38" s="1" t="s">
        <v>132</v>
      </c>
      <c r="CF38" s="36" t="str">
        <f>NZ[[#This Row],[Part Type]]</f>
        <v>Nozzle</v>
      </c>
      <c r="CG38" s="18" t="str">
        <f>IF(NZ[[#This Row],[UID]]=0,"",NZ[[#This Row],[Reactor]]&amp;"-"&amp;NZ[[#This Row],[Nozzle Material]])</f>
        <v>Old 1"-Rene 41</v>
      </c>
      <c r="CH38" s="18" t="str">
        <f>IF(NZ[[#This Row],[UID]]=0,"",NZ[[#This Row],[UID]])</f>
        <v>NZ-AK</v>
      </c>
      <c r="CL38" s="18" t="str">
        <f>IF(NZ[[#This Row],[Status]]=0,"",NZ[[#This Row],[Status]])</f>
        <v>Active</v>
      </c>
    </row>
    <row r="39" spans="1:90" ht="15.95">
      <c r="A39" s="36" t="s">
        <v>140</v>
      </c>
      <c r="B39" s="9" t="s">
        <v>64</v>
      </c>
      <c r="C39" s="36" t="s">
        <v>1234</v>
      </c>
      <c r="D39" s="36" t="s">
        <v>122</v>
      </c>
      <c r="E39" s="36" t="s">
        <v>164</v>
      </c>
      <c r="F39" s="36" t="s">
        <v>165</v>
      </c>
      <c r="G39" s="36" t="s">
        <v>1168</v>
      </c>
      <c r="H39" s="18">
        <v>221004</v>
      </c>
      <c r="I39" s="19">
        <v>194.20099999999999</v>
      </c>
      <c r="J39" s="36" t="s">
        <v>129</v>
      </c>
      <c r="K39" s="36" t="s">
        <v>129</v>
      </c>
      <c r="L39" s="18">
        <v>0</v>
      </c>
      <c r="M39" s="71">
        <v>100</v>
      </c>
      <c r="N39" s="71">
        <v>14504</v>
      </c>
      <c r="O39" s="71">
        <v>575</v>
      </c>
      <c r="P39" s="18" t="s">
        <v>129</v>
      </c>
      <c r="Q39" s="18" t="s">
        <v>129</v>
      </c>
      <c r="S39" s="36" t="s">
        <v>128</v>
      </c>
      <c r="T39" s="58" t="s">
        <v>171</v>
      </c>
      <c r="U39" s="36" t="s">
        <v>129</v>
      </c>
      <c r="V39" s="58" t="s">
        <v>128</v>
      </c>
      <c r="W39" s="58" t="s">
        <v>123</v>
      </c>
      <c r="X39" s="72" t="s">
        <v>1170</v>
      </c>
      <c r="Y39" s="58" t="s">
        <v>1230</v>
      </c>
      <c r="CB39" s="1" t="s">
        <v>71</v>
      </c>
      <c r="CC39" s="1" t="s">
        <v>18</v>
      </c>
      <c r="CD39" s="1" t="s">
        <v>132</v>
      </c>
      <c r="CF39" s="36" t="str">
        <f>NZ[[#This Row],[Part Type]]</f>
        <v>Nozzle</v>
      </c>
      <c r="CG39" s="18" t="str">
        <f>IF(NZ[[#This Row],[UID]]=0,"",NZ[[#This Row],[Reactor]]&amp;"-"&amp;NZ[[#This Row],[Nozzle Material]])</f>
        <v>Old 1"-Inconel 625</v>
      </c>
      <c r="CH39" s="18" t="str">
        <f>IF(NZ[[#This Row],[UID]]=0,"",NZ[[#This Row],[UID]])</f>
        <v>NZ-AL</v>
      </c>
      <c r="CL39" s="11" t="s">
        <v>120</v>
      </c>
    </row>
    <row r="40" spans="1:90" ht="15.95">
      <c r="A40" s="36" t="s">
        <v>140</v>
      </c>
      <c r="B40" s="9" t="s">
        <v>64</v>
      </c>
      <c r="C40" s="36" t="s">
        <v>1235</v>
      </c>
      <c r="D40" s="36" t="s">
        <v>122</v>
      </c>
      <c r="E40" s="36" t="s">
        <v>164</v>
      </c>
      <c r="F40" s="36" t="s">
        <v>165</v>
      </c>
      <c r="G40" s="36" t="s">
        <v>1168</v>
      </c>
      <c r="H40" s="18">
        <v>221004</v>
      </c>
      <c r="I40" s="19">
        <v>193.12899999999999</v>
      </c>
      <c r="J40" s="36" t="s">
        <v>129</v>
      </c>
      <c r="K40" s="36" t="s">
        <v>129</v>
      </c>
      <c r="L40" s="18">
        <v>0</v>
      </c>
      <c r="M40" s="71">
        <v>100</v>
      </c>
      <c r="N40" s="71">
        <v>14504</v>
      </c>
      <c r="O40" s="71">
        <v>575</v>
      </c>
      <c r="P40" s="18" t="s">
        <v>129</v>
      </c>
      <c r="Q40" s="18" t="s">
        <v>129</v>
      </c>
      <c r="S40" s="36" t="s">
        <v>128</v>
      </c>
      <c r="T40" s="58" t="s">
        <v>171</v>
      </c>
      <c r="U40" s="36" t="s">
        <v>129</v>
      </c>
      <c r="V40" s="58" t="s">
        <v>128</v>
      </c>
      <c r="W40" s="58" t="s">
        <v>123</v>
      </c>
      <c r="X40" s="72" t="s">
        <v>1170</v>
      </c>
      <c r="Y40" s="58" t="s">
        <v>1230</v>
      </c>
      <c r="CB40" s="1" t="s">
        <v>71</v>
      </c>
      <c r="CC40" s="1" t="s">
        <v>18</v>
      </c>
      <c r="CD40" s="1" t="s">
        <v>132</v>
      </c>
      <c r="CF40" s="36" t="str">
        <f>NZ[[#This Row],[Part Type]]</f>
        <v>Nozzle</v>
      </c>
      <c r="CG40" s="18" t="str">
        <f>IF(NZ[[#This Row],[UID]]=0,"",NZ[[#This Row],[Reactor]]&amp;"-"&amp;NZ[[#This Row],[Nozzle Material]])</f>
        <v>Old 1"-Inconel 625</v>
      </c>
      <c r="CH40" s="18" t="str">
        <f>IF(NZ[[#This Row],[UID]]=0,"",NZ[[#This Row],[UID]])</f>
        <v>NZ-AM</v>
      </c>
      <c r="CL40" s="11" t="s">
        <v>120</v>
      </c>
    </row>
    <row r="41" spans="1:90" ht="15.95">
      <c r="A41" s="36" t="s">
        <v>120</v>
      </c>
      <c r="B41" s="9" t="s">
        <v>64</v>
      </c>
      <c r="C41" s="36" t="s">
        <v>1236</v>
      </c>
      <c r="D41" s="36" t="s">
        <v>122</v>
      </c>
      <c r="E41" s="36" t="s">
        <v>164</v>
      </c>
      <c r="F41" s="36" t="s">
        <v>165</v>
      </c>
      <c r="G41" s="36" t="s">
        <v>1168</v>
      </c>
      <c r="H41" s="18">
        <v>221004</v>
      </c>
      <c r="I41" s="19">
        <v>186.75800000000001</v>
      </c>
      <c r="J41" s="36" t="s">
        <v>129</v>
      </c>
      <c r="K41" s="36" t="s">
        <v>129</v>
      </c>
      <c r="L41" s="18">
        <v>0</v>
      </c>
      <c r="M41" s="71">
        <v>100</v>
      </c>
      <c r="N41" s="71">
        <v>14504</v>
      </c>
      <c r="O41" s="71">
        <v>575</v>
      </c>
      <c r="P41" s="18" t="s">
        <v>129</v>
      </c>
      <c r="Q41" s="18" t="s">
        <v>129</v>
      </c>
      <c r="S41" s="36" t="s">
        <v>128</v>
      </c>
      <c r="T41" s="58" t="s">
        <v>171</v>
      </c>
      <c r="U41" s="36" t="s">
        <v>129</v>
      </c>
      <c r="V41" s="58" t="s">
        <v>128</v>
      </c>
      <c r="W41" s="58" t="s">
        <v>123</v>
      </c>
      <c r="X41" s="72" t="s">
        <v>1170</v>
      </c>
      <c r="Y41" s="18" t="s">
        <v>1233</v>
      </c>
      <c r="CB41" s="1" t="s">
        <v>71</v>
      </c>
      <c r="CC41" s="1" t="s">
        <v>18</v>
      </c>
      <c r="CD41" s="1" t="s">
        <v>132</v>
      </c>
      <c r="CF41" s="36" t="str">
        <f>NZ[[#This Row],[Part Type]]</f>
        <v>Nozzle</v>
      </c>
      <c r="CG41" s="18" t="str">
        <f>IF(NZ[[#This Row],[UID]]=0,"",NZ[[#This Row],[Reactor]]&amp;"-"&amp;NZ[[#This Row],[Nozzle Material]])</f>
        <v>Old 1"-Inconel 625</v>
      </c>
      <c r="CH41" s="18" t="str">
        <f>IF(NZ[[#This Row],[UID]]=0,"",NZ[[#This Row],[UID]])</f>
        <v>NZ-AN</v>
      </c>
      <c r="CL41" s="18" t="str">
        <f>IF(NZ[[#This Row],[Status]]=0,"",NZ[[#This Row],[Status]])</f>
        <v>Active</v>
      </c>
    </row>
    <row r="42" spans="1:90" ht="15.95">
      <c r="A42" s="36" t="s">
        <v>120</v>
      </c>
      <c r="B42" s="9" t="s">
        <v>64</v>
      </c>
      <c r="C42" s="36" t="s">
        <v>1237</v>
      </c>
      <c r="D42" s="36" t="s">
        <v>122</v>
      </c>
      <c r="E42" s="36" t="s">
        <v>164</v>
      </c>
      <c r="F42" s="36" t="s">
        <v>165</v>
      </c>
      <c r="G42" s="36" t="s">
        <v>1168</v>
      </c>
      <c r="H42" s="18">
        <v>221004</v>
      </c>
      <c r="I42" s="19">
        <v>196.327</v>
      </c>
      <c r="J42" s="36" t="s">
        <v>129</v>
      </c>
      <c r="K42" s="36" t="s">
        <v>129</v>
      </c>
      <c r="L42" s="18">
        <v>0</v>
      </c>
      <c r="M42" s="71">
        <v>100</v>
      </c>
      <c r="N42" s="71">
        <v>14504</v>
      </c>
      <c r="O42" s="71">
        <v>575</v>
      </c>
      <c r="P42" s="18" t="s">
        <v>129</v>
      </c>
      <c r="Q42" s="18" t="s">
        <v>129</v>
      </c>
      <c r="S42" s="36" t="s">
        <v>128</v>
      </c>
      <c r="T42" s="58" t="s">
        <v>171</v>
      </c>
      <c r="U42" s="36" t="s">
        <v>129</v>
      </c>
      <c r="V42" s="58" t="s">
        <v>128</v>
      </c>
      <c r="W42" s="58" t="s">
        <v>123</v>
      </c>
      <c r="X42" s="72" t="s">
        <v>1170</v>
      </c>
      <c r="Y42" s="18" t="s">
        <v>1233</v>
      </c>
      <c r="CB42" s="1" t="s">
        <v>71</v>
      </c>
      <c r="CC42" s="1" t="s">
        <v>18</v>
      </c>
      <c r="CD42" s="1" t="s">
        <v>132</v>
      </c>
      <c r="CF42" s="36" t="str">
        <f>NZ[[#This Row],[Part Type]]</f>
        <v>Nozzle</v>
      </c>
      <c r="CG42" s="18" t="str">
        <f>IF(NZ[[#This Row],[UID]]=0,"",NZ[[#This Row],[Reactor]]&amp;"-"&amp;NZ[[#This Row],[Nozzle Material]])</f>
        <v>Old 1"-Inconel 625</v>
      </c>
      <c r="CH42" s="18" t="str">
        <f>IF(NZ[[#This Row],[UID]]=0,"",NZ[[#This Row],[UID]])</f>
        <v>NZ-AO</v>
      </c>
      <c r="CL42" s="18" t="str">
        <f>IF(NZ[[#This Row],[Status]]=0,"",NZ[[#This Row],[Status]])</f>
        <v>Active</v>
      </c>
    </row>
    <row r="43" spans="1:90" ht="15.95">
      <c r="A43" s="36" t="s">
        <v>1176</v>
      </c>
      <c r="B43" s="9" t="s">
        <v>64</v>
      </c>
      <c r="C43" s="36" t="s">
        <v>1238</v>
      </c>
      <c r="D43" s="36" t="s">
        <v>122</v>
      </c>
      <c r="E43" s="36" t="s">
        <v>164</v>
      </c>
      <c r="F43" s="36" t="s">
        <v>165</v>
      </c>
      <c r="G43" s="36" t="s">
        <v>1168</v>
      </c>
      <c r="H43" s="36">
        <v>230226</v>
      </c>
      <c r="I43" s="19">
        <v>188.72900000000001</v>
      </c>
      <c r="J43" s="100" t="s">
        <v>129</v>
      </c>
      <c r="K43" s="18" t="s">
        <v>129</v>
      </c>
      <c r="L43" s="18">
        <v>0</v>
      </c>
      <c r="M43" s="71">
        <v>100</v>
      </c>
      <c r="N43" s="71">
        <v>14504</v>
      </c>
      <c r="O43" s="71">
        <v>575</v>
      </c>
      <c r="P43" s="18" t="s">
        <v>129</v>
      </c>
      <c r="Q43" s="18" t="s">
        <v>129</v>
      </c>
      <c r="S43" s="36" t="s">
        <v>128</v>
      </c>
      <c r="T43" s="58">
        <v>39600</v>
      </c>
      <c r="U43" s="36" t="s">
        <v>129</v>
      </c>
      <c r="V43" s="58" t="s">
        <v>128</v>
      </c>
      <c r="W43" s="58" t="s">
        <v>123</v>
      </c>
      <c r="X43" s="72" t="s">
        <v>1170</v>
      </c>
      <c r="Y43" s="18" t="s">
        <v>1178</v>
      </c>
      <c r="CB43" s="1" t="s">
        <v>71</v>
      </c>
      <c r="CC43" s="1" t="s">
        <v>18</v>
      </c>
      <c r="CD43" s="1" t="s">
        <v>132</v>
      </c>
      <c r="CF43" s="36" t="str">
        <f>NZ[[#This Row],[Part Type]]</f>
        <v>Nozzle</v>
      </c>
      <c r="CG43" s="18" t="str">
        <f>IF(NZ[[#This Row],[UID]]=0,"",NZ[[#This Row],[Reactor]]&amp;"-"&amp;NZ[[#This Row],[Nozzle Material]])</f>
        <v>Old 1"-Inconel 625</v>
      </c>
      <c r="CH43" s="18" t="str">
        <f>IF(NZ[[#This Row],[UID]]=0,"",NZ[[#This Row],[UID]])</f>
        <v>NZ-AP</v>
      </c>
      <c r="CL43" s="18" t="str">
        <f>IF(NZ[[#This Row],[Status]]=0,"",NZ[[#This Row],[Status]])</f>
        <v>Broken</v>
      </c>
    </row>
    <row r="44" spans="1:90" ht="15.95">
      <c r="A44" s="73" t="s">
        <v>120</v>
      </c>
      <c r="B44" s="9" t="s">
        <v>64</v>
      </c>
      <c r="C44" s="73" t="s">
        <v>1239</v>
      </c>
      <c r="D44" s="74" t="s">
        <v>344</v>
      </c>
      <c r="E44" s="75" t="s">
        <v>148</v>
      </c>
      <c r="F44" s="9" t="s">
        <v>1031</v>
      </c>
      <c r="G44" s="36" t="s">
        <v>1168</v>
      </c>
      <c r="H44" s="76">
        <v>220914</v>
      </c>
      <c r="I44" s="18">
        <v>187.96</v>
      </c>
      <c r="J44" s="36" t="s">
        <v>129</v>
      </c>
      <c r="K44" s="36" t="s">
        <v>129</v>
      </c>
      <c r="L44" s="36" t="s">
        <v>129</v>
      </c>
      <c r="M44" s="76">
        <v>16</v>
      </c>
      <c r="N44" s="76">
        <v>2320</v>
      </c>
      <c r="O44" s="76">
        <v>1000</v>
      </c>
      <c r="P44" s="73" t="s">
        <v>1240</v>
      </c>
      <c r="Q44" s="77" t="s">
        <v>1241</v>
      </c>
      <c r="R44" s="186"/>
      <c r="S44" s="36" t="s">
        <v>194</v>
      </c>
      <c r="T44" s="36">
        <v>220809</v>
      </c>
      <c r="U44" s="36" t="s">
        <v>1242</v>
      </c>
      <c r="V44" s="78" t="s">
        <v>197</v>
      </c>
      <c r="W44" s="58" t="s">
        <v>123</v>
      </c>
      <c r="X44" s="72" t="s">
        <v>1243</v>
      </c>
      <c r="Y44" s="18" t="s">
        <v>1244</v>
      </c>
      <c r="CB44" s="1" t="s">
        <v>71</v>
      </c>
      <c r="CC44" s="1" t="s">
        <v>18</v>
      </c>
      <c r="CD44" s="1" t="s">
        <v>132</v>
      </c>
      <c r="CF44" s="36" t="str">
        <f>NZ[[#This Row],[Part Type]]</f>
        <v>Nozzle</v>
      </c>
      <c r="CG44" s="18" t="str">
        <f>IF(NZ[[#This Row],[UID]]=0,"",NZ[[#This Row],[Reactor]]&amp;"-"&amp;NZ[[#This Row],[Nozzle Material]])</f>
        <v>TZM-1/2"-TZM B387-19, Type 364</v>
      </c>
      <c r="CH44" s="18" t="str">
        <f>IF(NZ[[#This Row],[UID]]=0,"",NZ[[#This Row],[UID]])</f>
        <v>NZ-TA</v>
      </c>
      <c r="CL44" s="18" t="str">
        <f>IF(NZ[[#This Row],[Status]]=0,"",NZ[[#This Row],[Status]])</f>
        <v>Active</v>
      </c>
    </row>
    <row r="45" spans="1:90" ht="15.95">
      <c r="A45" s="73" t="s">
        <v>120</v>
      </c>
      <c r="B45" s="9" t="s">
        <v>64</v>
      </c>
      <c r="C45" s="73" t="s">
        <v>1245</v>
      </c>
      <c r="D45" s="74" t="s">
        <v>344</v>
      </c>
      <c r="E45" s="75" t="s">
        <v>148</v>
      </c>
      <c r="F45" s="9" t="s">
        <v>1031</v>
      </c>
      <c r="G45" s="36" t="s">
        <v>1168</v>
      </c>
      <c r="H45" s="76">
        <v>220914</v>
      </c>
      <c r="I45" s="18">
        <v>109.89</v>
      </c>
      <c r="J45" s="36" t="s">
        <v>129</v>
      </c>
      <c r="K45" s="36" t="s">
        <v>129</v>
      </c>
      <c r="L45" s="36" t="s">
        <v>129</v>
      </c>
      <c r="M45" s="76">
        <v>16</v>
      </c>
      <c r="N45" s="76">
        <v>2320</v>
      </c>
      <c r="O45" s="76">
        <v>1000</v>
      </c>
      <c r="P45" s="73" t="s">
        <v>1246</v>
      </c>
      <c r="Q45" s="77" t="s">
        <v>1241</v>
      </c>
      <c r="R45" s="186"/>
      <c r="S45" s="36" t="s">
        <v>194</v>
      </c>
      <c r="T45" s="36">
        <v>220809</v>
      </c>
      <c r="U45" s="36" t="s">
        <v>1242</v>
      </c>
      <c r="V45" s="78" t="s">
        <v>197</v>
      </c>
      <c r="W45" s="58" t="s">
        <v>123</v>
      </c>
      <c r="X45" s="72" t="s">
        <v>1247</v>
      </c>
      <c r="CB45" s="1" t="s">
        <v>71</v>
      </c>
      <c r="CC45" s="1" t="s">
        <v>18</v>
      </c>
      <c r="CD45" s="1" t="s">
        <v>132</v>
      </c>
      <c r="CF45" s="36" t="str">
        <f>NZ[[#This Row],[Part Type]]</f>
        <v>Nozzle</v>
      </c>
      <c r="CG45" s="18" t="str">
        <f>IF(NZ[[#This Row],[UID]]=0,"",NZ[[#This Row],[Reactor]]&amp;"-"&amp;NZ[[#This Row],[Nozzle Material]])</f>
        <v>TZM-1/2"-TZM B387-19, Type 364</v>
      </c>
      <c r="CH45" s="18" t="str">
        <f>IF(NZ[[#This Row],[UID]]=0,"",NZ[[#This Row],[UID]])</f>
        <v>NZ-TB</v>
      </c>
      <c r="CL45" s="18" t="str">
        <f>IF(NZ[[#This Row],[Status]]=0,"",NZ[[#This Row],[Status]])</f>
        <v>Active</v>
      </c>
    </row>
    <row r="46" spans="1:90" ht="15.95">
      <c r="A46" s="73" t="s">
        <v>1176</v>
      </c>
      <c r="B46" s="9" t="s">
        <v>64</v>
      </c>
      <c r="C46" s="73" t="s">
        <v>1248</v>
      </c>
      <c r="D46" s="74" t="s">
        <v>344</v>
      </c>
      <c r="E46" s="75" t="s">
        <v>148</v>
      </c>
      <c r="F46" s="9" t="s">
        <v>1031</v>
      </c>
      <c r="G46" s="36" t="s">
        <v>1168</v>
      </c>
      <c r="H46" s="76">
        <v>220914</v>
      </c>
      <c r="I46" s="18">
        <v>109.922</v>
      </c>
      <c r="J46" s="36" t="s">
        <v>129</v>
      </c>
      <c r="K46" s="36" t="s">
        <v>129</v>
      </c>
      <c r="L46" s="36" t="s">
        <v>129</v>
      </c>
      <c r="M46" s="76">
        <v>16</v>
      </c>
      <c r="N46" s="76">
        <v>2320</v>
      </c>
      <c r="O46" s="76">
        <v>1000</v>
      </c>
      <c r="P46" s="73" t="s">
        <v>1246</v>
      </c>
      <c r="Q46" s="77" t="s">
        <v>1241</v>
      </c>
      <c r="R46" s="186"/>
      <c r="S46" s="36" t="s">
        <v>194</v>
      </c>
      <c r="T46" s="36">
        <v>220809</v>
      </c>
      <c r="U46" s="36" t="s">
        <v>1242</v>
      </c>
      <c r="V46" s="78" t="s">
        <v>197</v>
      </c>
      <c r="W46" s="58" t="s">
        <v>123</v>
      </c>
      <c r="X46" s="72" t="s">
        <v>1247</v>
      </c>
      <c r="Y46" s="18" t="s">
        <v>1249</v>
      </c>
      <c r="CB46" s="1" t="s">
        <v>71</v>
      </c>
      <c r="CC46" s="1" t="s">
        <v>18</v>
      </c>
      <c r="CD46" s="1" t="s">
        <v>132</v>
      </c>
      <c r="CF46" s="36" t="str">
        <f>NZ[[#This Row],[Part Type]]</f>
        <v>Nozzle</v>
      </c>
      <c r="CG46" s="18" t="str">
        <f>IF(NZ[[#This Row],[UID]]=0,"",NZ[[#This Row],[Reactor]]&amp;"-"&amp;NZ[[#This Row],[Nozzle Material]])</f>
        <v>TZM-1/2"-TZM B387-19, Type 364</v>
      </c>
      <c r="CH46" s="18" t="str">
        <f>IF(NZ[[#This Row],[UID]]=0,"",NZ[[#This Row],[UID]])</f>
        <v>NZ-TC</v>
      </c>
      <c r="CL46" s="18" t="str">
        <f>IF(NZ[[#This Row],[Status]]=0,"",NZ[[#This Row],[Status]])</f>
        <v>Broken</v>
      </c>
    </row>
    <row r="47" spans="1:90" ht="15.95">
      <c r="A47" s="73" t="s">
        <v>120</v>
      </c>
      <c r="B47" s="9" t="s">
        <v>64</v>
      </c>
      <c r="C47" s="73" t="s">
        <v>1250</v>
      </c>
      <c r="D47" s="74" t="s">
        <v>344</v>
      </c>
      <c r="E47" s="75" t="s">
        <v>148</v>
      </c>
      <c r="F47" s="9" t="s">
        <v>1031</v>
      </c>
      <c r="G47" s="36" t="s">
        <v>1168</v>
      </c>
      <c r="H47" s="76">
        <v>220914</v>
      </c>
      <c r="I47" s="18">
        <v>110.081</v>
      </c>
      <c r="J47" s="36" t="s">
        <v>129</v>
      </c>
      <c r="K47" s="36" t="s">
        <v>129</v>
      </c>
      <c r="L47" s="36" t="s">
        <v>129</v>
      </c>
      <c r="M47" s="76">
        <v>16</v>
      </c>
      <c r="N47" s="76">
        <v>2320</v>
      </c>
      <c r="O47" s="76">
        <v>1000</v>
      </c>
      <c r="P47" s="73" t="s">
        <v>1246</v>
      </c>
      <c r="Q47" s="77" t="s">
        <v>1241</v>
      </c>
      <c r="R47" s="186"/>
      <c r="S47" s="36" t="s">
        <v>194</v>
      </c>
      <c r="T47" s="36">
        <v>220809</v>
      </c>
      <c r="U47" s="36" t="s">
        <v>1242</v>
      </c>
      <c r="V47" s="78" t="s">
        <v>197</v>
      </c>
      <c r="W47" s="58" t="s">
        <v>123</v>
      </c>
      <c r="X47" s="72" t="s">
        <v>1247</v>
      </c>
      <c r="CB47" s="1" t="s">
        <v>71</v>
      </c>
      <c r="CC47" s="1" t="s">
        <v>18</v>
      </c>
      <c r="CD47" s="1" t="s">
        <v>132</v>
      </c>
      <c r="CF47" s="36" t="str">
        <f>NZ[[#This Row],[Part Type]]</f>
        <v>Nozzle</v>
      </c>
      <c r="CG47" s="18" t="str">
        <f>IF(NZ[[#This Row],[UID]]=0,"",NZ[[#This Row],[Reactor]]&amp;"-"&amp;NZ[[#This Row],[Nozzle Material]])</f>
        <v>TZM-1/2"-TZM B387-19, Type 364</v>
      </c>
      <c r="CH47" s="18" t="str">
        <f>IF(NZ[[#This Row],[UID]]=0,"",NZ[[#This Row],[UID]])</f>
        <v>NZ-TD</v>
      </c>
      <c r="CL47" s="18" t="str">
        <f>IF(NZ[[#This Row],[Status]]=0,"",NZ[[#This Row],[Status]])</f>
        <v>Active</v>
      </c>
    </row>
    <row r="48" spans="1:90" ht="15.95">
      <c r="A48" s="73" t="s">
        <v>120</v>
      </c>
      <c r="B48" s="9" t="s">
        <v>64</v>
      </c>
      <c r="C48" s="73" t="s">
        <v>1251</v>
      </c>
      <c r="D48" s="74" t="s">
        <v>344</v>
      </c>
      <c r="E48" s="75" t="s">
        <v>148</v>
      </c>
      <c r="F48" s="9" t="s">
        <v>1031</v>
      </c>
      <c r="G48" s="36" t="s">
        <v>1168</v>
      </c>
      <c r="H48" s="76">
        <v>220914</v>
      </c>
      <c r="I48" s="18">
        <v>110.00700000000001</v>
      </c>
      <c r="J48" s="36" t="s">
        <v>129</v>
      </c>
      <c r="K48" s="36" t="s">
        <v>129</v>
      </c>
      <c r="L48" s="36" t="s">
        <v>129</v>
      </c>
      <c r="M48" s="76">
        <v>16</v>
      </c>
      <c r="N48" s="76">
        <v>2320</v>
      </c>
      <c r="O48" s="76">
        <v>1000</v>
      </c>
      <c r="P48" s="73" t="s">
        <v>1246</v>
      </c>
      <c r="Q48" s="77" t="s">
        <v>1241</v>
      </c>
      <c r="R48" s="186"/>
      <c r="S48" s="36" t="s">
        <v>194</v>
      </c>
      <c r="T48" s="36">
        <v>220809</v>
      </c>
      <c r="U48" s="36" t="s">
        <v>1242</v>
      </c>
      <c r="V48" s="78" t="s">
        <v>197</v>
      </c>
      <c r="W48" s="58" t="s">
        <v>123</v>
      </c>
      <c r="X48" s="72" t="s">
        <v>1247</v>
      </c>
      <c r="CB48" s="1" t="s">
        <v>71</v>
      </c>
      <c r="CC48" s="1" t="s">
        <v>18</v>
      </c>
      <c r="CD48" s="1" t="s">
        <v>132</v>
      </c>
      <c r="CF48" s="36" t="str">
        <f>NZ[[#This Row],[Part Type]]</f>
        <v>Nozzle</v>
      </c>
      <c r="CG48" s="18" t="str">
        <f>IF(NZ[[#This Row],[UID]]=0,"",NZ[[#This Row],[Reactor]]&amp;"-"&amp;NZ[[#This Row],[Nozzle Material]])</f>
        <v>TZM-1/2"-TZM B387-19, Type 364</v>
      </c>
      <c r="CH48" s="18" t="str">
        <f>IF(NZ[[#This Row],[UID]]=0,"",NZ[[#This Row],[UID]])</f>
        <v>NZ-TE</v>
      </c>
      <c r="CL48" s="18" t="str">
        <f>IF(NZ[[#This Row],[Status]]=0,"",NZ[[#This Row],[Status]])</f>
        <v>Active</v>
      </c>
    </row>
    <row r="49" spans="1:90" ht="15.95">
      <c r="A49" s="73" t="s">
        <v>120</v>
      </c>
      <c r="B49" s="9" t="s">
        <v>64</v>
      </c>
      <c r="C49" s="73" t="s">
        <v>1252</v>
      </c>
      <c r="D49" s="74" t="s">
        <v>344</v>
      </c>
      <c r="E49" s="75" t="s">
        <v>148</v>
      </c>
      <c r="F49" s="9" t="s">
        <v>1031</v>
      </c>
      <c r="G49" s="36" t="s">
        <v>1168</v>
      </c>
      <c r="H49" s="36" t="s">
        <v>1253</v>
      </c>
      <c r="I49" s="36" t="s">
        <v>1254</v>
      </c>
      <c r="J49" s="36" t="s">
        <v>129</v>
      </c>
      <c r="K49" s="36" t="s">
        <v>129</v>
      </c>
      <c r="L49" s="36" t="s">
        <v>129</v>
      </c>
      <c r="M49" s="76">
        <v>16</v>
      </c>
      <c r="N49" s="76">
        <v>2320</v>
      </c>
      <c r="O49" s="76">
        <v>1000</v>
      </c>
      <c r="P49" s="73" t="s">
        <v>1246</v>
      </c>
      <c r="Q49" s="77" t="s">
        <v>1241</v>
      </c>
      <c r="R49" s="186"/>
      <c r="S49" s="36" t="s">
        <v>194</v>
      </c>
      <c r="T49" s="36" t="s">
        <v>1255</v>
      </c>
      <c r="U49" s="58" t="s">
        <v>1256</v>
      </c>
      <c r="V49" s="58" t="s">
        <v>1257</v>
      </c>
      <c r="W49" s="58" t="s">
        <v>123</v>
      </c>
      <c r="X49" s="72" t="s">
        <v>1258</v>
      </c>
      <c r="Y49" s="18" t="s">
        <v>1259</v>
      </c>
      <c r="CB49" s="1" t="s">
        <v>71</v>
      </c>
      <c r="CC49" s="1" t="s">
        <v>18</v>
      </c>
      <c r="CD49" s="1" t="s">
        <v>132</v>
      </c>
      <c r="CF49" s="36" t="str">
        <f>NZ[[#This Row],[Part Type]]</f>
        <v>Nozzle</v>
      </c>
      <c r="CG49" s="18" t="str">
        <f>IF(NZ[[#This Row],[UID]]=0,"",NZ[[#This Row],[Reactor]]&amp;"-"&amp;NZ[[#This Row],[Nozzle Material]])</f>
        <v>TZM-1/2"-TZM B387-19, Type 364</v>
      </c>
      <c r="CH49" s="18" t="str">
        <f>IF(NZ[[#This Row],[UID]]=0,"",NZ[[#This Row],[UID]])</f>
        <v>NZ-TF</v>
      </c>
      <c r="CL49" s="18" t="str">
        <f>IF(NZ[[#This Row],[Status]]=0,"",NZ[[#This Row],[Status]])</f>
        <v>Active</v>
      </c>
    </row>
    <row r="50" spans="1:90" ht="15.95">
      <c r="A50" s="73" t="s">
        <v>120</v>
      </c>
      <c r="B50" s="9" t="s">
        <v>64</v>
      </c>
      <c r="C50" s="73" t="s">
        <v>1260</v>
      </c>
      <c r="D50" s="74" t="s">
        <v>344</v>
      </c>
      <c r="E50" s="75" t="s">
        <v>148</v>
      </c>
      <c r="F50" s="9" t="s">
        <v>1031</v>
      </c>
      <c r="G50" s="36" t="s">
        <v>1168</v>
      </c>
      <c r="H50" s="36" t="s">
        <v>1253</v>
      </c>
      <c r="I50" s="36" t="s">
        <v>1261</v>
      </c>
      <c r="J50" s="36" t="s">
        <v>129</v>
      </c>
      <c r="K50" s="36" t="s">
        <v>129</v>
      </c>
      <c r="L50" s="36" t="s">
        <v>129</v>
      </c>
      <c r="M50" s="76">
        <v>16</v>
      </c>
      <c r="N50" s="76">
        <v>2320</v>
      </c>
      <c r="O50" s="76">
        <v>1000</v>
      </c>
      <c r="P50" s="73" t="s">
        <v>1246</v>
      </c>
      <c r="Q50" s="77" t="s">
        <v>1241</v>
      </c>
      <c r="R50" s="186"/>
      <c r="S50" s="36" t="s">
        <v>194</v>
      </c>
      <c r="T50" s="36" t="s">
        <v>1255</v>
      </c>
      <c r="U50" s="58" t="s">
        <v>1256</v>
      </c>
      <c r="V50" s="58" t="s">
        <v>1257</v>
      </c>
      <c r="W50" s="58" t="s">
        <v>123</v>
      </c>
      <c r="X50" s="72" t="s">
        <v>1258</v>
      </c>
      <c r="Y50" s="18" t="s">
        <v>1259</v>
      </c>
      <c r="CB50" s="1" t="s">
        <v>71</v>
      </c>
      <c r="CC50" s="1" t="s">
        <v>18</v>
      </c>
      <c r="CD50" s="1" t="s">
        <v>132</v>
      </c>
      <c r="CF50" s="36" t="str">
        <f>NZ[[#This Row],[Part Type]]</f>
        <v>Nozzle</v>
      </c>
      <c r="CG50" s="18" t="str">
        <f>IF(NZ[[#This Row],[UID]]=0,"",NZ[[#This Row],[Reactor]]&amp;"-"&amp;NZ[[#This Row],[Nozzle Material]])</f>
        <v>TZM-1/2"-TZM B387-19, Type 364</v>
      </c>
      <c r="CH50" s="18" t="str">
        <f>IF(NZ[[#This Row],[UID]]=0,"",NZ[[#This Row],[UID]])</f>
        <v>NZ-TG</v>
      </c>
      <c r="CL50" s="18" t="str">
        <f>IF(NZ[[#This Row],[Status]]=0,"",NZ[[#This Row],[Status]])</f>
        <v>Active</v>
      </c>
    </row>
    <row r="51" spans="1:90" ht="15.95">
      <c r="A51" s="73" t="s">
        <v>120</v>
      </c>
      <c r="B51" s="9" t="s">
        <v>64</v>
      </c>
      <c r="C51" s="73" t="s">
        <v>1262</v>
      </c>
      <c r="D51" s="74" t="s">
        <v>344</v>
      </c>
      <c r="E51" s="75" t="s">
        <v>148</v>
      </c>
      <c r="F51" s="9" t="s">
        <v>1031</v>
      </c>
      <c r="G51" s="36" t="s">
        <v>1168</v>
      </c>
      <c r="H51" s="36" t="s">
        <v>1253</v>
      </c>
      <c r="I51" s="36" t="s">
        <v>1263</v>
      </c>
      <c r="J51" s="36" t="s">
        <v>129</v>
      </c>
      <c r="K51" s="36" t="s">
        <v>129</v>
      </c>
      <c r="L51" s="36" t="s">
        <v>129</v>
      </c>
      <c r="M51" s="76">
        <v>16</v>
      </c>
      <c r="N51" s="76">
        <v>2320</v>
      </c>
      <c r="O51" s="76">
        <v>1000</v>
      </c>
      <c r="P51" s="73" t="s">
        <v>1246</v>
      </c>
      <c r="Q51" s="77" t="s">
        <v>1241</v>
      </c>
      <c r="R51" s="186"/>
      <c r="S51" s="36" t="s">
        <v>194</v>
      </c>
      <c r="T51" s="36" t="s">
        <v>1255</v>
      </c>
      <c r="U51" s="58" t="s">
        <v>1256</v>
      </c>
      <c r="V51" s="58" t="s">
        <v>1257</v>
      </c>
      <c r="W51" s="58" t="s">
        <v>123</v>
      </c>
      <c r="X51" s="72" t="s">
        <v>1258</v>
      </c>
      <c r="Y51" s="18" t="s">
        <v>1259</v>
      </c>
      <c r="CB51" s="1" t="s">
        <v>71</v>
      </c>
      <c r="CC51" s="1" t="s">
        <v>18</v>
      </c>
      <c r="CD51" s="1" t="s">
        <v>132</v>
      </c>
      <c r="CF51" s="36" t="str">
        <f>NZ[[#This Row],[Part Type]]</f>
        <v>Nozzle</v>
      </c>
      <c r="CG51" s="18" t="str">
        <f>IF(NZ[[#This Row],[UID]]=0,"",NZ[[#This Row],[Reactor]]&amp;"-"&amp;NZ[[#This Row],[Nozzle Material]])</f>
        <v>TZM-1/2"-TZM B387-19, Type 364</v>
      </c>
      <c r="CH51" s="18" t="str">
        <f>IF(NZ[[#This Row],[UID]]=0,"",NZ[[#This Row],[UID]])</f>
        <v>NZ-TH</v>
      </c>
      <c r="CL51" s="18" t="str">
        <f>IF(NZ[[#This Row],[Status]]=0,"",NZ[[#This Row],[Status]])</f>
        <v>Active</v>
      </c>
    </row>
    <row r="52" spans="1:90" ht="15.95">
      <c r="A52" s="36" t="s">
        <v>140</v>
      </c>
      <c r="B52" s="36" t="s">
        <v>64</v>
      </c>
      <c r="C52" s="36" t="s">
        <v>1264</v>
      </c>
      <c r="D52" s="36" t="s">
        <v>1265</v>
      </c>
      <c r="E52" s="36" t="s">
        <v>148</v>
      </c>
      <c r="F52" s="9" t="s">
        <v>1031</v>
      </c>
      <c r="G52" s="36" t="s">
        <v>1168</v>
      </c>
      <c r="H52" s="36" t="s">
        <v>129</v>
      </c>
      <c r="I52" s="36" t="s">
        <v>129</v>
      </c>
      <c r="J52" s="36" t="s">
        <v>129</v>
      </c>
      <c r="K52" s="18" t="s">
        <v>129</v>
      </c>
      <c r="L52" s="18" t="s">
        <v>129</v>
      </c>
      <c r="M52" s="18">
        <v>175</v>
      </c>
      <c r="N52" s="28">
        <f>NZ[[#This Row],[Pressure Design MPa]]/0.101*14</f>
        <v>24257.425742574254</v>
      </c>
      <c r="O52" s="18">
        <v>600</v>
      </c>
      <c r="P52" s="18" t="s">
        <v>1266</v>
      </c>
      <c r="Q52" s="18" t="s">
        <v>129</v>
      </c>
      <c r="T52" s="58"/>
      <c r="U52" s="58"/>
      <c r="V52" s="58"/>
      <c r="W52" s="58"/>
      <c r="X52" s="58"/>
      <c r="Y52" s="18" t="s">
        <v>1267</v>
      </c>
      <c r="CB52" s="1" t="s">
        <v>71</v>
      </c>
      <c r="CC52" s="1" t="s">
        <v>18</v>
      </c>
      <c r="CD52" s="1" t="s">
        <v>132</v>
      </c>
      <c r="CF52" s="36" t="str">
        <f>NZ[[#This Row],[Part Type]]</f>
        <v>Nozzle</v>
      </c>
      <c r="CG52" s="18" t="str">
        <f>IF(NZ[[#This Row],[UID]]=0,"",NZ[[#This Row],[Reactor]]&amp;"-"&amp;NZ[[#This Row],[Nozzle Material]])</f>
        <v>TZM-3"-TZM B387-19, Type 364</v>
      </c>
      <c r="CH52" s="18" t="str">
        <f>IF(NZ[[#This Row],[UID]]=0,"",NZ[[#This Row],[UID]])</f>
        <v>NZ-AQ</v>
      </c>
      <c r="CL52" s="18" t="str">
        <f>IF(NZ[[#This Row],[Status]]=0,"",NZ[[#This Row],[Status]])</f>
        <v>New</v>
      </c>
    </row>
    <row r="53" spans="1:90" ht="15.95">
      <c r="A53" s="36" t="s">
        <v>140</v>
      </c>
      <c r="B53" s="36" t="s">
        <v>64</v>
      </c>
      <c r="C53" s="36" t="s">
        <v>1268</v>
      </c>
      <c r="D53" s="36" t="s">
        <v>1265</v>
      </c>
      <c r="E53" s="36" t="s">
        <v>148</v>
      </c>
      <c r="F53" s="9" t="s">
        <v>1031</v>
      </c>
      <c r="G53" s="36" t="s">
        <v>1168</v>
      </c>
      <c r="H53" s="36" t="s">
        <v>129</v>
      </c>
      <c r="I53" s="36" t="s">
        <v>129</v>
      </c>
      <c r="J53" s="36" t="s">
        <v>129</v>
      </c>
      <c r="K53" s="18" t="s">
        <v>129</v>
      </c>
      <c r="L53" s="18" t="s">
        <v>129</v>
      </c>
      <c r="M53" s="10">
        <v>175</v>
      </c>
      <c r="N53" s="28">
        <f>NZ[[#This Row],[Pressure Design MPa]]/0.101*14</f>
        <v>24257.425742574254</v>
      </c>
      <c r="O53" s="18">
        <v>600</v>
      </c>
      <c r="P53" s="10" t="s">
        <v>129</v>
      </c>
      <c r="Q53" s="10" t="s">
        <v>129</v>
      </c>
      <c r="R53" s="10"/>
      <c r="S53" s="10"/>
      <c r="T53" s="12"/>
      <c r="U53" s="12"/>
      <c r="V53" s="12"/>
      <c r="W53" s="12"/>
      <c r="X53" s="12"/>
      <c r="Y53" s="18" t="s">
        <v>1269</v>
      </c>
      <c r="CB53" s="1" t="s">
        <v>71</v>
      </c>
      <c r="CC53" s="1" t="s">
        <v>18</v>
      </c>
      <c r="CD53" s="1" t="s">
        <v>132</v>
      </c>
      <c r="CF53" s="36" t="str">
        <f>NZ[[#This Row],[Part Type]]</f>
        <v>Nozzle</v>
      </c>
      <c r="CG53" s="18" t="str">
        <f>IF(NZ[[#This Row],[UID]]=0,"",NZ[[#This Row],[Reactor]]&amp;"-"&amp;NZ[[#This Row],[Nozzle Material]])</f>
        <v>TZM-3"-TZM B387-19, Type 364</v>
      </c>
      <c r="CH53" s="18" t="str">
        <f>IF(NZ[[#This Row],[UID]]=0,"",NZ[[#This Row],[UID]])</f>
        <v>NZ-AR</v>
      </c>
      <c r="CL53" s="18" t="str">
        <f>IF(NZ[[#This Row],[Status]]=0,"",NZ[[#This Row],[Status]])</f>
        <v>New</v>
      </c>
    </row>
    <row r="54" spans="1:90" ht="15.95">
      <c r="A54" s="36" t="s">
        <v>140</v>
      </c>
      <c r="B54" s="36" t="s">
        <v>64</v>
      </c>
      <c r="C54" s="36" t="s">
        <v>1270</v>
      </c>
      <c r="D54" s="36" t="s">
        <v>1265</v>
      </c>
      <c r="E54" s="36" t="s">
        <v>148</v>
      </c>
      <c r="F54" s="9" t="s">
        <v>1031</v>
      </c>
      <c r="G54" s="36" t="s">
        <v>1168</v>
      </c>
      <c r="H54" s="36" t="s">
        <v>129</v>
      </c>
      <c r="I54" s="36" t="s">
        <v>129</v>
      </c>
      <c r="J54" s="36" t="s">
        <v>129</v>
      </c>
      <c r="K54" s="18" t="s">
        <v>129</v>
      </c>
      <c r="L54" s="18" t="s">
        <v>129</v>
      </c>
      <c r="M54" s="18">
        <v>10</v>
      </c>
      <c r="N54" s="28">
        <f>NZ[[#This Row],[Pressure Design MPa]]/0.101*14</f>
        <v>1386.1386138613859</v>
      </c>
      <c r="O54" s="18">
        <v>1050</v>
      </c>
      <c r="P54" s="18" t="s">
        <v>1266</v>
      </c>
      <c r="Q54" s="18" t="s">
        <v>129</v>
      </c>
      <c r="T54" s="58"/>
      <c r="U54" s="58"/>
      <c r="V54" s="58"/>
      <c r="W54" s="58"/>
      <c r="X54" s="58"/>
      <c r="Y54" s="18" t="s">
        <v>1271</v>
      </c>
      <c r="CB54" s="1" t="s">
        <v>71</v>
      </c>
      <c r="CC54" s="1" t="s">
        <v>18</v>
      </c>
      <c r="CD54" s="1" t="s">
        <v>132</v>
      </c>
      <c r="CF54" s="36" t="str">
        <f>NZ[[#This Row],[Part Type]]</f>
        <v>Nozzle</v>
      </c>
      <c r="CG54" s="18" t="str">
        <f>IF(NZ[[#This Row],[UID]]=0,"",NZ[[#This Row],[Reactor]]&amp;"-"&amp;NZ[[#This Row],[Nozzle Material]])</f>
        <v>TZM-3"-TZM B387-19, Type 364</v>
      </c>
      <c r="CH54" s="18" t="str">
        <f>IF(NZ[[#This Row],[UID]]=0,"",NZ[[#This Row],[UID]])</f>
        <v>NZ-AS</v>
      </c>
      <c r="CL54" s="18" t="str">
        <f>IF(NZ[[#This Row],[Status]]=0,"",NZ[[#This Row],[Status]])</f>
        <v>New</v>
      </c>
    </row>
    <row r="55" spans="1:90" ht="361.5">
      <c r="A55" s="73" t="s">
        <v>120</v>
      </c>
      <c r="B55" s="9" t="s">
        <v>64</v>
      </c>
      <c r="C55" s="73" t="s">
        <v>1272</v>
      </c>
      <c r="D55" s="74" t="s">
        <v>344</v>
      </c>
      <c r="E55" s="75" t="s">
        <v>148</v>
      </c>
      <c r="F55" s="9" t="s">
        <v>1031</v>
      </c>
      <c r="G55" s="36" t="s">
        <v>1168</v>
      </c>
      <c r="H55" s="9" t="s">
        <v>1273</v>
      </c>
      <c r="I55" s="133">
        <v>110.253</v>
      </c>
      <c r="J55" s="36" t="s">
        <v>129</v>
      </c>
      <c r="K55" s="36" t="s">
        <v>129</v>
      </c>
      <c r="L55" s="36" t="s">
        <v>129</v>
      </c>
      <c r="M55" s="10">
        <v>16</v>
      </c>
      <c r="N55" s="76">
        <v>2320</v>
      </c>
      <c r="O55" s="76">
        <v>1000</v>
      </c>
      <c r="P55" s="73" t="s">
        <v>1246</v>
      </c>
      <c r="Q55" s="77" t="s">
        <v>1241</v>
      </c>
      <c r="R55" s="191" t="s">
        <v>1274</v>
      </c>
      <c r="S55" s="192"/>
      <c r="T55" s="192"/>
      <c r="U55" s="193"/>
      <c r="V55" s="12" t="s">
        <v>204</v>
      </c>
      <c r="W55" s="58" t="s">
        <v>123</v>
      </c>
      <c r="X55" s="72" t="s">
        <v>205</v>
      </c>
      <c r="Y55" s="18" t="s">
        <v>1259</v>
      </c>
      <c r="CB55" s="1" t="s">
        <v>71</v>
      </c>
      <c r="CC55" s="1" t="s">
        <v>18</v>
      </c>
      <c r="CD55" s="1" t="s">
        <v>132</v>
      </c>
      <c r="CF55" s="36" t="str">
        <f>NZ[[#This Row],[Part Type]]</f>
        <v>Nozzle</v>
      </c>
      <c r="CG55" s="18" t="str">
        <f>IF(NZ[[#This Row],[UID]]=0,"",NZ[[#This Row],[Reactor]]&amp;"-"&amp;NZ[[#This Row],[Nozzle Material]])</f>
        <v>TZM-1/2"-TZM B387-19, Type 364</v>
      </c>
      <c r="CH55" s="18" t="str">
        <f>IF(NZ[[#This Row],[UID]]=0,"",NZ[[#This Row],[UID]])</f>
        <v>NZ-TI</v>
      </c>
      <c r="CL55" s="18" t="str">
        <f>IF(NZ[[#This Row],[Status]]=0,"",NZ[[#This Row],[Status]])</f>
        <v>Active</v>
      </c>
    </row>
    <row r="56" spans="1:90" ht="15.95">
      <c r="A56" s="73" t="s">
        <v>120</v>
      </c>
      <c r="B56" s="9" t="s">
        <v>64</v>
      </c>
      <c r="C56" s="73" t="s">
        <v>1275</v>
      </c>
      <c r="D56" s="74" t="s">
        <v>344</v>
      </c>
      <c r="E56" s="75" t="s">
        <v>148</v>
      </c>
      <c r="F56" s="9" t="s">
        <v>1031</v>
      </c>
      <c r="G56" s="36" t="s">
        <v>1168</v>
      </c>
      <c r="H56" s="9" t="s">
        <v>1273</v>
      </c>
      <c r="I56" s="133">
        <v>110.349</v>
      </c>
      <c r="J56" s="36" t="s">
        <v>129</v>
      </c>
      <c r="K56" s="36" t="s">
        <v>129</v>
      </c>
      <c r="L56" s="36" t="s">
        <v>129</v>
      </c>
      <c r="M56" s="10">
        <v>16</v>
      </c>
      <c r="N56" s="76">
        <v>2320</v>
      </c>
      <c r="O56" s="76">
        <v>1000</v>
      </c>
      <c r="P56" s="73" t="s">
        <v>1246</v>
      </c>
      <c r="Q56" s="77" t="s">
        <v>1241</v>
      </c>
      <c r="R56" s="77"/>
      <c r="S56" s="36" t="s">
        <v>194</v>
      </c>
      <c r="T56" s="9">
        <v>230428</v>
      </c>
      <c r="U56" s="12" t="s">
        <v>203</v>
      </c>
      <c r="V56" s="12" t="s">
        <v>204</v>
      </c>
      <c r="W56" s="58" t="s">
        <v>123</v>
      </c>
      <c r="X56" s="72" t="s">
        <v>205</v>
      </c>
      <c r="Y56" s="18" t="s">
        <v>1259</v>
      </c>
      <c r="CB56" s="1" t="s">
        <v>71</v>
      </c>
      <c r="CC56" s="1" t="s">
        <v>18</v>
      </c>
      <c r="CD56" s="1" t="s">
        <v>132</v>
      </c>
      <c r="CF56" s="36" t="str">
        <f>NZ[[#This Row],[Part Type]]</f>
        <v>Nozzle</v>
      </c>
      <c r="CG56" s="18" t="str">
        <f>IF(NZ[[#This Row],[UID]]=0,"",NZ[[#This Row],[Reactor]]&amp;"-"&amp;NZ[[#This Row],[Nozzle Material]])</f>
        <v>TZM-1/2"-TZM B387-19, Type 364</v>
      </c>
      <c r="CH56" s="18" t="str">
        <f>IF(NZ[[#This Row],[UID]]=0,"",NZ[[#This Row],[UID]])</f>
        <v>NZ-TJ</v>
      </c>
      <c r="CL56" s="18" t="str">
        <f>IF(NZ[[#This Row],[Status]]=0,"",NZ[[#This Row],[Status]])</f>
        <v>Active</v>
      </c>
    </row>
    <row r="57" spans="1:90" ht="15.95">
      <c r="A57" s="73" t="s">
        <v>120</v>
      </c>
      <c r="B57" s="9" t="s">
        <v>64</v>
      </c>
      <c r="C57" s="73" t="s">
        <v>1276</v>
      </c>
      <c r="D57" s="74" t="s">
        <v>344</v>
      </c>
      <c r="E57" s="36" t="s">
        <v>148</v>
      </c>
      <c r="F57" s="9" t="s">
        <v>1031</v>
      </c>
      <c r="G57" s="36" t="s">
        <v>1168</v>
      </c>
      <c r="H57" s="9" t="s">
        <v>1273</v>
      </c>
      <c r="I57" s="133">
        <v>110.339</v>
      </c>
      <c r="J57" s="36" t="s">
        <v>129</v>
      </c>
      <c r="K57" s="36" t="s">
        <v>129</v>
      </c>
      <c r="L57" s="36" t="s">
        <v>129</v>
      </c>
      <c r="M57" s="10">
        <v>16</v>
      </c>
      <c r="N57" s="76">
        <v>2320</v>
      </c>
      <c r="O57" s="76">
        <v>1000</v>
      </c>
      <c r="P57" s="73" t="s">
        <v>1246</v>
      </c>
      <c r="Q57" s="77" t="s">
        <v>1241</v>
      </c>
      <c r="R57" s="77"/>
      <c r="S57" s="36" t="s">
        <v>194</v>
      </c>
      <c r="T57" s="9">
        <v>230428</v>
      </c>
      <c r="U57" s="12" t="s">
        <v>203</v>
      </c>
      <c r="V57" s="12" t="s">
        <v>204</v>
      </c>
      <c r="W57" s="58" t="s">
        <v>123</v>
      </c>
      <c r="X57" s="72" t="s">
        <v>205</v>
      </c>
      <c r="Y57" s="18" t="s">
        <v>1259</v>
      </c>
      <c r="CB57" s="1" t="s">
        <v>71</v>
      </c>
      <c r="CC57" s="1" t="s">
        <v>18</v>
      </c>
      <c r="CD57" s="1" t="s">
        <v>132</v>
      </c>
      <c r="CF57" s="36" t="str">
        <f>NZ[[#This Row],[Part Type]]</f>
        <v>Nozzle</v>
      </c>
      <c r="CG57" s="18" t="str">
        <f>IF(NZ[[#This Row],[UID]]=0,"",NZ[[#This Row],[Reactor]]&amp;"-"&amp;NZ[[#This Row],[Nozzle Material]])</f>
        <v>TZM-1/2"-TZM B387-19, Type 364</v>
      </c>
      <c r="CH57" s="18" t="str">
        <f>IF(NZ[[#This Row],[UID]]=0,"",NZ[[#This Row],[UID]])</f>
        <v>NZ-TK</v>
      </c>
      <c r="CL57" s="18" t="str">
        <f>IF(NZ[[#This Row],[Status]]=0,"",NZ[[#This Row],[Status]])</f>
        <v>Active</v>
      </c>
    </row>
    <row r="58" spans="1:90" ht="15.95">
      <c r="A58" s="73" t="s">
        <v>120</v>
      </c>
      <c r="B58" s="9" t="s">
        <v>64</v>
      </c>
      <c r="C58" s="73" t="s">
        <v>1277</v>
      </c>
      <c r="D58" s="74" t="s">
        <v>344</v>
      </c>
      <c r="E58" s="36" t="s">
        <v>148</v>
      </c>
      <c r="F58" s="9" t="s">
        <v>1031</v>
      </c>
      <c r="G58" s="36" t="s">
        <v>1168</v>
      </c>
      <c r="H58" s="9" t="s">
        <v>1273</v>
      </c>
      <c r="I58" s="133">
        <v>110.367</v>
      </c>
      <c r="J58" s="36" t="s">
        <v>129</v>
      </c>
      <c r="K58" s="36" t="s">
        <v>129</v>
      </c>
      <c r="L58" s="36" t="s">
        <v>129</v>
      </c>
      <c r="M58" s="10">
        <v>16</v>
      </c>
      <c r="N58" s="76">
        <v>2320</v>
      </c>
      <c r="O58" s="76">
        <v>1000</v>
      </c>
      <c r="P58" s="73" t="s">
        <v>1246</v>
      </c>
      <c r="Q58" s="77" t="s">
        <v>1241</v>
      </c>
      <c r="R58" s="77"/>
      <c r="S58" s="36" t="s">
        <v>194</v>
      </c>
      <c r="T58" s="9">
        <v>230428</v>
      </c>
      <c r="U58" s="12" t="s">
        <v>203</v>
      </c>
      <c r="V58" s="12" t="s">
        <v>204</v>
      </c>
      <c r="W58" s="58" t="s">
        <v>123</v>
      </c>
      <c r="X58" s="72" t="s">
        <v>205</v>
      </c>
      <c r="Y58" s="18" t="s">
        <v>1259</v>
      </c>
      <c r="CB58" s="1" t="s">
        <v>71</v>
      </c>
      <c r="CC58" s="1" t="s">
        <v>18</v>
      </c>
      <c r="CD58" s="1" t="s">
        <v>132</v>
      </c>
      <c r="CF58" s="36" t="str">
        <f>NZ[[#This Row],[Part Type]]</f>
        <v>Nozzle</v>
      </c>
      <c r="CG58" s="18" t="str">
        <f>IF(NZ[[#This Row],[UID]]=0,"",NZ[[#This Row],[Reactor]]&amp;"-"&amp;NZ[[#This Row],[Nozzle Material]])</f>
        <v>TZM-1/2"-TZM B387-19, Type 364</v>
      </c>
      <c r="CH58" s="18" t="str">
        <f>IF(NZ[[#This Row],[UID]]=0,"",NZ[[#This Row],[UID]])</f>
        <v>NZ-TL</v>
      </c>
      <c r="CL58" s="18" t="str">
        <f>IF(NZ[[#This Row],[Status]]=0,"",NZ[[#This Row],[Status]])</f>
        <v>Active</v>
      </c>
    </row>
    <row r="59" spans="1:90" ht="15.95">
      <c r="A59" s="73" t="s">
        <v>120</v>
      </c>
      <c r="B59" s="9" t="s">
        <v>64</v>
      </c>
      <c r="C59" s="73" t="s">
        <v>1278</v>
      </c>
      <c r="D59" s="74" t="s">
        <v>344</v>
      </c>
      <c r="E59" s="36" t="s">
        <v>148</v>
      </c>
      <c r="F59" s="9" t="s">
        <v>1031</v>
      </c>
      <c r="G59" s="36" t="s">
        <v>1168</v>
      </c>
      <c r="H59" s="9" t="s">
        <v>1273</v>
      </c>
      <c r="I59" s="133">
        <v>110.38200000000001</v>
      </c>
      <c r="J59" s="36" t="s">
        <v>129</v>
      </c>
      <c r="K59" s="36" t="s">
        <v>129</v>
      </c>
      <c r="L59" s="36" t="s">
        <v>129</v>
      </c>
      <c r="M59" s="10">
        <v>16</v>
      </c>
      <c r="N59" s="76">
        <v>2320</v>
      </c>
      <c r="O59" s="76">
        <v>1000</v>
      </c>
      <c r="P59" s="73" t="s">
        <v>1246</v>
      </c>
      <c r="Q59" s="77" t="s">
        <v>1241</v>
      </c>
      <c r="R59" s="77"/>
      <c r="S59" s="36" t="s">
        <v>194</v>
      </c>
      <c r="T59" s="9">
        <v>230428</v>
      </c>
      <c r="U59" s="12" t="s">
        <v>203</v>
      </c>
      <c r="V59" s="12" t="s">
        <v>204</v>
      </c>
      <c r="W59" s="58" t="s">
        <v>123</v>
      </c>
      <c r="X59" s="72" t="s">
        <v>205</v>
      </c>
      <c r="Y59" s="18" t="s">
        <v>1259</v>
      </c>
      <c r="CB59" s="1" t="s">
        <v>71</v>
      </c>
      <c r="CC59" s="1" t="s">
        <v>18</v>
      </c>
      <c r="CD59" s="1" t="s">
        <v>132</v>
      </c>
      <c r="CF59" s="36" t="str">
        <f>NZ[[#This Row],[Part Type]]</f>
        <v>Nozzle</v>
      </c>
      <c r="CG59" s="18" t="str">
        <f>IF(NZ[[#This Row],[UID]]=0,"",NZ[[#This Row],[Reactor]]&amp;"-"&amp;NZ[[#This Row],[Nozzle Material]])</f>
        <v>TZM-1/2"-TZM B387-19, Type 364</v>
      </c>
      <c r="CH59" s="18" t="str">
        <f>IF(NZ[[#This Row],[UID]]=0,"",NZ[[#This Row],[UID]])</f>
        <v>NZ-TM</v>
      </c>
      <c r="CL59" s="18" t="str">
        <f>IF(NZ[[#This Row],[Status]]=0,"",NZ[[#This Row],[Status]])</f>
        <v>Active</v>
      </c>
    </row>
    <row r="60" spans="1:90" ht="15.95">
      <c r="A60" s="36" t="s">
        <v>140</v>
      </c>
      <c r="B60" s="36" t="s">
        <v>64</v>
      </c>
      <c r="C60" s="36" t="s">
        <v>1279</v>
      </c>
      <c r="D60" s="36" t="s">
        <v>1265</v>
      </c>
      <c r="E60" s="36" t="s">
        <v>148</v>
      </c>
      <c r="F60" s="9" t="s">
        <v>1031</v>
      </c>
      <c r="G60" s="36" t="s">
        <v>1168</v>
      </c>
      <c r="H60" s="36" t="s">
        <v>129</v>
      </c>
      <c r="I60" s="36" t="s">
        <v>129</v>
      </c>
      <c r="J60" s="36" t="s">
        <v>129</v>
      </c>
      <c r="K60" s="18" t="s">
        <v>129</v>
      </c>
      <c r="L60" s="18" t="s">
        <v>129</v>
      </c>
      <c r="M60" s="18">
        <v>175</v>
      </c>
      <c r="N60" s="28">
        <f>NZ[[#This Row],[Pressure Design MPa]]/0.101*14</f>
        <v>24257.425742574254</v>
      </c>
      <c r="O60" s="18">
        <v>600</v>
      </c>
      <c r="P60" s="18" t="s">
        <v>1266</v>
      </c>
      <c r="Q60" s="18" t="s">
        <v>129</v>
      </c>
      <c r="T60" s="58"/>
      <c r="U60" s="58"/>
      <c r="V60" s="58"/>
      <c r="W60" s="58"/>
      <c r="X60" s="58"/>
      <c r="Y60" s="18" t="s">
        <v>1280</v>
      </c>
      <c r="CB60" s="1" t="s">
        <v>71</v>
      </c>
      <c r="CC60" s="1" t="s">
        <v>18</v>
      </c>
      <c r="CD60" s="1" t="s">
        <v>132</v>
      </c>
      <c r="CF60" s="36" t="str">
        <f>NZ[[#This Row],[Part Type]]</f>
        <v>Nozzle</v>
      </c>
      <c r="CG60" s="18" t="str">
        <f>IF(NZ[[#This Row],[UID]]=0,"",NZ[[#This Row],[Reactor]]&amp;"-"&amp;NZ[[#This Row],[Nozzle Material]])</f>
        <v>TZM-3"-TZM B387-19, Type 364</v>
      </c>
      <c r="CH60" s="18" t="str">
        <f>IF(NZ[[#This Row],[UID]]=0,"",NZ[[#This Row],[UID]])</f>
        <v>NZ-AT</v>
      </c>
      <c r="CL60" s="18" t="str">
        <f>IF(NZ[[#This Row],[Status]]=0,"",NZ[[#This Row],[Status]])</f>
        <v>New</v>
      </c>
    </row>
    <row r="61" spans="1:90" ht="15.95">
      <c r="A61" s="36" t="s">
        <v>140</v>
      </c>
      <c r="B61" s="36" t="s">
        <v>64</v>
      </c>
      <c r="C61" s="9" t="s">
        <v>1281</v>
      </c>
      <c r="D61" s="9" t="s">
        <v>1282</v>
      </c>
      <c r="E61" s="9" t="s">
        <v>148</v>
      </c>
      <c r="F61" s="9" t="s">
        <v>1031</v>
      </c>
      <c r="G61" s="9" t="s">
        <v>1168</v>
      </c>
      <c r="H61" s="9"/>
      <c r="I61" s="133" t="e">
        <f>#REF!-(#REF!-AVERAGEIF(I:I,NZ[[#This Row],[Mass Measurment Date]],#REF!))</f>
        <v>#REF!</v>
      </c>
      <c r="J61" s="9"/>
      <c r="K61" s="10"/>
      <c r="L61" s="10"/>
      <c r="M61" s="10">
        <v>10</v>
      </c>
      <c r="N61" s="10"/>
      <c r="O61" s="10">
        <v>1050</v>
      </c>
      <c r="P61" s="18" t="s">
        <v>1266</v>
      </c>
      <c r="Q61" s="10"/>
      <c r="R61" s="10"/>
      <c r="S61" s="10"/>
      <c r="T61" s="12"/>
      <c r="U61" s="12"/>
      <c r="V61" s="12"/>
      <c r="W61" s="12"/>
      <c r="X61" s="12"/>
      <c r="CB61" s="1" t="s">
        <v>71</v>
      </c>
      <c r="CC61" s="1" t="s">
        <v>18</v>
      </c>
      <c r="CD61" s="1" t="s">
        <v>132</v>
      </c>
      <c r="CF61" s="36" t="str">
        <f>NZ[[#This Row],[Part Type]]</f>
        <v>Nozzle</v>
      </c>
      <c r="CG61" s="18" t="str">
        <f>IF(NZ[[#This Row],[UID]]=0,"",NZ[[#This Row],[Reactor]]&amp;"-"&amp;NZ[[#This Row],[Nozzle Material]])</f>
        <v>TZM-3.5"-TZM B387-19, Type 364</v>
      </c>
      <c r="CH61" s="18" t="str">
        <f>IF(NZ[[#This Row],[UID]]=0,"",NZ[[#This Row],[UID]])</f>
        <v>NZ-AU</v>
      </c>
      <c r="CL61" s="18" t="str">
        <f>IF(NZ[[#This Row],[Status]]=0,"",NZ[[#This Row],[Status]])</f>
        <v>New</v>
      </c>
    </row>
    <row r="62" spans="1:90" ht="15.95">
      <c r="A62" s="36" t="s">
        <v>140</v>
      </c>
      <c r="B62" s="36" t="s">
        <v>64</v>
      </c>
      <c r="C62" s="9" t="s">
        <v>1283</v>
      </c>
      <c r="D62" s="36" t="s">
        <v>1265</v>
      </c>
      <c r="E62" s="9"/>
      <c r="F62" s="9"/>
      <c r="G62" s="9"/>
      <c r="H62" s="9" t="s">
        <v>1284</v>
      </c>
      <c r="I62" s="133">
        <v>173.245</v>
      </c>
      <c r="J62" s="9"/>
      <c r="K62" s="10"/>
      <c r="L62" s="10"/>
      <c r="M62" s="10"/>
      <c r="N62" s="10"/>
      <c r="O62" s="10"/>
      <c r="P62" s="10"/>
      <c r="Q62" s="10"/>
      <c r="R62" s="10"/>
      <c r="S62" s="10"/>
      <c r="T62" s="12"/>
      <c r="U62" s="12"/>
      <c r="V62" s="12"/>
      <c r="W62" s="12" t="s">
        <v>123</v>
      </c>
      <c r="X62" s="12"/>
      <c r="CB62" s="1" t="s">
        <v>71</v>
      </c>
      <c r="CC62" s="1" t="s">
        <v>18</v>
      </c>
      <c r="CD62" s="1" t="s">
        <v>132</v>
      </c>
      <c r="CF62" s="36" t="str">
        <f>NZ[[#This Row],[Part Type]]</f>
        <v>Nozzle</v>
      </c>
      <c r="CG62" s="18" t="str">
        <f>IF(NZ[[#This Row],[UID]]=0,"",NZ[[#This Row],[Reactor]]&amp;"-"&amp;NZ[[#This Row],[Nozzle Material]])</f>
        <v>TZM-3"-</v>
      </c>
      <c r="CH62" s="18" t="str">
        <f>IF(NZ[[#This Row],[UID]]=0,"",NZ[[#This Row],[UID]])</f>
        <v>NZ-AR-1</v>
      </c>
      <c r="CL62" s="18" t="str">
        <f>IF(NZ[[#This Row],[Status]]=0,"",NZ[[#This Row],[Status]])</f>
        <v>New</v>
      </c>
    </row>
    <row r="63" spans="1:90" ht="15.95">
      <c r="A63" s="36" t="s">
        <v>140</v>
      </c>
      <c r="B63" s="36" t="s">
        <v>64</v>
      </c>
      <c r="C63" s="9" t="s">
        <v>1285</v>
      </c>
      <c r="D63" s="36" t="s">
        <v>1265</v>
      </c>
      <c r="E63" s="9"/>
      <c r="F63" s="9"/>
      <c r="G63" s="9"/>
      <c r="H63" s="9" t="s">
        <v>1284</v>
      </c>
      <c r="I63" s="133">
        <v>170.72300000000001</v>
      </c>
      <c r="J63" s="9"/>
      <c r="K63" s="10"/>
      <c r="L63" s="10"/>
      <c r="M63" s="10"/>
      <c r="N63" s="10"/>
      <c r="O63" s="10"/>
      <c r="P63" s="10"/>
      <c r="Q63" s="10"/>
      <c r="R63" s="10"/>
      <c r="S63" s="10"/>
      <c r="T63" s="12"/>
      <c r="U63" s="12"/>
      <c r="V63" s="12"/>
      <c r="W63" s="12" t="s">
        <v>123</v>
      </c>
      <c r="X63" s="12"/>
      <c r="CB63" s="1" t="s">
        <v>71</v>
      </c>
      <c r="CC63" s="1" t="s">
        <v>18</v>
      </c>
      <c r="CD63" s="1" t="s">
        <v>132</v>
      </c>
      <c r="CF63" s="36" t="str">
        <f>NZ[[#This Row],[Part Type]]</f>
        <v>Nozzle</v>
      </c>
      <c r="CG63" s="18" t="str">
        <f>IF(NZ[[#This Row],[UID]]=0,"",NZ[[#This Row],[Reactor]]&amp;"-"&amp;NZ[[#This Row],[Nozzle Material]])</f>
        <v>TZM-3"-</v>
      </c>
      <c r="CH63" s="18" t="str">
        <f>IF(NZ[[#This Row],[UID]]=0,"",NZ[[#This Row],[UID]])</f>
        <v>NZ-AR-2</v>
      </c>
      <c r="CL63" s="18" t="str">
        <f>IF(NZ[[#This Row],[Status]]=0,"",NZ[[#This Row],[Status]])</f>
        <v>New</v>
      </c>
    </row>
    <row r="64" spans="1:90" ht="15.95">
      <c r="A64" s="36" t="s">
        <v>140</v>
      </c>
      <c r="B64" s="36" t="s">
        <v>64</v>
      </c>
      <c r="C64" s="9" t="s">
        <v>1286</v>
      </c>
      <c r="D64" s="36" t="s">
        <v>1265</v>
      </c>
      <c r="E64" s="9"/>
      <c r="F64" s="9"/>
      <c r="G64" s="9"/>
      <c r="H64" s="9" t="s">
        <v>1284</v>
      </c>
      <c r="I64" s="133">
        <v>173.25800000000001</v>
      </c>
      <c r="J64" s="9"/>
      <c r="K64" s="10"/>
      <c r="L64" s="10"/>
      <c r="M64" s="10"/>
      <c r="N64" s="10"/>
      <c r="O64" s="10"/>
      <c r="P64" s="10"/>
      <c r="Q64" s="10"/>
      <c r="R64" s="10"/>
      <c r="S64" s="10"/>
      <c r="T64" s="12"/>
      <c r="U64" s="12"/>
      <c r="V64" s="12"/>
      <c r="W64" s="12" t="s">
        <v>123</v>
      </c>
      <c r="X64" s="12"/>
      <c r="CB64" s="1" t="s">
        <v>71</v>
      </c>
      <c r="CC64" s="1" t="s">
        <v>18</v>
      </c>
      <c r="CD64" s="1" t="s">
        <v>132</v>
      </c>
      <c r="CF64" s="36" t="str">
        <f>NZ[[#This Row],[Part Type]]</f>
        <v>Nozzle</v>
      </c>
      <c r="CG64" s="18" t="str">
        <f>IF(NZ[[#This Row],[UID]]=0,"",NZ[[#This Row],[Reactor]]&amp;"-"&amp;NZ[[#This Row],[Nozzle Material]])</f>
        <v>TZM-3"-</v>
      </c>
      <c r="CH64" s="18" t="str">
        <f>IF(NZ[[#This Row],[UID]]=0,"",NZ[[#This Row],[UID]])</f>
        <v>NZ-AR-3</v>
      </c>
      <c r="CL64" s="18" t="str">
        <f>IF(NZ[[#This Row],[Status]]=0,"",NZ[[#This Row],[Status]])</f>
        <v>New</v>
      </c>
    </row>
    <row r="65" spans="1:90" ht="15.95">
      <c r="A65" s="36" t="s">
        <v>140</v>
      </c>
      <c r="B65" s="36" t="s">
        <v>64</v>
      </c>
      <c r="C65" s="9" t="s">
        <v>1287</v>
      </c>
      <c r="D65" s="36" t="s">
        <v>1265</v>
      </c>
      <c r="E65" s="9"/>
      <c r="F65" s="9"/>
      <c r="G65" s="9"/>
      <c r="H65" s="9" t="s">
        <v>1284</v>
      </c>
      <c r="I65" s="133">
        <v>173.23099999999999</v>
      </c>
      <c r="J65" s="9"/>
      <c r="K65" s="10"/>
      <c r="L65" s="10"/>
      <c r="M65" s="10"/>
      <c r="N65" s="10"/>
      <c r="O65" s="10"/>
      <c r="P65" s="10"/>
      <c r="Q65" s="10"/>
      <c r="R65" s="10"/>
      <c r="S65" s="10"/>
      <c r="T65" s="12"/>
      <c r="U65" s="12"/>
      <c r="V65" s="12"/>
      <c r="W65" s="12" t="s">
        <v>123</v>
      </c>
      <c r="X65" s="12"/>
      <c r="CB65" s="1" t="s">
        <v>71</v>
      </c>
      <c r="CC65" s="1" t="s">
        <v>18</v>
      </c>
      <c r="CD65" s="1" t="s">
        <v>132</v>
      </c>
      <c r="CF65" s="36" t="str">
        <f>NZ[[#This Row],[Part Type]]</f>
        <v>Nozzle</v>
      </c>
      <c r="CG65" s="18" t="str">
        <f>IF(NZ[[#This Row],[UID]]=0,"",NZ[[#This Row],[Reactor]]&amp;"-"&amp;NZ[[#This Row],[Nozzle Material]])</f>
        <v>TZM-3"-</v>
      </c>
      <c r="CH65" s="18" t="str">
        <f>IF(NZ[[#This Row],[UID]]=0,"",NZ[[#This Row],[UID]])</f>
        <v>NZ-AR-4</v>
      </c>
      <c r="CL65" s="18" t="str">
        <f>IF(NZ[[#This Row],[Status]]=0,"",NZ[[#This Row],[Status]])</f>
        <v>New</v>
      </c>
    </row>
    <row r="66" spans="1:90" ht="15.95">
      <c r="A66" s="36" t="s">
        <v>140</v>
      </c>
      <c r="B66" s="36" t="s">
        <v>64</v>
      </c>
      <c r="C66" s="9" t="s">
        <v>1288</v>
      </c>
      <c r="D66" s="36" t="s">
        <v>1265</v>
      </c>
      <c r="E66" s="9"/>
      <c r="F66" s="9"/>
      <c r="G66" s="9"/>
      <c r="H66" s="9" t="s">
        <v>1284</v>
      </c>
      <c r="I66" s="133">
        <v>173.428</v>
      </c>
      <c r="J66" s="9"/>
      <c r="K66" s="10"/>
      <c r="L66" s="10"/>
      <c r="M66" s="10"/>
      <c r="N66" s="10"/>
      <c r="O66" s="10"/>
      <c r="P66" s="10"/>
      <c r="Q66" s="10"/>
      <c r="R66" s="10"/>
      <c r="S66" s="10"/>
      <c r="T66" s="12"/>
      <c r="U66" s="12"/>
      <c r="V66" s="12"/>
      <c r="W66" s="12" t="s">
        <v>123</v>
      </c>
      <c r="X66" s="12"/>
      <c r="CB66" s="1" t="s">
        <v>71</v>
      </c>
      <c r="CC66" s="1" t="s">
        <v>18</v>
      </c>
      <c r="CD66" s="1" t="s">
        <v>132</v>
      </c>
      <c r="CF66" s="36" t="str">
        <f>NZ[[#This Row],[Part Type]]</f>
        <v>Nozzle</v>
      </c>
      <c r="CG66" s="18" t="str">
        <f>IF(NZ[[#This Row],[UID]]=0,"",NZ[[#This Row],[Reactor]]&amp;"-"&amp;NZ[[#This Row],[Nozzle Material]])</f>
        <v>TZM-3"-</v>
      </c>
      <c r="CH66" s="18" t="str">
        <f>IF(NZ[[#This Row],[UID]]=0,"",NZ[[#This Row],[UID]])</f>
        <v>NZ-AR-5</v>
      </c>
      <c r="CL66" s="18" t="str">
        <f>IF(NZ[[#This Row],[Status]]=0,"",NZ[[#This Row],[Status]])</f>
        <v>New</v>
      </c>
    </row>
    <row r="67" spans="1:90" ht="15.95">
      <c r="A67" s="36" t="s">
        <v>140</v>
      </c>
      <c r="B67" s="36" t="s">
        <v>64</v>
      </c>
      <c r="C67" s="9" t="s">
        <v>1289</v>
      </c>
      <c r="D67" s="36" t="s">
        <v>1265</v>
      </c>
      <c r="E67" s="9"/>
      <c r="F67" s="9"/>
      <c r="G67" s="9"/>
      <c r="H67" s="9" t="s">
        <v>1284</v>
      </c>
      <c r="I67" s="133">
        <v>172.12899999999999</v>
      </c>
      <c r="J67" s="9"/>
      <c r="K67" s="10"/>
      <c r="L67" s="10"/>
      <c r="M67" s="10"/>
      <c r="N67" s="10"/>
      <c r="O67" s="10"/>
      <c r="P67" s="10"/>
      <c r="Q67" s="10"/>
      <c r="R67" s="10"/>
      <c r="S67" s="10"/>
      <c r="T67" s="12"/>
      <c r="U67" s="12"/>
      <c r="V67" s="12"/>
      <c r="W67" s="12" t="s">
        <v>123</v>
      </c>
      <c r="X67" s="12"/>
      <c r="CB67" s="1" t="s">
        <v>71</v>
      </c>
      <c r="CC67" s="1" t="s">
        <v>18</v>
      </c>
      <c r="CD67" s="1" t="s">
        <v>132</v>
      </c>
      <c r="CF67" s="36" t="str">
        <f>NZ[[#This Row],[Part Type]]</f>
        <v>Nozzle</v>
      </c>
      <c r="CG67" s="18" t="str">
        <f>IF(NZ[[#This Row],[UID]]=0,"",NZ[[#This Row],[Reactor]]&amp;"-"&amp;NZ[[#This Row],[Nozzle Material]])</f>
        <v>TZM-3"-</v>
      </c>
      <c r="CH67" s="18" t="str">
        <f>IF(NZ[[#This Row],[UID]]=0,"",NZ[[#This Row],[UID]])</f>
        <v>NZ-AR-6</v>
      </c>
      <c r="CL67" s="18" t="str">
        <f>IF(NZ[[#This Row],[Status]]=0,"",NZ[[#This Row],[Status]])</f>
        <v>New</v>
      </c>
    </row>
    <row r="68" spans="1:90" ht="15.95">
      <c r="A68" s="36" t="s">
        <v>140</v>
      </c>
      <c r="B68" s="36" t="s">
        <v>64</v>
      </c>
      <c r="C68" s="9" t="s">
        <v>1290</v>
      </c>
      <c r="D68" s="36" t="s">
        <v>1265</v>
      </c>
      <c r="E68" s="9"/>
      <c r="F68" s="9"/>
      <c r="G68" s="9"/>
      <c r="H68" s="9" t="s">
        <v>1284</v>
      </c>
      <c r="I68" s="133">
        <v>171.30699999999999</v>
      </c>
      <c r="J68" s="9"/>
      <c r="K68" s="10"/>
      <c r="L68" s="10"/>
      <c r="M68" s="10"/>
      <c r="N68" s="10"/>
      <c r="O68" s="10"/>
      <c r="P68" s="10"/>
      <c r="Q68" s="10"/>
      <c r="R68" s="10"/>
      <c r="S68" s="10"/>
      <c r="T68" s="12"/>
      <c r="U68" s="12"/>
      <c r="V68" s="12"/>
      <c r="W68" s="12" t="s">
        <v>123</v>
      </c>
      <c r="X68" s="12"/>
      <c r="CB68" s="1" t="s">
        <v>71</v>
      </c>
      <c r="CC68" s="1" t="s">
        <v>18</v>
      </c>
      <c r="CD68" s="1" t="s">
        <v>132</v>
      </c>
      <c r="CF68" s="36" t="str">
        <f>NZ[[#This Row],[Part Type]]</f>
        <v>Nozzle</v>
      </c>
      <c r="CG68" s="18" t="str">
        <f>IF(NZ[[#This Row],[UID]]=0,"",NZ[[#This Row],[Reactor]]&amp;"-"&amp;NZ[[#This Row],[Nozzle Material]])</f>
        <v>TZM-3"-</v>
      </c>
      <c r="CH68" s="18" t="str">
        <f>IF(NZ[[#This Row],[UID]]=0,"",NZ[[#This Row],[UID]])</f>
        <v>NZ-AR-7</v>
      </c>
      <c r="CL68" s="18" t="str">
        <f>IF(NZ[[#This Row],[Status]]=0,"",NZ[[#This Row],[Status]])</f>
        <v>New</v>
      </c>
    </row>
    <row r="69" spans="1:90" ht="15.95">
      <c r="A69" s="36" t="s">
        <v>140</v>
      </c>
      <c r="B69" s="36" t="s">
        <v>64</v>
      </c>
      <c r="C69" s="9" t="s">
        <v>1291</v>
      </c>
      <c r="D69" s="36" t="s">
        <v>1265</v>
      </c>
      <c r="E69" s="9"/>
      <c r="F69" s="9"/>
      <c r="G69" s="9"/>
      <c r="H69" s="9" t="s">
        <v>1284</v>
      </c>
      <c r="I69" s="133">
        <v>173.21600000000001</v>
      </c>
      <c r="J69" s="9"/>
      <c r="K69" s="10"/>
      <c r="L69" s="10"/>
      <c r="M69" s="10"/>
      <c r="N69" s="10"/>
      <c r="O69" s="10"/>
      <c r="P69" s="10"/>
      <c r="Q69" s="10"/>
      <c r="R69" s="10"/>
      <c r="S69" s="10"/>
      <c r="T69" s="12"/>
      <c r="U69" s="12"/>
      <c r="V69" s="12"/>
      <c r="W69" s="12" t="s">
        <v>123</v>
      </c>
      <c r="X69" s="12"/>
      <c r="CB69" s="1" t="s">
        <v>71</v>
      </c>
      <c r="CC69" s="1" t="s">
        <v>18</v>
      </c>
      <c r="CD69" s="1" t="s">
        <v>132</v>
      </c>
      <c r="CF69" s="36" t="str">
        <f>NZ[[#This Row],[Part Type]]</f>
        <v>Nozzle</v>
      </c>
      <c r="CG69" s="18" t="str">
        <f>IF(NZ[[#This Row],[UID]]=0,"",NZ[[#This Row],[Reactor]]&amp;"-"&amp;NZ[[#This Row],[Nozzle Material]])</f>
        <v>TZM-3"-</v>
      </c>
      <c r="CH69" s="18" t="str">
        <f>IF(NZ[[#This Row],[UID]]=0,"",NZ[[#This Row],[UID]])</f>
        <v>NZ-AR-8</v>
      </c>
      <c r="CL69" s="18" t="str">
        <f>IF(NZ[[#This Row],[Status]]=0,"",NZ[[#This Row],[Status]])</f>
        <v>New</v>
      </c>
    </row>
    <row r="70" spans="1:90" ht="15.95">
      <c r="A70" s="36" t="s">
        <v>140</v>
      </c>
      <c r="B70" s="36" t="s">
        <v>64</v>
      </c>
      <c r="C70" s="9" t="s">
        <v>1292</v>
      </c>
      <c r="D70" s="36" t="s">
        <v>1265</v>
      </c>
      <c r="E70" s="9"/>
      <c r="F70" s="9"/>
      <c r="G70" s="9"/>
      <c r="H70" s="9" t="s">
        <v>1284</v>
      </c>
      <c r="I70" s="133">
        <v>172.92500000000001</v>
      </c>
      <c r="J70" s="9"/>
      <c r="K70" s="10"/>
      <c r="L70" s="10"/>
      <c r="M70" s="10"/>
      <c r="N70" s="10"/>
      <c r="O70" s="10"/>
      <c r="P70" s="10"/>
      <c r="Q70" s="10"/>
      <c r="R70" s="10"/>
      <c r="S70" s="10"/>
      <c r="T70" s="12"/>
      <c r="U70" s="12"/>
      <c r="V70" s="12"/>
      <c r="W70" s="12" t="s">
        <v>123</v>
      </c>
      <c r="X70" s="12"/>
      <c r="CB70" s="1" t="s">
        <v>71</v>
      </c>
      <c r="CC70" s="1" t="s">
        <v>18</v>
      </c>
      <c r="CD70" s="1" t="s">
        <v>132</v>
      </c>
      <c r="CF70" s="36" t="str">
        <f>NZ[[#This Row],[Part Type]]</f>
        <v>Nozzle</v>
      </c>
      <c r="CG70" s="18" t="str">
        <f>IF(NZ[[#This Row],[UID]]=0,"",NZ[[#This Row],[Reactor]]&amp;"-"&amp;NZ[[#This Row],[Nozzle Material]])</f>
        <v>TZM-3"-</v>
      </c>
      <c r="CH70" s="18" t="str">
        <f>IF(NZ[[#This Row],[UID]]=0,"",NZ[[#This Row],[UID]])</f>
        <v>NZ-AR-9</v>
      </c>
      <c r="CL70" s="18" t="str">
        <f>IF(NZ[[#This Row],[Status]]=0,"",NZ[[#This Row],[Status]])</f>
        <v>New</v>
      </c>
    </row>
    <row r="71" spans="1:90" ht="15.95">
      <c r="A71" s="36" t="s">
        <v>140</v>
      </c>
      <c r="B71" s="36" t="s">
        <v>64</v>
      </c>
      <c r="C71" s="9" t="s">
        <v>1293</v>
      </c>
      <c r="D71" s="36" t="s">
        <v>1265</v>
      </c>
      <c r="E71" s="9"/>
      <c r="F71" s="9"/>
      <c r="G71" s="9"/>
      <c r="H71" s="9" t="s">
        <v>1284</v>
      </c>
      <c r="I71" s="133">
        <v>170.982</v>
      </c>
      <c r="J71" s="9"/>
      <c r="K71" s="10"/>
      <c r="L71" s="10"/>
      <c r="M71" s="10"/>
      <c r="N71" s="10"/>
      <c r="O71" s="10"/>
      <c r="P71" s="10"/>
      <c r="Q71" s="10"/>
      <c r="R71" s="10"/>
      <c r="S71" s="10"/>
      <c r="T71" s="12"/>
      <c r="U71" s="12"/>
      <c r="V71" s="12"/>
      <c r="W71" s="12" t="s">
        <v>123</v>
      </c>
      <c r="X71" s="12"/>
      <c r="CB71" s="1" t="s">
        <v>71</v>
      </c>
      <c r="CC71" s="1" t="s">
        <v>18</v>
      </c>
      <c r="CD71" s="1" t="s">
        <v>132</v>
      </c>
      <c r="CF71" s="36" t="str">
        <f>NZ[[#This Row],[Part Type]]</f>
        <v>Nozzle</v>
      </c>
      <c r="CG71" s="18" t="str">
        <f>IF(NZ[[#This Row],[UID]]=0,"",NZ[[#This Row],[Reactor]]&amp;"-"&amp;NZ[[#This Row],[Nozzle Material]])</f>
        <v>TZM-3"-</v>
      </c>
      <c r="CH71" s="18" t="str">
        <f>IF(NZ[[#This Row],[UID]]=0,"",NZ[[#This Row],[UID]])</f>
        <v>NZ-AR-10</v>
      </c>
      <c r="CL71" s="18" t="str">
        <f>IF(NZ[[#This Row],[Status]]=0,"",NZ[[#This Row],[Status]])</f>
        <v>New</v>
      </c>
    </row>
    <row r="72" spans="1:90" ht="15.95">
      <c r="A72" s="36"/>
      <c r="B72" s="36"/>
      <c r="C72" s="9" t="s">
        <v>1294</v>
      </c>
      <c r="D72" s="9"/>
      <c r="E72" s="9"/>
      <c r="F72" s="9"/>
      <c r="G72" s="9"/>
      <c r="H72" s="9"/>
      <c r="I72" s="133"/>
      <c r="J72" s="9"/>
      <c r="K72" s="10"/>
      <c r="L72" s="10"/>
      <c r="M72" s="10"/>
      <c r="N72" s="10"/>
      <c r="O72" s="10"/>
      <c r="P72" s="10"/>
      <c r="Q72" s="10"/>
      <c r="R72" s="10"/>
      <c r="S72" s="10"/>
      <c r="T72" s="12"/>
      <c r="U72" s="12"/>
      <c r="V72" s="12"/>
      <c r="W72" s="12"/>
      <c r="X72" s="12"/>
      <c r="CB72" s="1" t="s">
        <v>71</v>
      </c>
      <c r="CC72" s="1" t="s">
        <v>18</v>
      </c>
      <c r="CD72" s="1" t="s">
        <v>132</v>
      </c>
      <c r="CF72" s="36">
        <f>NZ[[#This Row],[Part Type]]</f>
        <v>0</v>
      </c>
      <c r="CG72" s="18" t="str">
        <f>IF(NZ[[#This Row],[UID]]=0,"",NZ[[#This Row],[Reactor]]&amp;"-"&amp;NZ[[#This Row],[Nozzle Material]])</f>
        <v>-</v>
      </c>
      <c r="CH72" s="18" t="str">
        <f>IF(NZ[[#This Row],[UID]]=0,"",NZ[[#This Row],[UID]])</f>
        <v>NZ-AQ-</v>
      </c>
      <c r="CL72" s="18" t="str">
        <f>IF(NZ[[#This Row],[Status]]=0,"",NZ[[#This Row],[Status]])</f>
        <v/>
      </c>
    </row>
    <row r="73" spans="1:90" s="170" customFormat="1">
      <c r="A73" s="166" t="s">
        <v>140</v>
      </c>
      <c r="B73" s="166" t="s">
        <v>64</v>
      </c>
      <c r="C73" s="167" t="s">
        <v>1295</v>
      </c>
      <c r="D73" s="30"/>
      <c r="E73" s="30"/>
      <c r="F73" s="30"/>
      <c r="G73" s="30"/>
      <c r="H73" s="169">
        <v>240730</v>
      </c>
      <c r="I73" s="168">
        <v>109.429</v>
      </c>
      <c r="J73" s="30"/>
      <c r="K73" s="169"/>
      <c r="L73" s="169"/>
      <c r="M73" s="169"/>
      <c r="N73" s="169"/>
      <c r="O73" s="169"/>
      <c r="P73" s="73" t="s">
        <v>1246</v>
      </c>
      <c r="Q73" s="77" t="s">
        <v>1241</v>
      </c>
      <c r="R73" s="187"/>
      <c r="S73" s="169" t="s">
        <v>215</v>
      </c>
      <c r="T73" s="30">
        <v>240709</v>
      </c>
      <c r="U73" s="106" t="s">
        <v>216</v>
      </c>
      <c r="V73" s="102" t="s">
        <v>217</v>
      </c>
      <c r="W73" s="94"/>
      <c r="X73" s="94"/>
      <c r="CB73" s="159" t="s">
        <v>71</v>
      </c>
      <c r="CC73" s="159" t="s">
        <v>18</v>
      </c>
      <c r="CD73" s="159" t="s">
        <v>132</v>
      </c>
      <c r="CF73" s="166" t="str">
        <f>NZ[[#This Row],[Part Type]]</f>
        <v>Nozzle</v>
      </c>
      <c r="CG73" s="170" t="str">
        <f>IF(NZ[[#This Row],[UID]]=0,"",NZ[[#This Row],[Reactor]]&amp;"-"&amp;NZ[[#This Row],[Nozzle Material]])</f>
        <v>-</v>
      </c>
      <c r="CH73" s="170" t="str">
        <f>IF(NZ[[#This Row],[UID]]=0,"",NZ[[#This Row],[UID]])</f>
        <v>NZ-TN</v>
      </c>
      <c r="CL73" s="170" t="str">
        <f>IF(NZ[[#This Row],[Status]]=0,"",NZ[[#This Row],[Status]])</f>
        <v>New</v>
      </c>
    </row>
    <row r="74" spans="1:90" s="170" customFormat="1" ht="409.6">
      <c r="A74" s="166" t="s">
        <v>140</v>
      </c>
      <c r="B74" s="166" t="s">
        <v>64</v>
      </c>
      <c r="C74" s="167" t="s">
        <v>1296</v>
      </c>
      <c r="D74" s="30"/>
      <c r="E74" s="30"/>
      <c r="F74" s="30"/>
      <c r="G74" s="30"/>
      <c r="H74" s="169">
        <v>240730</v>
      </c>
      <c r="I74" s="168">
        <v>109.59099999999999</v>
      </c>
      <c r="J74" s="30"/>
      <c r="K74" s="169"/>
      <c r="L74" s="169"/>
      <c r="M74" s="169"/>
      <c r="N74" s="169"/>
      <c r="O74" s="169"/>
      <c r="P74" s="73" t="s">
        <v>1246</v>
      </c>
      <c r="Q74" s="77" t="s">
        <v>1241</v>
      </c>
      <c r="R74" s="188" t="s">
        <v>1297</v>
      </c>
      <c r="S74" s="169" t="s">
        <v>215</v>
      </c>
      <c r="T74" s="30">
        <v>240709</v>
      </c>
      <c r="U74" s="106" t="s">
        <v>216</v>
      </c>
      <c r="V74" s="102" t="s">
        <v>217</v>
      </c>
      <c r="W74" s="94"/>
      <c r="X74" s="94"/>
      <c r="CB74" s="159" t="s">
        <v>71</v>
      </c>
      <c r="CC74" s="159" t="s">
        <v>18</v>
      </c>
      <c r="CD74" s="159" t="s">
        <v>132</v>
      </c>
      <c r="CF74" s="166" t="str">
        <f>NZ[[#This Row],[Part Type]]</f>
        <v>Nozzle</v>
      </c>
      <c r="CG74" s="170" t="str">
        <f>IF(NZ[[#This Row],[UID]]=0,"",NZ[[#This Row],[Reactor]]&amp;"-"&amp;NZ[[#This Row],[Nozzle Material]])</f>
        <v>-</v>
      </c>
      <c r="CH74" s="170" t="str">
        <f>IF(NZ[[#This Row],[UID]]=0,"",NZ[[#This Row],[UID]])</f>
        <v>NZ-TO</v>
      </c>
      <c r="CL74" s="170" t="str">
        <f>IF(NZ[[#This Row],[Status]]=0,"",NZ[[#This Row],[Status]])</f>
        <v>New</v>
      </c>
    </row>
    <row r="75" spans="1:90" s="170" customFormat="1">
      <c r="A75" s="166" t="s">
        <v>140</v>
      </c>
      <c r="B75" s="166" t="s">
        <v>64</v>
      </c>
      <c r="C75" s="167" t="s">
        <v>1298</v>
      </c>
      <c r="D75" s="30"/>
      <c r="E75" s="30"/>
      <c r="F75" s="30"/>
      <c r="G75" s="30"/>
      <c r="H75" s="169">
        <v>240730</v>
      </c>
      <c r="I75" s="168">
        <v>109.367</v>
      </c>
      <c r="J75" s="30"/>
      <c r="K75" s="169"/>
      <c r="L75" s="169"/>
      <c r="M75" s="169"/>
      <c r="N75" s="169"/>
      <c r="O75" s="169"/>
      <c r="P75" s="73" t="s">
        <v>1246</v>
      </c>
      <c r="Q75" s="77" t="s">
        <v>1241</v>
      </c>
      <c r="R75" s="10"/>
      <c r="S75" s="169" t="s">
        <v>215</v>
      </c>
      <c r="T75" s="30">
        <v>240709</v>
      </c>
      <c r="U75" s="106" t="s">
        <v>216</v>
      </c>
      <c r="V75" s="102" t="s">
        <v>217</v>
      </c>
      <c r="W75" s="94"/>
      <c r="X75" s="94"/>
      <c r="CB75" s="159" t="s">
        <v>71</v>
      </c>
      <c r="CC75" s="159" t="s">
        <v>18</v>
      </c>
      <c r="CD75" s="159" t="s">
        <v>132</v>
      </c>
      <c r="CF75" s="166" t="str">
        <f>NZ[[#This Row],[Part Type]]</f>
        <v>Nozzle</v>
      </c>
      <c r="CG75" s="170" t="str">
        <f>IF(NZ[[#This Row],[UID]]=0,"",NZ[[#This Row],[Reactor]]&amp;"-"&amp;NZ[[#This Row],[Nozzle Material]])</f>
        <v>-</v>
      </c>
      <c r="CH75" s="170" t="str">
        <f>IF(NZ[[#This Row],[UID]]=0,"",NZ[[#This Row],[UID]])</f>
        <v>NZ-TP</v>
      </c>
      <c r="CL75" s="170" t="str">
        <f>IF(NZ[[#This Row],[Status]]=0,"",NZ[[#This Row],[Status]])</f>
        <v>New</v>
      </c>
    </row>
    <row r="76" spans="1:90" s="170" customFormat="1">
      <c r="A76" s="166" t="s">
        <v>140</v>
      </c>
      <c r="B76" s="166" t="s">
        <v>64</v>
      </c>
      <c r="C76" s="167" t="s">
        <v>1299</v>
      </c>
      <c r="D76" s="30"/>
      <c r="E76" s="30"/>
      <c r="F76" s="30"/>
      <c r="G76" s="30"/>
      <c r="H76" s="169">
        <v>240730</v>
      </c>
      <c r="I76" s="168">
        <v>109.514</v>
      </c>
      <c r="J76" s="30"/>
      <c r="K76" s="169"/>
      <c r="L76" s="169"/>
      <c r="M76" s="169"/>
      <c r="N76" s="169"/>
      <c r="O76" s="169"/>
      <c r="P76" s="73" t="s">
        <v>1246</v>
      </c>
      <c r="Q76" s="77" t="s">
        <v>1241</v>
      </c>
      <c r="R76" s="10"/>
      <c r="S76" s="169" t="s">
        <v>215</v>
      </c>
      <c r="T76" s="30">
        <v>240709</v>
      </c>
      <c r="U76" s="106" t="s">
        <v>216</v>
      </c>
      <c r="V76" s="102" t="s">
        <v>217</v>
      </c>
      <c r="W76" s="94"/>
      <c r="X76" s="94"/>
      <c r="CB76" s="159" t="s">
        <v>71</v>
      </c>
      <c r="CC76" s="159" t="s">
        <v>18</v>
      </c>
      <c r="CD76" s="159" t="s">
        <v>132</v>
      </c>
      <c r="CF76" s="166" t="str">
        <f>NZ[[#This Row],[Part Type]]</f>
        <v>Nozzle</v>
      </c>
      <c r="CG76" s="170" t="str">
        <f>IF(NZ[[#This Row],[UID]]=0,"",NZ[[#This Row],[Reactor]]&amp;"-"&amp;NZ[[#This Row],[Nozzle Material]])</f>
        <v>-</v>
      </c>
      <c r="CH76" s="170" t="str">
        <f>IF(NZ[[#This Row],[UID]]=0,"",NZ[[#This Row],[UID]])</f>
        <v>NZ-TQ</v>
      </c>
      <c r="CL76" s="170" t="str">
        <f>IF(NZ[[#This Row],[Status]]=0,"",NZ[[#This Row],[Status]])</f>
        <v>New</v>
      </c>
    </row>
    <row r="77" spans="1:90" s="170" customFormat="1">
      <c r="A77" s="166" t="s">
        <v>140</v>
      </c>
      <c r="B77" s="166" t="s">
        <v>64</v>
      </c>
      <c r="C77" s="167" t="s">
        <v>1300</v>
      </c>
      <c r="D77" s="30"/>
      <c r="E77" s="30"/>
      <c r="F77" s="30"/>
      <c r="G77" s="30"/>
      <c r="H77" s="169">
        <v>240730</v>
      </c>
      <c r="I77" s="168">
        <v>109.501</v>
      </c>
      <c r="J77" s="30"/>
      <c r="K77" s="169"/>
      <c r="L77" s="169"/>
      <c r="M77" s="169"/>
      <c r="N77" s="169"/>
      <c r="O77" s="169"/>
      <c r="P77" s="73" t="s">
        <v>1246</v>
      </c>
      <c r="Q77" s="77" t="s">
        <v>1241</v>
      </c>
      <c r="R77" s="10"/>
      <c r="S77" s="169" t="s">
        <v>215</v>
      </c>
      <c r="T77" s="30">
        <v>240709</v>
      </c>
      <c r="U77" s="106" t="s">
        <v>216</v>
      </c>
      <c r="V77" s="102" t="s">
        <v>217</v>
      </c>
      <c r="W77" s="94"/>
      <c r="X77" s="94"/>
      <c r="CB77" s="159" t="s">
        <v>71</v>
      </c>
      <c r="CC77" s="159" t="s">
        <v>18</v>
      </c>
      <c r="CD77" s="159" t="s">
        <v>132</v>
      </c>
      <c r="CF77" s="166" t="str">
        <f>NZ[[#This Row],[Part Type]]</f>
        <v>Nozzle</v>
      </c>
      <c r="CG77" s="170" t="str">
        <f>IF(NZ[[#This Row],[UID]]=0,"",NZ[[#This Row],[Reactor]]&amp;"-"&amp;NZ[[#This Row],[Nozzle Material]])</f>
        <v>-</v>
      </c>
      <c r="CH77" s="170" t="str">
        <f>IF(NZ[[#This Row],[UID]]=0,"",NZ[[#This Row],[UID]])</f>
        <v>NZ-TR</v>
      </c>
      <c r="CL77" s="170" t="str">
        <f>IF(NZ[[#This Row],[Status]]=0,"",NZ[[#This Row],[Status]])</f>
        <v>New</v>
      </c>
    </row>
    <row r="78" spans="1:90" s="170" customFormat="1">
      <c r="A78" s="166" t="s">
        <v>140</v>
      </c>
      <c r="B78" s="166" t="s">
        <v>64</v>
      </c>
      <c r="C78" s="167" t="s">
        <v>1301</v>
      </c>
      <c r="D78" s="30"/>
      <c r="E78" s="30"/>
      <c r="F78" s="30"/>
      <c r="G78" s="30"/>
      <c r="H78" s="169">
        <v>240730</v>
      </c>
      <c r="I78" s="168">
        <v>109.511</v>
      </c>
      <c r="J78" s="30"/>
      <c r="K78" s="169"/>
      <c r="L78" s="169"/>
      <c r="M78" s="169"/>
      <c r="N78" s="169"/>
      <c r="O78" s="169"/>
      <c r="P78" s="73" t="s">
        <v>1246</v>
      </c>
      <c r="Q78" s="77" t="s">
        <v>1241</v>
      </c>
      <c r="R78" s="10"/>
      <c r="S78" s="169" t="s">
        <v>215</v>
      </c>
      <c r="T78" s="30">
        <v>240709</v>
      </c>
      <c r="U78" s="106" t="s">
        <v>216</v>
      </c>
      <c r="V78" s="102" t="s">
        <v>217</v>
      </c>
      <c r="W78" s="94"/>
      <c r="X78" s="94"/>
      <c r="CB78" s="159" t="s">
        <v>71</v>
      </c>
      <c r="CC78" s="159" t="s">
        <v>18</v>
      </c>
      <c r="CD78" s="159" t="s">
        <v>132</v>
      </c>
      <c r="CF78" s="166" t="str">
        <f>NZ[[#This Row],[Part Type]]</f>
        <v>Nozzle</v>
      </c>
      <c r="CG78" s="170" t="str">
        <f>IF(NZ[[#This Row],[UID]]=0,"",NZ[[#This Row],[Reactor]]&amp;"-"&amp;NZ[[#This Row],[Nozzle Material]])</f>
        <v>-</v>
      </c>
      <c r="CH78" s="170" t="str">
        <f>IF(NZ[[#This Row],[UID]]=0,"",NZ[[#This Row],[UID]])</f>
        <v>NZ-TS</v>
      </c>
      <c r="CL78" s="170" t="str">
        <f>IF(NZ[[#This Row],[Status]]=0,"",NZ[[#This Row],[Status]])</f>
        <v>New</v>
      </c>
    </row>
    <row r="79" spans="1:90" s="170" customFormat="1" ht="194.25">
      <c r="A79" s="166" t="s">
        <v>140</v>
      </c>
      <c r="B79" s="166" t="s">
        <v>64</v>
      </c>
      <c r="C79" s="167" t="s">
        <v>1302</v>
      </c>
      <c r="D79" s="30"/>
      <c r="E79" s="30"/>
      <c r="F79" s="30"/>
      <c r="G79" s="30"/>
      <c r="H79" s="169">
        <v>240730</v>
      </c>
      <c r="I79" s="168">
        <v>80.442999999999998</v>
      </c>
      <c r="J79" s="30"/>
      <c r="K79" s="169"/>
      <c r="L79" s="169"/>
      <c r="M79" s="169"/>
      <c r="N79" s="169"/>
      <c r="O79" s="169"/>
      <c r="P79" s="73" t="s">
        <v>1246</v>
      </c>
      <c r="Q79" s="77" t="s">
        <v>1303</v>
      </c>
      <c r="R79" s="187" t="s">
        <v>1304</v>
      </c>
      <c r="S79" s="169" t="s">
        <v>215</v>
      </c>
      <c r="T79" s="30">
        <v>240710</v>
      </c>
      <c r="U79" s="106" t="s">
        <v>1305</v>
      </c>
      <c r="V79" s="102" t="s">
        <v>217</v>
      </c>
      <c r="W79" s="94"/>
      <c r="X79" s="94"/>
      <c r="CB79" s="159" t="s">
        <v>71</v>
      </c>
      <c r="CC79" s="159" t="s">
        <v>18</v>
      </c>
      <c r="CD79" s="159" t="s">
        <v>132</v>
      </c>
      <c r="CF79" s="166" t="str">
        <f>NZ[[#This Row],[Part Type]]</f>
        <v>Nozzle</v>
      </c>
      <c r="CG79" s="170" t="str">
        <f>IF(NZ[[#This Row],[UID]]=0,"",NZ[[#This Row],[Reactor]]&amp;"-"&amp;NZ[[#This Row],[Nozzle Material]])</f>
        <v>-</v>
      </c>
      <c r="CH79" s="170" t="str">
        <f>IF(NZ[[#This Row],[UID]]=0,"",NZ[[#This Row],[UID]])</f>
        <v>NZ-TT</v>
      </c>
      <c r="CL79" s="170" t="str">
        <f>IF(NZ[[#This Row],[Status]]=0,"",NZ[[#This Row],[Status]])</f>
        <v>New</v>
      </c>
    </row>
    <row r="80" spans="1:90" s="170" customFormat="1" ht="15.95">
      <c r="A80" s="166" t="s">
        <v>140</v>
      </c>
      <c r="B80" s="166" t="s">
        <v>64</v>
      </c>
      <c r="C80" s="167" t="s">
        <v>1306</v>
      </c>
      <c r="D80" s="30"/>
      <c r="E80" s="30"/>
      <c r="F80" s="30"/>
      <c r="G80" s="30"/>
      <c r="H80" s="169">
        <v>240730</v>
      </c>
      <c r="I80" s="168">
        <v>80.475999999999999</v>
      </c>
      <c r="J80" s="30"/>
      <c r="K80" s="169"/>
      <c r="L80" s="169"/>
      <c r="M80" s="169"/>
      <c r="N80" s="169"/>
      <c r="O80" s="169"/>
      <c r="P80" s="73" t="s">
        <v>1246</v>
      </c>
      <c r="Q80" s="77" t="s">
        <v>1303</v>
      </c>
      <c r="R80" s="186"/>
      <c r="S80" s="169" t="s">
        <v>215</v>
      </c>
      <c r="T80" s="30">
        <v>240709</v>
      </c>
      <c r="U80" s="106" t="s">
        <v>216</v>
      </c>
      <c r="V80" s="102" t="s">
        <v>217</v>
      </c>
      <c r="W80" s="94"/>
      <c r="X80" s="94"/>
      <c r="CB80" s="159" t="s">
        <v>71</v>
      </c>
      <c r="CC80" s="159" t="s">
        <v>18</v>
      </c>
      <c r="CD80" s="159" t="s">
        <v>132</v>
      </c>
      <c r="CF80" s="166" t="str">
        <f>NZ[[#This Row],[Part Type]]</f>
        <v>Nozzle</v>
      </c>
      <c r="CG80" s="170" t="str">
        <f>IF(NZ[[#This Row],[UID]]=0,"",NZ[[#This Row],[Reactor]]&amp;"-"&amp;NZ[[#This Row],[Nozzle Material]])</f>
        <v>-</v>
      </c>
      <c r="CH80" s="170" t="str">
        <f>IF(NZ[[#This Row],[UID]]=0,"",NZ[[#This Row],[UID]])</f>
        <v>NZ-TU</v>
      </c>
      <c r="CL80" s="170" t="str">
        <f>IF(NZ[[#This Row],[Status]]=0,"",NZ[[#This Row],[Status]])</f>
        <v>New</v>
      </c>
    </row>
    <row r="81" spans="1:90" s="170" customFormat="1" ht="15.95">
      <c r="A81" s="166" t="s">
        <v>140</v>
      </c>
      <c r="B81" s="166" t="s">
        <v>64</v>
      </c>
      <c r="C81" s="167" t="s">
        <v>1307</v>
      </c>
      <c r="D81" s="30"/>
      <c r="E81" s="30"/>
      <c r="F81" s="30"/>
      <c r="G81" s="30"/>
      <c r="H81" s="169">
        <v>240730</v>
      </c>
      <c r="I81" s="168">
        <v>80.495999999999995</v>
      </c>
      <c r="J81" s="30"/>
      <c r="K81" s="169"/>
      <c r="L81" s="169"/>
      <c r="M81" s="169"/>
      <c r="N81" s="169"/>
      <c r="O81" s="169"/>
      <c r="P81" s="73" t="s">
        <v>1246</v>
      </c>
      <c r="Q81" s="77" t="s">
        <v>1303</v>
      </c>
      <c r="R81" s="186"/>
      <c r="S81" s="169" t="s">
        <v>215</v>
      </c>
      <c r="T81" s="30">
        <v>240709</v>
      </c>
      <c r="U81" s="106" t="s">
        <v>216</v>
      </c>
      <c r="V81" s="102" t="s">
        <v>217</v>
      </c>
      <c r="W81" s="94"/>
      <c r="X81" s="94"/>
      <c r="CB81" s="159" t="s">
        <v>71</v>
      </c>
      <c r="CC81" s="159" t="s">
        <v>18</v>
      </c>
      <c r="CD81" s="159" t="s">
        <v>132</v>
      </c>
      <c r="CF81" s="166" t="str">
        <f>NZ[[#This Row],[Part Type]]</f>
        <v>Nozzle</v>
      </c>
      <c r="CG81" s="170" t="str">
        <f>IF(NZ[[#This Row],[UID]]=0,"",NZ[[#This Row],[Reactor]]&amp;"-"&amp;NZ[[#This Row],[Nozzle Material]])</f>
        <v>-</v>
      </c>
      <c r="CH81" s="170" t="str">
        <f>IF(NZ[[#This Row],[UID]]=0,"",NZ[[#This Row],[UID]])</f>
        <v>NZ-TV</v>
      </c>
      <c r="CL81" s="170" t="str">
        <f>IF(NZ[[#This Row],[Status]]=0,"",NZ[[#This Row],[Status]])</f>
        <v>New</v>
      </c>
    </row>
    <row r="82" spans="1:90" s="170" customFormat="1" ht="15.95">
      <c r="A82" s="166" t="s">
        <v>140</v>
      </c>
      <c r="B82" s="166" t="s">
        <v>64</v>
      </c>
      <c r="C82" s="167" t="s">
        <v>1308</v>
      </c>
      <c r="D82" s="30"/>
      <c r="E82" s="30"/>
      <c r="F82" s="30"/>
      <c r="G82" s="30"/>
      <c r="H82" s="169">
        <v>240730</v>
      </c>
      <c r="I82" s="168">
        <v>80.503</v>
      </c>
      <c r="J82" s="30"/>
      <c r="K82" s="169"/>
      <c r="L82" s="169"/>
      <c r="M82" s="169"/>
      <c r="N82" s="169"/>
      <c r="O82" s="169"/>
      <c r="P82" s="73" t="s">
        <v>1246</v>
      </c>
      <c r="Q82" s="77" t="s">
        <v>1303</v>
      </c>
      <c r="R82" s="186"/>
      <c r="S82" s="169" t="s">
        <v>215</v>
      </c>
      <c r="T82" s="30">
        <v>240709</v>
      </c>
      <c r="U82" s="106" t="s">
        <v>216</v>
      </c>
      <c r="V82" s="102" t="s">
        <v>217</v>
      </c>
      <c r="W82" s="94"/>
      <c r="X82" s="94"/>
      <c r="CB82" s="159" t="s">
        <v>71</v>
      </c>
      <c r="CC82" s="159" t="s">
        <v>18</v>
      </c>
      <c r="CD82" s="159" t="s">
        <v>132</v>
      </c>
      <c r="CF82" s="166" t="str">
        <f>NZ[[#This Row],[Part Type]]</f>
        <v>Nozzle</v>
      </c>
      <c r="CG82" s="170" t="str">
        <f>IF(NZ[[#This Row],[UID]]=0,"",NZ[[#This Row],[Reactor]]&amp;"-"&amp;NZ[[#This Row],[Nozzle Material]])</f>
        <v>-</v>
      </c>
      <c r="CH82" s="170" t="str">
        <f>IF(NZ[[#This Row],[UID]]=0,"",NZ[[#This Row],[UID]])</f>
        <v>NZ-TW</v>
      </c>
      <c r="CL82" s="170" t="str">
        <f>IF(NZ[[#This Row],[Status]]=0,"",NZ[[#This Row],[Status]])</f>
        <v>New</v>
      </c>
    </row>
    <row r="83" spans="1:90" s="170" customFormat="1" ht="15.95">
      <c r="A83" s="166" t="s">
        <v>140</v>
      </c>
      <c r="B83" s="166" t="s">
        <v>64</v>
      </c>
      <c r="C83" s="167" t="s">
        <v>1309</v>
      </c>
      <c r="D83" s="30"/>
      <c r="E83" s="30"/>
      <c r="F83" s="30"/>
      <c r="G83" s="30"/>
      <c r="H83" s="169">
        <v>240730</v>
      </c>
      <c r="I83" s="168">
        <v>80.504000000000005</v>
      </c>
      <c r="J83" s="30"/>
      <c r="K83" s="169"/>
      <c r="L83" s="169"/>
      <c r="M83" s="169"/>
      <c r="N83" s="169"/>
      <c r="O83" s="169"/>
      <c r="P83" s="73" t="s">
        <v>1246</v>
      </c>
      <c r="Q83" s="77" t="s">
        <v>1303</v>
      </c>
      <c r="R83" s="186"/>
      <c r="S83" s="169" t="s">
        <v>215</v>
      </c>
      <c r="T83" s="30">
        <v>240709</v>
      </c>
      <c r="U83" s="106" t="s">
        <v>216</v>
      </c>
      <c r="V83" s="102" t="s">
        <v>217</v>
      </c>
      <c r="W83" s="94"/>
      <c r="X83" s="94"/>
      <c r="CB83" s="159" t="s">
        <v>71</v>
      </c>
      <c r="CC83" s="159" t="s">
        <v>18</v>
      </c>
      <c r="CD83" s="159" t="s">
        <v>132</v>
      </c>
      <c r="CF83" s="166" t="str">
        <f>NZ[[#This Row],[Part Type]]</f>
        <v>Nozzle</v>
      </c>
      <c r="CG83" s="170" t="str">
        <f>IF(NZ[[#This Row],[UID]]=0,"",NZ[[#This Row],[Reactor]]&amp;"-"&amp;NZ[[#This Row],[Nozzle Material]])</f>
        <v>-</v>
      </c>
      <c r="CH83" s="170" t="str">
        <f>IF(NZ[[#This Row],[UID]]=0,"",NZ[[#This Row],[UID]])</f>
        <v>NZ-TX</v>
      </c>
      <c r="CL83" s="170" t="str">
        <f>IF(NZ[[#This Row],[Status]]=0,"",NZ[[#This Row],[Status]])</f>
        <v>New</v>
      </c>
    </row>
    <row r="84" spans="1:90" s="170" customFormat="1" ht="15.95">
      <c r="A84" s="166" t="s">
        <v>140</v>
      </c>
      <c r="B84" s="166" t="s">
        <v>64</v>
      </c>
      <c r="C84" s="167" t="s">
        <v>1310</v>
      </c>
      <c r="D84" s="30"/>
      <c r="E84" s="30"/>
      <c r="F84" s="30"/>
      <c r="G84" s="30"/>
      <c r="H84" s="169">
        <v>240730</v>
      </c>
      <c r="I84" s="168">
        <v>80.488</v>
      </c>
      <c r="J84" s="30"/>
      <c r="K84" s="169"/>
      <c r="L84" s="169"/>
      <c r="M84" s="169"/>
      <c r="N84" s="169"/>
      <c r="O84" s="169"/>
      <c r="P84" s="73" t="s">
        <v>1246</v>
      </c>
      <c r="Q84" s="77" t="s">
        <v>1303</v>
      </c>
      <c r="R84" s="186"/>
      <c r="S84" s="169" t="s">
        <v>215</v>
      </c>
      <c r="T84" s="30">
        <v>240709</v>
      </c>
      <c r="U84" s="106" t="s">
        <v>216</v>
      </c>
      <c r="V84" s="102" t="s">
        <v>217</v>
      </c>
      <c r="W84" s="94"/>
      <c r="X84" s="94"/>
      <c r="CB84" s="159" t="s">
        <v>71</v>
      </c>
      <c r="CC84" s="159" t="s">
        <v>18</v>
      </c>
      <c r="CD84" s="159" t="s">
        <v>132</v>
      </c>
      <c r="CF84" s="166" t="str">
        <f>NZ[[#This Row],[Part Type]]</f>
        <v>Nozzle</v>
      </c>
      <c r="CG84" s="170" t="str">
        <f>IF(NZ[[#This Row],[UID]]=0,"",NZ[[#This Row],[Reactor]]&amp;"-"&amp;NZ[[#This Row],[Nozzle Material]])</f>
        <v>-</v>
      </c>
      <c r="CH84" s="170" t="str">
        <f>IF(NZ[[#This Row],[UID]]=0,"",NZ[[#This Row],[UID]])</f>
        <v>NZ-TY</v>
      </c>
      <c r="CL84" s="170" t="str">
        <f>IF(NZ[[#This Row],[Status]]=0,"",NZ[[#This Row],[Status]])</f>
        <v>New</v>
      </c>
    </row>
    <row r="85" spans="1:90" ht="15.95">
      <c r="A85" s="36" t="s">
        <v>140</v>
      </c>
      <c r="B85" s="36" t="s">
        <v>64</v>
      </c>
      <c r="C85" s="73" t="s">
        <v>1311</v>
      </c>
      <c r="D85" s="9" t="s">
        <v>1282</v>
      </c>
      <c r="E85" s="9" t="s">
        <v>148</v>
      </c>
      <c r="F85" s="9" t="s">
        <v>1031</v>
      </c>
      <c r="G85" s="9" t="s">
        <v>1168</v>
      </c>
      <c r="H85" s="9"/>
      <c r="I85" s="133"/>
      <c r="J85" s="9"/>
      <c r="K85" s="10"/>
      <c r="L85" s="10"/>
      <c r="M85" s="10"/>
      <c r="N85" s="10"/>
      <c r="O85" s="10"/>
      <c r="P85" s="10"/>
      <c r="Q85" s="10"/>
      <c r="R85" s="10"/>
      <c r="S85" s="10"/>
      <c r="T85" s="12"/>
      <c r="U85" s="12"/>
      <c r="V85" s="12"/>
      <c r="W85" s="12"/>
      <c r="X85" s="12"/>
      <c r="CB85" s="1" t="s">
        <v>71</v>
      </c>
      <c r="CC85" s="1" t="s">
        <v>18</v>
      </c>
      <c r="CD85" s="1" t="s">
        <v>132</v>
      </c>
      <c r="CF85" s="36" t="str">
        <f>NZ[[#This Row],[Part Type]]</f>
        <v>Nozzle</v>
      </c>
      <c r="CG85" s="18" t="str">
        <f>IF(NZ[[#This Row],[UID]]=0,"",NZ[[#This Row],[Reactor]]&amp;"-"&amp;NZ[[#This Row],[Nozzle Material]])</f>
        <v>TZM-3.5"-TZM B387-19, Type 364</v>
      </c>
      <c r="CH85" s="18" t="str">
        <f>IF(NZ[[#This Row],[UID]]=0,"",NZ[[#This Row],[UID]])</f>
        <v>NZ-AV</v>
      </c>
      <c r="CL85" s="18" t="str">
        <f>IF(NZ[[#This Row],[Status]]=0,"",NZ[[#This Row],[Status]])</f>
        <v>New</v>
      </c>
    </row>
    <row r="86" spans="1:90" ht="15.95">
      <c r="A86" s="36"/>
      <c r="B86" s="36"/>
      <c r="C86" s="73"/>
      <c r="D86" s="9"/>
      <c r="E86" s="9"/>
      <c r="F86" s="9"/>
      <c r="G86" s="9"/>
      <c r="H86" s="9"/>
      <c r="I86" s="133"/>
      <c r="J86" s="9"/>
      <c r="K86" s="10"/>
      <c r="L86" s="10"/>
      <c r="M86" s="10"/>
      <c r="N86" s="10"/>
      <c r="O86" s="10"/>
      <c r="P86" s="10"/>
      <c r="Q86" s="10"/>
      <c r="R86" s="10"/>
      <c r="S86" s="10"/>
      <c r="T86" s="12"/>
      <c r="U86" s="12"/>
      <c r="V86" s="12"/>
      <c r="W86" s="12"/>
      <c r="X86" s="12"/>
      <c r="CB86" s="1" t="s">
        <v>71</v>
      </c>
      <c r="CC86" s="1" t="s">
        <v>18</v>
      </c>
      <c r="CD86" s="1" t="s">
        <v>132</v>
      </c>
      <c r="CF86" s="36">
        <f>NZ[[#This Row],[Part Type]]</f>
        <v>0</v>
      </c>
      <c r="CG86" s="18" t="str">
        <f>IF(NZ[[#This Row],[UID]]=0,"",NZ[[#This Row],[Reactor]]&amp;"-"&amp;NZ[[#This Row],[Nozzle Material]])</f>
        <v/>
      </c>
      <c r="CH86" s="18" t="str">
        <f>IF(NZ[[#This Row],[UID]]=0,"",NZ[[#This Row],[UID]])</f>
        <v/>
      </c>
      <c r="CL86" s="18" t="str">
        <f>IF(NZ[[#This Row],[Status]]=0,"",NZ[[#This Row],[Status]])</f>
        <v/>
      </c>
    </row>
    <row r="87" spans="1:90" ht="15.95">
      <c r="A87" s="36"/>
      <c r="B87" s="36"/>
      <c r="C87" s="73"/>
      <c r="D87" s="9"/>
      <c r="E87" s="9"/>
      <c r="F87" s="9"/>
      <c r="G87" s="9"/>
      <c r="H87" s="9"/>
      <c r="I87" s="133"/>
      <c r="J87" s="9"/>
      <c r="K87" s="10"/>
      <c r="L87" s="10"/>
      <c r="M87" s="10"/>
      <c r="N87" s="10"/>
      <c r="O87" s="10"/>
      <c r="P87" s="10"/>
      <c r="Q87" s="10"/>
      <c r="R87" s="10"/>
      <c r="S87" s="10"/>
      <c r="T87" s="12"/>
      <c r="U87" s="12"/>
      <c r="V87" s="12"/>
      <c r="W87" s="12"/>
      <c r="X87" s="12"/>
      <c r="CB87" s="1" t="s">
        <v>71</v>
      </c>
      <c r="CC87" s="1" t="s">
        <v>18</v>
      </c>
      <c r="CD87" s="1" t="s">
        <v>132</v>
      </c>
      <c r="CF87" s="36">
        <f>NZ[[#This Row],[Part Type]]</f>
        <v>0</v>
      </c>
      <c r="CG87" s="18" t="str">
        <f>IF(NZ[[#This Row],[UID]]=0,"",NZ[[#This Row],[Reactor]]&amp;"-"&amp;NZ[[#This Row],[Nozzle Material]])</f>
        <v/>
      </c>
      <c r="CH87" s="18" t="str">
        <f>IF(NZ[[#This Row],[UID]]=0,"",NZ[[#This Row],[UID]])</f>
        <v/>
      </c>
      <c r="CL87" s="18" t="str">
        <f>IF(NZ[[#This Row],[Status]]=0,"",NZ[[#This Row],[Status]])</f>
        <v/>
      </c>
    </row>
    <row r="88" spans="1:90" ht="15.95">
      <c r="A88" s="36"/>
      <c r="B88" s="36"/>
      <c r="C88" s="9"/>
      <c r="D88" s="9"/>
      <c r="E88" s="9"/>
      <c r="F88" s="9"/>
      <c r="G88" s="9"/>
      <c r="H88" s="9"/>
      <c r="I88" s="133"/>
      <c r="J88" s="9"/>
      <c r="K88" s="10"/>
      <c r="L88" s="10"/>
      <c r="M88" s="10"/>
      <c r="N88" s="10"/>
      <c r="O88" s="10"/>
      <c r="P88" s="10"/>
      <c r="Q88" s="10"/>
      <c r="R88" s="10"/>
      <c r="S88" s="10"/>
      <c r="T88" s="12"/>
      <c r="U88" s="12"/>
      <c r="V88" s="12"/>
      <c r="W88" s="12"/>
      <c r="X88" s="12"/>
      <c r="CB88" s="1" t="s">
        <v>71</v>
      </c>
      <c r="CC88" s="1" t="s">
        <v>18</v>
      </c>
      <c r="CD88" s="1" t="s">
        <v>132</v>
      </c>
      <c r="CF88" s="36">
        <f>NZ[[#This Row],[Part Type]]</f>
        <v>0</v>
      </c>
      <c r="CG88" s="18" t="str">
        <f>IF(NZ[[#This Row],[UID]]=0,"",NZ[[#This Row],[Reactor]]&amp;"-"&amp;NZ[[#This Row],[Nozzle Material]])</f>
        <v/>
      </c>
      <c r="CH88" s="18" t="str">
        <f>IF(NZ[[#This Row],[UID]]=0,"",NZ[[#This Row],[UID]])</f>
        <v/>
      </c>
      <c r="CL88" s="18" t="str">
        <f>IF(NZ[[#This Row],[Status]]=0,"",NZ[[#This Row],[Status]])</f>
        <v/>
      </c>
    </row>
    <row r="89" spans="1:90" ht="15.95">
      <c r="A89" s="36"/>
      <c r="B89" s="36"/>
      <c r="C89" s="9"/>
      <c r="D89" s="9"/>
      <c r="E89" s="9"/>
      <c r="F89" s="9"/>
      <c r="G89" s="9"/>
      <c r="H89" s="9"/>
      <c r="I89" s="133"/>
      <c r="J89" s="9"/>
      <c r="K89" s="10"/>
      <c r="L89" s="10"/>
      <c r="M89" s="10"/>
      <c r="N89" s="10"/>
      <c r="O89" s="10"/>
      <c r="P89" s="10"/>
      <c r="Q89" s="10"/>
      <c r="R89" s="10"/>
      <c r="S89" s="10"/>
      <c r="T89" s="12"/>
      <c r="U89" s="12"/>
      <c r="V89" s="12"/>
      <c r="W89" s="12"/>
      <c r="X89" s="12"/>
      <c r="CB89" s="1" t="s">
        <v>71</v>
      </c>
      <c r="CC89" s="1" t="s">
        <v>18</v>
      </c>
      <c r="CD89" s="1" t="s">
        <v>132</v>
      </c>
      <c r="CF89" s="36">
        <f>NZ[[#This Row],[Part Type]]</f>
        <v>0</v>
      </c>
      <c r="CG89" s="18" t="str">
        <f>IF(NZ[[#This Row],[UID]]=0,"",NZ[[#This Row],[Reactor]]&amp;"-"&amp;NZ[[#This Row],[Nozzle Material]])</f>
        <v/>
      </c>
      <c r="CH89" s="18" t="str">
        <f>IF(NZ[[#This Row],[UID]]=0,"",NZ[[#This Row],[UID]])</f>
        <v/>
      </c>
      <c r="CL89" s="18" t="str">
        <f>IF(NZ[[#This Row],[Status]]=0,"",NZ[[#This Row],[Status]])</f>
        <v/>
      </c>
    </row>
    <row r="90" spans="1:90" ht="15.95">
      <c r="A90" s="36"/>
      <c r="B90" s="36"/>
      <c r="C90" s="9"/>
      <c r="D90" s="9"/>
      <c r="E90" s="9"/>
      <c r="F90" s="9"/>
      <c r="G90" s="9"/>
      <c r="H90" s="9"/>
      <c r="I90" s="133" t="e">
        <f>#REF!-(#REF!-AVERAGEIF(I:I,NZ[[#This Row],[Mass Measurment Date]],#REF!))</f>
        <v>#REF!</v>
      </c>
      <c r="J90" s="9"/>
      <c r="K90" s="10"/>
      <c r="L90" s="10"/>
      <c r="M90" s="10"/>
      <c r="N90" s="10"/>
      <c r="O90" s="10"/>
      <c r="P90" s="10"/>
      <c r="Q90" s="10"/>
      <c r="R90" s="10"/>
      <c r="S90" s="10"/>
      <c r="T90" s="12"/>
      <c r="U90" s="12"/>
      <c r="V90" s="12"/>
      <c r="W90" s="12"/>
      <c r="X90" s="12"/>
      <c r="CB90" s="1" t="s">
        <v>71</v>
      </c>
      <c r="CC90" s="1" t="s">
        <v>18</v>
      </c>
      <c r="CD90" s="1" t="s">
        <v>132</v>
      </c>
      <c r="CF90" s="36">
        <f>NZ[[#This Row],[Part Type]]</f>
        <v>0</v>
      </c>
      <c r="CG90" s="18" t="str">
        <f>IF(NZ[[#This Row],[UID]]=0,"",NZ[[#This Row],[Reactor]]&amp;"-"&amp;NZ[[#This Row],[Nozzle Material]])</f>
        <v/>
      </c>
      <c r="CH90" s="18" t="str">
        <f>IF(NZ[[#This Row],[UID]]=0,"",NZ[[#This Row],[UID]])</f>
        <v/>
      </c>
      <c r="CL90" s="18" t="str">
        <f>IF(NZ[[#This Row],[Status]]=0,"",NZ[[#This Row],[Status]])</f>
        <v/>
      </c>
    </row>
    <row r="91" spans="1:90" ht="15.95">
      <c r="A91" s="36"/>
      <c r="B91" s="36"/>
      <c r="C91" s="9"/>
      <c r="D91" s="9"/>
      <c r="E91" s="9"/>
      <c r="F91" s="9"/>
      <c r="G91" s="9"/>
      <c r="H91" s="9"/>
      <c r="I91" s="133" t="e">
        <f>#REF!-(#REF!-AVERAGEIF(I:I,NZ[[#This Row],[Mass Measurment Date]],#REF!))</f>
        <v>#REF!</v>
      </c>
      <c r="J91" s="9"/>
      <c r="K91" s="10"/>
      <c r="L91" s="10"/>
      <c r="M91" s="10"/>
      <c r="N91" s="10"/>
      <c r="O91" s="10"/>
      <c r="P91" s="10"/>
      <c r="Q91" s="10"/>
      <c r="R91" s="10"/>
      <c r="S91" s="10"/>
      <c r="T91" s="12"/>
      <c r="U91" s="12"/>
      <c r="V91" s="12"/>
      <c r="W91" s="12"/>
      <c r="X91" s="12"/>
      <c r="CB91" s="1" t="s">
        <v>71</v>
      </c>
      <c r="CC91" s="1" t="s">
        <v>18</v>
      </c>
      <c r="CD91" s="1" t="s">
        <v>132</v>
      </c>
      <c r="CF91" s="36">
        <f>NZ[[#This Row],[Part Type]]</f>
        <v>0</v>
      </c>
      <c r="CG91" s="18" t="str">
        <f>IF(NZ[[#This Row],[UID]]=0,"",NZ[[#This Row],[Reactor]]&amp;"-"&amp;NZ[[#This Row],[Nozzle Material]])</f>
        <v/>
      </c>
      <c r="CH91" s="18" t="str">
        <f>IF(NZ[[#This Row],[UID]]=0,"",NZ[[#This Row],[UID]])</f>
        <v/>
      </c>
      <c r="CL91" s="18" t="str">
        <f>IF(NZ[[#This Row],[Status]]=0,"",NZ[[#This Row],[Status]])</f>
        <v/>
      </c>
    </row>
    <row r="92" spans="1:90" ht="15.95">
      <c r="A92" s="36"/>
      <c r="B92" s="36"/>
      <c r="C92" s="9"/>
      <c r="D92" s="9"/>
      <c r="E92" s="9"/>
      <c r="F92" s="9"/>
      <c r="G92" s="9"/>
      <c r="H92" s="9"/>
      <c r="I92" s="133" t="e">
        <f>#REF!-(#REF!-AVERAGEIF(I:I,NZ[[#This Row],[Mass Measurment Date]],#REF!))</f>
        <v>#REF!</v>
      </c>
      <c r="J92" s="9"/>
      <c r="K92" s="10"/>
      <c r="L92" s="10"/>
      <c r="M92" s="10"/>
      <c r="N92" s="10"/>
      <c r="O92" s="10"/>
      <c r="P92" s="10"/>
      <c r="Q92" s="10"/>
      <c r="R92" s="10"/>
      <c r="S92" s="10"/>
      <c r="T92" s="12"/>
      <c r="U92" s="12"/>
      <c r="V92" s="12"/>
      <c r="W92" s="12"/>
      <c r="X92" s="12"/>
      <c r="CB92" s="1" t="s">
        <v>71</v>
      </c>
      <c r="CC92" s="1" t="s">
        <v>18</v>
      </c>
      <c r="CD92" s="1" t="s">
        <v>132</v>
      </c>
      <c r="CF92" s="36">
        <f>NZ[[#This Row],[Part Type]]</f>
        <v>0</v>
      </c>
      <c r="CG92" s="18" t="str">
        <f>IF(NZ[[#This Row],[UID]]=0,"",NZ[[#This Row],[Reactor]]&amp;"-"&amp;NZ[[#This Row],[Nozzle Material]])</f>
        <v/>
      </c>
      <c r="CH92" s="18" t="str">
        <f>IF(NZ[[#This Row],[UID]]=0,"",NZ[[#This Row],[UID]])</f>
        <v/>
      </c>
      <c r="CL92" s="18" t="str">
        <f>IF(NZ[[#This Row],[Status]]=0,"",NZ[[#This Row],[Status]])</f>
        <v/>
      </c>
    </row>
    <row r="93" spans="1:90" ht="15.95">
      <c r="A93" s="36"/>
      <c r="B93" s="36"/>
      <c r="C93" s="9"/>
      <c r="D93" s="9"/>
      <c r="E93" s="9"/>
      <c r="F93" s="9"/>
      <c r="G93" s="9"/>
      <c r="H93" s="9"/>
      <c r="I93" s="133" t="e">
        <f>#REF!-(#REF!-AVERAGEIF(I:I,NZ[[#This Row],[Mass Measurment Date]],#REF!))</f>
        <v>#REF!</v>
      </c>
      <c r="J93" s="9"/>
      <c r="K93" s="10"/>
      <c r="L93" s="10"/>
      <c r="M93" s="10"/>
      <c r="N93" s="10"/>
      <c r="O93" s="10"/>
      <c r="P93" s="10"/>
      <c r="Q93" s="10"/>
      <c r="R93" s="10"/>
      <c r="S93" s="10"/>
      <c r="T93" s="12"/>
      <c r="U93" s="12"/>
      <c r="V93" s="12"/>
      <c r="W93" s="12"/>
      <c r="X93" s="12"/>
      <c r="CB93" s="1" t="s">
        <v>71</v>
      </c>
      <c r="CC93" s="1" t="s">
        <v>18</v>
      </c>
      <c r="CD93" s="1" t="s">
        <v>132</v>
      </c>
      <c r="CF93" s="36">
        <f>NZ[[#This Row],[Part Type]]</f>
        <v>0</v>
      </c>
      <c r="CG93" s="18" t="str">
        <f>IF(NZ[[#This Row],[UID]]=0,"",NZ[[#This Row],[Reactor]]&amp;"-"&amp;NZ[[#This Row],[Nozzle Material]])</f>
        <v/>
      </c>
      <c r="CH93" s="18" t="str">
        <f>IF(NZ[[#This Row],[UID]]=0,"",NZ[[#This Row],[UID]])</f>
        <v/>
      </c>
      <c r="CL93" s="18" t="str">
        <f>IF(NZ[[#This Row],[Status]]=0,"",NZ[[#This Row],[Status]])</f>
        <v/>
      </c>
    </row>
    <row r="94" spans="1:90" ht="15.95">
      <c r="A94" s="36"/>
      <c r="B94" s="36"/>
      <c r="C94" s="9"/>
      <c r="D94" s="9"/>
      <c r="E94" s="9"/>
      <c r="F94" s="9"/>
      <c r="G94" s="9"/>
      <c r="H94" s="9"/>
      <c r="I94" s="133" t="e">
        <f>#REF!-(#REF!-AVERAGEIF(I:I,NZ[[#This Row],[Mass Measurment Date]],#REF!))</f>
        <v>#REF!</v>
      </c>
      <c r="J94" s="9"/>
      <c r="K94" s="10"/>
      <c r="L94" s="10"/>
      <c r="M94" s="10"/>
      <c r="N94" s="10"/>
      <c r="O94" s="10"/>
      <c r="P94" s="10"/>
      <c r="Q94" s="10"/>
      <c r="R94" s="10"/>
      <c r="S94" s="10"/>
      <c r="T94" s="12"/>
      <c r="U94" s="12"/>
      <c r="V94" s="12"/>
      <c r="W94" s="12"/>
      <c r="X94" s="12"/>
      <c r="CB94" s="1" t="s">
        <v>71</v>
      </c>
      <c r="CC94" s="1" t="s">
        <v>18</v>
      </c>
      <c r="CD94" s="1" t="s">
        <v>132</v>
      </c>
      <c r="CF94" s="36">
        <f>NZ[[#This Row],[Part Type]]</f>
        <v>0</v>
      </c>
      <c r="CG94" s="18" t="str">
        <f>IF(NZ[[#This Row],[UID]]=0,"",NZ[[#This Row],[Reactor]]&amp;"-"&amp;NZ[[#This Row],[Nozzle Material]])</f>
        <v/>
      </c>
      <c r="CH94" s="18" t="str">
        <f>IF(NZ[[#This Row],[UID]]=0,"",NZ[[#This Row],[UID]])</f>
        <v/>
      </c>
      <c r="CL94" s="18" t="str">
        <f>IF(NZ[[#This Row],[Status]]=0,"",NZ[[#This Row],[Status]])</f>
        <v/>
      </c>
    </row>
    <row r="95" spans="1:90" ht="15.95">
      <c r="A95" s="36"/>
      <c r="B95" s="36"/>
      <c r="C95" s="9"/>
      <c r="D95" s="9"/>
      <c r="E95" s="9"/>
      <c r="F95" s="9"/>
      <c r="G95" s="9"/>
      <c r="H95" s="9"/>
      <c r="I95" s="133" t="e">
        <f>#REF!-(#REF!-AVERAGEIF(I:I,NZ[[#This Row],[Mass Measurment Date]],#REF!))</f>
        <v>#REF!</v>
      </c>
      <c r="J95" s="9"/>
      <c r="K95" s="10"/>
      <c r="L95" s="10"/>
      <c r="M95" s="10"/>
      <c r="N95" s="10"/>
      <c r="O95" s="10"/>
      <c r="P95" s="10"/>
      <c r="Q95" s="10"/>
      <c r="R95" s="10"/>
      <c r="S95" s="10"/>
      <c r="T95" s="12"/>
      <c r="U95" s="12"/>
      <c r="V95" s="12"/>
      <c r="W95" s="12"/>
      <c r="X95" s="12"/>
      <c r="CB95" s="1" t="s">
        <v>71</v>
      </c>
      <c r="CC95" s="1" t="s">
        <v>18</v>
      </c>
      <c r="CD95" s="1" t="s">
        <v>132</v>
      </c>
      <c r="CF95" s="36">
        <f>NZ[[#This Row],[Part Type]]</f>
        <v>0</v>
      </c>
      <c r="CG95" s="18" t="str">
        <f>IF(NZ[[#This Row],[UID]]=0,"",NZ[[#This Row],[Reactor]]&amp;"-"&amp;NZ[[#This Row],[Nozzle Material]])</f>
        <v/>
      </c>
      <c r="CH95" s="18" t="str">
        <f>IF(NZ[[#This Row],[UID]]=0,"",NZ[[#This Row],[UID]])</f>
        <v/>
      </c>
      <c r="CL95" s="18" t="str">
        <f>IF(NZ[[#This Row],[Status]]=0,"",NZ[[#This Row],[Status]])</f>
        <v/>
      </c>
    </row>
    <row r="96" spans="1:90" ht="15.95">
      <c r="A96" s="36"/>
      <c r="B96" s="36"/>
      <c r="C96" s="9"/>
      <c r="D96" s="9"/>
      <c r="E96" s="9"/>
      <c r="F96" s="9"/>
      <c r="G96" s="9"/>
      <c r="H96" s="9"/>
      <c r="I96" s="133" t="e">
        <f>#REF!-(#REF!-AVERAGEIF(I:I,NZ[[#This Row],[Mass Measurment Date]],#REF!))</f>
        <v>#REF!</v>
      </c>
      <c r="J96" s="9"/>
      <c r="K96" s="10"/>
      <c r="L96" s="10"/>
      <c r="M96" s="10"/>
      <c r="N96" s="10"/>
      <c r="O96" s="10"/>
      <c r="P96" s="10"/>
      <c r="Q96" s="10"/>
      <c r="R96" s="10"/>
      <c r="S96" s="10"/>
      <c r="T96" s="12"/>
      <c r="U96" s="12"/>
      <c r="V96" s="12"/>
      <c r="W96" s="12"/>
      <c r="X96" s="12"/>
      <c r="CB96" s="1" t="s">
        <v>71</v>
      </c>
      <c r="CC96" s="1" t="s">
        <v>18</v>
      </c>
      <c r="CD96" s="1" t="s">
        <v>132</v>
      </c>
      <c r="CF96" s="36">
        <f>NZ[[#This Row],[Part Type]]</f>
        <v>0</v>
      </c>
      <c r="CG96" s="18" t="str">
        <f>IF(NZ[[#This Row],[UID]]=0,"",NZ[[#This Row],[Reactor]]&amp;"-"&amp;NZ[[#This Row],[Nozzle Material]])</f>
        <v/>
      </c>
      <c r="CH96" s="18" t="str">
        <f>IF(NZ[[#This Row],[UID]]=0,"",NZ[[#This Row],[UID]])</f>
        <v/>
      </c>
      <c r="CL96" s="18" t="str">
        <f>IF(NZ[[#This Row],[Status]]=0,"",NZ[[#This Row],[Status]])</f>
        <v/>
      </c>
    </row>
    <row r="97" spans="1:90" ht="15.95">
      <c r="A97" s="36"/>
      <c r="B97" s="36"/>
      <c r="C97" s="9"/>
      <c r="D97" s="9"/>
      <c r="E97" s="9"/>
      <c r="F97" s="9"/>
      <c r="G97" s="9"/>
      <c r="H97" s="9"/>
      <c r="I97" s="133" t="e">
        <f>#REF!-(#REF!-AVERAGEIF(I:I,NZ[[#This Row],[Mass Measurment Date]],#REF!))</f>
        <v>#REF!</v>
      </c>
      <c r="J97" s="9"/>
      <c r="K97" s="10"/>
      <c r="L97" s="10"/>
      <c r="M97" s="10"/>
      <c r="N97" s="10"/>
      <c r="O97" s="10"/>
      <c r="P97" s="10"/>
      <c r="Q97" s="10"/>
      <c r="R97" s="10"/>
      <c r="S97" s="10"/>
      <c r="T97" s="12"/>
      <c r="U97" s="12"/>
      <c r="V97" s="12"/>
      <c r="W97" s="12"/>
      <c r="X97" s="12"/>
      <c r="CB97" s="1" t="s">
        <v>71</v>
      </c>
      <c r="CC97" s="1" t="s">
        <v>18</v>
      </c>
      <c r="CD97" s="1" t="s">
        <v>132</v>
      </c>
      <c r="CF97" s="36">
        <f>NZ[[#This Row],[Part Type]]</f>
        <v>0</v>
      </c>
      <c r="CG97" s="18" t="str">
        <f>IF(NZ[[#This Row],[UID]]=0,"",NZ[[#This Row],[Reactor]]&amp;"-"&amp;NZ[[#This Row],[Nozzle Material]])</f>
        <v/>
      </c>
      <c r="CH97" s="18" t="str">
        <f>IF(NZ[[#This Row],[UID]]=0,"",NZ[[#This Row],[UID]])</f>
        <v/>
      </c>
      <c r="CL97" s="18" t="str">
        <f>IF(NZ[[#This Row],[Status]]=0,"",NZ[[#This Row],[Status]])</f>
        <v/>
      </c>
    </row>
    <row r="98" spans="1:90" ht="15.95">
      <c r="A98" s="36"/>
      <c r="B98" s="36"/>
      <c r="C98" s="9"/>
      <c r="D98" s="9"/>
      <c r="E98" s="9"/>
      <c r="F98" s="9"/>
      <c r="G98" s="9"/>
      <c r="H98" s="9"/>
      <c r="I98" s="133" t="e">
        <f>#REF!-(#REF!-AVERAGEIF(I:I,NZ[[#This Row],[Mass Measurment Date]],#REF!))</f>
        <v>#REF!</v>
      </c>
      <c r="J98" s="9"/>
      <c r="K98" s="10"/>
      <c r="L98" s="10"/>
      <c r="M98" s="10"/>
      <c r="N98" s="10"/>
      <c r="O98" s="10"/>
      <c r="P98" s="10"/>
      <c r="Q98" s="10"/>
      <c r="R98" s="10"/>
      <c r="S98" s="10"/>
      <c r="T98" s="12"/>
      <c r="U98" s="12"/>
      <c r="V98" s="12"/>
      <c r="W98" s="12"/>
      <c r="X98" s="12"/>
      <c r="CB98" s="1" t="s">
        <v>71</v>
      </c>
      <c r="CC98" s="1" t="s">
        <v>18</v>
      </c>
      <c r="CD98" s="1" t="s">
        <v>132</v>
      </c>
      <c r="CF98" s="36">
        <f>NZ[[#This Row],[Part Type]]</f>
        <v>0</v>
      </c>
      <c r="CG98" s="18" t="str">
        <f>IF(NZ[[#This Row],[UID]]=0,"",NZ[[#This Row],[Reactor]]&amp;"-"&amp;NZ[[#This Row],[Nozzle Material]])</f>
        <v/>
      </c>
      <c r="CH98" s="18" t="str">
        <f>IF(NZ[[#This Row],[UID]]=0,"",NZ[[#This Row],[UID]])</f>
        <v/>
      </c>
      <c r="CL98" s="18" t="str">
        <f>IF(NZ[[#This Row],[Status]]=0,"",NZ[[#This Row],[Status]])</f>
        <v/>
      </c>
    </row>
    <row r="99" spans="1:90" ht="15.95">
      <c r="A99" s="36"/>
      <c r="B99" s="36"/>
      <c r="C99" s="9"/>
      <c r="D99" s="9"/>
      <c r="E99" s="9"/>
      <c r="F99" s="9"/>
      <c r="G99" s="9"/>
      <c r="H99" s="9"/>
      <c r="I99" s="133" t="e">
        <f>#REF!-(#REF!-AVERAGEIF(I:I,NZ[[#This Row],[Mass Measurment Date]],#REF!))</f>
        <v>#REF!</v>
      </c>
      <c r="J99" s="9"/>
      <c r="K99" s="10"/>
      <c r="L99" s="10"/>
      <c r="M99" s="10"/>
      <c r="N99" s="10"/>
      <c r="O99" s="10"/>
      <c r="P99" s="10"/>
      <c r="Q99" s="10"/>
      <c r="R99" s="10"/>
      <c r="S99" s="10"/>
      <c r="T99" s="12"/>
      <c r="U99" s="12"/>
      <c r="V99" s="12"/>
      <c r="W99" s="12"/>
      <c r="X99" s="12"/>
      <c r="CB99" s="1" t="s">
        <v>71</v>
      </c>
      <c r="CC99" s="1" t="s">
        <v>18</v>
      </c>
      <c r="CD99" s="1" t="s">
        <v>132</v>
      </c>
      <c r="CF99" s="36">
        <f>NZ[[#This Row],[Part Type]]</f>
        <v>0</v>
      </c>
      <c r="CG99" s="18" t="str">
        <f>IF(NZ[[#This Row],[UID]]=0,"",NZ[[#This Row],[Reactor]]&amp;"-"&amp;NZ[[#This Row],[Nozzle Material]])</f>
        <v/>
      </c>
      <c r="CH99" s="18" t="str">
        <f>IF(NZ[[#This Row],[UID]]=0,"",NZ[[#This Row],[UID]])</f>
        <v/>
      </c>
      <c r="CL99" s="18" t="str">
        <f>IF(NZ[[#This Row],[Status]]=0,"",NZ[[#This Row],[Status]])</f>
        <v/>
      </c>
    </row>
    <row r="100" spans="1:90" ht="15.95">
      <c r="A100" s="36"/>
      <c r="B100" s="36"/>
      <c r="C100" s="9"/>
      <c r="D100" s="9"/>
      <c r="E100" s="9"/>
      <c r="F100" s="9"/>
      <c r="G100" s="9"/>
      <c r="H100" s="9"/>
      <c r="I100" s="133" t="e">
        <f>#REF!-(#REF!-AVERAGEIF(I:I,NZ[[#This Row],[Mass Measurment Date]],#REF!))</f>
        <v>#REF!</v>
      </c>
      <c r="J100" s="9"/>
      <c r="K100" s="10"/>
      <c r="L100" s="10"/>
      <c r="M100" s="10"/>
      <c r="N100" s="10"/>
      <c r="O100" s="10"/>
      <c r="P100" s="10"/>
      <c r="Q100" s="10"/>
      <c r="R100" s="10"/>
      <c r="S100" s="10"/>
      <c r="T100" s="12"/>
      <c r="U100" s="12"/>
      <c r="V100" s="12"/>
      <c r="W100" s="12"/>
      <c r="X100" s="12"/>
      <c r="CB100" s="1" t="s">
        <v>71</v>
      </c>
      <c r="CC100" s="1" t="s">
        <v>18</v>
      </c>
      <c r="CD100" s="1" t="s">
        <v>132</v>
      </c>
      <c r="CF100" s="36">
        <f>NZ[[#This Row],[Part Type]]</f>
        <v>0</v>
      </c>
      <c r="CG100" s="18" t="str">
        <f>IF(NZ[[#This Row],[UID]]=0,"",NZ[[#This Row],[Reactor]]&amp;"-"&amp;NZ[[#This Row],[Nozzle Material]])</f>
        <v/>
      </c>
      <c r="CH100" s="18" t="str">
        <f>IF(NZ[[#This Row],[UID]]=0,"",NZ[[#This Row],[UID]])</f>
        <v/>
      </c>
      <c r="CL100" s="18" t="str">
        <f>IF(NZ[[#This Row],[Status]]=0,"",NZ[[#This Row],[Status]])</f>
        <v/>
      </c>
    </row>
    <row r="101" spans="1:90" ht="15.95">
      <c r="A101" s="36"/>
      <c r="B101" s="36"/>
      <c r="C101" s="9"/>
      <c r="D101" s="9"/>
      <c r="E101" s="9"/>
      <c r="F101" s="9"/>
      <c r="G101" s="9"/>
      <c r="H101" s="9"/>
      <c r="I101" s="133" t="e">
        <f>#REF!-(#REF!-AVERAGEIF(I:I,NZ[[#This Row],[Mass Measurment Date]],#REF!))</f>
        <v>#REF!</v>
      </c>
      <c r="J101" s="9"/>
      <c r="K101" s="10"/>
      <c r="L101" s="10"/>
      <c r="M101" s="10"/>
      <c r="N101" s="10"/>
      <c r="O101" s="10"/>
      <c r="P101" s="10"/>
      <c r="Q101" s="10"/>
      <c r="R101" s="10"/>
      <c r="S101" s="10"/>
      <c r="T101" s="12"/>
      <c r="U101" s="12"/>
      <c r="V101" s="12"/>
      <c r="W101" s="12"/>
      <c r="X101" s="12"/>
      <c r="CB101" s="1" t="s">
        <v>71</v>
      </c>
      <c r="CC101" s="1" t="s">
        <v>18</v>
      </c>
      <c r="CD101" s="1" t="s">
        <v>132</v>
      </c>
      <c r="CF101" s="36">
        <f>NZ[[#This Row],[Part Type]]</f>
        <v>0</v>
      </c>
      <c r="CG101" s="18" t="str">
        <f>IF(NZ[[#This Row],[UID]]=0,"",NZ[[#This Row],[Reactor]]&amp;"-"&amp;NZ[[#This Row],[Nozzle Material]])</f>
        <v/>
      </c>
      <c r="CH101" s="18" t="str">
        <f>IF(NZ[[#This Row],[UID]]=0,"",NZ[[#This Row],[UID]])</f>
        <v/>
      </c>
      <c r="CL101" s="18" t="str">
        <f>IF(NZ[[#This Row],[Status]]=0,"",NZ[[#This Row],[Status]])</f>
        <v/>
      </c>
    </row>
    <row r="102" spans="1:90" ht="15.95">
      <c r="A102" s="36"/>
      <c r="B102" s="36"/>
      <c r="C102" s="9"/>
      <c r="D102" s="9"/>
      <c r="E102" s="9"/>
      <c r="F102" s="9"/>
      <c r="G102" s="9"/>
      <c r="H102" s="9"/>
      <c r="I102" s="133" t="e">
        <f>#REF!-(#REF!-AVERAGEIF(I:I,NZ[[#This Row],[Mass Measurment Date]],#REF!))</f>
        <v>#REF!</v>
      </c>
      <c r="J102" s="9"/>
      <c r="K102" s="10"/>
      <c r="L102" s="10"/>
      <c r="M102" s="10"/>
      <c r="N102" s="10"/>
      <c r="O102" s="10"/>
      <c r="P102" s="10"/>
      <c r="Q102" s="10"/>
      <c r="R102" s="10"/>
      <c r="S102" s="10"/>
      <c r="T102" s="12"/>
      <c r="U102" s="12"/>
      <c r="V102" s="12"/>
      <c r="W102" s="12"/>
      <c r="X102" s="12"/>
      <c r="CB102" s="1" t="s">
        <v>71</v>
      </c>
      <c r="CC102" s="1" t="s">
        <v>18</v>
      </c>
      <c r="CD102" s="1" t="s">
        <v>132</v>
      </c>
      <c r="CF102" s="36">
        <f>NZ[[#This Row],[Part Type]]</f>
        <v>0</v>
      </c>
      <c r="CG102" s="18" t="str">
        <f>IF(NZ[[#This Row],[UID]]=0,"",NZ[[#This Row],[Reactor]]&amp;"-"&amp;NZ[[#This Row],[Nozzle Material]])</f>
        <v/>
      </c>
      <c r="CH102" s="18" t="str">
        <f>IF(NZ[[#This Row],[UID]]=0,"",NZ[[#This Row],[UID]])</f>
        <v/>
      </c>
      <c r="CL102" s="18" t="str">
        <f>IF(NZ[[#This Row],[Status]]=0,"",NZ[[#This Row],[Status]])</f>
        <v/>
      </c>
    </row>
    <row r="103" spans="1:90" ht="15.95">
      <c r="A103" s="36"/>
      <c r="B103" s="36"/>
      <c r="C103" s="9"/>
      <c r="D103" s="9"/>
      <c r="E103" s="9"/>
      <c r="F103" s="9"/>
      <c r="G103" s="9"/>
      <c r="H103" s="9"/>
      <c r="I103" s="133" t="e">
        <f>#REF!-(#REF!-AVERAGEIF(I:I,NZ[[#This Row],[Mass Measurment Date]],#REF!))</f>
        <v>#REF!</v>
      </c>
      <c r="J103" s="9"/>
      <c r="K103" s="10"/>
      <c r="L103" s="10"/>
      <c r="M103" s="10"/>
      <c r="N103" s="10"/>
      <c r="O103" s="10"/>
      <c r="P103" s="10"/>
      <c r="Q103" s="10"/>
      <c r="R103" s="10"/>
      <c r="S103" s="10"/>
      <c r="T103" s="12"/>
      <c r="U103" s="12"/>
      <c r="V103" s="12"/>
      <c r="W103" s="12"/>
      <c r="X103" s="12"/>
      <c r="CB103" s="1" t="s">
        <v>71</v>
      </c>
      <c r="CC103" s="1" t="s">
        <v>18</v>
      </c>
      <c r="CD103" s="1" t="s">
        <v>132</v>
      </c>
      <c r="CF103" s="36">
        <f>NZ[[#This Row],[Part Type]]</f>
        <v>0</v>
      </c>
      <c r="CG103" s="18" t="str">
        <f>IF(NZ[[#This Row],[UID]]=0,"",NZ[[#This Row],[Reactor]]&amp;"-"&amp;NZ[[#This Row],[Nozzle Material]])</f>
        <v/>
      </c>
      <c r="CH103" s="18" t="str">
        <f>IF(NZ[[#This Row],[UID]]=0,"",NZ[[#This Row],[UID]])</f>
        <v/>
      </c>
      <c r="CL103" s="18" t="str">
        <f>IF(NZ[[#This Row],[Status]]=0,"",NZ[[#This Row],[Status]])</f>
        <v/>
      </c>
    </row>
    <row r="104" spans="1:90" ht="15.95">
      <c r="A104" s="36"/>
      <c r="B104" s="36"/>
      <c r="C104" s="9"/>
      <c r="D104" s="9"/>
      <c r="E104" s="9"/>
      <c r="F104" s="9"/>
      <c r="G104" s="9"/>
      <c r="H104" s="9"/>
      <c r="I104" s="133" t="e">
        <f>#REF!-(#REF!-AVERAGEIF(I:I,NZ[[#This Row],[Mass Measurment Date]],#REF!))</f>
        <v>#REF!</v>
      </c>
      <c r="J104" s="9"/>
      <c r="K104" s="10"/>
      <c r="L104" s="10"/>
      <c r="M104" s="10"/>
      <c r="N104" s="10"/>
      <c r="O104" s="10"/>
      <c r="P104" s="10"/>
      <c r="Q104" s="10"/>
      <c r="R104" s="10"/>
      <c r="S104" s="10"/>
      <c r="T104" s="12"/>
      <c r="U104" s="12"/>
      <c r="V104" s="12"/>
      <c r="W104" s="12"/>
      <c r="X104" s="12"/>
      <c r="CB104" s="1" t="s">
        <v>71</v>
      </c>
      <c r="CC104" s="1" t="s">
        <v>18</v>
      </c>
      <c r="CD104" s="1" t="s">
        <v>132</v>
      </c>
      <c r="CF104" s="36">
        <f>NZ[[#This Row],[Part Type]]</f>
        <v>0</v>
      </c>
      <c r="CG104" s="18" t="str">
        <f>IF(NZ[[#This Row],[UID]]=0,"",NZ[[#This Row],[Reactor]]&amp;"-"&amp;NZ[[#This Row],[Nozzle Material]])</f>
        <v/>
      </c>
      <c r="CH104" s="18" t="str">
        <f>IF(NZ[[#This Row],[UID]]=0,"",NZ[[#This Row],[UID]])</f>
        <v/>
      </c>
      <c r="CL104" s="18" t="str">
        <f>IF(NZ[[#This Row],[Status]]=0,"",NZ[[#This Row],[Status]])</f>
        <v/>
      </c>
    </row>
    <row r="105" spans="1:90" ht="15.95">
      <c r="A105" s="36"/>
      <c r="B105" s="36"/>
      <c r="C105" s="9"/>
      <c r="D105" s="9"/>
      <c r="E105" s="9"/>
      <c r="F105" s="9"/>
      <c r="G105" s="9"/>
      <c r="H105" s="9"/>
      <c r="I105" s="133" t="e">
        <f>#REF!-(#REF!-AVERAGEIF(I:I,NZ[[#This Row],[Mass Measurment Date]],#REF!))</f>
        <v>#REF!</v>
      </c>
      <c r="J105" s="9"/>
      <c r="K105" s="10"/>
      <c r="L105" s="10"/>
      <c r="M105" s="10"/>
      <c r="N105" s="10"/>
      <c r="O105" s="10"/>
      <c r="P105" s="10"/>
      <c r="Q105" s="10"/>
      <c r="R105" s="10"/>
      <c r="S105" s="10"/>
      <c r="T105" s="12"/>
      <c r="U105" s="12"/>
      <c r="V105" s="12"/>
      <c r="W105" s="12"/>
      <c r="X105" s="12"/>
      <c r="CB105" s="1" t="s">
        <v>71</v>
      </c>
      <c r="CC105" s="1" t="s">
        <v>18</v>
      </c>
      <c r="CD105" s="1" t="s">
        <v>132</v>
      </c>
      <c r="CF105" s="36">
        <f>NZ[[#This Row],[Part Type]]</f>
        <v>0</v>
      </c>
      <c r="CG105" s="18" t="str">
        <f>IF(NZ[[#This Row],[UID]]=0,"",NZ[[#This Row],[Reactor]]&amp;"-"&amp;NZ[[#This Row],[Nozzle Material]])</f>
        <v/>
      </c>
      <c r="CH105" s="18" t="str">
        <f>IF(NZ[[#This Row],[UID]]=0,"",NZ[[#This Row],[UID]])</f>
        <v/>
      </c>
      <c r="CL105" s="18" t="str">
        <f>IF(NZ[[#This Row],[Status]]=0,"",NZ[[#This Row],[Status]])</f>
        <v/>
      </c>
    </row>
    <row r="106" spans="1:90" ht="15.95">
      <c r="A106" s="36"/>
      <c r="B106" s="36"/>
      <c r="C106" s="9"/>
      <c r="D106" s="9"/>
      <c r="E106" s="9"/>
      <c r="F106" s="9"/>
      <c r="G106" s="9"/>
      <c r="H106" s="9"/>
      <c r="I106" s="133" t="e">
        <f>#REF!-(#REF!-AVERAGEIF(I:I,NZ[[#This Row],[Mass Measurment Date]],#REF!))</f>
        <v>#REF!</v>
      </c>
      <c r="J106" s="9"/>
      <c r="K106" s="10"/>
      <c r="L106" s="10"/>
      <c r="M106" s="10"/>
      <c r="N106" s="10"/>
      <c r="O106" s="10"/>
      <c r="P106" s="10"/>
      <c r="Q106" s="10"/>
      <c r="R106" s="10"/>
      <c r="S106" s="10"/>
      <c r="T106" s="12"/>
      <c r="U106" s="12"/>
      <c r="V106" s="12"/>
      <c r="W106" s="12"/>
      <c r="X106" s="12"/>
      <c r="CB106" s="1" t="s">
        <v>71</v>
      </c>
      <c r="CC106" s="1" t="s">
        <v>18</v>
      </c>
      <c r="CD106" s="1" t="s">
        <v>132</v>
      </c>
      <c r="CF106" s="36">
        <f>NZ[[#This Row],[Part Type]]</f>
        <v>0</v>
      </c>
      <c r="CG106" s="18" t="str">
        <f>IF(NZ[[#This Row],[UID]]=0,"",NZ[[#This Row],[Reactor]]&amp;"-"&amp;NZ[[#This Row],[Nozzle Material]])</f>
        <v/>
      </c>
      <c r="CH106" s="18" t="str">
        <f>IF(NZ[[#This Row],[UID]]=0,"",NZ[[#This Row],[UID]])</f>
        <v/>
      </c>
      <c r="CL106" s="18" t="str">
        <f>IF(NZ[[#This Row],[Status]]=0,"",NZ[[#This Row],[Status]])</f>
        <v/>
      </c>
    </row>
    <row r="107" spans="1:90" ht="15.95">
      <c r="A107" s="36"/>
      <c r="B107" s="36"/>
      <c r="C107" s="9"/>
      <c r="D107" s="9"/>
      <c r="E107" s="9"/>
      <c r="F107" s="9"/>
      <c r="G107" s="9"/>
      <c r="H107" s="9"/>
      <c r="I107" s="133" t="e">
        <f>#REF!-(#REF!-AVERAGEIF(I:I,NZ[[#This Row],[Mass Measurment Date]],#REF!))</f>
        <v>#REF!</v>
      </c>
      <c r="J107" s="9"/>
      <c r="K107" s="10"/>
      <c r="L107" s="10"/>
      <c r="M107" s="10"/>
      <c r="N107" s="10"/>
      <c r="O107" s="10"/>
      <c r="P107" s="10"/>
      <c r="Q107" s="10"/>
      <c r="R107" s="10"/>
      <c r="S107" s="10"/>
      <c r="T107" s="12"/>
      <c r="U107" s="12"/>
      <c r="V107" s="12"/>
      <c r="W107" s="12"/>
      <c r="X107" s="12"/>
      <c r="CB107" s="1" t="s">
        <v>71</v>
      </c>
      <c r="CC107" s="1" t="s">
        <v>18</v>
      </c>
      <c r="CD107" s="1" t="s">
        <v>132</v>
      </c>
      <c r="CF107" s="36">
        <f>NZ[[#This Row],[Part Type]]</f>
        <v>0</v>
      </c>
      <c r="CG107" s="18" t="str">
        <f>IF(NZ[[#This Row],[UID]]=0,"",NZ[[#This Row],[Reactor]]&amp;"-"&amp;NZ[[#This Row],[Nozzle Material]])</f>
        <v/>
      </c>
      <c r="CH107" s="18" t="str">
        <f>IF(NZ[[#This Row],[UID]]=0,"",NZ[[#This Row],[UID]])</f>
        <v/>
      </c>
      <c r="CL107" s="18" t="str">
        <f>IF(NZ[[#This Row],[Status]]=0,"",NZ[[#This Row],[Status]])</f>
        <v/>
      </c>
    </row>
    <row r="108" spans="1:90" ht="15.95">
      <c r="A108" s="36"/>
      <c r="B108" s="36"/>
      <c r="C108" s="9"/>
      <c r="D108" s="9"/>
      <c r="E108" s="9"/>
      <c r="F108" s="9"/>
      <c r="G108" s="9"/>
      <c r="H108" s="9"/>
      <c r="I108" s="133" t="e">
        <f>#REF!-(#REF!-AVERAGEIF(I:I,NZ[[#This Row],[Mass Measurment Date]],#REF!))</f>
        <v>#REF!</v>
      </c>
      <c r="J108" s="9"/>
      <c r="K108" s="10"/>
      <c r="L108" s="10"/>
      <c r="M108" s="10"/>
      <c r="N108" s="10"/>
      <c r="O108" s="10"/>
      <c r="P108" s="10"/>
      <c r="Q108" s="10"/>
      <c r="R108" s="10"/>
      <c r="S108" s="10"/>
      <c r="T108" s="12"/>
      <c r="U108" s="12"/>
      <c r="V108" s="12"/>
      <c r="W108" s="12"/>
      <c r="X108" s="12"/>
      <c r="CB108" s="1" t="s">
        <v>71</v>
      </c>
      <c r="CC108" s="1" t="s">
        <v>18</v>
      </c>
      <c r="CD108" s="1" t="s">
        <v>132</v>
      </c>
      <c r="CF108" s="36">
        <f>NZ[[#This Row],[Part Type]]</f>
        <v>0</v>
      </c>
      <c r="CG108" s="18" t="str">
        <f>IF(NZ[[#This Row],[UID]]=0,"",NZ[[#This Row],[Reactor]]&amp;"-"&amp;NZ[[#This Row],[Nozzle Material]])</f>
        <v/>
      </c>
      <c r="CH108" s="18" t="str">
        <f>IF(NZ[[#This Row],[UID]]=0,"",NZ[[#This Row],[UID]])</f>
        <v/>
      </c>
      <c r="CL108" s="18" t="str">
        <f>IF(NZ[[#This Row],[Status]]=0,"",NZ[[#This Row],[Status]])</f>
        <v/>
      </c>
    </row>
    <row r="109" spans="1:90" ht="15.95">
      <c r="A109" s="36"/>
      <c r="B109" s="36"/>
      <c r="C109" s="9"/>
      <c r="D109" s="9"/>
      <c r="E109" s="9"/>
      <c r="F109" s="9"/>
      <c r="G109" s="9"/>
      <c r="H109" s="9"/>
      <c r="I109" s="133" t="e">
        <f>#REF!-(#REF!-AVERAGEIF(I:I,NZ[[#This Row],[Mass Measurment Date]],#REF!))</f>
        <v>#REF!</v>
      </c>
      <c r="J109" s="9"/>
      <c r="K109" s="10"/>
      <c r="L109" s="10"/>
      <c r="M109" s="10"/>
      <c r="N109" s="10"/>
      <c r="O109" s="10"/>
      <c r="P109" s="10"/>
      <c r="Q109" s="10"/>
      <c r="R109" s="10"/>
      <c r="S109" s="10"/>
      <c r="T109" s="12"/>
      <c r="U109" s="12"/>
      <c r="V109" s="12"/>
      <c r="W109" s="12"/>
      <c r="X109" s="12"/>
      <c r="CB109" s="1" t="s">
        <v>71</v>
      </c>
      <c r="CC109" s="1" t="s">
        <v>18</v>
      </c>
      <c r="CD109" s="1" t="s">
        <v>132</v>
      </c>
      <c r="CF109" s="36">
        <f>NZ[[#This Row],[Part Type]]</f>
        <v>0</v>
      </c>
      <c r="CG109" s="18" t="str">
        <f>IF(NZ[[#This Row],[UID]]=0,"",NZ[[#This Row],[Reactor]]&amp;"-"&amp;NZ[[#This Row],[Nozzle Material]])</f>
        <v/>
      </c>
      <c r="CH109" s="18" t="str">
        <f>IF(NZ[[#This Row],[UID]]=0,"",NZ[[#This Row],[UID]])</f>
        <v/>
      </c>
      <c r="CL109" s="18" t="str">
        <f>IF(NZ[[#This Row],[Status]]=0,"",NZ[[#This Row],[Status]])</f>
        <v/>
      </c>
    </row>
    <row r="110" spans="1:90" ht="15.95">
      <c r="A110" s="36"/>
      <c r="B110" s="36"/>
      <c r="C110" s="9"/>
      <c r="D110" s="9"/>
      <c r="E110" s="9"/>
      <c r="F110" s="9"/>
      <c r="G110" s="9"/>
      <c r="H110" s="9"/>
      <c r="I110" s="133" t="e">
        <f>#REF!-(#REF!-AVERAGEIF(I:I,NZ[[#This Row],[Mass Measurment Date]],#REF!))</f>
        <v>#REF!</v>
      </c>
      <c r="J110" s="9"/>
      <c r="K110" s="10"/>
      <c r="L110" s="10"/>
      <c r="M110" s="10"/>
      <c r="N110" s="10"/>
      <c r="O110" s="10"/>
      <c r="P110" s="10"/>
      <c r="Q110" s="10"/>
      <c r="R110" s="10"/>
      <c r="S110" s="10"/>
      <c r="T110" s="12"/>
      <c r="U110" s="12"/>
      <c r="V110" s="12"/>
      <c r="W110" s="12"/>
      <c r="X110" s="12"/>
      <c r="CB110" s="1" t="s">
        <v>71</v>
      </c>
      <c r="CC110" s="1" t="s">
        <v>18</v>
      </c>
      <c r="CD110" s="1" t="s">
        <v>132</v>
      </c>
      <c r="CF110" s="36">
        <f>NZ[[#This Row],[Part Type]]</f>
        <v>0</v>
      </c>
      <c r="CG110" s="18" t="str">
        <f>IF(NZ[[#This Row],[UID]]=0,"",NZ[[#This Row],[Reactor]]&amp;"-"&amp;NZ[[#This Row],[Nozzle Material]])</f>
        <v/>
      </c>
      <c r="CH110" s="18" t="str">
        <f>IF(NZ[[#This Row],[UID]]=0,"",NZ[[#This Row],[UID]])</f>
        <v/>
      </c>
      <c r="CL110" s="18" t="str">
        <f>IF(NZ[[#This Row],[Status]]=0,"",NZ[[#This Row],[Status]])</f>
        <v/>
      </c>
    </row>
    <row r="111" spans="1:90" ht="15.95">
      <c r="A111" s="36"/>
      <c r="B111" s="36"/>
      <c r="C111" s="9"/>
      <c r="D111" s="9"/>
      <c r="E111" s="9"/>
      <c r="F111" s="9"/>
      <c r="G111" s="9"/>
      <c r="H111" s="9"/>
      <c r="I111" s="133" t="e">
        <f>#REF!-(#REF!-AVERAGEIF(I:I,NZ[[#This Row],[Mass Measurment Date]],#REF!))</f>
        <v>#REF!</v>
      </c>
      <c r="J111" s="9"/>
      <c r="K111" s="10"/>
      <c r="L111" s="10"/>
      <c r="M111" s="10"/>
      <c r="N111" s="10"/>
      <c r="O111" s="10"/>
      <c r="P111" s="10"/>
      <c r="Q111" s="10"/>
      <c r="R111" s="10"/>
      <c r="S111" s="10"/>
      <c r="T111" s="12"/>
      <c r="U111" s="12"/>
      <c r="V111" s="12"/>
      <c r="W111" s="12"/>
      <c r="X111" s="12"/>
      <c r="CB111" s="1" t="s">
        <v>71</v>
      </c>
      <c r="CC111" s="1" t="s">
        <v>18</v>
      </c>
      <c r="CD111" s="1" t="s">
        <v>132</v>
      </c>
      <c r="CF111" s="36">
        <f>NZ[[#This Row],[Part Type]]</f>
        <v>0</v>
      </c>
      <c r="CG111" s="18" t="str">
        <f>IF(NZ[[#This Row],[UID]]=0,"",NZ[[#This Row],[Reactor]]&amp;"-"&amp;NZ[[#This Row],[Nozzle Material]])</f>
        <v/>
      </c>
      <c r="CH111" s="18" t="str">
        <f>IF(NZ[[#This Row],[UID]]=0,"",NZ[[#This Row],[UID]])</f>
        <v/>
      </c>
      <c r="CL111" s="18" t="str">
        <f>IF(NZ[[#This Row],[Status]]=0,"",NZ[[#This Row],[Status]])</f>
        <v/>
      </c>
    </row>
    <row r="112" spans="1:90" ht="15.95">
      <c r="A112" s="36"/>
      <c r="B112" s="36"/>
      <c r="C112" s="9"/>
      <c r="D112" s="9"/>
      <c r="E112" s="9"/>
      <c r="F112" s="9"/>
      <c r="G112" s="9"/>
      <c r="H112" s="9"/>
      <c r="I112" s="133" t="e">
        <f>#REF!-(#REF!-AVERAGEIF(I:I,NZ[[#This Row],[Mass Measurment Date]],#REF!))</f>
        <v>#REF!</v>
      </c>
      <c r="J112" s="9"/>
      <c r="K112" s="10"/>
      <c r="L112" s="10"/>
      <c r="M112" s="10"/>
      <c r="N112" s="10"/>
      <c r="O112" s="10"/>
      <c r="P112" s="10"/>
      <c r="Q112" s="10"/>
      <c r="R112" s="10"/>
      <c r="S112" s="10"/>
      <c r="T112" s="12"/>
      <c r="U112" s="12"/>
      <c r="V112" s="12"/>
      <c r="W112" s="12"/>
      <c r="X112" s="12"/>
      <c r="CB112" s="1" t="s">
        <v>71</v>
      </c>
      <c r="CC112" s="1" t="s">
        <v>18</v>
      </c>
      <c r="CD112" s="1" t="s">
        <v>132</v>
      </c>
      <c r="CF112" s="36">
        <f>NZ[[#This Row],[Part Type]]</f>
        <v>0</v>
      </c>
      <c r="CG112" s="18" t="str">
        <f>IF(NZ[[#This Row],[UID]]=0,"",NZ[[#This Row],[Reactor]]&amp;"-"&amp;NZ[[#This Row],[Nozzle Material]])</f>
        <v/>
      </c>
      <c r="CH112" s="18" t="str">
        <f>IF(NZ[[#This Row],[UID]]=0,"",NZ[[#This Row],[UID]])</f>
        <v/>
      </c>
      <c r="CL112" s="18" t="str">
        <f>IF(NZ[[#This Row],[Status]]=0,"",NZ[[#This Row],[Status]])</f>
        <v/>
      </c>
    </row>
    <row r="113" spans="1:90" ht="15.95">
      <c r="A113" s="36"/>
      <c r="B113" s="36"/>
      <c r="C113" s="9"/>
      <c r="D113" s="9"/>
      <c r="E113" s="9"/>
      <c r="F113" s="9"/>
      <c r="G113" s="9"/>
      <c r="H113" s="9"/>
      <c r="I113" s="133" t="e">
        <f>#REF!-(#REF!-AVERAGEIF(I:I,NZ[[#This Row],[Mass Measurment Date]],#REF!))</f>
        <v>#REF!</v>
      </c>
      <c r="J113" s="9"/>
      <c r="K113" s="10"/>
      <c r="L113" s="10"/>
      <c r="M113" s="10"/>
      <c r="N113" s="10"/>
      <c r="O113" s="10"/>
      <c r="P113" s="10"/>
      <c r="Q113" s="10"/>
      <c r="R113" s="10"/>
      <c r="S113" s="10"/>
      <c r="T113" s="12"/>
      <c r="U113" s="12"/>
      <c r="V113" s="12"/>
      <c r="W113" s="12"/>
      <c r="X113" s="12"/>
      <c r="CB113" s="1" t="s">
        <v>71</v>
      </c>
      <c r="CC113" s="1" t="s">
        <v>18</v>
      </c>
      <c r="CD113" s="1" t="s">
        <v>132</v>
      </c>
      <c r="CF113" s="36">
        <f>NZ[[#This Row],[Part Type]]</f>
        <v>0</v>
      </c>
      <c r="CG113" s="18" t="str">
        <f>IF(NZ[[#This Row],[UID]]=0,"",NZ[[#This Row],[Reactor]]&amp;"-"&amp;NZ[[#This Row],[Nozzle Material]])</f>
        <v/>
      </c>
      <c r="CH113" s="18" t="str">
        <f>IF(NZ[[#This Row],[UID]]=0,"",NZ[[#This Row],[UID]])</f>
        <v/>
      </c>
      <c r="CL113" s="18" t="str">
        <f>IF(NZ[[#This Row],[Status]]=0,"",NZ[[#This Row],[Status]])</f>
        <v/>
      </c>
    </row>
    <row r="114" spans="1:90" ht="15.95">
      <c r="A114" s="36"/>
      <c r="B114" s="36"/>
      <c r="C114" s="9"/>
      <c r="D114" s="9"/>
      <c r="E114" s="9"/>
      <c r="F114" s="9"/>
      <c r="G114" s="9"/>
      <c r="H114" s="9"/>
      <c r="I114" s="133" t="e">
        <f>#REF!-(#REF!-AVERAGEIF(I:I,NZ[[#This Row],[Mass Measurment Date]],#REF!))</f>
        <v>#REF!</v>
      </c>
      <c r="J114" s="9"/>
      <c r="K114" s="10"/>
      <c r="L114" s="10"/>
      <c r="M114" s="10"/>
      <c r="N114" s="10"/>
      <c r="O114" s="10"/>
      <c r="P114" s="10"/>
      <c r="Q114" s="10"/>
      <c r="R114" s="10"/>
      <c r="S114" s="10"/>
      <c r="T114" s="12"/>
      <c r="U114" s="12"/>
      <c r="V114" s="12"/>
      <c r="W114" s="12"/>
      <c r="X114" s="12"/>
      <c r="CB114" s="1" t="s">
        <v>71</v>
      </c>
      <c r="CC114" s="1" t="s">
        <v>18</v>
      </c>
      <c r="CD114" s="1" t="s">
        <v>132</v>
      </c>
      <c r="CF114" s="36">
        <f>NZ[[#This Row],[Part Type]]</f>
        <v>0</v>
      </c>
      <c r="CG114" s="18" t="str">
        <f>IF(NZ[[#This Row],[UID]]=0,"",NZ[[#This Row],[Reactor]]&amp;"-"&amp;NZ[[#This Row],[Nozzle Material]])</f>
        <v/>
      </c>
      <c r="CH114" s="18" t="str">
        <f>IF(NZ[[#This Row],[UID]]=0,"",NZ[[#This Row],[UID]])</f>
        <v/>
      </c>
      <c r="CL114" s="18" t="str">
        <f>IF(NZ[[#This Row],[Status]]=0,"",NZ[[#This Row],[Status]])</f>
        <v/>
      </c>
    </row>
    <row r="115" spans="1:90" ht="15.95">
      <c r="A115" s="36"/>
      <c r="B115" s="36"/>
      <c r="C115" s="9"/>
      <c r="D115" s="9"/>
      <c r="E115" s="9"/>
      <c r="F115" s="9"/>
      <c r="G115" s="9"/>
      <c r="H115" s="9"/>
      <c r="I115" s="133" t="e">
        <f>#REF!-(#REF!-AVERAGEIF(I:I,NZ[[#This Row],[Mass Measurment Date]],#REF!))</f>
        <v>#REF!</v>
      </c>
      <c r="J115" s="9"/>
      <c r="K115" s="10"/>
      <c r="L115" s="10"/>
      <c r="M115" s="10"/>
      <c r="N115" s="10"/>
      <c r="O115" s="10"/>
      <c r="P115" s="10"/>
      <c r="Q115" s="10"/>
      <c r="R115" s="10"/>
      <c r="S115" s="10"/>
      <c r="T115" s="12"/>
      <c r="U115" s="12"/>
      <c r="V115" s="12"/>
      <c r="W115" s="12"/>
      <c r="X115" s="12"/>
      <c r="CB115" s="1" t="s">
        <v>71</v>
      </c>
      <c r="CC115" s="1" t="s">
        <v>18</v>
      </c>
      <c r="CD115" s="1" t="s">
        <v>132</v>
      </c>
      <c r="CF115" s="36">
        <f>NZ[[#This Row],[Part Type]]</f>
        <v>0</v>
      </c>
      <c r="CG115" s="18" t="str">
        <f>IF(NZ[[#This Row],[UID]]=0,"",NZ[[#This Row],[Reactor]]&amp;"-"&amp;NZ[[#This Row],[Nozzle Material]])</f>
        <v/>
      </c>
      <c r="CH115" s="18" t="str">
        <f>IF(NZ[[#This Row],[UID]]=0,"",NZ[[#This Row],[UID]])</f>
        <v/>
      </c>
      <c r="CL115" s="18" t="str">
        <f>IF(NZ[[#This Row],[Status]]=0,"",NZ[[#This Row],[Status]])</f>
        <v/>
      </c>
    </row>
    <row r="116" spans="1:90" ht="15.95">
      <c r="A116" s="36"/>
      <c r="B116" s="36"/>
      <c r="C116" s="9"/>
      <c r="D116" s="9"/>
      <c r="E116" s="9"/>
      <c r="F116" s="9"/>
      <c r="G116" s="9"/>
      <c r="H116" s="9"/>
      <c r="I116" s="133" t="e">
        <f>#REF!-(#REF!-AVERAGEIF(I:I,NZ[[#This Row],[Mass Measurment Date]],#REF!))</f>
        <v>#REF!</v>
      </c>
      <c r="J116" s="9"/>
      <c r="K116" s="10"/>
      <c r="L116" s="10"/>
      <c r="M116" s="10"/>
      <c r="N116" s="10"/>
      <c r="O116" s="10"/>
      <c r="P116" s="10"/>
      <c r="Q116" s="10"/>
      <c r="R116" s="10"/>
      <c r="S116" s="10"/>
      <c r="T116" s="12"/>
      <c r="U116" s="12"/>
      <c r="V116" s="12"/>
      <c r="W116" s="12"/>
      <c r="X116" s="12"/>
      <c r="CB116" s="1" t="s">
        <v>71</v>
      </c>
      <c r="CC116" s="1" t="s">
        <v>18</v>
      </c>
      <c r="CD116" s="1" t="s">
        <v>132</v>
      </c>
      <c r="CF116" s="36">
        <f>NZ[[#This Row],[Part Type]]</f>
        <v>0</v>
      </c>
      <c r="CG116" s="18" t="str">
        <f>IF(NZ[[#This Row],[UID]]=0,"",NZ[[#This Row],[Reactor]]&amp;"-"&amp;NZ[[#This Row],[Nozzle Material]])</f>
        <v/>
      </c>
      <c r="CH116" s="18" t="str">
        <f>IF(NZ[[#This Row],[UID]]=0,"",NZ[[#This Row],[UID]])</f>
        <v/>
      </c>
      <c r="CL116" s="18" t="str">
        <f>IF(NZ[[#This Row],[Status]]=0,"",NZ[[#This Row],[Status]])</f>
        <v/>
      </c>
    </row>
    <row r="117" spans="1:90" ht="15.95">
      <c r="A117" s="36"/>
      <c r="B117" s="36"/>
      <c r="C117" s="9"/>
      <c r="D117" s="9"/>
      <c r="E117" s="9"/>
      <c r="F117" s="9"/>
      <c r="G117" s="9"/>
      <c r="H117" s="9"/>
      <c r="I117" s="133" t="e">
        <f>#REF!-(#REF!-AVERAGEIF(I:I,NZ[[#This Row],[Mass Measurment Date]],#REF!))</f>
        <v>#REF!</v>
      </c>
      <c r="J117" s="9"/>
      <c r="K117" s="10"/>
      <c r="L117" s="10"/>
      <c r="M117" s="10"/>
      <c r="N117" s="10"/>
      <c r="O117" s="10"/>
      <c r="P117" s="10"/>
      <c r="Q117" s="10"/>
      <c r="R117" s="10"/>
      <c r="S117" s="10"/>
      <c r="T117" s="12"/>
      <c r="U117" s="12"/>
      <c r="V117" s="12"/>
      <c r="W117" s="12"/>
      <c r="X117" s="12"/>
      <c r="CB117" s="1" t="s">
        <v>71</v>
      </c>
      <c r="CC117" s="1" t="s">
        <v>18</v>
      </c>
      <c r="CD117" s="1" t="s">
        <v>132</v>
      </c>
      <c r="CF117" s="36">
        <f>NZ[[#This Row],[Part Type]]</f>
        <v>0</v>
      </c>
      <c r="CG117" s="18" t="str">
        <f>IF(NZ[[#This Row],[UID]]=0,"",NZ[[#This Row],[Reactor]]&amp;"-"&amp;NZ[[#This Row],[Nozzle Material]])</f>
        <v/>
      </c>
      <c r="CH117" s="18" t="str">
        <f>IF(NZ[[#This Row],[UID]]=0,"",NZ[[#This Row],[UID]])</f>
        <v/>
      </c>
      <c r="CL117" s="18" t="str">
        <f>IF(NZ[[#This Row],[Status]]=0,"",NZ[[#This Row],[Status]])</f>
        <v/>
      </c>
    </row>
    <row r="118" spans="1:90" ht="15.95">
      <c r="A118" s="36"/>
      <c r="B118" s="36"/>
      <c r="C118" s="9"/>
      <c r="D118" s="9"/>
      <c r="E118" s="9"/>
      <c r="F118" s="9"/>
      <c r="G118" s="9"/>
      <c r="H118" s="9"/>
      <c r="I118" s="133" t="e">
        <f>#REF!-(#REF!-AVERAGEIF(I:I,NZ[[#This Row],[Mass Measurment Date]],#REF!))</f>
        <v>#REF!</v>
      </c>
      <c r="J118" s="9"/>
      <c r="K118" s="10"/>
      <c r="L118" s="10"/>
      <c r="M118" s="10"/>
      <c r="N118" s="10"/>
      <c r="O118" s="10"/>
      <c r="P118" s="10"/>
      <c r="Q118" s="10"/>
      <c r="R118" s="10"/>
      <c r="S118" s="10"/>
      <c r="T118" s="12"/>
      <c r="U118" s="12"/>
      <c r="V118" s="12"/>
      <c r="W118" s="12"/>
      <c r="X118" s="12"/>
      <c r="CB118" s="1" t="s">
        <v>71</v>
      </c>
      <c r="CC118" s="1" t="s">
        <v>18</v>
      </c>
      <c r="CD118" s="1" t="s">
        <v>132</v>
      </c>
      <c r="CF118" s="36">
        <f>NZ[[#This Row],[Part Type]]</f>
        <v>0</v>
      </c>
      <c r="CG118" s="18" t="str">
        <f>IF(NZ[[#This Row],[UID]]=0,"",NZ[[#This Row],[Reactor]]&amp;"-"&amp;NZ[[#This Row],[Nozzle Material]])</f>
        <v/>
      </c>
      <c r="CH118" s="18" t="str">
        <f>IF(NZ[[#This Row],[UID]]=0,"",NZ[[#This Row],[UID]])</f>
        <v/>
      </c>
      <c r="CL118" s="18" t="str">
        <f>IF(NZ[[#This Row],[Status]]=0,"",NZ[[#This Row],[Status]])</f>
        <v/>
      </c>
    </row>
    <row r="119" spans="1:90" ht="15.95">
      <c r="A119" s="36"/>
      <c r="B119" s="36"/>
      <c r="C119" s="9"/>
      <c r="D119" s="9"/>
      <c r="E119" s="9"/>
      <c r="F119" s="9"/>
      <c r="G119" s="9"/>
      <c r="H119" s="9"/>
      <c r="I119" s="133" t="e">
        <f>#REF!-(#REF!-AVERAGEIF(I:I,NZ[[#This Row],[Mass Measurment Date]],#REF!))</f>
        <v>#REF!</v>
      </c>
      <c r="J119" s="9"/>
      <c r="K119" s="10"/>
      <c r="L119" s="10"/>
      <c r="M119" s="10"/>
      <c r="N119" s="10"/>
      <c r="O119" s="10"/>
      <c r="P119" s="10"/>
      <c r="Q119" s="10"/>
      <c r="R119" s="10"/>
      <c r="S119" s="10"/>
      <c r="T119" s="12"/>
      <c r="U119" s="12"/>
      <c r="V119" s="12"/>
      <c r="W119" s="12"/>
      <c r="X119" s="12"/>
      <c r="CB119" s="1" t="s">
        <v>71</v>
      </c>
      <c r="CC119" s="1" t="s">
        <v>18</v>
      </c>
      <c r="CD119" s="1" t="s">
        <v>132</v>
      </c>
      <c r="CF119" s="36">
        <f>NZ[[#This Row],[Part Type]]</f>
        <v>0</v>
      </c>
      <c r="CG119" s="18" t="str">
        <f>IF(NZ[[#This Row],[UID]]=0,"",NZ[[#This Row],[Reactor]]&amp;"-"&amp;NZ[[#This Row],[Nozzle Material]])</f>
        <v/>
      </c>
      <c r="CH119" s="18" t="str">
        <f>IF(NZ[[#This Row],[UID]]=0,"",NZ[[#This Row],[UID]])</f>
        <v/>
      </c>
      <c r="CL119" s="18" t="str">
        <f>IF(NZ[[#This Row],[Status]]=0,"",NZ[[#This Row],[Status]])</f>
        <v/>
      </c>
    </row>
    <row r="120" spans="1:90" ht="15.95">
      <c r="A120" s="36"/>
      <c r="B120" s="36"/>
      <c r="C120" s="9"/>
      <c r="D120" s="9"/>
      <c r="E120" s="9"/>
      <c r="F120" s="9"/>
      <c r="G120" s="9"/>
      <c r="H120" s="9"/>
      <c r="I120" s="133" t="e">
        <f>#REF!-(#REF!-AVERAGEIF(I:I,NZ[[#This Row],[Mass Measurment Date]],#REF!))</f>
        <v>#REF!</v>
      </c>
      <c r="J120" s="9"/>
      <c r="K120" s="10"/>
      <c r="L120" s="10"/>
      <c r="M120" s="10"/>
      <c r="N120" s="10"/>
      <c r="O120" s="10"/>
      <c r="P120" s="10"/>
      <c r="Q120" s="10"/>
      <c r="R120" s="10"/>
      <c r="S120" s="10"/>
      <c r="T120" s="12"/>
      <c r="U120" s="12"/>
      <c r="V120" s="12"/>
      <c r="W120" s="12"/>
      <c r="X120" s="12"/>
      <c r="CB120" s="1" t="s">
        <v>71</v>
      </c>
      <c r="CC120" s="1" t="s">
        <v>18</v>
      </c>
      <c r="CD120" s="1" t="s">
        <v>132</v>
      </c>
      <c r="CF120" s="36">
        <f>NZ[[#This Row],[Part Type]]</f>
        <v>0</v>
      </c>
      <c r="CG120" s="18" t="str">
        <f>IF(NZ[[#This Row],[UID]]=0,"",NZ[[#This Row],[Reactor]]&amp;"-"&amp;NZ[[#This Row],[Nozzle Material]])</f>
        <v/>
      </c>
      <c r="CH120" s="18" t="str">
        <f>IF(NZ[[#This Row],[UID]]=0,"",NZ[[#This Row],[UID]])</f>
        <v/>
      </c>
      <c r="CL120" s="18" t="str">
        <f>IF(NZ[[#This Row],[Status]]=0,"",NZ[[#This Row],[Status]])</f>
        <v/>
      </c>
    </row>
    <row r="121" spans="1:90" ht="15.95">
      <c r="A121" s="36"/>
      <c r="B121" s="36"/>
      <c r="C121" s="9"/>
      <c r="D121" s="9"/>
      <c r="E121" s="9"/>
      <c r="F121" s="9"/>
      <c r="G121" s="9"/>
      <c r="H121" s="9"/>
      <c r="I121" s="133" t="e">
        <f>#REF!-(#REF!-AVERAGEIF(I:I,NZ[[#This Row],[Mass Measurment Date]],#REF!))</f>
        <v>#REF!</v>
      </c>
      <c r="J121" s="9"/>
      <c r="K121" s="10"/>
      <c r="L121" s="10"/>
      <c r="M121" s="10"/>
      <c r="N121" s="10"/>
      <c r="O121" s="10"/>
      <c r="P121" s="10"/>
      <c r="Q121" s="10"/>
      <c r="R121" s="10"/>
      <c r="S121" s="10"/>
      <c r="T121" s="12"/>
      <c r="U121" s="12"/>
      <c r="V121" s="12"/>
      <c r="W121" s="12"/>
      <c r="X121" s="12"/>
      <c r="CB121" s="1" t="s">
        <v>71</v>
      </c>
      <c r="CC121" s="1" t="s">
        <v>18</v>
      </c>
      <c r="CD121" s="1" t="s">
        <v>132</v>
      </c>
      <c r="CF121" s="36">
        <f>NZ[[#This Row],[Part Type]]</f>
        <v>0</v>
      </c>
      <c r="CG121" s="18" t="str">
        <f>IF(NZ[[#This Row],[UID]]=0,"",NZ[[#This Row],[Reactor]]&amp;"-"&amp;NZ[[#This Row],[Nozzle Material]])</f>
        <v/>
      </c>
      <c r="CH121" s="18" t="str">
        <f>IF(NZ[[#This Row],[UID]]=0,"",NZ[[#This Row],[UID]])</f>
        <v/>
      </c>
      <c r="CL121" s="18" t="str">
        <f>IF(NZ[[#This Row],[Status]]=0,"",NZ[[#This Row],[Status]])</f>
        <v/>
      </c>
    </row>
    <row r="122" spans="1:90" ht="15.95">
      <c r="A122" s="36"/>
      <c r="B122" s="36"/>
      <c r="C122" s="9"/>
      <c r="D122" s="9"/>
      <c r="E122" s="9"/>
      <c r="F122" s="9"/>
      <c r="G122" s="9"/>
      <c r="H122" s="9"/>
      <c r="I122" s="133" t="e">
        <f>#REF!-(#REF!-AVERAGEIF(I:I,NZ[[#This Row],[Mass Measurment Date]],#REF!))</f>
        <v>#REF!</v>
      </c>
      <c r="J122" s="9"/>
      <c r="K122" s="10"/>
      <c r="L122" s="10"/>
      <c r="M122" s="10"/>
      <c r="N122" s="10"/>
      <c r="O122" s="10"/>
      <c r="P122" s="10"/>
      <c r="Q122" s="10"/>
      <c r="R122" s="10"/>
      <c r="S122" s="10"/>
      <c r="T122" s="12"/>
      <c r="U122" s="12"/>
      <c r="V122" s="12"/>
      <c r="W122" s="12"/>
      <c r="X122" s="12"/>
      <c r="CB122" s="1" t="s">
        <v>71</v>
      </c>
      <c r="CC122" s="1" t="s">
        <v>18</v>
      </c>
      <c r="CD122" s="1" t="s">
        <v>132</v>
      </c>
      <c r="CF122" s="36">
        <f>NZ[[#This Row],[Part Type]]</f>
        <v>0</v>
      </c>
      <c r="CG122" s="18" t="str">
        <f>IF(NZ[[#This Row],[UID]]=0,"",NZ[[#This Row],[Reactor]]&amp;"-"&amp;NZ[[#This Row],[Nozzle Material]])</f>
        <v/>
      </c>
      <c r="CH122" s="18" t="str">
        <f>IF(NZ[[#This Row],[UID]]=0,"",NZ[[#This Row],[UID]])</f>
        <v/>
      </c>
      <c r="CL122" s="18" t="str">
        <f>IF(NZ[[#This Row],[Status]]=0,"",NZ[[#This Row],[Status]])</f>
        <v/>
      </c>
    </row>
    <row r="123" spans="1:90" ht="15.95">
      <c r="A123" s="36"/>
      <c r="B123" s="36"/>
      <c r="C123" s="9"/>
      <c r="D123" s="9"/>
      <c r="E123" s="9"/>
      <c r="F123" s="9"/>
      <c r="G123" s="9"/>
      <c r="H123" s="9"/>
      <c r="I123" s="133" t="e">
        <f>#REF!-(#REF!-AVERAGEIF(I:I,NZ[[#This Row],[Mass Measurment Date]],#REF!))</f>
        <v>#REF!</v>
      </c>
      <c r="J123" s="9"/>
      <c r="K123" s="10"/>
      <c r="L123" s="10"/>
      <c r="M123" s="10"/>
      <c r="N123" s="10"/>
      <c r="O123" s="10"/>
      <c r="P123" s="10"/>
      <c r="Q123" s="10"/>
      <c r="R123" s="10"/>
      <c r="S123" s="10"/>
      <c r="T123" s="12"/>
      <c r="U123" s="12"/>
      <c r="V123" s="12"/>
      <c r="W123" s="12"/>
      <c r="X123" s="12"/>
      <c r="CB123" s="1" t="s">
        <v>71</v>
      </c>
      <c r="CC123" s="1" t="s">
        <v>18</v>
      </c>
      <c r="CD123" s="1" t="s">
        <v>132</v>
      </c>
      <c r="CF123" s="36">
        <f>NZ[[#This Row],[Part Type]]</f>
        <v>0</v>
      </c>
      <c r="CG123" s="18" t="str">
        <f>IF(NZ[[#This Row],[UID]]=0,"",NZ[[#This Row],[Reactor]]&amp;"-"&amp;NZ[[#This Row],[Nozzle Material]])</f>
        <v/>
      </c>
      <c r="CH123" s="18" t="str">
        <f>IF(NZ[[#This Row],[UID]]=0,"",NZ[[#This Row],[UID]])</f>
        <v/>
      </c>
      <c r="CL123" s="18" t="str">
        <f>IF(NZ[[#This Row],[Status]]=0,"",NZ[[#This Row],[Status]])</f>
        <v/>
      </c>
    </row>
    <row r="124" spans="1:90" ht="15.95">
      <c r="A124" s="36"/>
      <c r="B124" s="36"/>
      <c r="C124" s="9"/>
      <c r="D124" s="9"/>
      <c r="E124" s="9"/>
      <c r="F124" s="9"/>
      <c r="G124" s="9"/>
      <c r="H124" s="9"/>
      <c r="I124" s="133" t="e">
        <f>#REF!-(#REF!-AVERAGEIF(I:I,NZ[[#This Row],[Mass Measurment Date]],#REF!))</f>
        <v>#REF!</v>
      </c>
      <c r="J124" s="9"/>
      <c r="K124" s="10"/>
      <c r="L124" s="10"/>
      <c r="M124" s="10"/>
      <c r="N124" s="10"/>
      <c r="O124" s="10"/>
      <c r="P124" s="10"/>
      <c r="Q124" s="10"/>
      <c r="R124" s="10"/>
      <c r="S124" s="10"/>
      <c r="T124" s="12"/>
      <c r="U124" s="12"/>
      <c r="V124" s="12"/>
      <c r="W124" s="12"/>
      <c r="X124" s="12"/>
      <c r="CB124" s="1" t="s">
        <v>71</v>
      </c>
      <c r="CC124" s="1" t="s">
        <v>18</v>
      </c>
      <c r="CD124" s="1" t="s">
        <v>132</v>
      </c>
      <c r="CF124" s="36">
        <f>NZ[[#This Row],[Part Type]]</f>
        <v>0</v>
      </c>
      <c r="CG124" s="18" t="str">
        <f>IF(NZ[[#This Row],[UID]]=0,"",NZ[[#This Row],[Reactor]]&amp;"-"&amp;NZ[[#This Row],[Nozzle Material]])</f>
        <v/>
      </c>
      <c r="CH124" s="18" t="str">
        <f>IF(NZ[[#This Row],[UID]]=0,"",NZ[[#This Row],[UID]])</f>
        <v/>
      </c>
      <c r="CL124" s="18" t="str">
        <f>IF(NZ[[#This Row],[Status]]=0,"",NZ[[#This Row],[Status]])</f>
        <v/>
      </c>
    </row>
    <row r="125" spans="1:90" ht="15.95">
      <c r="A125" s="36"/>
      <c r="B125" s="36"/>
      <c r="C125" s="9"/>
      <c r="D125" s="9"/>
      <c r="E125" s="9"/>
      <c r="F125" s="9"/>
      <c r="G125" s="9"/>
      <c r="H125" s="9"/>
      <c r="I125" s="133" t="e">
        <f>#REF!-(#REF!-AVERAGEIF(I:I,NZ[[#This Row],[Mass Measurment Date]],#REF!))</f>
        <v>#REF!</v>
      </c>
      <c r="J125" s="9"/>
      <c r="K125" s="10"/>
      <c r="L125" s="10"/>
      <c r="M125" s="10"/>
      <c r="N125" s="10"/>
      <c r="O125" s="10"/>
      <c r="P125" s="10"/>
      <c r="Q125" s="10"/>
      <c r="R125" s="10"/>
      <c r="S125" s="10"/>
      <c r="T125" s="12"/>
      <c r="U125" s="12"/>
      <c r="V125" s="12"/>
      <c r="W125" s="12"/>
      <c r="X125" s="12"/>
      <c r="CB125" s="1" t="s">
        <v>71</v>
      </c>
      <c r="CC125" s="1" t="s">
        <v>18</v>
      </c>
      <c r="CD125" s="1" t="s">
        <v>132</v>
      </c>
      <c r="CF125" s="36">
        <f>NZ[[#This Row],[Part Type]]</f>
        <v>0</v>
      </c>
      <c r="CG125" s="18" t="str">
        <f>IF(NZ[[#This Row],[UID]]=0,"",NZ[[#This Row],[Reactor]]&amp;"-"&amp;NZ[[#This Row],[Nozzle Material]])</f>
        <v/>
      </c>
      <c r="CH125" s="18" t="str">
        <f>IF(NZ[[#This Row],[UID]]=0,"",NZ[[#This Row],[UID]])</f>
        <v/>
      </c>
      <c r="CL125" s="18" t="str">
        <f>IF(NZ[[#This Row],[Status]]=0,"",NZ[[#This Row],[Status]])</f>
        <v/>
      </c>
    </row>
    <row r="126" spans="1:90" ht="15.95">
      <c r="A126" s="36"/>
      <c r="B126" s="36"/>
      <c r="C126" s="9"/>
      <c r="D126" s="9"/>
      <c r="E126" s="9"/>
      <c r="F126" s="9"/>
      <c r="G126" s="9"/>
      <c r="H126" s="9"/>
      <c r="I126" s="133" t="e">
        <f>#REF!-(#REF!-AVERAGEIF(I:I,NZ[[#This Row],[Mass Measurment Date]],#REF!))</f>
        <v>#REF!</v>
      </c>
      <c r="J126" s="9"/>
      <c r="K126" s="10"/>
      <c r="L126" s="10"/>
      <c r="M126" s="10"/>
      <c r="N126" s="10"/>
      <c r="O126" s="10"/>
      <c r="P126" s="10"/>
      <c r="Q126" s="10"/>
      <c r="R126" s="10"/>
      <c r="S126" s="10"/>
      <c r="T126" s="12"/>
      <c r="U126" s="12"/>
      <c r="V126" s="12"/>
      <c r="W126" s="12"/>
      <c r="X126" s="12"/>
      <c r="CB126" s="1" t="s">
        <v>71</v>
      </c>
      <c r="CC126" s="1" t="s">
        <v>18</v>
      </c>
      <c r="CD126" s="1" t="s">
        <v>132</v>
      </c>
      <c r="CF126" s="36">
        <f>NZ[[#This Row],[Part Type]]</f>
        <v>0</v>
      </c>
      <c r="CG126" s="18" t="str">
        <f>IF(NZ[[#This Row],[UID]]=0,"",NZ[[#This Row],[Reactor]]&amp;"-"&amp;NZ[[#This Row],[Nozzle Material]])</f>
        <v/>
      </c>
      <c r="CH126" s="18" t="str">
        <f>IF(NZ[[#This Row],[UID]]=0,"",NZ[[#This Row],[UID]])</f>
        <v/>
      </c>
      <c r="CL126" s="18" t="str">
        <f>IF(NZ[[#This Row],[Status]]=0,"",NZ[[#This Row],[Status]])</f>
        <v/>
      </c>
    </row>
    <row r="127" spans="1:90" ht="15.95">
      <c r="A127" s="36"/>
      <c r="B127" s="36"/>
      <c r="C127" s="9"/>
      <c r="D127" s="9"/>
      <c r="E127" s="9"/>
      <c r="F127" s="9"/>
      <c r="G127" s="9"/>
      <c r="H127" s="9"/>
      <c r="I127" s="133" t="e">
        <f>#REF!-(#REF!-AVERAGEIF(I:I,NZ[[#This Row],[Mass Measurment Date]],#REF!))</f>
        <v>#REF!</v>
      </c>
      <c r="J127" s="9"/>
      <c r="K127" s="10"/>
      <c r="L127" s="10"/>
      <c r="M127" s="10"/>
      <c r="N127" s="10"/>
      <c r="O127" s="10"/>
      <c r="P127" s="10"/>
      <c r="Q127" s="10"/>
      <c r="R127" s="10"/>
      <c r="S127" s="10"/>
      <c r="T127" s="12"/>
      <c r="U127" s="12"/>
      <c r="V127" s="12"/>
      <c r="W127" s="12"/>
      <c r="X127" s="12"/>
      <c r="CB127" s="1" t="s">
        <v>71</v>
      </c>
      <c r="CC127" s="1" t="s">
        <v>18</v>
      </c>
      <c r="CD127" s="1" t="s">
        <v>132</v>
      </c>
      <c r="CF127" s="36">
        <f>NZ[[#This Row],[Part Type]]</f>
        <v>0</v>
      </c>
      <c r="CG127" s="18" t="str">
        <f>IF(NZ[[#This Row],[UID]]=0,"",NZ[[#This Row],[Reactor]]&amp;"-"&amp;NZ[[#This Row],[Nozzle Material]])</f>
        <v/>
      </c>
      <c r="CH127" s="18" t="str">
        <f>IF(NZ[[#This Row],[UID]]=0,"",NZ[[#This Row],[UID]])</f>
        <v/>
      </c>
      <c r="CL127" s="18" t="str">
        <f>IF(NZ[[#This Row],[Status]]=0,"",NZ[[#This Row],[Status]])</f>
        <v/>
      </c>
    </row>
    <row r="128" spans="1:90" ht="15.95">
      <c r="A128" s="36"/>
      <c r="B128" s="36"/>
      <c r="C128" s="9"/>
      <c r="D128" s="9"/>
      <c r="E128" s="9"/>
      <c r="F128" s="9"/>
      <c r="G128" s="9"/>
      <c r="H128" s="9"/>
      <c r="I128" s="133" t="e">
        <f>#REF!-(#REF!-AVERAGEIF(I:I,NZ[[#This Row],[Mass Measurment Date]],#REF!))</f>
        <v>#REF!</v>
      </c>
      <c r="J128" s="9"/>
      <c r="K128" s="10"/>
      <c r="L128" s="10"/>
      <c r="M128" s="10"/>
      <c r="N128" s="10"/>
      <c r="O128" s="10"/>
      <c r="P128" s="10"/>
      <c r="Q128" s="10"/>
      <c r="R128" s="10"/>
      <c r="S128" s="10"/>
      <c r="T128" s="12"/>
      <c r="U128" s="12"/>
      <c r="V128" s="12"/>
      <c r="W128" s="12"/>
      <c r="X128" s="12"/>
      <c r="CB128" s="1" t="s">
        <v>71</v>
      </c>
      <c r="CC128" s="1" t="s">
        <v>18</v>
      </c>
      <c r="CD128" s="1" t="s">
        <v>132</v>
      </c>
      <c r="CF128" s="36">
        <f>NZ[[#This Row],[Part Type]]</f>
        <v>0</v>
      </c>
      <c r="CG128" s="18" t="str">
        <f>IF(NZ[[#This Row],[UID]]=0,"",NZ[[#This Row],[Reactor]]&amp;"-"&amp;NZ[[#This Row],[Nozzle Material]])</f>
        <v/>
      </c>
      <c r="CH128" s="18" t="str">
        <f>IF(NZ[[#This Row],[UID]]=0,"",NZ[[#This Row],[UID]])</f>
        <v/>
      </c>
      <c r="CL128" s="18" t="str">
        <f>IF(NZ[[#This Row],[Status]]=0,"",NZ[[#This Row],[Status]])</f>
        <v/>
      </c>
    </row>
    <row r="129" spans="1:90" ht="15.95">
      <c r="A129" s="36"/>
      <c r="B129" s="36"/>
      <c r="C129" s="9"/>
      <c r="D129" s="9"/>
      <c r="E129" s="9"/>
      <c r="F129" s="9"/>
      <c r="G129" s="9"/>
      <c r="H129" s="9"/>
      <c r="I129" s="133" t="e">
        <f>#REF!-(#REF!-AVERAGEIF(I:I,NZ[[#This Row],[Mass Measurment Date]],#REF!))</f>
        <v>#REF!</v>
      </c>
      <c r="J129" s="9"/>
      <c r="K129" s="10"/>
      <c r="L129" s="10"/>
      <c r="M129" s="10"/>
      <c r="N129" s="10"/>
      <c r="O129" s="10"/>
      <c r="P129" s="10"/>
      <c r="Q129" s="10"/>
      <c r="R129" s="10"/>
      <c r="S129" s="10"/>
      <c r="T129" s="12"/>
      <c r="U129" s="12"/>
      <c r="V129" s="12"/>
      <c r="W129" s="12"/>
      <c r="X129" s="12"/>
      <c r="CB129" s="1" t="s">
        <v>71</v>
      </c>
      <c r="CC129" s="1" t="s">
        <v>18</v>
      </c>
      <c r="CD129" s="1" t="s">
        <v>132</v>
      </c>
      <c r="CF129" s="36">
        <f>NZ[[#This Row],[Part Type]]</f>
        <v>0</v>
      </c>
      <c r="CG129" s="18" t="str">
        <f>IF(NZ[[#This Row],[UID]]=0,"",NZ[[#This Row],[Reactor]]&amp;"-"&amp;NZ[[#This Row],[Nozzle Material]])</f>
        <v/>
      </c>
      <c r="CH129" s="18" t="str">
        <f>IF(NZ[[#This Row],[UID]]=0,"",NZ[[#This Row],[UID]])</f>
        <v/>
      </c>
      <c r="CL129" s="18" t="str">
        <f>IF(NZ[[#This Row],[Status]]=0,"",NZ[[#This Row],[Status]])</f>
        <v/>
      </c>
    </row>
    <row r="130" spans="1:90" ht="15.95">
      <c r="A130" s="36"/>
      <c r="B130" s="36"/>
      <c r="C130" s="9"/>
      <c r="D130" s="9"/>
      <c r="E130" s="9"/>
      <c r="F130" s="9"/>
      <c r="G130" s="9"/>
      <c r="H130" s="9"/>
      <c r="I130" s="133" t="e">
        <f>#REF!-(#REF!-AVERAGEIF(I:I,NZ[[#This Row],[Mass Measurment Date]],#REF!))</f>
        <v>#REF!</v>
      </c>
      <c r="J130" s="9"/>
      <c r="K130" s="10"/>
      <c r="L130" s="10"/>
      <c r="M130" s="10"/>
      <c r="N130" s="10"/>
      <c r="O130" s="10"/>
      <c r="P130" s="10"/>
      <c r="Q130" s="10"/>
      <c r="R130" s="10"/>
      <c r="S130" s="10"/>
      <c r="T130" s="12"/>
      <c r="U130" s="12"/>
      <c r="V130" s="12"/>
      <c r="W130" s="12"/>
      <c r="X130" s="12"/>
      <c r="CB130" s="1" t="s">
        <v>71</v>
      </c>
      <c r="CC130" s="1" t="s">
        <v>18</v>
      </c>
      <c r="CD130" s="1" t="s">
        <v>132</v>
      </c>
      <c r="CF130" s="36">
        <f>NZ[[#This Row],[Part Type]]</f>
        <v>0</v>
      </c>
      <c r="CG130" s="18" t="str">
        <f>IF(NZ[[#This Row],[UID]]=0,"",NZ[[#This Row],[Reactor]]&amp;"-"&amp;NZ[[#This Row],[Nozzle Material]])</f>
        <v/>
      </c>
      <c r="CH130" s="18" t="str">
        <f>IF(NZ[[#This Row],[UID]]=0,"",NZ[[#This Row],[UID]])</f>
        <v/>
      </c>
      <c r="CL130" s="18" t="str">
        <f>IF(NZ[[#This Row],[Status]]=0,"",NZ[[#This Row],[Status]])</f>
        <v/>
      </c>
    </row>
    <row r="131" spans="1:90" ht="15.95">
      <c r="A131" s="36"/>
      <c r="B131" s="36"/>
      <c r="C131" s="9"/>
      <c r="D131" s="9"/>
      <c r="E131" s="9"/>
      <c r="F131" s="9"/>
      <c r="G131" s="9"/>
      <c r="H131" s="9"/>
      <c r="I131" s="133" t="e">
        <f>#REF!-(#REF!-AVERAGEIF(I:I,NZ[[#This Row],[Mass Measurment Date]],#REF!))</f>
        <v>#REF!</v>
      </c>
      <c r="J131" s="9"/>
      <c r="K131" s="10"/>
      <c r="L131" s="10"/>
      <c r="M131" s="10"/>
      <c r="N131" s="10"/>
      <c r="O131" s="10"/>
      <c r="P131" s="10"/>
      <c r="Q131" s="10"/>
      <c r="R131" s="10"/>
      <c r="S131" s="10"/>
      <c r="T131" s="12"/>
      <c r="U131" s="12"/>
      <c r="V131" s="12"/>
      <c r="W131" s="12"/>
      <c r="X131" s="12"/>
      <c r="CB131" s="1" t="s">
        <v>71</v>
      </c>
      <c r="CC131" s="1" t="s">
        <v>18</v>
      </c>
      <c r="CD131" s="1" t="s">
        <v>132</v>
      </c>
      <c r="CF131" s="36">
        <f>NZ[[#This Row],[Part Type]]</f>
        <v>0</v>
      </c>
      <c r="CG131" s="18" t="str">
        <f>IF(NZ[[#This Row],[UID]]=0,"",NZ[[#This Row],[Reactor]]&amp;"-"&amp;NZ[[#This Row],[Nozzle Material]])</f>
        <v/>
      </c>
      <c r="CH131" s="18" t="str">
        <f>IF(NZ[[#This Row],[UID]]=0,"",NZ[[#This Row],[UID]])</f>
        <v/>
      </c>
      <c r="CL131" s="18" t="str">
        <f>IF(NZ[[#This Row],[Status]]=0,"",NZ[[#This Row],[Status]])</f>
        <v/>
      </c>
    </row>
    <row r="132" spans="1:90" ht="15.95">
      <c r="A132" s="36"/>
      <c r="B132" s="36"/>
      <c r="C132" s="9"/>
      <c r="D132" s="9"/>
      <c r="E132" s="9"/>
      <c r="F132" s="9"/>
      <c r="G132" s="9"/>
      <c r="H132" s="9"/>
      <c r="I132" s="133" t="e">
        <f>#REF!-(#REF!-AVERAGEIF(I:I,NZ[[#This Row],[Mass Measurment Date]],#REF!))</f>
        <v>#REF!</v>
      </c>
      <c r="J132" s="9"/>
      <c r="K132" s="10"/>
      <c r="L132" s="10"/>
      <c r="M132" s="10"/>
      <c r="N132" s="10"/>
      <c r="O132" s="10"/>
      <c r="P132" s="10"/>
      <c r="Q132" s="10"/>
      <c r="R132" s="10"/>
      <c r="S132" s="10"/>
      <c r="T132" s="12"/>
      <c r="U132" s="12"/>
      <c r="V132" s="12"/>
      <c r="W132" s="12"/>
      <c r="X132" s="12"/>
      <c r="CB132" s="1" t="s">
        <v>71</v>
      </c>
      <c r="CC132" s="1" t="s">
        <v>18</v>
      </c>
      <c r="CD132" s="1" t="s">
        <v>132</v>
      </c>
      <c r="CF132" s="36">
        <f>NZ[[#This Row],[Part Type]]</f>
        <v>0</v>
      </c>
      <c r="CG132" s="18" t="str">
        <f>IF(NZ[[#This Row],[UID]]=0,"",NZ[[#This Row],[Reactor]]&amp;"-"&amp;NZ[[#This Row],[Nozzle Material]])</f>
        <v/>
      </c>
      <c r="CH132" s="18" t="str">
        <f>IF(NZ[[#This Row],[UID]]=0,"",NZ[[#This Row],[UID]])</f>
        <v/>
      </c>
      <c r="CL132" s="18" t="str">
        <f>IF(NZ[[#This Row],[Status]]=0,"",NZ[[#This Row],[Status]])</f>
        <v/>
      </c>
    </row>
    <row r="133" spans="1:90" ht="15.95">
      <c r="A133" s="36"/>
      <c r="B133" s="36"/>
      <c r="C133" s="9"/>
      <c r="D133" s="9"/>
      <c r="E133" s="9"/>
      <c r="F133" s="9"/>
      <c r="G133" s="9"/>
      <c r="H133" s="9"/>
      <c r="I133" s="133" t="e">
        <f>#REF!-(#REF!-AVERAGEIF(I:I,NZ[[#This Row],[Mass Measurment Date]],#REF!))</f>
        <v>#REF!</v>
      </c>
      <c r="J133" s="9"/>
      <c r="K133" s="10"/>
      <c r="L133" s="10"/>
      <c r="M133" s="10"/>
      <c r="N133" s="10"/>
      <c r="O133" s="10"/>
      <c r="P133" s="10"/>
      <c r="Q133" s="10"/>
      <c r="R133" s="10"/>
      <c r="S133" s="10"/>
      <c r="T133" s="12"/>
      <c r="U133" s="12"/>
      <c r="V133" s="12"/>
      <c r="W133" s="12"/>
      <c r="X133" s="12"/>
      <c r="CB133" s="1" t="s">
        <v>71</v>
      </c>
      <c r="CC133" s="1" t="s">
        <v>18</v>
      </c>
      <c r="CD133" s="1" t="s">
        <v>132</v>
      </c>
      <c r="CF133" s="36">
        <f>NZ[[#This Row],[Part Type]]</f>
        <v>0</v>
      </c>
      <c r="CG133" s="18" t="str">
        <f>IF(NZ[[#This Row],[UID]]=0,"",NZ[[#This Row],[Reactor]]&amp;"-"&amp;NZ[[#This Row],[Nozzle Material]])</f>
        <v/>
      </c>
      <c r="CH133" s="18" t="str">
        <f>IF(NZ[[#This Row],[UID]]=0,"",NZ[[#This Row],[UID]])</f>
        <v/>
      </c>
      <c r="CL133" s="18" t="str">
        <f>IF(NZ[[#This Row],[Status]]=0,"",NZ[[#This Row],[Status]])</f>
        <v/>
      </c>
    </row>
    <row r="134" spans="1:90" ht="15.95">
      <c r="A134" s="36"/>
      <c r="B134" s="36"/>
      <c r="C134" s="9"/>
      <c r="D134" s="9"/>
      <c r="E134" s="9"/>
      <c r="F134" s="9"/>
      <c r="G134" s="9"/>
      <c r="H134" s="9"/>
      <c r="I134" s="133" t="e">
        <f>#REF!-(#REF!-AVERAGEIF(I:I,NZ[[#This Row],[Mass Measurment Date]],#REF!))</f>
        <v>#REF!</v>
      </c>
      <c r="J134" s="9"/>
      <c r="K134" s="10"/>
      <c r="L134" s="10"/>
      <c r="M134" s="10"/>
      <c r="N134" s="10"/>
      <c r="O134" s="10"/>
      <c r="P134" s="10"/>
      <c r="Q134" s="10"/>
      <c r="R134" s="10"/>
      <c r="S134" s="10"/>
      <c r="T134" s="12"/>
      <c r="U134" s="12"/>
      <c r="V134" s="12"/>
      <c r="W134" s="12"/>
      <c r="X134" s="12"/>
      <c r="CB134" s="1" t="s">
        <v>71</v>
      </c>
      <c r="CC134" s="1" t="s">
        <v>18</v>
      </c>
      <c r="CD134" s="1" t="s">
        <v>132</v>
      </c>
      <c r="CF134" s="36">
        <f>NZ[[#This Row],[Part Type]]</f>
        <v>0</v>
      </c>
      <c r="CG134" s="18" t="str">
        <f>IF(NZ[[#This Row],[UID]]=0,"",NZ[[#This Row],[Reactor]]&amp;"-"&amp;NZ[[#This Row],[Nozzle Material]])</f>
        <v/>
      </c>
      <c r="CH134" s="18" t="str">
        <f>IF(NZ[[#This Row],[UID]]=0,"",NZ[[#This Row],[UID]])</f>
        <v/>
      </c>
      <c r="CL134" s="18" t="str">
        <f>IF(NZ[[#This Row],[Status]]=0,"",NZ[[#This Row],[Status]])</f>
        <v/>
      </c>
    </row>
    <row r="135" spans="1:90" ht="15.95">
      <c r="A135" s="36"/>
      <c r="B135" s="36"/>
      <c r="C135" s="9"/>
      <c r="D135" s="9"/>
      <c r="E135" s="9"/>
      <c r="F135" s="9"/>
      <c r="G135" s="9"/>
      <c r="H135" s="9"/>
      <c r="I135" s="133" t="e">
        <f>#REF!-(#REF!-AVERAGEIF(I:I,NZ[[#This Row],[Mass Measurment Date]],#REF!))</f>
        <v>#REF!</v>
      </c>
      <c r="J135" s="9"/>
      <c r="K135" s="10"/>
      <c r="L135" s="10"/>
      <c r="M135" s="10"/>
      <c r="N135" s="10"/>
      <c r="O135" s="10"/>
      <c r="P135" s="10"/>
      <c r="Q135" s="10"/>
      <c r="R135" s="10"/>
      <c r="S135" s="10"/>
      <c r="T135" s="12"/>
      <c r="U135" s="12"/>
      <c r="V135" s="12"/>
      <c r="W135" s="12"/>
      <c r="X135" s="12"/>
      <c r="CB135" s="1" t="s">
        <v>71</v>
      </c>
      <c r="CC135" s="1" t="s">
        <v>18</v>
      </c>
      <c r="CD135" s="1" t="s">
        <v>132</v>
      </c>
      <c r="CF135" s="36">
        <f>NZ[[#This Row],[Part Type]]</f>
        <v>0</v>
      </c>
      <c r="CG135" s="18" t="str">
        <f>IF(NZ[[#This Row],[UID]]=0,"",NZ[[#This Row],[Reactor]]&amp;"-"&amp;NZ[[#This Row],[Nozzle Material]])</f>
        <v/>
      </c>
      <c r="CH135" s="18" t="str">
        <f>IF(NZ[[#This Row],[UID]]=0,"",NZ[[#This Row],[UID]])</f>
        <v/>
      </c>
      <c r="CL135" s="18" t="str">
        <f>IF(NZ[[#This Row],[Status]]=0,"",NZ[[#This Row],[Status]])</f>
        <v/>
      </c>
    </row>
    <row r="136" spans="1:90" ht="15.95">
      <c r="A136" s="36"/>
      <c r="B136" s="36"/>
      <c r="C136" s="9"/>
      <c r="D136" s="9"/>
      <c r="E136" s="9"/>
      <c r="F136" s="9"/>
      <c r="G136" s="9"/>
      <c r="H136" s="9"/>
      <c r="I136" s="133" t="e">
        <f>#REF!-(#REF!-AVERAGEIF(I:I,NZ[[#This Row],[Mass Measurment Date]],#REF!))</f>
        <v>#REF!</v>
      </c>
      <c r="J136" s="9"/>
      <c r="K136" s="10"/>
      <c r="L136" s="10"/>
      <c r="M136" s="10"/>
      <c r="N136" s="10"/>
      <c r="O136" s="10"/>
      <c r="P136" s="10"/>
      <c r="Q136" s="10"/>
      <c r="R136" s="10"/>
      <c r="S136" s="10"/>
      <c r="T136" s="12"/>
      <c r="U136" s="12"/>
      <c r="V136" s="12"/>
      <c r="W136" s="12"/>
      <c r="X136" s="12"/>
      <c r="CB136" s="1" t="s">
        <v>71</v>
      </c>
      <c r="CC136" s="1" t="s">
        <v>18</v>
      </c>
      <c r="CD136" s="1" t="s">
        <v>132</v>
      </c>
      <c r="CF136" s="36">
        <f>NZ[[#This Row],[Part Type]]</f>
        <v>0</v>
      </c>
      <c r="CG136" s="18" t="str">
        <f>IF(NZ[[#This Row],[UID]]=0,"",NZ[[#This Row],[Reactor]]&amp;"-"&amp;NZ[[#This Row],[Nozzle Material]])</f>
        <v/>
      </c>
      <c r="CH136" s="18" t="str">
        <f>IF(NZ[[#This Row],[UID]]=0,"",NZ[[#This Row],[UID]])</f>
        <v/>
      </c>
      <c r="CL136" s="18" t="str">
        <f>IF(NZ[[#This Row],[Status]]=0,"",NZ[[#This Row],[Status]])</f>
        <v/>
      </c>
    </row>
    <row r="137" spans="1:90" ht="15.95">
      <c r="A137" s="36"/>
      <c r="B137" s="36"/>
      <c r="C137" s="9"/>
      <c r="D137" s="9"/>
      <c r="E137" s="9"/>
      <c r="F137" s="9"/>
      <c r="G137" s="9"/>
      <c r="H137" s="9"/>
      <c r="I137" s="133" t="e">
        <f>#REF!-(#REF!-AVERAGEIF(I:I,NZ[[#This Row],[Mass Measurment Date]],#REF!))</f>
        <v>#REF!</v>
      </c>
      <c r="J137" s="9"/>
      <c r="K137" s="10"/>
      <c r="L137" s="10"/>
      <c r="M137" s="10"/>
      <c r="N137" s="10"/>
      <c r="O137" s="10"/>
      <c r="P137" s="10"/>
      <c r="Q137" s="10"/>
      <c r="R137" s="10"/>
      <c r="S137" s="10"/>
      <c r="T137" s="12"/>
      <c r="U137" s="12"/>
      <c r="V137" s="12"/>
      <c r="W137" s="12"/>
      <c r="X137" s="12"/>
      <c r="CB137" s="1" t="s">
        <v>71</v>
      </c>
      <c r="CC137" s="1" t="s">
        <v>18</v>
      </c>
      <c r="CD137" s="1" t="s">
        <v>132</v>
      </c>
      <c r="CF137" s="36">
        <f>NZ[[#This Row],[Part Type]]</f>
        <v>0</v>
      </c>
      <c r="CG137" s="18" t="str">
        <f>IF(NZ[[#This Row],[UID]]=0,"",NZ[[#This Row],[Reactor]]&amp;"-"&amp;NZ[[#This Row],[Nozzle Material]])</f>
        <v/>
      </c>
      <c r="CH137" s="18" t="str">
        <f>IF(NZ[[#This Row],[UID]]=0,"",NZ[[#This Row],[UID]])</f>
        <v/>
      </c>
      <c r="CL137" s="18" t="str">
        <f>IF(NZ[[#This Row],[Status]]=0,"",NZ[[#This Row],[Status]])</f>
        <v/>
      </c>
    </row>
    <row r="138" spans="1:90" ht="15.95">
      <c r="A138" s="36"/>
      <c r="B138" s="36"/>
      <c r="C138" s="9"/>
      <c r="D138" s="9"/>
      <c r="E138" s="9"/>
      <c r="F138" s="9"/>
      <c r="G138" s="9"/>
      <c r="H138" s="9"/>
      <c r="I138" s="133" t="e">
        <f>#REF!-(#REF!-AVERAGEIF(I:I,NZ[[#This Row],[Mass Measurment Date]],#REF!))</f>
        <v>#REF!</v>
      </c>
      <c r="J138" s="9"/>
      <c r="K138" s="10"/>
      <c r="L138" s="10"/>
      <c r="M138" s="10"/>
      <c r="N138" s="10"/>
      <c r="O138" s="10"/>
      <c r="P138" s="10"/>
      <c r="Q138" s="10"/>
      <c r="R138" s="10"/>
      <c r="S138" s="10"/>
      <c r="T138" s="12"/>
      <c r="U138" s="12"/>
      <c r="V138" s="12"/>
      <c r="W138" s="12"/>
      <c r="X138" s="12"/>
      <c r="CB138" s="1" t="s">
        <v>71</v>
      </c>
      <c r="CC138" s="1" t="s">
        <v>18</v>
      </c>
      <c r="CD138" s="1" t="s">
        <v>132</v>
      </c>
      <c r="CF138" s="36">
        <f>NZ[[#This Row],[Part Type]]</f>
        <v>0</v>
      </c>
      <c r="CG138" s="18" t="str">
        <f>IF(NZ[[#This Row],[UID]]=0,"",NZ[[#This Row],[Reactor]]&amp;"-"&amp;NZ[[#This Row],[Nozzle Material]])</f>
        <v/>
      </c>
      <c r="CH138" s="18" t="str">
        <f>IF(NZ[[#This Row],[UID]]=0,"",NZ[[#This Row],[UID]])</f>
        <v/>
      </c>
      <c r="CL138" s="18" t="str">
        <f>IF(NZ[[#This Row],[Status]]=0,"",NZ[[#This Row],[Status]])</f>
        <v/>
      </c>
    </row>
    <row r="139" spans="1:90" ht="15.95">
      <c r="A139" s="36"/>
      <c r="B139" s="36"/>
      <c r="C139" s="9"/>
      <c r="D139" s="9"/>
      <c r="E139" s="9"/>
      <c r="F139" s="9"/>
      <c r="G139" s="9"/>
      <c r="H139" s="9"/>
      <c r="I139" s="133" t="e">
        <f>#REF!-(#REF!-AVERAGEIF(I:I,NZ[[#This Row],[Mass Measurment Date]],#REF!))</f>
        <v>#REF!</v>
      </c>
      <c r="J139" s="9"/>
      <c r="K139" s="10"/>
      <c r="L139" s="10"/>
      <c r="M139" s="10"/>
      <c r="N139" s="10"/>
      <c r="O139" s="10"/>
      <c r="P139" s="10"/>
      <c r="Q139" s="10"/>
      <c r="R139" s="10"/>
      <c r="S139" s="10"/>
      <c r="T139" s="12"/>
      <c r="U139" s="12"/>
      <c r="V139" s="12"/>
      <c r="W139" s="12"/>
      <c r="X139" s="12"/>
      <c r="CB139" s="1" t="s">
        <v>71</v>
      </c>
      <c r="CC139" s="1" t="s">
        <v>18</v>
      </c>
      <c r="CD139" s="1" t="s">
        <v>132</v>
      </c>
      <c r="CF139" s="36">
        <f>NZ[[#This Row],[Part Type]]</f>
        <v>0</v>
      </c>
      <c r="CG139" s="18" t="str">
        <f>IF(NZ[[#This Row],[UID]]=0,"",NZ[[#This Row],[Reactor]]&amp;"-"&amp;NZ[[#This Row],[Nozzle Material]])</f>
        <v/>
      </c>
      <c r="CH139" s="18" t="str">
        <f>IF(NZ[[#This Row],[UID]]=0,"",NZ[[#This Row],[UID]])</f>
        <v/>
      </c>
      <c r="CL139" s="18" t="str">
        <f>IF(NZ[[#This Row],[Status]]=0,"",NZ[[#This Row],[Status]])</f>
        <v/>
      </c>
    </row>
    <row r="140" spans="1:90" ht="15.95">
      <c r="A140" s="36"/>
      <c r="B140" s="36"/>
      <c r="C140" s="9"/>
      <c r="D140" s="9"/>
      <c r="E140" s="9"/>
      <c r="F140" s="9"/>
      <c r="G140" s="9"/>
      <c r="H140" s="9"/>
      <c r="I140" s="133" t="e">
        <f>#REF!-(#REF!-AVERAGEIF(I:I,NZ[[#This Row],[Mass Measurment Date]],#REF!))</f>
        <v>#REF!</v>
      </c>
      <c r="J140" s="9"/>
      <c r="K140" s="10"/>
      <c r="L140" s="10"/>
      <c r="M140" s="10"/>
      <c r="N140" s="10"/>
      <c r="O140" s="10"/>
      <c r="P140" s="10"/>
      <c r="Q140" s="10"/>
      <c r="R140" s="10"/>
      <c r="S140" s="10"/>
      <c r="T140" s="12"/>
      <c r="U140" s="12"/>
      <c r="V140" s="12"/>
      <c r="W140" s="12"/>
      <c r="X140" s="12"/>
      <c r="CB140" s="1" t="s">
        <v>71</v>
      </c>
      <c r="CC140" s="1" t="s">
        <v>18</v>
      </c>
      <c r="CD140" s="1" t="s">
        <v>132</v>
      </c>
      <c r="CF140" s="36">
        <f>NZ[[#This Row],[Part Type]]</f>
        <v>0</v>
      </c>
      <c r="CG140" s="18" t="str">
        <f>IF(NZ[[#This Row],[UID]]=0,"",NZ[[#This Row],[Reactor]]&amp;"-"&amp;NZ[[#This Row],[Nozzle Material]])</f>
        <v/>
      </c>
      <c r="CH140" s="18" t="str">
        <f>IF(NZ[[#This Row],[UID]]=0,"",NZ[[#This Row],[UID]])</f>
        <v/>
      </c>
      <c r="CL140" s="18" t="str">
        <f>IF(NZ[[#This Row],[Status]]=0,"",NZ[[#This Row],[Status]])</f>
        <v/>
      </c>
    </row>
    <row r="141" spans="1:90" ht="15.95">
      <c r="A141" s="36"/>
      <c r="B141" s="36"/>
      <c r="C141" s="9"/>
      <c r="D141" s="9"/>
      <c r="E141" s="9"/>
      <c r="F141" s="9"/>
      <c r="G141" s="9"/>
      <c r="H141" s="9"/>
      <c r="I141" s="133" t="e">
        <f>#REF!-(#REF!-AVERAGEIF(I:I,NZ[[#This Row],[Mass Measurment Date]],#REF!))</f>
        <v>#REF!</v>
      </c>
      <c r="J141" s="9"/>
      <c r="K141" s="10"/>
      <c r="L141" s="10"/>
      <c r="M141" s="10"/>
      <c r="N141" s="10"/>
      <c r="O141" s="10"/>
      <c r="P141" s="10"/>
      <c r="Q141" s="10"/>
      <c r="R141" s="10"/>
      <c r="S141" s="10"/>
      <c r="T141" s="12"/>
      <c r="U141" s="12"/>
      <c r="V141" s="12"/>
      <c r="W141" s="12"/>
      <c r="X141" s="12"/>
      <c r="CB141" s="1" t="s">
        <v>71</v>
      </c>
      <c r="CC141" s="1" t="s">
        <v>18</v>
      </c>
      <c r="CD141" s="1" t="s">
        <v>132</v>
      </c>
      <c r="CF141" s="36">
        <f>NZ[[#This Row],[Part Type]]</f>
        <v>0</v>
      </c>
      <c r="CG141" s="18" t="str">
        <f>IF(NZ[[#This Row],[UID]]=0,"",NZ[[#This Row],[Reactor]]&amp;"-"&amp;NZ[[#This Row],[Nozzle Material]])</f>
        <v/>
      </c>
      <c r="CH141" s="18" t="str">
        <f>IF(NZ[[#This Row],[UID]]=0,"",NZ[[#This Row],[UID]])</f>
        <v/>
      </c>
      <c r="CL141" s="18" t="str">
        <f>IF(NZ[[#This Row],[Status]]=0,"",NZ[[#This Row],[Status]])</f>
        <v/>
      </c>
    </row>
    <row r="142" spans="1:90" ht="15.95">
      <c r="A142" s="36"/>
      <c r="B142" s="36"/>
      <c r="C142" s="9"/>
      <c r="D142" s="9"/>
      <c r="E142" s="9"/>
      <c r="F142" s="9"/>
      <c r="G142" s="9"/>
      <c r="H142" s="9"/>
      <c r="I142" s="133" t="e">
        <f>#REF!-(#REF!-AVERAGEIF(I:I,NZ[[#This Row],[Mass Measurment Date]],#REF!))</f>
        <v>#REF!</v>
      </c>
      <c r="J142" s="9"/>
      <c r="K142" s="10"/>
      <c r="L142" s="10"/>
      <c r="M142" s="10"/>
      <c r="N142" s="10"/>
      <c r="O142" s="10"/>
      <c r="P142" s="10"/>
      <c r="Q142" s="10"/>
      <c r="R142" s="10"/>
      <c r="S142" s="10"/>
      <c r="T142" s="12"/>
      <c r="U142" s="12"/>
      <c r="V142" s="12"/>
      <c r="W142" s="12"/>
      <c r="X142" s="12"/>
      <c r="CB142" s="1" t="s">
        <v>71</v>
      </c>
      <c r="CC142" s="1" t="s">
        <v>18</v>
      </c>
      <c r="CD142" s="1" t="s">
        <v>132</v>
      </c>
      <c r="CF142" s="36">
        <f>NZ[[#This Row],[Part Type]]</f>
        <v>0</v>
      </c>
      <c r="CG142" s="18" t="str">
        <f>IF(NZ[[#This Row],[UID]]=0,"",NZ[[#This Row],[Reactor]]&amp;"-"&amp;NZ[[#This Row],[Nozzle Material]])</f>
        <v/>
      </c>
      <c r="CH142" s="18" t="str">
        <f>IF(NZ[[#This Row],[UID]]=0,"",NZ[[#This Row],[UID]])</f>
        <v/>
      </c>
      <c r="CL142" s="18" t="str">
        <f>IF(NZ[[#This Row],[Status]]=0,"",NZ[[#This Row],[Status]])</f>
        <v/>
      </c>
    </row>
    <row r="143" spans="1:90" ht="15.95">
      <c r="A143" s="36"/>
      <c r="B143" s="36"/>
      <c r="C143" s="9"/>
      <c r="D143" s="9"/>
      <c r="E143" s="9"/>
      <c r="F143" s="9"/>
      <c r="G143" s="9"/>
      <c r="H143" s="9"/>
      <c r="I143" s="133" t="e">
        <f>#REF!-(#REF!-AVERAGEIF(I:I,NZ[[#This Row],[Mass Measurment Date]],#REF!))</f>
        <v>#REF!</v>
      </c>
      <c r="J143" s="9"/>
      <c r="K143" s="10"/>
      <c r="L143" s="10"/>
      <c r="M143" s="10"/>
      <c r="N143" s="10"/>
      <c r="O143" s="10"/>
      <c r="P143" s="10"/>
      <c r="Q143" s="10"/>
      <c r="R143" s="10"/>
      <c r="S143" s="10"/>
      <c r="T143" s="12"/>
      <c r="U143" s="12"/>
      <c r="V143" s="12"/>
      <c r="W143" s="12"/>
      <c r="X143" s="12"/>
      <c r="CB143" s="1" t="s">
        <v>71</v>
      </c>
      <c r="CC143" s="1" t="s">
        <v>18</v>
      </c>
      <c r="CD143" s="1" t="s">
        <v>132</v>
      </c>
      <c r="CF143" s="36">
        <f>NZ[[#This Row],[Part Type]]</f>
        <v>0</v>
      </c>
      <c r="CG143" s="18" t="str">
        <f>IF(NZ[[#This Row],[UID]]=0,"",NZ[[#This Row],[Reactor]]&amp;"-"&amp;NZ[[#This Row],[Nozzle Material]])</f>
        <v/>
      </c>
      <c r="CH143" s="18" t="str">
        <f>IF(NZ[[#This Row],[UID]]=0,"",NZ[[#This Row],[UID]])</f>
        <v/>
      </c>
      <c r="CL143" s="18" t="str">
        <f>IF(NZ[[#This Row],[Status]]=0,"",NZ[[#This Row],[Status]])</f>
        <v/>
      </c>
    </row>
    <row r="144" spans="1:90" ht="15.95">
      <c r="A144" s="36"/>
      <c r="B144" s="36"/>
      <c r="C144" s="9"/>
      <c r="D144" s="9"/>
      <c r="E144" s="9"/>
      <c r="F144" s="9"/>
      <c r="G144" s="9"/>
      <c r="H144" s="9"/>
      <c r="I144" s="133" t="e">
        <f>#REF!-(#REF!-AVERAGEIF(I:I,NZ[[#This Row],[Mass Measurment Date]],#REF!))</f>
        <v>#REF!</v>
      </c>
      <c r="J144" s="9"/>
      <c r="K144" s="10"/>
      <c r="L144" s="10"/>
      <c r="M144" s="10"/>
      <c r="N144" s="10"/>
      <c r="O144" s="10"/>
      <c r="P144" s="10"/>
      <c r="Q144" s="10"/>
      <c r="R144" s="10"/>
      <c r="S144" s="10"/>
      <c r="T144" s="12"/>
      <c r="U144" s="12"/>
      <c r="V144" s="12"/>
      <c r="W144" s="12"/>
      <c r="X144" s="12"/>
      <c r="CB144" s="1" t="s">
        <v>71</v>
      </c>
      <c r="CC144" s="1" t="s">
        <v>18</v>
      </c>
      <c r="CD144" s="1" t="s">
        <v>132</v>
      </c>
      <c r="CF144" s="36">
        <f>NZ[[#This Row],[Part Type]]</f>
        <v>0</v>
      </c>
      <c r="CG144" s="18" t="str">
        <f>IF(NZ[[#This Row],[UID]]=0,"",NZ[[#This Row],[Reactor]]&amp;"-"&amp;NZ[[#This Row],[Nozzle Material]])</f>
        <v/>
      </c>
      <c r="CH144" s="18" t="str">
        <f>IF(NZ[[#This Row],[UID]]=0,"",NZ[[#This Row],[UID]])</f>
        <v/>
      </c>
      <c r="CL144" s="18" t="str">
        <f>IF(NZ[[#This Row],[Status]]=0,"",NZ[[#This Row],[Status]])</f>
        <v/>
      </c>
    </row>
    <row r="145" spans="1:90" ht="15.95">
      <c r="A145" s="36"/>
      <c r="B145" s="36"/>
      <c r="C145" s="9"/>
      <c r="D145" s="9"/>
      <c r="E145" s="9"/>
      <c r="F145" s="9"/>
      <c r="G145" s="9"/>
      <c r="H145" s="9"/>
      <c r="I145" s="133" t="e">
        <f>#REF!-(#REF!-AVERAGEIF(I:I,NZ[[#This Row],[Mass Measurment Date]],#REF!))</f>
        <v>#REF!</v>
      </c>
      <c r="J145" s="9"/>
      <c r="K145" s="10"/>
      <c r="L145" s="10"/>
      <c r="M145" s="10"/>
      <c r="N145" s="10"/>
      <c r="O145" s="10"/>
      <c r="P145" s="10"/>
      <c r="Q145" s="10"/>
      <c r="R145" s="10"/>
      <c r="S145" s="10"/>
      <c r="T145" s="12"/>
      <c r="U145" s="12"/>
      <c r="V145" s="12"/>
      <c r="W145" s="12"/>
      <c r="X145" s="12"/>
      <c r="CB145" s="1" t="s">
        <v>71</v>
      </c>
      <c r="CC145" s="1" t="s">
        <v>18</v>
      </c>
      <c r="CD145" s="1" t="s">
        <v>132</v>
      </c>
      <c r="CF145" s="36">
        <f>NZ[[#This Row],[Part Type]]</f>
        <v>0</v>
      </c>
      <c r="CG145" s="18" t="str">
        <f>IF(NZ[[#This Row],[UID]]=0,"",NZ[[#This Row],[Reactor]]&amp;"-"&amp;NZ[[#This Row],[Nozzle Material]])</f>
        <v/>
      </c>
      <c r="CH145" s="18" t="str">
        <f>IF(NZ[[#This Row],[UID]]=0,"",NZ[[#This Row],[UID]])</f>
        <v/>
      </c>
      <c r="CL145" s="18" t="str">
        <f>IF(NZ[[#This Row],[Status]]=0,"",NZ[[#This Row],[Status]])</f>
        <v/>
      </c>
    </row>
    <row r="146" spans="1:90" ht="15.95">
      <c r="A146" s="36"/>
      <c r="B146" s="36"/>
      <c r="C146" s="9"/>
      <c r="D146" s="9"/>
      <c r="E146" s="9"/>
      <c r="F146" s="9"/>
      <c r="G146" s="9"/>
      <c r="H146" s="9"/>
      <c r="I146" s="133" t="e">
        <f>#REF!-(#REF!-AVERAGEIF(I:I,NZ[[#This Row],[Mass Measurment Date]],#REF!))</f>
        <v>#REF!</v>
      </c>
      <c r="J146" s="9"/>
      <c r="K146" s="10"/>
      <c r="L146" s="10"/>
      <c r="M146" s="10"/>
      <c r="N146" s="10"/>
      <c r="O146" s="10"/>
      <c r="P146" s="10"/>
      <c r="Q146" s="10"/>
      <c r="R146" s="10"/>
      <c r="S146" s="10"/>
      <c r="T146" s="12"/>
      <c r="U146" s="12"/>
      <c r="V146" s="12"/>
      <c r="W146" s="12"/>
      <c r="X146" s="12"/>
      <c r="CB146" s="1" t="s">
        <v>71</v>
      </c>
      <c r="CC146" s="1" t="s">
        <v>18</v>
      </c>
      <c r="CD146" s="1" t="s">
        <v>132</v>
      </c>
      <c r="CF146" s="36">
        <f>NZ[[#This Row],[Part Type]]</f>
        <v>0</v>
      </c>
      <c r="CG146" s="18" t="str">
        <f>IF(NZ[[#This Row],[UID]]=0,"",NZ[[#This Row],[Reactor]]&amp;"-"&amp;NZ[[#This Row],[Nozzle Material]])</f>
        <v/>
      </c>
      <c r="CH146" s="18" t="str">
        <f>IF(NZ[[#This Row],[UID]]=0,"",NZ[[#This Row],[UID]])</f>
        <v/>
      </c>
      <c r="CL146" s="18" t="str">
        <f>IF(NZ[[#This Row],[Status]]=0,"",NZ[[#This Row],[Status]])</f>
        <v/>
      </c>
    </row>
    <row r="147" spans="1:90" ht="15.95">
      <c r="A147" s="36"/>
      <c r="B147" s="36"/>
      <c r="C147" s="9"/>
      <c r="D147" s="9"/>
      <c r="E147" s="9"/>
      <c r="F147" s="9"/>
      <c r="G147" s="9"/>
      <c r="H147" s="9"/>
      <c r="I147" s="133" t="e">
        <f>#REF!-(#REF!-AVERAGEIF(I:I,NZ[[#This Row],[Mass Measurment Date]],#REF!))</f>
        <v>#REF!</v>
      </c>
      <c r="J147" s="9"/>
      <c r="K147" s="10"/>
      <c r="L147" s="10"/>
      <c r="M147" s="10"/>
      <c r="N147" s="10"/>
      <c r="O147" s="10"/>
      <c r="P147" s="10"/>
      <c r="Q147" s="10"/>
      <c r="R147" s="10"/>
      <c r="S147" s="10"/>
      <c r="T147" s="12"/>
      <c r="U147" s="12"/>
      <c r="V147" s="12"/>
      <c r="W147" s="12"/>
      <c r="X147" s="12"/>
      <c r="CB147" s="1" t="s">
        <v>71</v>
      </c>
      <c r="CC147" s="1" t="s">
        <v>18</v>
      </c>
      <c r="CD147" s="1" t="s">
        <v>132</v>
      </c>
      <c r="CF147" s="36">
        <f>NZ[[#This Row],[Part Type]]</f>
        <v>0</v>
      </c>
      <c r="CG147" s="18" t="str">
        <f>IF(NZ[[#This Row],[UID]]=0,"",NZ[[#This Row],[Reactor]]&amp;"-"&amp;NZ[[#This Row],[Nozzle Material]])</f>
        <v/>
      </c>
      <c r="CH147" s="18" t="str">
        <f>IF(NZ[[#This Row],[UID]]=0,"",NZ[[#This Row],[UID]])</f>
        <v/>
      </c>
      <c r="CL147" s="18" t="str">
        <f>IF(NZ[[#This Row],[Status]]=0,"",NZ[[#This Row],[Status]])</f>
        <v/>
      </c>
    </row>
    <row r="148" spans="1:90" ht="15.95">
      <c r="A148" s="36"/>
      <c r="B148" s="36"/>
      <c r="C148" s="9"/>
      <c r="D148" s="9"/>
      <c r="E148" s="9"/>
      <c r="F148" s="9"/>
      <c r="G148" s="9"/>
      <c r="H148" s="9"/>
      <c r="I148" s="133" t="e">
        <f>#REF!-(#REF!-AVERAGEIF(I:I,NZ[[#This Row],[Mass Measurment Date]],#REF!))</f>
        <v>#REF!</v>
      </c>
      <c r="J148" s="9"/>
      <c r="K148" s="10"/>
      <c r="L148" s="10"/>
      <c r="M148" s="10"/>
      <c r="N148" s="10"/>
      <c r="O148" s="10"/>
      <c r="P148" s="10"/>
      <c r="Q148" s="10"/>
      <c r="R148" s="10"/>
      <c r="S148" s="10"/>
      <c r="T148" s="12"/>
      <c r="U148" s="12"/>
      <c r="V148" s="12"/>
      <c r="W148" s="12"/>
      <c r="X148" s="12"/>
      <c r="CB148" s="1" t="s">
        <v>71</v>
      </c>
      <c r="CC148" s="1" t="s">
        <v>18</v>
      </c>
      <c r="CD148" s="1" t="s">
        <v>132</v>
      </c>
      <c r="CF148" s="36">
        <f>NZ[[#This Row],[Part Type]]</f>
        <v>0</v>
      </c>
      <c r="CG148" s="18" t="str">
        <f>IF(NZ[[#This Row],[UID]]=0,"",NZ[[#This Row],[Reactor]]&amp;"-"&amp;NZ[[#This Row],[Nozzle Material]])</f>
        <v/>
      </c>
      <c r="CH148" s="18" t="str">
        <f>IF(NZ[[#This Row],[UID]]=0,"",NZ[[#This Row],[UID]])</f>
        <v/>
      </c>
      <c r="CL148" s="18" t="str">
        <f>IF(NZ[[#This Row],[Status]]=0,"",NZ[[#This Row],[Status]])</f>
        <v/>
      </c>
    </row>
    <row r="149" spans="1:90" ht="15.95">
      <c r="A149" s="36"/>
      <c r="B149" s="36"/>
      <c r="C149" s="9"/>
      <c r="D149" s="9"/>
      <c r="E149" s="9"/>
      <c r="F149" s="9"/>
      <c r="G149" s="9"/>
      <c r="H149" s="9"/>
      <c r="I149" s="133" t="e">
        <f>#REF!-(#REF!-AVERAGEIF(I:I,NZ[[#This Row],[Mass Measurment Date]],#REF!))</f>
        <v>#REF!</v>
      </c>
      <c r="J149" s="9"/>
      <c r="K149" s="10"/>
      <c r="L149" s="10"/>
      <c r="M149" s="10"/>
      <c r="N149" s="10"/>
      <c r="O149" s="10"/>
      <c r="P149" s="10"/>
      <c r="Q149" s="10"/>
      <c r="R149" s="10"/>
      <c r="S149" s="10"/>
      <c r="T149" s="12"/>
      <c r="U149" s="12"/>
      <c r="V149" s="12"/>
      <c r="W149" s="12"/>
      <c r="X149" s="12"/>
      <c r="CB149" s="1" t="s">
        <v>71</v>
      </c>
      <c r="CC149" s="1" t="s">
        <v>18</v>
      </c>
      <c r="CD149" s="1" t="s">
        <v>132</v>
      </c>
      <c r="CF149" s="36">
        <f>NZ[[#This Row],[Part Type]]</f>
        <v>0</v>
      </c>
      <c r="CG149" s="18" t="str">
        <f>IF(NZ[[#This Row],[UID]]=0,"",NZ[[#This Row],[Reactor]]&amp;"-"&amp;NZ[[#This Row],[Nozzle Material]])</f>
        <v/>
      </c>
      <c r="CH149" s="18" t="str">
        <f>IF(NZ[[#This Row],[UID]]=0,"",NZ[[#This Row],[UID]])</f>
        <v/>
      </c>
      <c r="CL149" s="18" t="str">
        <f>IF(NZ[[#This Row],[Status]]=0,"",NZ[[#This Row],[Status]])</f>
        <v/>
      </c>
    </row>
    <row r="150" spans="1:90" ht="15.95">
      <c r="A150" s="36"/>
      <c r="B150" s="36"/>
      <c r="C150" s="9"/>
      <c r="D150" s="9"/>
      <c r="E150" s="9"/>
      <c r="F150" s="9"/>
      <c r="G150" s="9"/>
      <c r="H150" s="9"/>
      <c r="I150" s="133" t="e">
        <f>#REF!-(#REF!-AVERAGEIF(I:I,NZ[[#This Row],[Mass Measurment Date]],#REF!))</f>
        <v>#REF!</v>
      </c>
      <c r="J150" s="9"/>
      <c r="K150" s="10"/>
      <c r="L150" s="10"/>
      <c r="M150" s="10"/>
      <c r="N150" s="10"/>
      <c r="O150" s="10"/>
      <c r="P150" s="10"/>
      <c r="Q150" s="10"/>
      <c r="R150" s="10"/>
      <c r="S150" s="10"/>
      <c r="T150" s="12"/>
      <c r="U150" s="12"/>
      <c r="V150" s="12"/>
      <c r="W150" s="12"/>
      <c r="X150" s="12"/>
      <c r="CB150" s="1" t="s">
        <v>71</v>
      </c>
      <c r="CC150" s="1" t="s">
        <v>18</v>
      </c>
      <c r="CD150" s="1" t="s">
        <v>132</v>
      </c>
      <c r="CF150" s="36">
        <f>NZ[[#This Row],[Part Type]]</f>
        <v>0</v>
      </c>
      <c r="CG150" s="18" t="str">
        <f>IF(NZ[[#This Row],[UID]]=0,"",NZ[[#This Row],[Reactor]]&amp;"-"&amp;NZ[[#This Row],[Nozzle Material]])</f>
        <v/>
      </c>
      <c r="CH150" s="18" t="str">
        <f>IF(NZ[[#This Row],[UID]]=0,"",NZ[[#This Row],[UID]])</f>
        <v/>
      </c>
      <c r="CL150" s="18" t="str">
        <f>IF(NZ[[#This Row],[Status]]=0,"",NZ[[#This Row],[Status]])</f>
        <v/>
      </c>
    </row>
    <row r="151" spans="1:90" ht="15.95">
      <c r="A151" s="132"/>
      <c r="B151" s="36"/>
      <c r="C151" s="9"/>
      <c r="D151" s="9"/>
      <c r="E151" s="9"/>
      <c r="F151" s="9"/>
      <c r="G151" s="9"/>
      <c r="H151" s="9"/>
      <c r="I151" s="133" t="e">
        <f>#REF!-(#REF!-AVERAGEIF(I:I,NZ[[#This Row],[Mass Measurment Date]],#REF!))</f>
        <v>#REF!</v>
      </c>
      <c r="J151" s="9"/>
      <c r="K151" s="10"/>
      <c r="L151" s="10"/>
      <c r="M151" s="10"/>
      <c r="N151" s="10"/>
      <c r="O151" s="10"/>
      <c r="P151" s="10"/>
      <c r="Q151" s="10"/>
      <c r="R151" s="10"/>
      <c r="S151" s="10"/>
      <c r="T151" s="12"/>
      <c r="U151" s="12"/>
      <c r="V151" s="12"/>
      <c r="W151" s="12"/>
      <c r="X151" s="12"/>
      <c r="CB151" s="1" t="s">
        <v>71</v>
      </c>
      <c r="CC151" s="1" t="s">
        <v>18</v>
      </c>
      <c r="CD151" s="1" t="s">
        <v>132</v>
      </c>
      <c r="CF151" s="36">
        <f>NZ[[#This Row],[Part Type]]</f>
        <v>0</v>
      </c>
      <c r="CG151" s="18" t="str">
        <f>IF(NZ[[#This Row],[UID]]=0,"",NZ[[#This Row],[Reactor]]&amp;"-"&amp;NZ[[#This Row],[Nozzle Material]])</f>
        <v/>
      </c>
      <c r="CH151" s="18" t="str">
        <f>IF(NZ[[#This Row],[UID]]=0,"",NZ[[#This Row],[UID]])</f>
        <v/>
      </c>
      <c r="CL151" s="18" t="str">
        <f>IF(NZ[[#This Row],[Status]]=0,"",NZ[[#This Row],[Status]])</f>
        <v/>
      </c>
    </row>
  </sheetData>
  <phoneticPr fontId="5" type="noConversion"/>
  <hyperlinks>
    <hyperlink ref="X2" r:id="rId1" xr:uid="{6D40E03D-FE54-2D4A-BDC1-CF009EE11905}"/>
    <hyperlink ref="X3:X16" r:id="rId2" display="https://drive.google.com/open?id=12PeRUYFSZFcSVEIf4jv-Olo_La_GOlgJ&amp;authuser=jrd419%40lehigh.edu&amp;usp=drive_fs " xr:uid="{9F873E9D-9BFF-EA4F-832F-69574527B378}"/>
    <hyperlink ref="X22" r:id="rId3" xr:uid="{1BD205BF-DF5A-D041-BFA1-D3E430AED1B4}"/>
    <hyperlink ref="X35:X42" r:id="rId4" display="https://drive.google.com/open?id=12PeRUYFSZFcSVEIf4jv-Olo_La_GOlgJ&amp;authuser=jrd419%40lehigh.edu&amp;usp=drive_fs " xr:uid="{5212BCA1-4E4C-D343-842E-6162A731518D}"/>
    <hyperlink ref="X17" r:id="rId5" xr:uid="{583F0FF8-393E-0B42-9A41-208426CDC7BF}"/>
    <hyperlink ref="X18" r:id="rId6" xr:uid="{99E4FA2A-B0EF-4E42-8D46-4920AD41E188}"/>
    <hyperlink ref="X23" r:id="rId7" xr:uid="{BDB2344C-CB8B-D448-8DD3-79CC31195FCA}"/>
    <hyperlink ref="X24:X34" r:id="rId8" display="https://drive.google.com/open?id=1eb9Y_5JIAvVRnXMrjNufMTts6iyMEP2i&amp;authuser=jrd419%40lehigh.edu&amp;usp=drive_fs " xr:uid="{8BDCB3DF-B10D-0648-8AEF-E824FEEA5B24}"/>
    <hyperlink ref="X19" r:id="rId9" xr:uid="{5528DDF1-6EA6-4444-9242-E997F2DC00AE}"/>
    <hyperlink ref="X20" r:id="rId10" xr:uid="{FA699DD0-BB35-CE41-9429-42C80437B211}"/>
    <hyperlink ref="X21" r:id="rId11" xr:uid="{36056C1C-A5B8-FC43-84B4-DAFA751847C7}"/>
    <hyperlink ref="X44" r:id="rId12" xr:uid="{3339B936-089D-455E-A6AB-91F108AB86CB}"/>
    <hyperlink ref="X45" r:id="rId13" xr:uid="{92036CEE-DDBF-477E-82C6-2C0E90FCA2E9}"/>
    <hyperlink ref="X46" r:id="rId14" xr:uid="{460CA247-EB7D-4B87-BD3E-583F6A0C6A19}"/>
    <hyperlink ref="X47" r:id="rId15" xr:uid="{4F802248-10CF-4B6C-B119-81CE9915BF09}"/>
    <hyperlink ref="X48" r:id="rId16" xr:uid="{9F38AFBF-8269-422A-9A25-F4ED6C3F637C}"/>
    <hyperlink ref="X49" r:id="rId17" xr:uid="{E4519867-D108-46A0-A1D5-693D546BCAE0}"/>
    <hyperlink ref="X50" r:id="rId18" xr:uid="{28ABBDDA-AECF-4050-B7D4-CC03CCE6B823}"/>
    <hyperlink ref="X51" r:id="rId19" xr:uid="{2B1EB40D-CC53-42EF-B4B2-3A008ACA720A}"/>
    <hyperlink ref="X43" r:id="rId20" xr:uid="{CDA719E0-E6E0-484A-91E9-2271CF3E0637}"/>
  </hyperlinks>
  <pageMargins left="0.7" right="0.7" top="0.75" bottom="0.75" header="0.3" footer="0.3"/>
  <ignoredErrors>
    <ignoredError sqref="I2 I9:I11 I32 I17:I21 I5 I3:I4 I6:I8 I22:I31 I33:I42 I45:I48 I12:I16 I73:I76 I62:I71 I78:I84" calculatedColumn="1"/>
  </ignoredErrors>
  <tableParts count="2">
    <tablePart r:id="rId21"/>
    <tablePart r:id="rId2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3D0F-49A7-1D4F-B09B-CF1ED60219BD}">
  <sheetPr codeName="Sheet12"/>
  <dimension ref="A1:CK101"/>
  <sheetViews>
    <sheetView topLeftCell="M1" zoomScale="137" zoomScaleNormal="137" workbookViewId="0">
      <selection activeCell="C1" sqref="C1"/>
    </sheetView>
  </sheetViews>
  <sheetFormatPr defaultColWidth="10.875" defaultRowHeight="15.95"/>
  <cols>
    <col min="1" max="2" width="17.5" style="18" customWidth="1"/>
    <col min="3" max="3" width="17.5" style="18" bestFit="1" customWidth="1"/>
    <col min="4" max="4" width="17.5" style="18" customWidth="1"/>
    <col min="6" max="6" width="13.125" style="18" customWidth="1"/>
    <col min="7" max="8" width="22.875" style="18" customWidth="1"/>
    <col min="9" max="9" width="29.375" style="29" bestFit="1" customWidth="1"/>
    <col min="10" max="10" width="31" style="29" bestFit="1" customWidth="1"/>
    <col min="11" max="11" width="26.875" style="18" bestFit="1" customWidth="1"/>
    <col min="12" max="12" width="29.125" bestFit="1" customWidth="1"/>
    <col min="13" max="13" width="25" bestFit="1" customWidth="1"/>
    <col min="14" max="14" width="17.875" style="23" bestFit="1" customWidth="1"/>
    <col min="15" max="15" width="29.125" style="23" bestFit="1" customWidth="1"/>
    <col min="16" max="16" width="21.125" style="23" bestFit="1" customWidth="1"/>
    <col min="17" max="17" width="16.875" style="21" bestFit="1" customWidth="1"/>
    <col min="18" max="18" width="16.875" style="21" customWidth="1"/>
    <col min="19" max="19" width="21.125" bestFit="1" customWidth="1"/>
    <col min="20" max="20" width="15.5" style="18" bestFit="1" customWidth="1"/>
    <col min="21" max="21" width="18" style="18" bestFit="1" customWidth="1"/>
    <col min="22" max="22" width="11"/>
    <col min="23" max="23" width="12" style="7" bestFit="1" customWidth="1"/>
    <col min="24" max="24" width="15" style="7" customWidth="1"/>
    <col min="25" max="78" width="10.875" style="7"/>
    <col min="79" max="79" width="15.125" style="7" customWidth="1"/>
    <col min="80" max="80" width="18.875" style="7" customWidth="1"/>
    <col min="81" max="81" width="19.5" style="7" customWidth="1"/>
    <col min="82" max="83" width="10.875" style="7"/>
    <col min="84" max="84" width="12.5" style="7" customWidth="1"/>
    <col min="85" max="85" width="11.5" style="7" customWidth="1"/>
    <col min="86" max="86" width="15.625" style="7" customWidth="1"/>
    <col min="87" max="87" width="10.875" style="7"/>
    <col min="88" max="88" width="14.125" style="7" customWidth="1"/>
    <col min="89" max="16384" width="10.875" style="7"/>
  </cols>
  <sheetData>
    <row r="1" spans="1:89" ht="17.100000000000001">
      <c r="A1" s="18" t="s">
        <v>12</v>
      </c>
      <c r="B1" s="35" t="s">
        <v>95</v>
      </c>
      <c r="C1" s="178" t="s">
        <v>94</v>
      </c>
      <c r="D1" s="18" t="s">
        <v>1312</v>
      </c>
      <c r="E1" s="18" t="s">
        <v>1313</v>
      </c>
      <c r="F1" s="18" t="s">
        <v>1069</v>
      </c>
      <c r="G1" s="28" t="s">
        <v>1314</v>
      </c>
      <c r="H1" s="28" t="s">
        <v>1315</v>
      </c>
      <c r="I1" s="28" t="s">
        <v>1316</v>
      </c>
      <c r="J1" s="18" t="s">
        <v>1317</v>
      </c>
      <c r="K1" s="18" t="s">
        <v>1318</v>
      </c>
      <c r="L1" s="18" t="s">
        <v>1319</v>
      </c>
      <c r="M1" s="18" t="s">
        <v>114</v>
      </c>
      <c r="N1" s="18" t="s">
        <v>1320</v>
      </c>
      <c r="O1" s="18" t="s">
        <v>1321</v>
      </c>
      <c r="P1" s="18" t="s">
        <v>1322</v>
      </c>
      <c r="Q1" s="18" t="s">
        <v>117</v>
      </c>
      <c r="R1" s="18" t="s">
        <v>237</v>
      </c>
      <c r="S1" s="18" t="s">
        <v>238</v>
      </c>
      <c r="T1" s="7"/>
      <c r="U1" s="7"/>
      <c r="V1" s="7"/>
      <c r="BZ1" t="s">
        <v>119</v>
      </c>
      <c r="CA1" s="117" t="s">
        <v>2</v>
      </c>
      <c r="CB1" s="118" t="s">
        <v>3</v>
      </c>
      <c r="CC1" s="118" t="s">
        <v>4</v>
      </c>
      <c r="CD1" s="118" t="s">
        <v>5</v>
      </c>
      <c r="CE1" s="118" t="s">
        <v>6</v>
      </c>
      <c r="CF1" s="119" t="s">
        <v>7</v>
      </c>
      <c r="CG1" s="118" t="s">
        <v>8</v>
      </c>
      <c r="CH1" s="118" t="s">
        <v>9</v>
      </c>
      <c r="CI1" s="118" t="s">
        <v>10</v>
      </c>
      <c r="CJ1" s="118" t="s">
        <v>11</v>
      </c>
      <c r="CK1" s="120" t="s">
        <v>12</v>
      </c>
    </row>
    <row r="2" spans="1:89">
      <c r="A2" s="18" t="s">
        <v>120</v>
      </c>
      <c r="B2" s="18" t="s">
        <v>1323</v>
      </c>
      <c r="C2" s="18" t="s">
        <v>1324</v>
      </c>
      <c r="D2" s="18">
        <v>1</v>
      </c>
      <c r="E2" s="18">
        <v>0.25</v>
      </c>
      <c r="F2" s="18">
        <v>0.5</v>
      </c>
      <c r="G2" s="28">
        <v>22500</v>
      </c>
      <c r="H2" s="28" t="str">
        <f>RD[[#This Row],[OD (inch)]]&amp;"in-"&amp;RD[[#This Row],[Pressure Burst Nominal psi]]&amp;"PSI"</f>
        <v>0.5in-22500PSI</v>
      </c>
      <c r="I2" s="27">
        <v>155.1</v>
      </c>
      <c r="J2" s="18">
        <v>22833</v>
      </c>
      <c r="K2" s="18">
        <v>157.4</v>
      </c>
      <c r="L2" s="18" t="s">
        <v>170</v>
      </c>
      <c r="M2" s="18" t="s">
        <v>1325</v>
      </c>
      <c r="N2" s="18">
        <v>102343.02</v>
      </c>
      <c r="O2" s="18" t="s">
        <v>129</v>
      </c>
      <c r="P2" s="18" t="s">
        <v>1326</v>
      </c>
      <c r="Q2" s="18" t="s">
        <v>128</v>
      </c>
      <c r="R2" s="18" t="s">
        <v>173</v>
      </c>
      <c r="S2" s="24" t="s">
        <v>1327</v>
      </c>
      <c r="T2" s="7"/>
      <c r="U2" s="7"/>
      <c r="V2" s="7"/>
      <c r="BZ2" t="s">
        <v>131</v>
      </c>
      <c r="CA2" s="1" t="s">
        <v>71</v>
      </c>
      <c r="CB2" s="1" t="s">
        <v>18</v>
      </c>
      <c r="CC2" s="1" t="s">
        <v>308</v>
      </c>
      <c r="CD2" s="1"/>
      <c r="CE2" s="135" t="str">
        <f>RD[[#This Row],[Part Type]]</f>
        <v>Rupture Disc</v>
      </c>
      <c r="CF2" s="135" t="str">
        <f>RD[[#This Row],[Type Label]]</f>
        <v>0.5in-22500PSI</v>
      </c>
      <c r="CG2" s="1" t="str">
        <f>RD[[#This Row],[UID]]</f>
        <v>RD-22ZOO-1</v>
      </c>
      <c r="CH2" s="1"/>
      <c r="CI2" s="1"/>
      <c r="CJ2" s="1"/>
      <c r="CK2" s="1" t="str">
        <f>IF(RD[[#This Row],[Status]]=0,"",RD[[#This Row],[Status]])</f>
        <v>Active</v>
      </c>
    </row>
    <row r="3" spans="1:89">
      <c r="A3" s="18" t="s">
        <v>120</v>
      </c>
      <c r="B3" s="18" t="s">
        <v>1323</v>
      </c>
      <c r="C3" s="18" t="s">
        <v>1328</v>
      </c>
      <c r="D3" s="18">
        <v>4</v>
      </c>
      <c r="E3" s="18">
        <v>0.25</v>
      </c>
      <c r="F3" s="18">
        <v>0.5</v>
      </c>
      <c r="G3" s="28">
        <v>40000</v>
      </c>
      <c r="H3" s="28" t="str">
        <f>RD[[#This Row],[OD (inch)]]&amp;"in-"&amp;RD[[#This Row],[Pressure Burst Nominal psi]]&amp;"PSI"</f>
        <v>0.5in-40000PSI</v>
      </c>
      <c r="I3" s="27">
        <v>275.8</v>
      </c>
      <c r="J3" s="18">
        <v>41566</v>
      </c>
      <c r="K3" s="18">
        <v>286.60000000000002</v>
      </c>
      <c r="L3" s="18" t="s">
        <v>170</v>
      </c>
      <c r="M3" s="18" t="s">
        <v>1325</v>
      </c>
      <c r="N3" s="19">
        <v>98049.01</v>
      </c>
      <c r="O3" s="19" t="s">
        <v>129</v>
      </c>
      <c r="P3" s="22" t="s">
        <v>1329</v>
      </c>
      <c r="Q3" s="18" t="s">
        <v>128</v>
      </c>
      <c r="R3" s="18" t="s">
        <v>173</v>
      </c>
      <c r="S3" s="24" t="s">
        <v>1327</v>
      </c>
      <c r="U3"/>
      <c r="V3" s="7"/>
      <c r="BZ3"/>
      <c r="CA3" s="1" t="s">
        <v>71</v>
      </c>
      <c r="CB3" s="1" t="s">
        <v>18</v>
      </c>
      <c r="CC3" s="1" t="s">
        <v>308</v>
      </c>
      <c r="CD3"/>
      <c r="CE3" s="52" t="str">
        <f>RD[[#This Row],[Part Type]]</f>
        <v>Rupture Disc</v>
      </c>
      <c r="CF3" s="29" t="str">
        <f>RD[[#This Row],[Type Label]]</f>
        <v>0.5in-40000PSI</v>
      </c>
      <c r="CG3" t="str">
        <f>RD[[#This Row],[UID]]</f>
        <v>RD-40ZOO-1</v>
      </c>
      <c r="CH3"/>
      <c r="CI3"/>
      <c r="CJ3"/>
      <c r="CK3" t="str">
        <f>IF(RD[[#This Row],[Status]]=0,"",RD[[#This Row],[Status]])</f>
        <v>Active</v>
      </c>
    </row>
    <row r="4" spans="1:89">
      <c r="A4" s="18" t="s">
        <v>120</v>
      </c>
      <c r="B4" s="18" t="s">
        <v>1323</v>
      </c>
      <c r="C4" s="18" t="s">
        <v>1330</v>
      </c>
      <c r="D4" s="18">
        <v>10</v>
      </c>
      <c r="E4" s="18">
        <v>0.25</v>
      </c>
      <c r="F4" s="18">
        <v>0.5</v>
      </c>
      <c r="G4" s="28">
        <v>50000</v>
      </c>
      <c r="H4" s="28" t="str">
        <f>RD[[#This Row],[OD (inch)]]&amp;"in-"&amp;RD[[#This Row],[Pressure Burst Nominal psi]]&amp;"PSI"</f>
        <v>0.5in-50000PSI</v>
      </c>
      <c r="I4" s="27">
        <v>344.7</v>
      </c>
      <c r="J4" s="18">
        <v>50638</v>
      </c>
      <c r="K4" s="18">
        <v>349.1</v>
      </c>
      <c r="L4" s="18" t="s">
        <v>170</v>
      </c>
      <c r="M4" s="19" t="s">
        <v>1325</v>
      </c>
      <c r="N4" s="19">
        <v>96012.01</v>
      </c>
      <c r="O4" s="19" t="s">
        <v>129</v>
      </c>
      <c r="P4" s="22" t="s">
        <v>1331</v>
      </c>
      <c r="Q4" s="18" t="s">
        <v>128</v>
      </c>
      <c r="R4" s="18" t="s">
        <v>173</v>
      </c>
      <c r="S4" s="24" t="s">
        <v>1327</v>
      </c>
      <c r="U4"/>
      <c r="V4" s="7"/>
      <c r="BZ4"/>
      <c r="CA4" s="1" t="s">
        <v>71</v>
      </c>
      <c r="CB4" s="1" t="s">
        <v>18</v>
      </c>
      <c r="CC4" s="1" t="s">
        <v>308</v>
      </c>
      <c r="CD4"/>
      <c r="CE4" s="52" t="str">
        <f>RD[[#This Row],[Part Type]]</f>
        <v>Rupture Disc</v>
      </c>
      <c r="CF4" s="29" t="str">
        <f>RD[[#This Row],[Type Label]]</f>
        <v>0.5in-50000PSI</v>
      </c>
      <c r="CG4" t="str">
        <f>RD[[#This Row],[UID]]</f>
        <v>RD-50ZOO-1</v>
      </c>
      <c r="CH4"/>
      <c r="CI4"/>
      <c r="CJ4"/>
      <c r="CK4" t="str">
        <f>IF(RD[[#This Row],[Status]]=0,"",RD[[#This Row],[Status]])</f>
        <v>Active</v>
      </c>
    </row>
    <row r="5" spans="1:89">
      <c r="A5" s="18" t="s">
        <v>120</v>
      </c>
      <c r="B5" s="18" t="s">
        <v>1323</v>
      </c>
      <c r="C5" s="18" t="s">
        <v>1332</v>
      </c>
      <c r="D5" s="18">
        <v>10</v>
      </c>
      <c r="E5" s="18">
        <v>0.25</v>
      </c>
      <c r="F5" s="18">
        <v>0.5</v>
      </c>
      <c r="G5" s="28">
        <v>65000</v>
      </c>
      <c r="H5" s="28" t="str">
        <f>RD[[#This Row],[OD (inch)]]&amp;"in-"&amp;RD[[#This Row],[Pressure Burst Nominal psi]]&amp;"PSI"</f>
        <v>0.5in-65000PSI</v>
      </c>
      <c r="I5" s="27">
        <v>448.2</v>
      </c>
      <c r="J5" s="18">
        <v>66091</v>
      </c>
      <c r="K5" s="18">
        <v>455.7</v>
      </c>
      <c r="L5" s="18" t="s">
        <v>170</v>
      </c>
      <c r="M5" s="19" t="s">
        <v>1325</v>
      </c>
      <c r="N5" s="19">
        <v>93797.01</v>
      </c>
      <c r="O5" s="19" t="s">
        <v>129</v>
      </c>
      <c r="P5" s="22" t="s">
        <v>1333</v>
      </c>
      <c r="Q5" s="18" t="s">
        <v>128</v>
      </c>
      <c r="R5" s="18" t="s">
        <v>173</v>
      </c>
      <c r="S5" s="24" t="s">
        <v>1327</v>
      </c>
      <c r="U5"/>
      <c r="V5" s="7"/>
      <c r="BZ5"/>
      <c r="CA5" s="1" t="s">
        <v>71</v>
      </c>
      <c r="CB5" s="1" t="s">
        <v>18</v>
      </c>
      <c r="CC5" s="1" t="s">
        <v>308</v>
      </c>
      <c r="CD5"/>
      <c r="CE5" s="52" t="str">
        <f>RD[[#This Row],[Part Type]]</f>
        <v>Rupture Disc</v>
      </c>
      <c r="CF5" s="29" t="str">
        <f>RD[[#This Row],[Type Label]]</f>
        <v>0.5in-65000PSI</v>
      </c>
      <c r="CG5" t="str">
        <f>RD[[#This Row],[UID]]</f>
        <v>RD-65ZOO-1</v>
      </c>
      <c r="CH5"/>
      <c r="CI5"/>
      <c r="CJ5"/>
      <c r="CK5" t="str">
        <f>IF(RD[[#This Row],[Status]]=0,"",RD[[#This Row],[Status]])</f>
        <v>Active</v>
      </c>
    </row>
    <row r="6" spans="1:89">
      <c r="A6" s="18" t="s">
        <v>120</v>
      </c>
      <c r="B6" s="18" t="s">
        <v>1323</v>
      </c>
      <c r="C6" s="18" t="s">
        <v>1334</v>
      </c>
      <c r="D6" s="18">
        <v>8</v>
      </c>
      <c r="E6" s="18">
        <v>0.25</v>
      </c>
      <c r="F6" s="18">
        <v>0.5</v>
      </c>
      <c r="G6" s="28">
        <v>22500</v>
      </c>
      <c r="H6" s="28" t="str">
        <f>RD[[#This Row],[OD (inch)]]&amp;"in-"&amp;RD[[#This Row],[Pressure Burst Nominal psi]]&amp;"PSI"</f>
        <v>0.5in-22500PSI</v>
      </c>
      <c r="I6" s="27">
        <v>155.1</v>
      </c>
      <c r="J6" s="18">
        <v>22125</v>
      </c>
      <c r="K6" s="18">
        <v>152.5</v>
      </c>
      <c r="L6" s="18" t="s">
        <v>170</v>
      </c>
      <c r="M6" s="19" t="s">
        <v>1335</v>
      </c>
      <c r="N6" s="19">
        <v>0.25</v>
      </c>
      <c r="O6" s="19">
        <v>1591011</v>
      </c>
      <c r="P6" s="19" t="s">
        <v>129</v>
      </c>
      <c r="Q6" s="18" t="s">
        <v>128</v>
      </c>
      <c r="R6" s="18" t="s">
        <v>1335</v>
      </c>
      <c r="S6" s="20" t="s">
        <v>1336</v>
      </c>
      <c r="U6"/>
      <c r="V6" s="7"/>
      <c r="BZ6"/>
      <c r="CA6" s="1" t="s">
        <v>71</v>
      </c>
      <c r="CB6" s="1" t="s">
        <v>18</v>
      </c>
      <c r="CC6" s="1" t="s">
        <v>308</v>
      </c>
      <c r="CD6"/>
      <c r="CE6" s="52" t="str">
        <f>RD[[#This Row],[Part Type]]</f>
        <v>Rupture Disc</v>
      </c>
      <c r="CF6" s="29" t="str">
        <f>RD[[#This Row],[Type Label]]</f>
        <v>0.5in-22500PSI</v>
      </c>
      <c r="CG6" t="str">
        <f>RD[[#This Row],[UID]]</f>
        <v>RD-22OSE-1</v>
      </c>
      <c r="CH6"/>
      <c r="CI6"/>
      <c r="CJ6"/>
      <c r="CK6" t="str">
        <f>IF(RD[[#This Row],[Status]]=0,"",RD[[#This Row],[Status]])</f>
        <v>Active</v>
      </c>
    </row>
    <row r="7" spans="1:89">
      <c r="A7" s="18" t="s">
        <v>120</v>
      </c>
      <c r="B7" s="18" t="s">
        <v>1323</v>
      </c>
      <c r="C7" s="18" t="s">
        <v>1337</v>
      </c>
      <c r="D7" s="18">
        <v>10</v>
      </c>
      <c r="E7" s="18">
        <v>0.25</v>
      </c>
      <c r="F7" s="18">
        <v>0.5</v>
      </c>
      <c r="G7" s="28">
        <v>40000</v>
      </c>
      <c r="H7" s="28" t="str">
        <f>RD[[#This Row],[OD (inch)]]&amp;"in-"&amp;RD[[#This Row],[Pressure Burst Nominal psi]]&amp;"PSI"</f>
        <v>0.5in-40000PSI</v>
      </c>
      <c r="I7" s="27">
        <v>275.8</v>
      </c>
      <c r="J7" s="18">
        <v>41133</v>
      </c>
      <c r="K7" s="18">
        <v>283.60000000000002</v>
      </c>
      <c r="L7" s="18" t="s">
        <v>170</v>
      </c>
      <c r="M7" s="19" t="s">
        <v>1335</v>
      </c>
      <c r="N7" s="19">
        <v>0.25</v>
      </c>
      <c r="O7" s="19">
        <v>1038741</v>
      </c>
      <c r="P7" s="19" t="s">
        <v>129</v>
      </c>
      <c r="Q7" s="18" t="s">
        <v>128</v>
      </c>
      <c r="R7" s="18" t="s">
        <v>1335</v>
      </c>
      <c r="S7" s="20" t="s">
        <v>1336</v>
      </c>
      <c r="U7"/>
      <c r="V7" s="7"/>
      <c r="BZ7" s="18"/>
      <c r="CA7" s="1" t="s">
        <v>71</v>
      </c>
      <c r="CB7" s="1" t="s">
        <v>18</v>
      </c>
      <c r="CC7" s="1" t="s">
        <v>308</v>
      </c>
      <c r="CD7" s="18"/>
      <c r="CE7" s="36" t="str">
        <f>RD[[#This Row],[Part Type]]</f>
        <v>Rupture Disc</v>
      </c>
      <c r="CF7" s="28" t="str">
        <f>RD[[#This Row],[Type Label]]</f>
        <v>0.5in-40000PSI</v>
      </c>
      <c r="CG7" s="18" t="str">
        <f>RD[[#This Row],[UID]]</f>
        <v>RD-40OSE-1</v>
      </c>
      <c r="CH7" s="18"/>
      <c r="CI7" s="18"/>
      <c r="CJ7" s="18"/>
      <c r="CK7" s="18" t="str">
        <f>IF(RD[[#This Row],[Status]]=0,"",RD[[#This Row],[Status]])</f>
        <v>Active</v>
      </c>
    </row>
    <row r="8" spans="1:89">
      <c r="A8" s="18" t="s">
        <v>120</v>
      </c>
      <c r="B8" s="18" t="s">
        <v>1323</v>
      </c>
      <c r="C8" s="18" t="s">
        <v>1338</v>
      </c>
      <c r="D8" s="18">
        <v>7</v>
      </c>
      <c r="E8" s="18">
        <v>0.25</v>
      </c>
      <c r="F8" s="18">
        <v>0.5</v>
      </c>
      <c r="G8" s="28">
        <v>45000</v>
      </c>
      <c r="H8" s="28" t="str">
        <f>RD[[#This Row],[OD (inch)]]&amp;"in-"&amp;RD[[#This Row],[Pressure Burst Nominal psi]]&amp;"PSI"</f>
        <v>0.5in-45000PSI</v>
      </c>
      <c r="I8" s="27">
        <v>310.3</v>
      </c>
      <c r="J8" s="18">
        <v>44166</v>
      </c>
      <c r="K8" s="18">
        <v>304.5</v>
      </c>
      <c r="L8" s="18" t="s">
        <v>170</v>
      </c>
      <c r="M8" s="19" t="s">
        <v>1335</v>
      </c>
      <c r="N8" s="19">
        <v>0.25</v>
      </c>
      <c r="O8" s="19">
        <v>1038711</v>
      </c>
      <c r="P8" s="19" t="s">
        <v>129</v>
      </c>
      <c r="Q8" s="18" t="s">
        <v>128</v>
      </c>
      <c r="R8" s="18" t="s">
        <v>1335</v>
      </c>
      <c r="S8" s="20" t="s">
        <v>1336</v>
      </c>
      <c r="U8"/>
      <c r="V8" s="7"/>
      <c r="BZ8" s="18"/>
      <c r="CA8" s="1" t="s">
        <v>71</v>
      </c>
      <c r="CB8" s="1" t="s">
        <v>18</v>
      </c>
      <c r="CC8" s="1" t="s">
        <v>308</v>
      </c>
      <c r="CD8" s="18"/>
      <c r="CE8" s="36" t="str">
        <f>RD[[#This Row],[Part Type]]</f>
        <v>Rupture Disc</v>
      </c>
      <c r="CF8" s="28" t="str">
        <f>RD[[#This Row],[Type Label]]</f>
        <v>0.5in-45000PSI</v>
      </c>
      <c r="CG8" s="18" t="str">
        <f>RD[[#This Row],[UID]]</f>
        <v>RD-45OSE-1</v>
      </c>
      <c r="CH8" s="18"/>
      <c r="CI8" s="18"/>
      <c r="CJ8" s="18"/>
      <c r="CK8" s="18" t="str">
        <f>IF(RD[[#This Row],[Status]]=0,"",RD[[#This Row],[Status]])</f>
        <v>Active</v>
      </c>
    </row>
    <row r="9" spans="1:89">
      <c r="A9" s="18" t="s">
        <v>120</v>
      </c>
      <c r="B9" s="18" t="s">
        <v>1323</v>
      </c>
      <c r="C9" s="18" t="s">
        <v>1339</v>
      </c>
      <c r="D9" s="18">
        <v>5</v>
      </c>
      <c r="E9" s="18">
        <v>0.25</v>
      </c>
      <c r="F9" s="18">
        <v>0.5</v>
      </c>
      <c r="G9" s="28">
        <v>45000</v>
      </c>
      <c r="H9" s="28" t="str">
        <f>RD[[#This Row],[OD (inch)]]&amp;"in-"&amp;RD[[#This Row],[Pressure Burst Nominal psi]]&amp;"PSI"</f>
        <v>0.5in-45000PSI</v>
      </c>
      <c r="I9" s="27">
        <v>310.3</v>
      </c>
      <c r="J9" s="18">
        <v>45400</v>
      </c>
      <c r="K9" s="18">
        <v>313</v>
      </c>
      <c r="L9" s="18" t="s">
        <v>170</v>
      </c>
      <c r="M9" s="19" t="s">
        <v>1335</v>
      </c>
      <c r="N9" s="19">
        <v>0.25</v>
      </c>
      <c r="O9" s="19">
        <v>1591021</v>
      </c>
      <c r="P9" s="19" t="s">
        <v>129</v>
      </c>
      <c r="Q9" s="18" t="s">
        <v>128</v>
      </c>
      <c r="R9" s="18" t="s">
        <v>1335</v>
      </c>
      <c r="S9" s="20" t="s">
        <v>1336</v>
      </c>
      <c r="U9"/>
      <c r="V9" s="7"/>
      <c r="BZ9" s="18"/>
      <c r="CA9" s="1" t="s">
        <v>71</v>
      </c>
      <c r="CB9" s="1" t="s">
        <v>18</v>
      </c>
      <c r="CC9" s="1" t="s">
        <v>308</v>
      </c>
      <c r="CD9" s="18"/>
      <c r="CE9" s="36" t="str">
        <f>RD[[#This Row],[Part Type]]</f>
        <v>Rupture Disc</v>
      </c>
      <c r="CF9" s="28" t="str">
        <f>RD[[#This Row],[Type Label]]</f>
        <v>0.5in-45000PSI</v>
      </c>
      <c r="CG9" s="18" t="str">
        <f>RD[[#This Row],[UID]]</f>
        <v>RD-45OSE-2</v>
      </c>
      <c r="CH9" s="18"/>
      <c r="CI9" s="18"/>
      <c r="CJ9" s="18"/>
      <c r="CK9" s="18" t="str">
        <f>IF(RD[[#This Row],[Status]]=0,"",RD[[#This Row],[Status]])</f>
        <v>Active</v>
      </c>
    </row>
    <row r="10" spans="1:89">
      <c r="A10" s="18" t="s">
        <v>120</v>
      </c>
      <c r="B10" s="18" t="s">
        <v>1323</v>
      </c>
      <c r="C10" s="18" t="s">
        <v>1340</v>
      </c>
      <c r="D10" s="18">
        <v>5</v>
      </c>
      <c r="E10" s="18">
        <v>0.25</v>
      </c>
      <c r="F10" s="18">
        <v>0.5</v>
      </c>
      <c r="G10" s="28">
        <v>50000</v>
      </c>
      <c r="H10" s="28" t="str">
        <f>RD[[#This Row],[OD (inch)]]&amp;"in-"&amp;RD[[#This Row],[Pressure Burst Nominal psi]]&amp;"PSI"</f>
        <v>0.5in-50000PSI</v>
      </c>
      <c r="I10" s="27">
        <v>344.7</v>
      </c>
      <c r="J10" s="18">
        <v>51600</v>
      </c>
      <c r="K10" s="18">
        <v>355.8</v>
      </c>
      <c r="L10" s="18" t="s">
        <v>170</v>
      </c>
      <c r="M10" s="19" t="s">
        <v>1335</v>
      </c>
      <c r="N10" s="19">
        <v>0.25</v>
      </c>
      <c r="O10" s="19">
        <v>2689811</v>
      </c>
      <c r="P10" s="19" t="s">
        <v>129</v>
      </c>
      <c r="Q10" s="18" t="s">
        <v>128</v>
      </c>
      <c r="R10" s="18" t="s">
        <v>1335</v>
      </c>
      <c r="S10" s="20" t="s">
        <v>1336</v>
      </c>
      <c r="U10"/>
      <c r="V10" s="7"/>
      <c r="BZ10" s="18"/>
      <c r="CA10" s="1" t="s">
        <v>71</v>
      </c>
      <c r="CB10" s="1" t="s">
        <v>18</v>
      </c>
      <c r="CC10" s="1" t="s">
        <v>308</v>
      </c>
      <c r="CD10" s="18"/>
      <c r="CE10" s="36" t="str">
        <f>RD[[#This Row],[Part Type]]</f>
        <v>Rupture Disc</v>
      </c>
      <c r="CF10" s="28" t="str">
        <f>RD[[#This Row],[Type Label]]</f>
        <v>0.5in-50000PSI</v>
      </c>
      <c r="CG10" s="18" t="str">
        <f>RD[[#This Row],[UID]]</f>
        <v>RD-50OSE-2</v>
      </c>
      <c r="CH10" s="18"/>
      <c r="CI10" s="18"/>
      <c r="CJ10" s="18"/>
      <c r="CK10" s="18" t="str">
        <f>IF(RD[[#This Row],[Status]]=0,"",RD[[#This Row],[Status]])</f>
        <v>Active</v>
      </c>
    </row>
    <row r="11" spans="1:89">
      <c r="A11" s="18" t="s">
        <v>120</v>
      </c>
      <c r="B11" s="18" t="s">
        <v>1323</v>
      </c>
      <c r="C11" s="18" t="s">
        <v>1341</v>
      </c>
      <c r="D11" s="18">
        <v>8</v>
      </c>
      <c r="E11" s="18">
        <v>0.25</v>
      </c>
      <c r="F11" s="18">
        <v>0.5</v>
      </c>
      <c r="G11" s="28">
        <v>60000</v>
      </c>
      <c r="H11" s="28" t="str">
        <f>RD[[#This Row],[OD (inch)]]&amp;"in-"&amp;RD[[#This Row],[Pressure Burst Nominal psi]]&amp;"PSI"</f>
        <v>0.5in-60000PSI</v>
      </c>
      <c r="I11" s="27">
        <v>413.7</v>
      </c>
      <c r="J11" s="18">
        <v>58433</v>
      </c>
      <c r="K11" s="18">
        <v>402.9</v>
      </c>
      <c r="L11" s="18" t="s">
        <v>170</v>
      </c>
      <c r="M11" s="19" t="s">
        <v>1335</v>
      </c>
      <c r="N11" s="19">
        <v>0.25</v>
      </c>
      <c r="O11" s="19">
        <v>1591031</v>
      </c>
      <c r="P11" s="19" t="s">
        <v>129</v>
      </c>
      <c r="Q11" s="18" t="s">
        <v>128</v>
      </c>
      <c r="R11" s="18" t="s">
        <v>1335</v>
      </c>
      <c r="S11" s="20" t="s">
        <v>1336</v>
      </c>
      <c r="U11"/>
      <c r="V11" s="7"/>
      <c r="BZ11" s="11"/>
      <c r="CA11" s="1" t="s">
        <v>71</v>
      </c>
      <c r="CB11" s="1" t="s">
        <v>18</v>
      </c>
      <c r="CC11" s="1" t="s">
        <v>308</v>
      </c>
      <c r="CD11" s="11"/>
      <c r="CE11" s="134" t="str">
        <f>RD[[#This Row],[Part Type]]</f>
        <v>Rupture Disc</v>
      </c>
      <c r="CF11" s="17" t="str">
        <f>RD[[#This Row],[Type Label]]</f>
        <v>0.5in-60000PSI</v>
      </c>
      <c r="CG11" s="11" t="str">
        <f>RD[[#This Row],[UID]]</f>
        <v>RD-60OSE-1</v>
      </c>
      <c r="CH11" s="11"/>
      <c r="CI11" s="11"/>
      <c r="CJ11" s="11"/>
      <c r="CK11" s="11" t="str">
        <f>IF(RD[[#This Row],[Status]]=0,"",RD[[#This Row],[Status]])</f>
        <v>Active</v>
      </c>
    </row>
    <row r="12" spans="1:89">
      <c r="A12" s="18" t="s">
        <v>120</v>
      </c>
      <c r="B12" s="18" t="s">
        <v>1323</v>
      </c>
      <c r="C12" s="18" t="s">
        <v>1342</v>
      </c>
      <c r="D12" s="18">
        <v>7</v>
      </c>
      <c r="E12" s="18">
        <v>0.25</v>
      </c>
      <c r="F12" s="18">
        <v>0.5</v>
      </c>
      <c r="G12" s="28">
        <v>65000</v>
      </c>
      <c r="H12" s="28" t="str">
        <f>RD[[#This Row],[OD (inch)]]&amp;"in-"&amp;RD[[#This Row],[Pressure Burst Nominal psi]]&amp;"PSI"</f>
        <v>0.5in-65000PSI</v>
      </c>
      <c r="I12" s="27">
        <v>448.2</v>
      </c>
      <c r="J12" s="18">
        <v>65033</v>
      </c>
      <c r="K12" s="18">
        <v>448.4</v>
      </c>
      <c r="L12" s="18" t="s">
        <v>170</v>
      </c>
      <c r="M12" s="19" t="s">
        <v>1335</v>
      </c>
      <c r="N12" s="19">
        <v>0.25</v>
      </c>
      <c r="O12" s="19">
        <v>1038731</v>
      </c>
      <c r="P12" s="19" t="s">
        <v>129</v>
      </c>
      <c r="Q12" s="18" t="s">
        <v>128</v>
      </c>
      <c r="R12" s="18" t="s">
        <v>1335</v>
      </c>
      <c r="S12" s="20" t="s">
        <v>1336</v>
      </c>
      <c r="U12"/>
      <c r="V12" s="7"/>
      <c r="BZ12" s="18"/>
      <c r="CA12" s="1" t="s">
        <v>71</v>
      </c>
      <c r="CB12" s="1" t="s">
        <v>18</v>
      </c>
      <c r="CC12" s="1" t="s">
        <v>308</v>
      </c>
      <c r="CD12" s="18"/>
      <c r="CE12" s="36" t="str">
        <f>RD[[#This Row],[Part Type]]</f>
        <v>Rupture Disc</v>
      </c>
      <c r="CF12" s="28" t="str">
        <f>RD[[#This Row],[Type Label]]</f>
        <v>0.5in-65000PSI</v>
      </c>
      <c r="CG12" s="18" t="str">
        <f>RD[[#This Row],[UID]]</f>
        <v>RD-65OSE-1</v>
      </c>
      <c r="CH12" s="18"/>
      <c r="CI12" s="18"/>
      <c r="CJ12" s="18"/>
      <c r="CK12" s="18" t="str">
        <f>IF(RD[[#This Row],[Status]]=0,"",RD[[#This Row],[Status]])</f>
        <v>Active</v>
      </c>
    </row>
    <row r="13" spans="1:89">
      <c r="A13" s="18" t="s">
        <v>120</v>
      </c>
      <c r="B13" s="18" t="s">
        <v>1323</v>
      </c>
      <c r="C13" s="18" t="s">
        <v>1343</v>
      </c>
      <c r="D13" s="18">
        <v>8</v>
      </c>
      <c r="E13" s="18">
        <v>0.25</v>
      </c>
      <c r="F13" s="18">
        <v>0.5</v>
      </c>
      <c r="G13" s="28">
        <v>70000</v>
      </c>
      <c r="H13" s="28" t="str">
        <f>RD[[#This Row],[OD (inch)]]&amp;"in-"&amp;RD[[#This Row],[Pressure Burst Nominal psi]]&amp;"PSI"</f>
        <v>0.5in-70000PSI</v>
      </c>
      <c r="I13" s="27">
        <v>482.6</v>
      </c>
      <c r="J13" s="18">
        <v>70000</v>
      </c>
      <c r="K13" s="18">
        <v>482.6</v>
      </c>
      <c r="L13" s="18" t="s">
        <v>170</v>
      </c>
      <c r="M13" s="19" t="s">
        <v>1335</v>
      </c>
      <c r="N13" s="19">
        <v>0.25</v>
      </c>
      <c r="O13" s="19">
        <v>1591041</v>
      </c>
      <c r="P13" s="19" t="s">
        <v>129</v>
      </c>
      <c r="Q13" s="18" t="s">
        <v>128</v>
      </c>
      <c r="R13" s="18" t="s">
        <v>1335</v>
      </c>
      <c r="S13" s="20" t="s">
        <v>1336</v>
      </c>
      <c r="U13"/>
      <c r="V13" s="7"/>
      <c r="CA13" s="1" t="s">
        <v>71</v>
      </c>
      <c r="CB13" s="1" t="s">
        <v>18</v>
      </c>
      <c r="CC13" s="1" t="s">
        <v>308</v>
      </c>
      <c r="CE13" s="136" t="str">
        <f>RD[[#This Row],[Part Type]]</f>
        <v>Rupture Disc</v>
      </c>
      <c r="CF13" s="136" t="str">
        <f>RD[[#This Row],[Type Label]]</f>
        <v>0.5in-70000PSI</v>
      </c>
      <c r="CG13" s="7" t="str">
        <f>RD[[#This Row],[UID]]</f>
        <v>RD-70OSE-1</v>
      </c>
      <c r="CK13" s="7" t="str">
        <f>IF(RD[[#This Row],[Status]]=0,"",RD[[#This Row],[Status]])</f>
        <v>Active</v>
      </c>
    </row>
    <row r="14" spans="1:89">
      <c r="A14" s="18" t="s">
        <v>120</v>
      </c>
      <c r="B14" s="18" t="s">
        <v>1323</v>
      </c>
      <c r="C14" s="18" t="s">
        <v>1344</v>
      </c>
      <c r="D14" s="18">
        <v>1</v>
      </c>
      <c r="E14" s="18">
        <v>0.5</v>
      </c>
      <c r="F14" s="18">
        <v>0.75</v>
      </c>
      <c r="G14" s="28">
        <v>281</v>
      </c>
      <c r="H14" s="28" t="str">
        <f>RD[[#This Row],[OD (inch)]]&amp;"in-"&amp;RD[[#This Row],[Pressure Burst Nominal psi]]&amp;"PSI"</f>
        <v>0.75in-281PSI</v>
      </c>
      <c r="I14" s="28">
        <v>1.9</v>
      </c>
      <c r="J14" s="18">
        <v>281</v>
      </c>
      <c r="K14" s="18">
        <v>1.9</v>
      </c>
      <c r="L14" s="18" t="s">
        <v>1345</v>
      </c>
      <c r="M14" s="19" t="s">
        <v>1335</v>
      </c>
      <c r="N14" s="19" t="s">
        <v>129</v>
      </c>
      <c r="O14" s="19" t="s">
        <v>1346</v>
      </c>
      <c r="P14" s="19" t="s">
        <v>129</v>
      </c>
      <c r="Q14" s="18" t="s">
        <v>128</v>
      </c>
      <c r="R14" s="18" t="s">
        <v>1335</v>
      </c>
      <c r="S14" s="20" t="s">
        <v>1336</v>
      </c>
      <c r="U14"/>
      <c r="V14" s="7"/>
      <c r="CA14" s="1" t="s">
        <v>71</v>
      </c>
      <c r="CB14" s="1" t="s">
        <v>18</v>
      </c>
      <c r="CC14" s="1" t="s">
        <v>308</v>
      </c>
      <c r="CE14" s="136" t="str">
        <f>RD[[#This Row],[Part Type]]</f>
        <v>Rupture Disc</v>
      </c>
      <c r="CF14" s="136" t="str">
        <f>RD[[#This Row],[Type Label]]</f>
        <v>0.75in-281PSI</v>
      </c>
      <c r="CG14" s="7" t="str">
        <f>RD[[#This Row],[UID]]</f>
        <v>RD-28OSE-1</v>
      </c>
      <c r="CK14" s="7" t="str">
        <f>IF(RD[[#This Row],[Status]]=0,"",RD[[#This Row],[Status]])</f>
        <v>Active</v>
      </c>
    </row>
    <row r="15" spans="1:89">
      <c r="A15" s="18" t="s">
        <v>120</v>
      </c>
      <c r="B15" s="18" t="s">
        <v>1323</v>
      </c>
      <c r="C15" s="18" t="s">
        <v>1347</v>
      </c>
      <c r="D15" s="18">
        <v>21</v>
      </c>
      <c r="E15" s="18">
        <v>1</v>
      </c>
      <c r="F15" s="18">
        <v>1.25</v>
      </c>
      <c r="G15" s="28">
        <v>277</v>
      </c>
      <c r="H15" s="28" t="str">
        <f>RD[[#This Row],[OD (inch)]]&amp;"in-"&amp;RD[[#This Row],[Pressure Burst Nominal psi]]&amp;"PSI"</f>
        <v>1.25in-277PSI</v>
      </c>
      <c r="I15" s="28">
        <v>1.9</v>
      </c>
      <c r="J15" s="18">
        <v>277</v>
      </c>
      <c r="K15" s="18">
        <v>1.9</v>
      </c>
      <c r="L15" s="18" t="s">
        <v>1345</v>
      </c>
      <c r="M15" s="19" t="s">
        <v>1335</v>
      </c>
      <c r="N15" s="19" t="s">
        <v>129</v>
      </c>
      <c r="O15" s="19" t="s">
        <v>1348</v>
      </c>
      <c r="P15" s="19" t="s">
        <v>129</v>
      </c>
      <c r="Q15" s="18" t="s">
        <v>128</v>
      </c>
      <c r="R15" s="18" t="s">
        <v>1335</v>
      </c>
      <c r="S15" s="20" t="s">
        <v>1336</v>
      </c>
      <c r="U15"/>
      <c r="V15" s="7"/>
      <c r="CA15" s="1" t="s">
        <v>71</v>
      </c>
      <c r="CB15" s="1" t="s">
        <v>18</v>
      </c>
      <c r="CC15" s="1" t="s">
        <v>308</v>
      </c>
      <c r="CE15" s="136" t="str">
        <f>RD[[#This Row],[Part Type]]</f>
        <v>Rupture Disc</v>
      </c>
      <c r="CF15" s="136" t="str">
        <f>RD[[#This Row],[Type Label]]</f>
        <v>1.25in-277PSI</v>
      </c>
      <c r="CG15" s="7" t="str">
        <f>RD[[#This Row],[UID]]</f>
        <v>RD-27OSE-1</v>
      </c>
      <c r="CK15" s="7" t="str">
        <f>IF(RD[[#This Row],[Status]]=0,"",RD[[#This Row],[Status]])</f>
        <v>Active</v>
      </c>
    </row>
    <row r="16" spans="1:89">
      <c r="E16" s="18"/>
      <c r="G16" s="28"/>
      <c r="H16" s="28" t="str">
        <f>RD[[#This Row],[OD (inch)]]&amp;"in-"&amp;RD[[#This Row],[Pressure Burst Nominal psi]]&amp;"PSI"</f>
        <v>in-PSI</v>
      </c>
      <c r="I16" s="28"/>
      <c r="J16" s="18"/>
      <c r="L16" s="18"/>
      <c r="M16" s="19"/>
      <c r="N16" s="19"/>
      <c r="O16" s="19"/>
      <c r="P16" s="22"/>
      <c r="Q16" s="22"/>
      <c r="R16" s="18"/>
      <c r="S16" s="18"/>
      <c r="U16"/>
      <c r="V16" s="7"/>
      <c r="CA16" s="1" t="s">
        <v>71</v>
      </c>
      <c r="CB16" s="1" t="s">
        <v>18</v>
      </c>
      <c r="CC16" s="1" t="s">
        <v>308</v>
      </c>
      <c r="CE16" s="136">
        <f>RD[[#This Row],[Part Type]]</f>
        <v>0</v>
      </c>
      <c r="CF16" s="136" t="str">
        <f>RD[[#This Row],[Type Label]]</f>
        <v>in-PSI</v>
      </c>
      <c r="CG16" s="7">
        <f>RD[[#This Row],[UID]]</f>
        <v>0</v>
      </c>
      <c r="CK16" s="7" t="str">
        <f>IF(RD[[#This Row],[Status]]=0,"",RD[[#This Row],[Status]])</f>
        <v/>
      </c>
    </row>
    <row r="17" spans="1:89">
      <c r="E17" s="18"/>
      <c r="G17" s="28"/>
      <c r="H17" s="28" t="str">
        <f>RD[[#This Row],[OD (inch)]]&amp;"in-"&amp;RD[[#This Row],[Pressure Burst Nominal psi]]&amp;"PSI"</f>
        <v>in-PSI</v>
      </c>
      <c r="I17" s="28"/>
      <c r="J17" s="18"/>
      <c r="L17" s="18"/>
      <c r="M17" s="19"/>
      <c r="N17" s="19"/>
      <c r="O17" s="19"/>
      <c r="P17" s="22"/>
      <c r="Q17" s="22"/>
      <c r="R17" s="18"/>
      <c r="S17" s="18"/>
      <c r="U17"/>
      <c r="V17" s="7"/>
      <c r="CA17" s="1" t="s">
        <v>71</v>
      </c>
      <c r="CB17" s="1" t="s">
        <v>18</v>
      </c>
      <c r="CC17" s="1" t="s">
        <v>308</v>
      </c>
      <c r="CE17" s="136">
        <f>RD[[#This Row],[Part Type]]</f>
        <v>0</v>
      </c>
      <c r="CF17" s="136" t="str">
        <f>RD[[#This Row],[Type Label]]</f>
        <v>in-PSI</v>
      </c>
      <c r="CG17" s="7">
        <f>RD[[#This Row],[UID]]</f>
        <v>0</v>
      </c>
      <c r="CK17" s="7" t="str">
        <f>IF(RD[[#This Row],[Status]]=0,"",RD[[#This Row],[Status]])</f>
        <v/>
      </c>
    </row>
    <row r="18" spans="1:89">
      <c r="A18" s="8"/>
      <c r="B18" s="8"/>
      <c r="E18" s="18"/>
      <c r="G18" s="28"/>
      <c r="H18" s="28" t="str">
        <f>RD[[#This Row],[OD (inch)]]&amp;"in-"&amp;RD[[#This Row],[Pressure Burst Nominal psi]]&amp;"PSI"</f>
        <v>in-PSI</v>
      </c>
      <c r="I18" s="28"/>
      <c r="J18" s="28"/>
      <c r="L18" s="18"/>
      <c r="M18" s="18"/>
      <c r="N18" s="19"/>
      <c r="O18" s="19"/>
      <c r="P18" s="19"/>
      <c r="Q18" s="22"/>
      <c r="R18" s="22"/>
      <c r="S18" s="18"/>
      <c r="CA18" s="1" t="s">
        <v>71</v>
      </c>
      <c r="CB18" s="1" t="s">
        <v>18</v>
      </c>
      <c r="CC18" s="1" t="s">
        <v>308</v>
      </c>
      <c r="CE18" s="136">
        <f>RD[[#This Row],[Part Type]]</f>
        <v>0</v>
      </c>
      <c r="CF18" s="136" t="str">
        <f>RD[[#This Row],[Type Label]]</f>
        <v>in-PSI</v>
      </c>
      <c r="CG18" s="7">
        <f>RD[[#This Row],[UID]]</f>
        <v>0</v>
      </c>
      <c r="CK18" s="7" t="str">
        <f>IF(RD[[#This Row],[Status]]=0,"",RD[[#This Row],[Status]])</f>
        <v/>
      </c>
    </row>
    <row r="19" spans="1:89">
      <c r="A19" s="8"/>
      <c r="B19" s="8"/>
      <c r="E19" s="18"/>
      <c r="G19" s="28"/>
      <c r="H19" s="28" t="str">
        <f>RD[[#This Row],[OD (inch)]]&amp;"in-"&amp;RD[[#This Row],[Pressure Burst Nominal psi]]&amp;"PSI"</f>
        <v>in-PSI</v>
      </c>
      <c r="I19" s="28"/>
      <c r="J19" s="28"/>
      <c r="L19" s="18"/>
      <c r="M19" s="18"/>
      <c r="N19" s="19"/>
      <c r="O19" s="19"/>
      <c r="P19" s="19"/>
      <c r="Q19" s="22"/>
      <c r="R19" s="22"/>
      <c r="S19" s="18"/>
      <c r="CA19" s="1" t="s">
        <v>71</v>
      </c>
      <c r="CB19" s="1" t="s">
        <v>18</v>
      </c>
      <c r="CC19" s="1" t="s">
        <v>308</v>
      </c>
      <c r="CE19" s="136">
        <f>RD[[#This Row],[Part Type]]</f>
        <v>0</v>
      </c>
      <c r="CF19" s="136" t="str">
        <f>RD[[#This Row],[Type Label]]</f>
        <v>in-PSI</v>
      </c>
      <c r="CG19" s="7">
        <f>RD[[#This Row],[UID]]</f>
        <v>0</v>
      </c>
      <c r="CK19" s="7" t="str">
        <f>IF(RD[[#This Row],[Status]]=0,"",RD[[#This Row],[Status]])</f>
        <v/>
      </c>
    </row>
    <row r="20" spans="1:89">
      <c r="A20" s="8"/>
      <c r="B20" s="8"/>
      <c r="E20" s="18"/>
      <c r="G20" s="28"/>
      <c r="H20" s="28" t="str">
        <f>RD[[#This Row],[OD (inch)]]&amp;"in-"&amp;RD[[#This Row],[Pressure Burst Nominal psi]]&amp;"PSI"</f>
        <v>in-PSI</v>
      </c>
      <c r="I20" s="28"/>
      <c r="J20" s="28"/>
      <c r="L20" s="18"/>
      <c r="M20" s="18"/>
      <c r="N20" s="19"/>
      <c r="O20" s="19"/>
      <c r="P20" s="19"/>
      <c r="Q20" s="22"/>
      <c r="R20" s="22"/>
      <c r="S20" s="18"/>
      <c r="CA20" s="1" t="s">
        <v>71</v>
      </c>
      <c r="CB20" s="1" t="s">
        <v>18</v>
      </c>
      <c r="CC20" s="1" t="s">
        <v>308</v>
      </c>
      <c r="CE20" s="136">
        <f>RD[[#This Row],[Part Type]]</f>
        <v>0</v>
      </c>
      <c r="CF20" s="136" t="str">
        <f>RD[[#This Row],[Type Label]]</f>
        <v>in-PSI</v>
      </c>
      <c r="CG20" s="7">
        <f>RD[[#This Row],[UID]]</f>
        <v>0</v>
      </c>
      <c r="CK20" s="7" t="str">
        <f>IF(RD[[#This Row],[Status]]=0,"",RD[[#This Row],[Status]])</f>
        <v/>
      </c>
    </row>
    <row r="21" spans="1:89">
      <c r="A21" s="8"/>
      <c r="B21" s="8"/>
      <c r="E21" s="18"/>
      <c r="G21" s="28"/>
      <c r="H21" s="28" t="str">
        <f>RD[[#This Row],[OD (inch)]]&amp;"in-"&amp;RD[[#This Row],[Pressure Burst Nominal psi]]&amp;"PSI"</f>
        <v>in-PSI</v>
      </c>
      <c r="I21" s="28"/>
      <c r="J21" s="28"/>
      <c r="L21" s="18"/>
      <c r="M21" s="18"/>
      <c r="N21" s="19"/>
      <c r="O21" s="19"/>
      <c r="P21" s="19"/>
      <c r="Q21" s="22"/>
      <c r="R21" s="22"/>
      <c r="S21" s="18"/>
      <c r="CA21" s="1" t="s">
        <v>71</v>
      </c>
      <c r="CB21" s="1" t="s">
        <v>18</v>
      </c>
      <c r="CC21" s="1" t="s">
        <v>308</v>
      </c>
      <c r="CE21" s="136">
        <f>RD[[#This Row],[Part Type]]</f>
        <v>0</v>
      </c>
      <c r="CF21" s="136" t="str">
        <f>RD[[#This Row],[Type Label]]</f>
        <v>in-PSI</v>
      </c>
      <c r="CG21" s="7">
        <f>RD[[#This Row],[UID]]</f>
        <v>0</v>
      </c>
      <c r="CK21" s="7" t="str">
        <f>IF(RD[[#This Row],[Status]]=0,"",RD[[#This Row],[Status]])</f>
        <v/>
      </c>
    </row>
    <row r="22" spans="1:89">
      <c r="A22" s="8"/>
      <c r="B22" s="8"/>
      <c r="E22" s="18"/>
      <c r="G22" s="28"/>
      <c r="H22" s="28" t="str">
        <f>RD[[#This Row],[OD (inch)]]&amp;"in-"&amp;RD[[#This Row],[Pressure Burst Nominal psi]]&amp;"PSI"</f>
        <v>in-PSI</v>
      </c>
      <c r="I22" s="28"/>
      <c r="J22" s="28"/>
      <c r="L22" s="18"/>
      <c r="M22" s="18"/>
      <c r="N22" s="19"/>
      <c r="O22" s="19"/>
      <c r="P22" s="19"/>
      <c r="Q22" s="22"/>
      <c r="R22" s="22"/>
      <c r="S22" s="18"/>
      <c r="CA22" s="1" t="s">
        <v>71</v>
      </c>
      <c r="CB22" s="1" t="s">
        <v>18</v>
      </c>
      <c r="CC22" s="1" t="s">
        <v>308</v>
      </c>
      <c r="CE22" s="136">
        <f>RD[[#This Row],[Part Type]]</f>
        <v>0</v>
      </c>
      <c r="CF22" s="136" t="str">
        <f>RD[[#This Row],[Type Label]]</f>
        <v>in-PSI</v>
      </c>
      <c r="CG22" s="7">
        <f>RD[[#This Row],[UID]]</f>
        <v>0</v>
      </c>
      <c r="CK22" s="7" t="str">
        <f>IF(RD[[#This Row],[Status]]=0,"",RD[[#This Row],[Status]])</f>
        <v/>
      </c>
    </row>
    <row r="23" spans="1:89">
      <c r="A23" s="8"/>
      <c r="B23" s="8"/>
      <c r="E23" s="18"/>
      <c r="G23" s="28"/>
      <c r="H23" s="28" t="str">
        <f>RD[[#This Row],[OD (inch)]]&amp;"in-"&amp;RD[[#This Row],[Pressure Burst Nominal psi]]&amp;"PSI"</f>
        <v>in-PSI</v>
      </c>
      <c r="I23" s="28"/>
      <c r="J23" s="28"/>
      <c r="L23" s="18"/>
      <c r="M23" s="18"/>
      <c r="N23" s="19"/>
      <c r="O23" s="19"/>
      <c r="P23" s="19"/>
      <c r="Q23" s="22"/>
      <c r="R23" s="22"/>
      <c r="S23" s="18"/>
      <c r="CA23" s="1" t="s">
        <v>71</v>
      </c>
      <c r="CB23" s="1" t="s">
        <v>18</v>
      </c>
      <c r="CC23" s="1" t="s">
        <v>308</v>
      </c>
      <c r="CE23" s="136">
        <f>RD[[#This Row],[Part Type]]</f>
        <v>0</v>
      </c>
      <c r="CF23" s="136" t="str">
        <f>RD[[#This Row],[Type Label]]</f>
        <v>in-PSI</v>
      </c>
      <c r="CG23" s="7">
        <f>RD[[#This Row],[UID]]</f>
        <v>0</v>
      </c>
      <c r="CK23" s="7" t="str">
        <f>IF(RD[[#This Row],[Status]]=0,"",RD[[#This Row],[Status]])</f>
        <v/>
      </c>
    </row>
    <row r="24" spans="1:89">
      <c r="A24" s="8"/>
      <c r="B24" s="8"/>
      <c r="E24" s="18"/>
      <c r="G24" s="28"/>
      <c r="H24" s="28" t="str">
        <f>RD[[#This Row],[OD (inch)]]&amp;"in-"&amp;RD[[#This Row],[Pressure Burst Nominal psi]]&amp;"PSI"</f>
        <v>in-PSI</v>
      </c>
      <c r="I24" s="28"/>
      <c r="J24" s="28"/>
      <c r="L24" s="18"/>
      <c r="M24" s="18"/>
      <c r="N24" s="19"/>
      <c r="O24" s="19"/>
      <c r="P24" s="19"/>
      <c r="Q24" s="22"/>
      <c r="R24" s="22"/>
      <c r="S24" s="18"/>
      <c r="CA24" s="1" t="s">
        <v>71</v>
      </c>
      <c r="CB24" s="1" t="s">
        <v>18</v>
      </c>
      <c r="CC24" s="1" t="s">
        <v>308</v>
      </c>
      <c r="CE24" s="136">
        <f>RD[[#This Row],[Part Type]]</f>
        <v>0</v>
      </c>
      <c r="CF24" s="136" t="str">
        <f>RD[[#This Row],[Type Label]]</f>
        <v>in-PSI</v>
      </c>
      <c r="CG24" s="7">
        <f>RD[[#This Row],[UID]]</f>
        <v>0</v>
      </c>
      <c r="CK24" s="7" t="str">
        <f>IF(RD[[#This Row],[Status]]=0,"",RD[[#This Row],[Status]])</f>
        <v/>
      </c>
    </row>
    <row r="25" spans="1:89">
      <c r="A25" s="8"/>
      <c r="B25" s="8"/>
      <c r="E25" s="18"/>
      <c r="G25" s="28"/>
      <c r="H25" s="28" t="str">
        <f>RD[[#This Row],[OD (inch)]]&amp;"in-"&amp;RD[[#This Row],[Pressure Burst Nominal psi]]&amp;"PSI"</f>
        <v>in-PSI</v>
      </c>
      <c r="I25" s="28"/>
      <c r="J25" s="28"/>
      <c r="L25" s="18"/>
      <c r="M25" s="18"/>
      <c r="N25" s="19"/>
      <c r="O25" s="19"/>
      <c r="P25" s="19"/>
      <c r="Q25" s="22"/>
      <c r="R25" s="22"/>
      <c r="S25" s="18"/>
      <c r="CA25" s="1" t="s">
        <v>71</v>
      </c>
      <c r="CB25" s="1" t="s">
        <v>18</v>
      </c>
      <c r="CC25" s="1" t="s">
        <v>308</v>
      </c>
      <c r="CE25" s="136">
        <f>RD[[#This Row],[Part Type]]</f>
        <v>0</v>
      </c>
      <c r="CF25" s="136" t="str">
        <f>RD[[#This Row],[Type Label]]</f>
        <v>in-PSI</v>
      </c>
      <c r="CG25" s="7">
        <f>RD[[#This Row],[UID]]</f>
        <v>0</v>
      </c>
      <c r="CK25" s="7" t="str">
        <f>IF(RD[[#This Row],[Status]]=0,"",RD[[#This Row],[Status]])</f>
        <v/>
      </c>
    </row>
    <row r="26" spans="1:89">
      <c r="A26" s="8"/>
      <c r="B26" s="8"/>
      <c r="E26" s="18"/>
      <c r="G26" s="28"/>
      <c r="H26" s="28" t="str">
        <f>RD[[#This Row],[OD (inch)]]&amp;"in-"&amp;RD[[#This Row],[Pressure Burst Nominal psi]]&amp;"PSI"</f>
        <v>in-PSI</v>
      </c>
      <c r="I26" s="28"/>
      <c r="J26" s="28"/>
      <c r="L26" s="18"/>
      <c r="M26" s="18"/>
      <c r="N26" s="19"/>
      <c r="O26" s="19"/>
      <c r="P26" s="19"/>
      <c r="Q26" s="22"/>
      <c r="R26" s="22"/>
      <c r="S26" s="18"/>
      <c r="CA26" s="1" t="s">
        <v>71</v>
      </c>
      <c r="CB26" s="1" t="s">
        <v>18</v>
      </c>
      <c r="CC26" s="1" t="s">
        <v>308</v>
      </c>
      <c r="CE26" s="136">
        <f>RD[[#This Row],[Part Type]]</f>
        <v>0</v>
      </c>
      <c r="CF26" s="136" t="str">
        <f>RD[[#This Row],[Type Label]]</f>
        <v>in-PSI</v>
      </c>
      <c r="CG26" s="7">
        <f>RD[[#This Row],[UID]]</f>
        <v>0</v>
      </c>
      <c r="CK26" s="7" t="str">
        <f>IF(RD[[#This Row],[Status]]=0,"",RD[[#This Row],[Status]])</f>
        <v/>
      </c>
    </row>
    <row r="27" spans="1:89">
      <c r="A27" s="8"/>
      <c r="B27" s="8"/>
      <c r="E27" s="18"/>
      <c r="G27" s="28"/>
      <c r="H27" s="28" t="str">
        <f>RD[[#This Row],[OD (inch)]]&amp;"in-"&amp;RD[[#This Row],[Pressure Burst Nominal psi]]&amp;"PSI"</f>
        <v>in-PSI</v>
      </c>
      <c r="I27" s="28"/>
      <c r="J27" s="28"/>
      <c r="L27" s="18"/>
      <c r="M27" s="18"/>
      <c r="N27" s="19"/>
      <c r="O27" s="19"/>
      <c r="P27" s="19"/>
      <c r="Q27" s="22"/>
      <c r="R27" s="22"/>
      <c r="S27" s="18"/>
      <c r="CA27" s="1" t="s">
        <v>71</v>
      </c>
      <c r="CB27" s="1" t="s">
        <v>18</v>
      </c>
      <c r="CC27" s="1" t="s">
        <v>308</v>
      </c>
      <c r="CE27" s="136">
        <f>RD[[#This Row],[Part Type]]</f>
        <v>0</v>
      </c>
      <c r="CF27" s="136" t="str">
        <f>RD[[#This Row],[Type Label]]</f>
        <v>in-PSI</v>
      </c>
      <c r="CG27" s="7">
        <f>RD[[#This Row],[UID]]</f>
        <v>0</v>
      </c>
      <c r="CK27" s="7" t="str">
        <f>IF(RD[[#This Row],[Status]]=0,"",RD[[#This Row],[Status]])</f>
        <v/>
      </c>
    </row>
    <row r="28" spans="1:89">
      <c r="A28" s="8"/>
      <c r="B28" s="8"/>
      <c r="E28" s="18"/>
      <c r="G28" s="28"/>
      <c r="H28" s="28" t="str">
        <f>RD[[#This Row],[OD (inch)]]&amp;"in-"&amp;RD[[#This Row],[Pressure Burst Nominal psi]]&amp;"PSI"</f>
        <v>in-PSI</v>
      </c>
      <c r="I28" s="28"/>
      <c r="J28" s="28"/>
      <c r="L28" s="18"/>
      <c r="M28" s="18"/>
      <c r="N28" s="19"/>
      <c r="O28" s="19"/>
      <c r="P28" s="19"/>
      <c r="Q28" s="22"/>
      <c r="R28" s="22"/>
      <c r="S28" s="18"/>
      <c r="CA28" s="1" t="s">
        <v>71</v>
      </c>
      <c r="CB28" s="1" t="s">
        <v>18</v>
      </c>
      <c r="CC28" s="1" t="s">
        <v>308</v>
      </c>
      <c r="CE28" s="136">
        <f>RD[[#This Row],[Part Type]]</f>
        <v>0</v>
      </c>
      <c r="CF28" s="136" t="str">
        <f>RD[[#This Row],[Type Label]]</f>
        <v>in-PSI</v>
      </c>
      <c r="CG28" s="7">
        <f>RD[[#This Row],[UID]]</f>
        <v>0</v>
      </c>
      <c r="CK28" s="7" t="str">
        <f>IF(RD[[#This Row],[Status]]=0,"",RD[[#This Row],[Status]])</f>
        <v/>
      </c>
    </row>
    <row r="29" spans="1:89">
      <c r="A29" s="8"/>
      <c r="B29" s="8"/>
      <c r="E29" s="18"/>
      <c r="G29" s="28"/>
      <c r="H29" s="28" t="str">
        <f>RD[[#This Row],[OD (inch)]]&amp;"in-"&amp;RD[[#This Row],[Pressure Burst Nominal psi]]&amp;"PSI"</f>
        <v>in-PSI</v>
      </c>
      <c r="I29" s="28"/>
      <c r="J29" s="28"/>
      <c r="L29" s="18"/>
      <c r="M29" s="18"/>
      <c r="N29" s="19"/>
      <c r="O29" s="19"/>
      <c r="P29" s="19"/>
      <c r="Q29" s="22"/>
      <c r="R29" s="22"/>
      <c r="S29" s="18"/>
      <c r="CA29" s="1" t="s">
        <v>71</v>
      </c>
      <c r="CB29" s="1" t="s">
        <v>18</v>
      </c>
      <c r="CC29" s="1" t="s">
        <v>308</v>
      </c>
      <c r="CE29" s="136">
        <f>RD[[#This Row],[Part Type]]</f>
        <v>0</v>
      </c>
      <c r="CF29" s="136" t="str">
        <f>RD[[#This Row],[Type Label]]</f>
        <v>in-PSI</v>
      </c>
      <c r="CG29" s="7">
        <f>RD[[#This Row],[UID]]</f>
        <v>0</v>
      </c>
      <c r="CK29" s="7" t="str">
        <f>IF(RD[[#This Row],[Status]]=0,"",RD[[#This Row],[Status]])</f>
        <v/>
      </c>
    </row>
    <row r="30" spans="1:89">
      <c r="A30" s="8"/>
      <c r="B30" s="8"/>
      <c r="E30" s="18"/>
      <c r="G30" s="28"/>
      <c r="H30" s="28" t="str">
        <f>RD[[#This Row],[OD (inch)]]&amp;"in-"&amp;RD[[#This Row],[Pressure Burst Nominal psi]]&amp;"PSI"</f>
        <v>in-PSI</v>
      </c>
      <c r="I30" s="28"/>
      <c r="J30" s="28"/>
      <c r="L30" s="18"/>
      <c r="M30" s="18"/>
      <c r="N30" s="19"/>
      <c r="O30" s="19"/>
      <c r="P30" s="19"/>
      <c r="Q30" s="22"/>
      <c r="R30" s="22"/>
      <c r="S30" s="18"/>
      <c r="CA30" s="1" t="s">
        <v>71</v>
      </c>
      <c r="CB30" s="1" t="s">
        <v>18</v>
      </c>
      <c r="CC30" s="1" t="s">
        <v>308</v>
      </c>
      <c r="CE30" s="136">
        <f>RD[[#This Row],[Part Type]]</f>
        <v>0</v>
      </c>
      <c r="CF30" s="136" t="str">
        <f>RD[[#This Row],[Type Label]]</f>
        <v>in-PSI</v>
      </c>
      <c r="CG30" s="7">
        <f>RD[[#This Row],[UID]]</f>
        <v>0</v>
      </c>
      <c r="CK30" s="7" t="str">
        <f>IF(RD[[#This Row],[Status]]=0,"",RD[[#This Row],[Status]])</f>
        <v/>
      </c>
    </row>
    <row r="31" spans="1:89">
      <c r="A31" s="8"/>
      <c r="B31" s="8"/>
      <c r="E31" s="18"/>
      <c r="G31" s="28"/>
      <c r="H31" s="28" t="str">
        <f>RD[[#This Row],[OD (inch)]]&amp;"in-"&amp;RD[[#This Row],[Pressure Burst Nominal psi]]&amp;"PSI"</f>
        <v>in-PSI</v>
      </c>
      <c r="I31" s="28"/>
      <c r="J31" s="28"/>
      <c r="L31" s="18"/>
      <c r="M31" s="18"/>
      <c r="N31" s="19"/>
      <c r="O31" s="19"/>
      <c r="P31" s="19"/>
      <c r="Q31" s="22"/>
      <c r="R31" s="22"/>
      <c r="S31" s="18"/>
      <c r="CA31" s="1" t="s">
        <v>71</v>
      </c>
      <c r="CB31" s="1" t="s">
        <v>18</v>
      </c>
      <c r="CC31" s="1" t="s">
        <v>308</v>
      </c>
      <c r="CE31" s="136">
        <f>RD[[#This Row],[Part Type]]</f>
        <v>0</v>
      </c>
      <c r="CF31" s="136" t="str">
        <f>RD[[#This Row],[Type Label]]</f>
        <v>in-PSI</v>
      </c>
      <c r="CG31" s="7">
        <f>RD[[#This Row],[UID]]</f>
        <v>0</v>
      </c>
      <c r="CK31" s="7" t="str">
        <f>IF(RD[[#This Row],[Status]]=0,"",RD[[#This Row],[Status]])</f>
        <v/>
      </c>
    </row>
    <row r="32" spans="1:89">
      <c r="A32" s="8"/>
      <c r="B32" s="8"/>
      <c r="E32" s="18"/>
      <c r="G32" s="28"/>
      <c r="H32" s="28" t="str">
        <f>RD[[#This Row],[OD (inch)]]&amp;"in-"&amp;RD[[#This Row],[Pressure Burst Nominal psi]]&amp;"PSI"</f>
        <v>in-PSI</v>
      </c>
      <c r="I32" s="28"/>
      <c r="J32" s="28"/>
      <c r="L32" s="18"/>
      <c r="M32" s="18"/>
      <c r="N32" s="19"/>
      <c r="O32" s="19"/>
      <c r="P32" s="19"/>
      <c r="Q32" s="22"/>
      <c r="R32" s="22"/>
      <c r="S32" s="18"/>
      <c r="CA32" s="1" t="s">
        <v>71</v>
      </c>
      <c r="CB32" s="1" t="s">
        <v>18</v>
      </c>
      <c r="CC32" s="1" t="s">
        <v>308</v>
      </c>
      <c r="CE32" s="136">
        <f>RD[[#This Row],[Part Type]]</f>
        <v>0</v>
      </c>
      <c r="CF32" s="136" t="str">
        <f>RD[[#This Row],[Type Label]]</f>
        <v>in-PSI</v>
      </c>
      <c r="CG32" s="7">
        <f>RD[[#This Row],[UID]]</f>
        <v>0</v>
      </c>
      <c r="CK32" s="7" t="str">
        <f>IF(RD[[#This Row],[Status]]=0,"",RD[[#This Row],[Status]])</f>
        <v/>
      </c>
    </row>
    <row r="33" spans="1:89">
      <c r="A33" s="8"/>
      <c r="B33" s="8"/>
      <c r="E33" s="18"/>
      <c r="G33" s="28"/>
      <c r="H33" s="28" t="str">
        <f>RD[[#This Row],[OD (inch)]]&amp;"in-"&amp;RD[[#This Row],[Pressure Burst Nominal psi]]&amp;"PSI"</f>
        <v>in-PSI</v>
      </c>
      <c r="I33" s="28"/>
      <c r="J33" s="28"/>
      <c r="L33" s="18"/>
      <c r="M33" s="18"/>
      <c r="N33" s="19"/>
      <c r="O33" s="19"/>
      <c r="P33" s="19"/>
      <c r="Q33" s="22"/>
      <c r="R33" s="22"/>
      <c r="S33" s="18"/>
      <c r="CA33" s="1" t="s">
        <v>71</v>
      </c>
      <c r="CB33" s="1" t="s">
        <v>18</v>
      </c>
      <c r="CC33" s="1" t="s">
        <v>308</v>
      </c>
      <c r="CE33" s="136">
        <f>RD[[#This Row],[Part Type]]</f>
        <v>0</v>
      </c>
      <c r="CF33" s="136" t="str">
        <f>RD[[#This Row],[Type Label]]</f>
        <v>in-PSI</v>
      </c>
      <c r="CG33" s="7">
        <f>RD[[#This Row],[UID]]</f>
        <v>0</v>
      </c>
      <c r="CK33" s="7" t="str">
        <f>IF(RD[[#This Row],[Status]]=0,"",RD[[#This Row],[Status]])</f>
        <v/>
      </c>
    </row>
    <row r="34" spans="1:89">
      <c r="A34" s="8"/>
      <c r="B34" s="8"/>
      <c r="E34" s="18"/>
      <c r="G34" s="28"/>
      <c r="H34" s="28" t="str">
        <f>RD[[#This Row],[OD (inch)]]&amp;"in-"&amp;RD[[#This Row],[Pressure Burst Nominal psi]]&amp;"PSI"</f>
        <v>in-PSI</v>
      </c>
      <c r="I34" s="28"/>
      <c r="J34" s="28"/>
      <c r="L34" s="18"/>
      <c r="M34" s="18"/>
      <c r="N34" s="19"/>
      <c r="O34" s="19"/>
      <c r="P34" s="19"/>
      <c r="Q34" s="22"/>
      <c r="R34" s="22"/>
      <c r="S34" s="18"/>
      <c r="CA34" s="1" t="s">
        <v>71</v>
      </c>
      <c r="CB34" s="1" t="s">
        <v>18</v>
      </c>
      <c r="CC34" s="1" t="s">
        <v>308</v>
      </c>
      <c r="CE34" s="136">
        <f>RD[[#This Row],[Part Type]]</f>
        <v>0</v>
      </c>
      <c r="CF34" s="136" t="str">
        <f>RD[[#This Row],[Type Label]]</f>
        <v>in-PSI</v>
      </c>
      <c r="CG34" s="7">
        <f>RD[[#This Row],[UID]]</f>
        <v>0</v>
      </c>
      <c r="CK34" s="7" t="str">
        <f>IF(RD[[#This Row],[Status]]=0,"",RD[[#This Row],[Status]])</f>
        <v/>
      </c>
    </row>
    <row r="35" spans="1:89">
      <c r="A35" s="8"/>
      <c r="B35" s="8"/>
      <c r="E35" s="18"/>
      <c r="G35" s="28"/>
      <c r="H35" s="28" t="str">
        <f>RD[[#This Row],[OD (inch)]]&amp;"in-"&amp;RD[[#This Row],[Pressure Burst Nominal psi]]&amp;"PSI"</f>
        <v>in-PSI</v>
      </c>
      <c r="I35" s="28"/>
      <c r="J35" s="28"/>
      <c r="L35" s="18"/>
      <c r="M35" s="18"/>
      <c r="N35" s="19"/>
      <c r="O35" s="19"/>
      <c r="P35" s="19"/>
      <c r="Q35" s="22"/>
      <c r="R35" s="22"/>
      <c r="S35" s="18"/>
      <c r="CA35" s="1" t="s">
        <v>71</v>
      </c>
      <c r="CB35" s="1" t="s">
        <v>18</v>
      </c>
      <c r="CC35" s="1" t="s">
        <v>308</v>
      </c>
      <c r="CE35" s="136">
        <f>RD[[#This Row],[Part Type]]</f>
        <v>0</v>
      </c>
      <c r="CF35" s="136" t="str">
        <f>RD[[#This Row],[Type Label]]</f>
        <v>in-PSI</v>
      </c>
      <c r="CG35" s="7">
        <f>RD[[#This Row],[UID]]</f>
        <v>0</v>
      </c>
      <c r="CK35" s="7" t="str">
        <f>IF(RD[[#This Row],[Status]]=0,"",RD[[#This Row],[Status]])</f>
        <v/>
      </c>
    </row>
    <row r="36" spans="1:89">
      <c r="A36" s="8"/>
      <c r="B36" s="8"/>
      <c r="E36" s="18"/>
      <c r="G36" s="28"/>
      <c r="H36" s="28" t="str">
        <f>RD[[#This Row],[OD (inch)]]&amp;"in-"&amp;RD[[#This Row],[Pressure Burst Nominal psi]]&amp;"PSI"</f>
        <v>in-PSI</v>
      </c>
      <c r="I36" s="28"/>
      <c r="J36" s="28"/>
      <c r="L36" s="18"/>
      <c r="M36" s="18"/>
      <c r="N36" s="19"/>
      <c r="O36" s="19"/>
      <c r="P36" s="19"/>
      <c r="Q36" s="22"/>
      <c r="R36" s="22"/>
      <c r="S36" s="18"/>
      <c r="CA36" s="1" t="s">
        <v>71</v>
      </c>
      <c r="CB36" s="1" t="s">
        <v>18</v>
      </c>
      <c r="CC36" s="1" t="s">
        <v>308</v>
      </c>
      <c r="CE36" s="136">
        <f>RD[[#This Row],[Part Type]]</f>
        <v>0</v>
      </c>
      <c r="CF36" s="136" t="str">
        <f>RD[[#This Row],[Type Label]]</f>
        <v>in-PSI</v>
      </c>
      <c r="CG36" s="7">
        <f>RD[[#This Row],[UID]]</f>
        <v>0</v>
      </c>
      <c r="CK36" s="7" t="str">
        <f>IF(RD[[#This Row],[Status]]=0,"",RD[[#This Row],[Status]])</f>
        <v/>
      </c>
    </row>
    <row r="37" spans="1:89">
      <c r="A37" s="8"/>
      <c r="B37" s="8"/>
      <c r="E37" s="18"/>
      <c r="G37" s="28"/>
      <c r="H37" s="28" t="str">
        <f>RD[[#This Row],[OD (inch)]]&amp;"in-"&amp;RD[[#This Row],[Pressure Burst Nominal psi]]&amp;"PSI"</f>
        <v>in-PSI</v>
      </c>
      <c r="I37" s="28"/>
      <c r="J37" s="28"/>
      <c r="L37" s="18"/>
      <c r="M37" s="18"/>
      <c r="N37" s="19"/>
      <c r="O37" s="19"/>
      <c r="P37" s="19"/>
      <c r="Q37" s="22"/>
      <c r="R37" s="22"/>
      <c r="S37" s="18"/>
      <c r="CA37" s="1" t="s">
        <v>71</v>
      </c>
      <c r="CB37" s="1" t="s">
        <v>18</v>
      </c>
      <c r="CC37" s="1" t="s">
        <v>308</v>
      </c>
      <c r="CE37" s="136">
        <f>RD[[#This Row],[Part Type]]</f>
        <v>0</v>
      </c>
      <c r="CF37" s="136" t="str">
        <f>RD[[#This Row],[Type Label]]</f>
        <v>in-PSI</v>
      </c>
      <c r="CG37" s="7">
        <f>RD[[#This Row],[UID]]</f>
        <v>0</v>
      </c>
      <c r="CK37" s="7" t="str">
        <f>IF(RD[[#This Row],[Status]]=0,"",RD[[#This Row],[Status]])</f>
        <v/>
      </c>
    </row>
    <row r="38" spans="1:89">
      <c r="A38" s="8"/>
      <c r="B38" s="8"/>
      <c r="E38" s="18"/>
      <c r="G38" s="28"/>
      <c r="H38" s="28" t="str">
        <f>RD[[#This Row],[OD (inch)]]&amp;"in-"&amp;RD[[#This Row],[Pressure Burst Nominal psi]]&amp;"PSI"</f>
        <v>in-PSI</v>
      </c>
      <c r="I38" s="28"/>
      <c r="J38" s="28"/>
      <c r="L38" s="18"/>
      <c r="M38" s="18"/>
      <c r="N38" s="19"/>
      <c r="O38" s="19"/>
      <c r="P38" s="19"/>
      <c r="Q38" s="22"/>
      <c r="R38" s="22"/>
      <c r="S38" s="18"/>
      <c r="CA38" s="1" t="s">
        <v>71</v>
      </c>
      <c r="CB38" s="1" t="s">
        <v>18</v>
      </c>
      <c r="CC38" s="1" t="s">
        <v>308</v>
      </c>
      <c r="CE38" s="136">
        <f>RD[[#This Row],[Part Type]]</f>
        <v>0</v>
      </c>
      <c r="CF38" s="136" t="str">
        <f>RD[[#This Row],[Type Label]]</f>
        <v>in-PSI</v>
      </c>
      <c r="CG38" s="7">
        <f>RD[[#This Row],[UID]]</f>
        <v>0</v>
      </c>
      <c r="CK38" s="7" t="str">
        <f>IF(RD[[#This Row],[Status]]=0,"",RD[[#This Row],[Status]])</f>
        <v/>
      </c>
    </row>
    <row r="39" spans="1:89">
      <c r="A39" s="8"/>
      <c r="B39" s="8"/>
      <c r="E39" s="18"/>
      <c r="G39" s="28"/>
      <c r="H39" s="28" t="str">
        <f>RD[[#This Row],[OD (inch)]]&amp;"in-"&amp;RD[[#This Row],[Pressure Burst Nominal psi]]&amp;"PSI"</f>
        <v>in-PSI</v>
      </c>
      <c r="I39" s="28"/>
      <c r="J39" s="28"/>
      <c r="L39" s="18"/>
      <c r="M39" s="18"/>
      <c r="N39" s="19"/>
      <c r="O39" s="19"/>
      <c r="P39" s="19"/>
      <c r="Q39" s="22"/>
      <c r="R39" s="22"/>
      <c r="S39" s="18"/>
      <c r="CA39" s="1" t="s">
        <v>71</v>
      </c>
      <c r="CB39" s="1" t="s">
        <v>18</v>
      </c>
      <c r="CC39" s="1" t="s">
        <v>308</v>
      </c>
      <c r="CE39" s="136">
        <f>RD[[#This Row],[Part Type]]</f>
        <v>0</v>
      </c>
      <c r="CF39" s="136" t="str">
        <f>RD[[#This Row],[Type Label]]</f>
        <v>in-PSI</v>
      </c>
      <c r="CG39" s="7">
        <f>RD[[#This Row],[UID]]</f>
        <v>0</v>
      </c>
      <c r="CK39" s="7" t="str">
        <f>IF(RD[[#This Row],[Status]]=0,"",RD[[#This Row],[Status]])</f>
        <v/>
      </c>
    </row>
    <row r="40" spans="1:89">
      <c r="A40" s="8"/>
      <c r="B40" s="8"/>
      <c r="E40" s="18"/>
      <c r="G40" s="28"/>
      <c r="H40" s="28" t="str">
        <f>RD[[#This Row],[OD (inch)]]&amp;"in-"&amp;RD[[#This Row],[Pressure Burst Nominal psi]]&amp;"PSI"</f>
        <v>in-PSI</v>
      </c>
      <c r="I40" s="28"/>
      <c r="J40" s="28"/>
      <c r="L40" s="18"/>
      <c r="M40" s="18"/>
      <c r="N40" s="19"/>
      <c r="O40" s="19"/>
      <c r="P40" s="19"/>
      <c r="Q40" s="22"/>
      <c r="R40" s="22"/>
      <c r="S40" s="18"/>
      <c r="CA40" s="1" t="s">
        <v>71</v>
      </c>
      <c r="CB40" s="1" t="s">
        <v>18</v>
      </c>
      <c r="CC40" s="1" t="s">
        <v>308</v>
      </c>
      <c r="CE40" s="136">
        <f>RD[[#This Row],[Part Type]]</f>
        <v>0</v>
      </c>
      <c r="CF40" s="136" t="str">
        <f>RD[[#This Row],[Type Label]]</f>
        <v>in-PSI</v>
      </c>
      <c r="CG40" s="7">
        <f>RD[[#This Row],[UID]]</f>
        <v>0</v>
      </c>
      <c r="CK40" s="7" t="str">
        <f>IF(RD[[#This Row],[Status]]=0,"",RD[[#This Row],[Status]])</f>
        <v/>
      </c>
    </row>
    <row r="41" spans="1:89">
      <c r="A41" s="8"/>
      <c r="B41" s="8"/>
      <c r="E41" s="18"/>
      <c r="G41" s="28"/>
      <c r="H41" s="28" t="str">
        <f>RD[[#This Row],[OD (inch)]]&amp;"in-"&amp;RD[[#This Row],[Pressure Burst Nominal psi]]&amp;"PSI"</f>
        <v>in-PSI</v>
      </c>
      <c r="I41" s="28"/>
      <c r="J41" s="28"/>
      <c r="L41" s="18"/>
      <c r="M41" s="18"/>
      <c r="N41" s="19"/>
      <c r="O41" s="19"/>
      <c r="P41" s="19"/>
      <c r="Q41" s="22"/>
      <c r="R41" s="22"/>
      <c r="S41" s="18"/>
      <c r="CA41" s="1" t="s">
        <v>71</v>
      </c>
      <c r="CB41" s="1" t="s">
        <v>18</v>
      </c>
      <c r="CC41" s="1" t="s">
        <v>308</v>
      </c>
      <c r="CE41" s="136">
        <f>RD[[#This Row],[Part Type]]</f>
        <v>0</v>
      </c>
      <c r="CF41" s="136" t="str">
        <f>RD[[#This Row],[Type Label]]</f>
        <v>in-PSI</v>
      </c>
      <c r="CG41" s="7">
        <f>RD[[#This Row],[UID]]</f>
        <v>0</v>
      </c>
      <c r="CK41" s="7" t="str">
        <f>IF(RD[[#This Row],[Status]]=0,"",RD[[#This Row],[Status]])</f>
        <v/>
      </c>
    </row>
    <row r="42" spans="1:89">
      <c r="A42" s="8"/>
      <c r="B42" s="8"/>
      <c r="E42" s="18"/>
      <c r="G42" s="28"/>
      <c r="H42" s="28" t="str">
        <f>RD[[#This Row],[OD (inch)]]&amp;"in-"&amp;RD[[#This Row],[Pressure Burst Nominal psi]]&amp;"PSI"</f>
        <v>in-PSI</v>
      </c>
      <c r="I42" s="28"/>
      <c r="J42" s="28"/>
      <c r="L42" s="18"/>
      <c r="M42" s="18"/>
      <c r="N42" s="19"/>
      <c r="O42" s="19"/>
      <c r="P42" s="19"/>
      <c r="Q42" s="22"/>
      <c r="R42" s="22"/>
      <c r="S42" s="18"/>
      <c r="CA42" s="1" t="s">
        <v>71</v>
      </c>
      <c r="CB42" s="1" t="s">
        <v>18</v>
      </c>
      <c r="CC42" s="1" t="s">
        <v>308</v>
      </c>
      <c r="CE42" s="136">
        <f>RD[[#This Row],[Part Type]]</f>
        <v>0</v>
      </c>
      <c r="CF42" s="136" t="str">
        <f>RD[[#This Row],[Type Label]]</f>
        <v>in-PSI</v>
      </c>
      <c r="CG42" s="7">
        <f>RD[[#This Row],[UID]]</f>
        <v>0</v>
      </c>
      <c r="CK42" s="7" t="str">
        <f>IF(RD[[#This Row],[Status]]=0,"",RD[[#This Row],[Status]])</f>
        <v/>
      </c>
    </row>
    <row r="43" spans="1:89">
      <c r="A43" s="8"/>
      <c r="B43" s="8"/>
      <c r="E43" s="18"/>
      <c r="G43" s="28"/>
      <c r="H43" s="28" t="str">
        <f>RD[[#This Row],[OD (inch)]]&amp;"in-"&amp;RD[[#This Row],[Pressure Burst Nominal psi]]&amp;"PSI"</f>
        <v>in-PSI</v>
      </c>
      <c r="I43" s="28"/>
      <c r="J43" s="28"/>
      <c r="L43" s="18"/>
      <c r="M43" s="18"/>
      <c r="N43" s="19"/>
      <c r="O43" s="19"/>
      <c r="P43" s="19"/>
      <c r="Q43" s="22"/>
      <c r="R43" s="22"/>
      <c r="S43" s="18"/>
      <c r="CA43" s="1" t="s">
        <v>71</v>
      </c>
      <c r="CB43" s="1" t="s">
        <v>18</v>
      </c>
      <c r="CC43" s="1" t="s">
        <v>308</v>
      </c>
      <c r="CE43" s="136">
        <f>RD[[#This Row],[Part Type]]</f>
        <v>0</v>
      </c>
      <c r="CF43" s="136" t="str">
        <f>RD[[#This Row],[Type Label]]</f>
        <v>in-PSI</v>
      </c>
      <c r="CG43" s="7">
        <f>RD[[#This Row],[UID]]</f>
        <v>0</v>
      </c>
      <c r="CK43" s="7" t="str">
        <f>IF(RD[[#This Row],[Status]]=0,"",RD[[#This Row],[Status]])</f>
        <v/>
      </c>
    </row>
    <row r="44" spans="1:89">
      <c r="A44" s="8"/>
      <c r="B44" s="8"/>
      <c r="E44" s="18"/>
      <c r="G44" s="28"/>
      <c r="H44" s="28" t="str">
        <f>RD[[#This Row],[OD (inch)]]&amp;"in-"&amp;RD[[#This Row],[Pressure Burst Nominal psi]]&amp;"PSI"</f>
        <v>in-PSI</v>
      </c>
      <c r="I44" s="28"/>
      <c r="J44" s="28"/>
      <c r="L44" s="18"/>
      <c r="M44" s="18"/>
      <c r="N44" s="19"/>
      <c r="O44" s="19"/>
      <c r="P44" s="19"/>
      <c r="Q44" s="22"/>
      <c r="R44" s="22"/>
      <c r="S44" s="18"/>
      <c r="CA44" s="1" t="s">
        <v>71</v>
      </c>
      <c r="CB44" s="1" t="s">
        <v>18</v>
      </c>
      <c r="CC44" s="1" t="s">
        <v>308</v>
      </c>
      <c r="CE44" s="136">
        <f>RD[[#This Row],[Part Type]]</f>
        <v>0</v>
      </c>
      <c r="CF44" s="136" t="str">
        <f>RD[[#This Row],[Type Label]]</f>
        <v>in-PSI</v>
      </c>
      <c r="CG44" s="7">
        <f>RD[[#This Row],[UID]]</f>
        <v>0</v>
      </c>
      <c r="CK44" s="7" t="str">
        <f>IF(RD[[#This Row],[Status]]=0,"",RD[[#This Row],[Status]])</f>
        <v/>
      </c>
    </row>
    <row r="45" spans="1:89">
      <c r="A45" s="8"/>
      <c r="B45" s="8"/>
      <c r="E45" s="18"/>
      <c r="G45" s="28"/>
      <c r="H45" s="28" t="str">
        <f>RD[[#This Row],[OD (inch)]]&amp;"in-"&amp;RD[[#This Row],[Pressure Burst Nominal psi]]&amp;"PSI"</f>
        <v>in-PSI</v>
      </c>
      <c r="I45" s="28"/>
      <c r="J45" s="28"/>
      <c r="L45" s="18"/>
      <c r="M45" s="18"/>
      <c r="N45" s="19"/>
      <c r="O45" s="19"/>
      <c r="P45" s="19"/>
      <c r="Q45" s="22"/>
      <c r="R45" s="22"/>
      <c r="S45" s="18"/>
      <c r="CA45" s="1" t="s">
        <v>71</v>
      </c>
      <c r="CB45" s="1" t="s">
        <v>18</v>
      </c>
      <c r="CC45" s="1" t="s">
        <v>308</v>
      </c>
      <c r="CE45" s="136">
        <f>RD[[#This Row],[Part Type]]</f>
        <v>0</v>
      </c>
      <c r="CF45" s="136" t="str">
        <f>RD[[#This Row],[Type Label]]</f>
        <v>in-PSI</v>
      </c>
      <c r="CG45" s="7">
        <f>RD[[#This Row],[UID]]</f>
        <v>0</v>
      </c>
      <c r="CK45" s="7" t="str">
        <f>IF(RD[[#This Row],[Status]]=0,"",RD[[#This Row],[Status]])</f>
        <v/>
      </c>
    </row>
    <row r="46" spans="1:89">
      <c r="A46" s="8"/>
      <c r="B46" s="8"/>
      <c r="E46" s="18"/>
      <c r="G46" s="28"/>
      <c r="H46" s="28" t="str">
        <f>RD[[#This Row],[OD (inch)]]&amp;"in-"&amp;RD[[#This Row],[Pressure Burst Nominal psi]]&amp;"PSI"</f>
        <v>in-PSI</v>
      </c>
      <c r="I46" s="28"/>
      <c r="J46" s="28"/>
      <c r="L46" s="18"/>
      <c r="M46" s="18"/>
      <c r="N46" s="19"/>
      <c r="O46" s="19"/>
      <c r="P46" s="19"/>
      <c r="Q46" s="22"/>
      <c r="R46" s="22"/>
      <c r="S46" s="18"/>
      <c r="CA46" s="1" t="s">
        <v>71</v>
      </c>
      <c r="CB46" s="1" t="s">
        <v>18</v>
      </c>
      <c r="CC46" s="1" t="s">
        <v>308</v>
      </c>
      <c r="CE46" s="136">
        <f>RD[[#This Row],[Part Type]]</f>
        <v>0</v>
      </c>
      <c r="CF46" s="136" t="str">
        <f>RD[[#This Row],[Type Label]]</f>
        <v>in-PSI</v>
      </c>
      <c r="CG46" s="7">
        <f>RD[[#This Row],[UID]]</f>
        <v>0</v>
      </c>
      <c r="CK46" s="7" t="str">
        <f>IF(RD[[#This Row],[Status]]=0,"",RD[[#This Row],[Status]])</f>
        <v/>
      </c>
    </row>
    <row r="47" spans="1:89">
      <c r="A47" s="8"/>
      <c r="B47" s="8"/>
      <c r="E47" s="18"/>
      <c r="G47" s="28"/>
      <c r="H47" s="28" t="str">
        <f>RD[[#This Row],[OD (inch)]]&amp;"in-"&amp;RD[[#This Row],[Pressure Burst Nominal psi]]&amp;"PSI"</f>
        <v>in-PSI</v>
      </c>
      <c r="I47" s="28"/>
      <c r="J47" s="28"/>
      <c r="L47" s="18"/>
      <c r="M47" s="18"/>
      <c r="N47" s="19"/>
      <c r="O47" s="19"/>
      <c r="P47" s="19"/>
      <c r="Q47" s="22"/>
      <c r="R47" s="22"/>
      <c r="S47" s="18"/>
      <c r="CA47" s="1" t="s">
        <v>71</v>
      </c>
      <c r="CB47" s="1" t="s">
        <v>18</v>
      </c>
      <c r="CC47" s="1" t="s">
        <v>308</v>
      </c>
      <c r="CE47" s="136">
        <f>RD[[#This Row],[Part Type]]</f>
        <v>0</v>
      </c>
      <c r="CF47" s="136" t="str">
        <f>RD[[#This Row],[Type Label]]</f>
        <v>in-PSI</v>
      </c>
      <c r="CG47" s="7">
        <f>RD[[#This Row],[UID]]</f>
        <v>0</v>
      </c>
      <c r="CK47" s="7" t="str">
        <f>IF(RD[[#This Row],[Status]]=0,"",RD[[#This Row],[Status]])</f>
        <v/>
      </c>
    </row>
    <row r="48" spans="1:89">
      <c r="A48" s="8"/>
      <c r="B48" s="8"/>
      <c r="E48" s="18"/>
      <c r="G48" s="28"/>
      <c r="H48" s="28" t="str">
        <f>RD[[#This Row],[OD (inch)]]&amp;"in-"&amp;RD[[#This Row],[Pressure Burst Nominal psi]]&amp;"PSI"</f>
        <v>in-PSI</v>
      </c>
      <c r="I48" s="28"/>
      <c r="J48" s="28"/>
      <c r="L48" s="18"/>
      <c r="M48" s="18"/>
      <c r="N48" s="19"/>
      <c r="O48" s="19"/>
      <c r="P48" s="19"/>
      <c r="Q48" s="22"/>
      <c r="R48" s="22"/>
      <c r="S48" s="18"/>
      <c r="CA48" s="1" t="s">
        <v>71</v>
      </c>
      <c r="CB48" s="1" t="s">
        <v>18</v>
      </c>
      <c r="CC48" s="1" t="s">
        <v>308</v>
      </c>
      <c r="CE48" s="136">
        <f>RD[[#This Row],[Part Type]]</f>
        <v>0</v>
      </c>
      <c r="CF48" s="136" t="str">
        <f>RD[[#This Row],[Type Label]]</f>
        <v>in-PSI</v>
      </c>
      <c r="CG48" s="7">
        <f>RD[[#This Row],[UID]]</f>
        <v>0</v>
      </c>
      <c r="CK48" s="7" t="str">
        <f>IF(RD[[#This Row],[Status]]=0,"",RD[[#This Row],[Status]])</f>
        <v/>
      </c>
    </row>
    <row r="49" spans="1:89">
      <c r="A49" s="8"/>
      <c r="B49" s="8"/>
      <c r="E49" s="18"/>
      <c r="G49" s="28"/>
      <c r="H49" s="28" t="str">
        <f>RD[[#This Row],[OD (inch)]]&amp;"in-"&amp;RD[[#This Row],[Pressure Burst Nominal psi]]&amp;"PSI"</f>
        <v>in-PSI</v>
      </c>
      <c r="I49" s="28"/>
      <c r="J49" s="28"/>
      <c r="L49" s="18"/>
      <c r="M49" s="18"/>
      <c r="N49" s="19"/>
      <c r="O49" s="19"/>
      <c r="P49" s="19"/>
      <c r="Q49" s="22"/>
      <c r="R49" s="22"/>
      <c r="S49" s="18"/>
      <c r="CA49" s="1" t="s">
        <v>71</v>
      </c>
      <c r="CB49" s="1" t="s">
        <v>18</v>
      </c>
      <c r="CC49" s="1" t="s">
        <v>308</v>
      </c>
      <c r="CE49" s="136">
        <f>RD[[#This Row],[Part Type]]</f>
        <v>0</v>
      </c>
      <c r="CF49" s="136" t="str">
        <f>RD[[#This Row],[Type Label]]</f>
        <v>in-PSI</v>
      </c>
      <c r="CG49" s="7">
        <f>RD[[#This Row],[UID]]</f>
        <v>0</v>
      </c>
      <c r="CK49" s="7" t="str">
        <f>IF(RD[[#This Row],[Status]]=0,"",RD[[#This Row],[Status]])</f>
        <v/>
      </c>
    </row>
    <row r="50" spans="1:89">
      <c r="A50" s="8"/>
      <c r="B50" s="8"/>
      <c r="E50" s="18"/>
      <c r="G50" s="28"/>
      <c r="H50" s="28" t="str">
        <f>RD[[#This Row],[OD (inch)]]&amp;"in-"&amp;RD[[#This Row],[Pressure Burst Nominal psi]]&amp;"PSI"</f>
        <v>in-PSI</v>
      </c>
      <c r="I50" s="28"/>
      <c r="J50" s="28"/>
      <c r="L50" s="18"/>
      <c r="M50" s="18"/>
      <c r="N50" s="19"/>
      <c r="O50" s="19"/>
      <c r="P50" s="19"/>
      <c r="Q50" s="22"/>
      <c r="R50" s="22"/>
      <c r="S50" s="18"/>
      <c r="CA50" s="1" t="s">
        <v>71</v>
      </c>
      <c r="CB50" s="1" t="s">
        <v>18</v>
      </c>
      <c r="CC50" s="1" t="s">
        <v>308</v>
      </c>
      <c r="CE50" s="136">
        <f>RD[[#This Row],[Part Type]]</f>
        <v>0</v>
      </c>
      <c r="CF50" s="136" t="str">
        <f>RD[[#This Row],[Type Label]]</f>
        <v>in-PSI</v>
      </c>
      <c r="CG50" s="7">
        <f>RD[[#This Row],[UID]]</f>
        <v>0</v>
      </c>
      <c r="CK50" s="7" t="str">
        <f>IF(RD[[#This Row],[Status]]=0,"",RD[[#This Row],[Status]])</f>
        <v/>
      </c>
    </row>
    <row r="51" spans="1:89">
      <c r="A51" s="8"/>
      <c r="B51" s="8"/>
      <c r="E51" s="18"/>
      <c r="G51" s="28"/>
      <c r="H51" s="28" t="str">
        <f>RD[[#This Row],[OD (inch)]]&amp;"in-"&amp;RD[[#This Row],[Pressure Burst Nominal psi]]&amp;"PSI"</f>
        <v>in-PSI</v>
      </c>
      <c r="I51" s="28"/>
      <c r="J51" s="28"/>
      <c r="L51" s="18"/>
      <c r="M51" s="18"/>
      <c r="N51" s="19"/>
      <c r="O51" s="19"/>
      <c r="P51" s="19"/>
      <c r="Q51" s="22"/>
      <c r="R51" s="22"/>
      <c r="S51" s="18"/>
      <c r="CA51" s="1" t="s">
        <v>71</v>
      </c>
      <c r="CB51" s="1" t="s">
        <v>18</v>
      </c>
      <c r="CC51" s="1" t="s">
        <v>308</v>
      </c>
      <c r="CE51" s="136">
        <f>RD[[#This Row],[Part Type]]</f>
        <v>0</v>
      </c>
      <c r="CF51" s="136" t="str">
        <f>RD[[#This Row],[Type Label]]</f>
        <v>in-PSI</v>
      </c>
      <c r="CG51" s="7">
        <f>RD[[#This Row],[UID]]</f>
        <v>0</v>
      </c>
      <c r="CK51" s="7" t="str">
        <f>IF(RD[[#This Row],[Status]]=0,"",RD[[#This Row],[Status]])</f>
        <v/>
      </c>
    </row>
    <row r="52" spans="1:89">
      <c r="A52" s="8"/>
      <c r="B52" s="8"/>
      <c r="E52" s="18"/>
      <c r="G52" s="28"/>
      <c r="H52" s="28" t="str">
        <f>RD[[#This Row],[OD (inch)]]&amp;"in-"&amp;RD[[#This Row],[Pressure Burst Nominal psi]]&amp;"PSI"</f>
        <v>in-PSI</v>
      </c>
      <c r="I52" s="28"/>
      <c r="J52" s="28"/>
      <c r="L52" s="18"/>
      <c r="M52" s="18"/>
      <c r="N52" s="19"/>
      <c r="O52" s="19"/>
      <c r="P52" s="19"/>
      <c r="Q52" s="22"/>
      <c r="R52" s="22"/>
      <c r="S52" s="18"/>
      <c r="CA52" s="1" t="s">
        <v>71</v>
      </c>
      <c r="CB52" s="1" t="s">
        <v>18</v>
      </c>
      <c r="CC52" s="1" t="s">
        <v>308</v>
      </c>
      <c r="CE52" s="136">
        <f>RD[[#This Row],[Part Type]]</f>
        <v>0</v>
      </c>
      <c r="CF52" s="136" t="str">
        <f>RD[[#This Row],[Type Label]]</f>
        <v>in-PSI</v>
      </c>
      <c r="CG52" s="7">
        <f>RD[[#This Row],[UID]]</f>
        <v>0</v>
      </c>
      <c r="CK52" s="7" t="str">
        <f>IF(RD[[#This Row],[Status]]=0,"",RD[[#This Row],[Status]])</f>
        <v/>
      </c>
    </row>
    <row r="53" spans="1:89">
      <c r="A53" s="8"/>
      <c r="B53" s="8"/>
      <c r="E53" s="18"/>
      <c r="G53" s="28"/>
      <c r="H53" s="28" t="str">
        <f>RD[[#This Row],[OD (inch)]]&amp;"in-"&amp;RD[[#This Row],[Pressure Burst Nominal psi]]&amp;"PSI"</f>
        <v>in-PSI</v>
      </c>
      <c r="I53" s="28"/>
      <c r="J53" s="28"/>
      <c r="L53" s="18"/>
      <c r="M53" s="18"/>
      <c r="N53" s="19"/>
      <c r="O53" s="19"/>
      <c r="P53" s="19"/>
      <c r="Q53" s="22"/>
      <c r="R53" s="22"/>
      <c r="S53" s="18"/>
      <c r="CA53" s="1" t="s">
        <v>71</v>
      </c>
      <c r="CB53" s="1" t="s">
        <v>18</v>
      </c>
      <c r="CC53" s="1" t="s">
        <v>308</v>
      </c>
      <c r="CE53" s="136">
        <f>RD[[#This Row],[Part Type]]</f>
        <v>0</v>
      </c>
      <c r="CF53" s="136" t="str">
        <f>RD[[#This Row],[Type Label]]</f>
        <v>in-PSI</v>
      </c>
      <c r="CG53" s="7">
        <f>RD[[#This Row],[UID]]</f>
        <v>0</v>
      </c>
      <c r="CK53" s="7" t="str">
        <f>IF(RD[[#This Row],[Status]]=0,"",RD[[#This Row],[Status]])</f>
        <v/>
      </c>
    </row>
    <row r="54" spans="1:89">
      <c r="A54" s="8"/>
      <c r="B54" s="8"/>
      <c r="E54" s="18"/>
      <c r="G54" s="28"/>
      <c r="H54" s="28" t="str">
        <f>RD[[#This Row],[OD (inch)]]&amp;"in-"&amp;RD[[#This Row],[Pressure Burst Nominal psi]]&amp;"PSI"</f>
        <v>in-PSI</v>
      </c>
      <c r="I54" s="28"/>
      <c r="J54" s="28"/>
      <c r="L54" s="18"/>
      <c r="M54" s="18"/>
      <c r="N54" s="19"/>
      <c r="O54" s="19"/>
      <c r="P54" s="19"/>
      <c r="Q54" s="22"/>
      <c r="R54" s="22"/>
      <c r="S54" s="18"/>
      <c r="CA54" s="1" t="s">
        <v>71</v>
      </c>
      <c r="CB54" s="1" t="s">
        <v>18</v>
      </c>
      <c r="CC54" s="1" t="s">
        <v>308</v>
      </c>
      <c r="CE54" s="136">
        <f>RD[[#This Row],[Part Type]]</f>
        <v>0</v>
      </c>
      <c r="CF54" s="136" t="str">
        <f>RD[[#This Row],[Type Label]]</f>
        <v>in-PSI</v>
      </c>
      <c r="CG54" s="7">
        <f>RD[[#This Row],[UID]]</f>
        <v>0</v>
      </c>
      <c r="CK54" s="7" t="str">
        <f>IF(RD[[#This Row],[Status]]=0,"",RD[[#This Row],[Status]])</f>
        <v/>
      </c>
    </row>
    <row r="55" spans="1:89">
      <c r="A55" s="8"/>
      <c r="B55" s="8"/>
      <c r="E55" s="18"/>
      <c r="G55" s="28"/>
      <c r="H55" s="28" t="str">
        <f>RD[[#This Row],[OD (inch)]]&amp;"in-"&amp;RD[[#This Row],[Pressure Burst Nominal psi]]&amp;"PSI"</f>
        <v>in-PSI</v>
      </c>
      <c r="I55" s="28"/>
      <c r="J55" s="28"/>
      <c r="L55" s="18"/>
      <c r="M55" s="18"/>
      <c r="N55" s="19"/>
      <c r="O55" s="19"/>
      <c r="P55" s="19"/>
      <c r="Q55" s="22"/>
      <c r="R55" s="22"/>
      <c r="S55" s="18"/>
      <c r="CA55" s="1" t="s">
        <v>71</v>
      </c>
      <c r="CB55" s="1" t="s">
        <v>18</v>
      </c>
      <c r="CC55" s="1" t="s">
        <v>308</v>
      </c>
      <c r="CE55" s="136">
        <f>RD[[#This Row],[Part Type]]</f>
        <v>0</v>
      </c>
      <c r="CF55" s="136" t="str">
        <f>RD[[#This Row],[Type Label]]</f>
        <v>in-PSI</v>
      </c>
      <c r="CG55" s="7">
        <f>RD[[#This Row],[UID]]</f>
        <v>0</v>
      </c>
      <c r="CK55" s="7" t="str">
        <f>IF(RD[[#This Row],[Status]]=0,"",RD[[#This Row],[Status]])</f>
        <v/>
      </c>
    </row>
    <row r="56" spans="1:89">
      <c r="A56" s="8"/>
      <c r="B56" s="8"/>
      <c r="E56" s="18"/>
      <c r="G56" s="28"/>
      <c r="H56" s="28" t="str">
        <f>RD[[#This Row],[OD (inch)]]&amp;"in-"&amp;RD[[#This Row],[Pressure Burst Nominal psi]]&amp;"PSI"</f>
        <v>in-PSI</v>
      </c>
      <c r="I56" s="28"/>
      <c r="J56" s="28"/>
      <c r="L56" s="18"/>
      <c r="M56" s="18"/>
      <c r="N56" s="19"/>
      <c r="O56" s="19"/>
      <c r="P56" s="19"/>
      <c r="Q56" s="22"/>
      <c r="R56" s="22"/>
      <c r="S56" s="18"/>
      <c r="CA56" s="1" t="s">
        <v>71</v>
      </c>
      <c r="CB56" s="1" t="s">
        <v>18</v>
      </c>
      <c r="CC56" s="1" t="s">
        <v>308</v>
      </c>
      <c r="CE56" s="136">
        <f>RD[[#This Row],[Part Type]]</f>
        <v>0</v>
      </c>
      <c r="CF56" s="136" t="str">
        <f>RD[[#This Row],[Type Label]]</f>
        <v>in-PSI</v>
      </c>
      <c r="CG56" s="7">
        <f>RD[[#This Row],[UID]]</f>
        <v>0</v>
      </c>
      <c r="CK56" s="7" t="str">
        <f>IF(RD[[#This Row],[Status]]=0,"",RD[[#This Row],[Status]])</f>
        <v/>
      </c>
    </row>
    <row r="57" spans="1:89">
      <c r="A57" s="8"/>
      <c r="B57" s="8"/>
      <c r="E57" s="18"/>
      <c r="G57" s="28"/>
      <c r="H57" s="28" t="str">
        <f>RD[[#This Row],[OD (inch)]]&amp;"in-"&amp;RD[[#This Row],[Pressure Burst Nominal psi]]&amp;"PSI"</f>
        <v>in-PSI</v>
      </c>
      <c r="I57" s="28"/>
      <c r="J57" s="28"/>
      <c r="L57" s="18"/>
      <c r="M57" s="18"/>
      <c r="N57" s="19"/>
      <c r="O57" s="19"/>
      <c r="P57" s="19"/>
      <c r="Q57" s="22"/>
      <c r="R57" s="22"/>
      <c r="S57" s="18"/>
      <c r="CA57" s="1" t="s">
        <v>71</v>
      </c>
      <c r="CB57" s="1" t="s">
        <v>18</v>
      </c>
      <c r="CC57" s="1" t="s">
        <v>308</v>
      </c>
      <c r="CE57" s="136">
        <f>RD[[#This Row],[Part Type]]</f>
        <v>0</v>
      </c>
      <c r="CF57" s="136" t="str">
        <f>RD[[#This Row],[Type Label]]</f>
        <v>in-PSI</v>
      </c>
      <c r="CG57" s="7">
        <f>RD[[#This Row],[UID]]</f>
        <v>0</v>
      </c>
      <c r="CK57" s="7" t="str">
        <f>IF(RD[[#This Row],[Status]]=0,"",RD[[#This Row],[Status]])</f>
        <v/>
      </c>
    </row>
    <row r="58" spans="1:89">
      <c r="A58" s="8"/>
      <c r="B58" s="8"/>
      <c r="E58" s="18"/>
      <c r="G58" s="28"/>
      <c r="H58" s="28" t="str">
        <f>RD[[#This Row],[OD (inch)]]&amp;"in-"&amp;RD[[#This Row],[Pressure Burst Nominal psi]]&amp;"PSI"</f>
        <v>in-PSI</v>
      </c>
      <c r="I58" s="28"/>
      <c r="J58" s="28"/>
      <c r="L58" s="18"/>
      <c r="M58" s="18"/>
      <c r="N58" s="19"/>
      <c r="O58" s="19"/>
      <c r="P58" s="19"/>
      <c r="Q58" s="22"/>
      <c r="R58" s="22"/>
      <c r="S58" s="18"/>
      <c r="CA58" s="1" t="s">
        <v>71</v>
      </c>
      <c r="CB58" s="1" t="s">
        <v>18</v>
      </c>
      <c r="CC58" s="1" t="s">
        <v>308</v>
      </c>
      <c r="CE58" s="136">
        <f>RD[[#This Row],[Part Type]]</f>
        <v>0</v>
      </c>
      <c r="CF58" s="136" t="str">
        <f>RD[[#This Row],[Type Label]]</f>
        <v>in-PSI</v>
      </c>
      <c r="CG58" s="7">
        <f>RD[[#This Row],[UID]]</f>
        <v>0</v>
      </c>
      <c r="CK58" s="7" t="str">
        <f>IF(RD[[#This Row],[Status]]=0,"",RD[[#This Row],[Status]])</f>
        <v/>
      </c>
    </row>
    <row r="59" spans="1:89">
      <c r="A59" s="8"/>
      <c r="B59" s="8"/>
      <c r="E59" s="18"/>
      <c r="G59" s="28"/>
      <c r="H59" s="28" t="str">
        <f>RD[[#This Row],[OD (inch)]]&amp;"in-"&amp;RD[[#This Row],[Pressure Burst Nominal psi]]&amp;"PSI"</f>
        <v>in-PSI</v>
      </c>
      <c r="I59" s="28"/>
      <c r="J59" s="28"/>
      <c r="L59" s="18"/>
      <c r="M59" s="18"/>
      <c r="N59" s="19"/>
      <c r="O59" s="19"/>
      <c r="P59" s="19"/>
      <c r="Q59" s="22"/>
      <c r="R59" s="22"/>
      <c r="S59" s="18"/>
      <c r="CA59" s="1" t="s">
        <v>71</v>
      </c>
      <c r="CB59" s="1" t="s">
        <v>18</v>
      </c>
      <c r="CC59" s="1" t="s">
        <v>308</v>
      </c>
      <c r="CE59" s="136">
        <f>RD[[#This Row],[Part Type]]</f>
        <v>0</v>
      </c>
      <c r="CF59" s="136" t="str">
        <f>RD[[#This Row],[Type Label]]</f>
        <v>in-PSI</v>
      </c>
      <c r="CG59" s="7">
        <f>RD[[#This Row],[UID]]</f>
        <v>0</v>
      </c>
      <c r="CK59" s="7" t="str">
        <f>IF(RD[[#This Row],[Status]]=0,"",RD[[#This Row],[Status]])</f>
        <v/>
      </c>
    </row>
    <row r="60" spans="1:89">
      <c r="A60" s="8"/>
      <c r="B60" s="8"/>
      <c r="E60" s="18"/>
      <c r="G60" s="28"/>
      <c r="H60" s="28" t="str">
        <f>RD[[#This Row],[OD (inch)]]&amp;"in-"&amp;RD[[#This Row],[Pressure Burst Nominal psi]]&amp;"PSI"</f>
        <v>in-PSI</v>
      </c>
      <c r="I60" s="28"/>
      <c r="J60" s="28"/>
      <c r="L60" s="18"/>
      <c r="M60" s="18"/>
      <c r="N60" s="19"/>
      <c r="O60" s="19"/>
      <c r="P60" s="19"/>
      <c r="Q60" s="22"/>
      <c r="R60" s="22"/>
      <c r="S60" s="18"/>
      <c r="CA60" s="1" t="s">
        <v>71</v>
      </c>
      <c r="CB60" s="1" t="s">
        <v>18</v>
      </c>
      <c r="CC60" s="1" t="s">
        <v>308</v>
      </c>
      <c r="CE60" s="136">
        <f>RD[[#This Row],[Part Type]]</f>
        <v>0</v>
      </c>
      <c r="CF60" s="136" t="str">
        <f>RD[[#This Row],[Type Label]]</f>
        <v>in-PSI</v>
      </c>
      <c r="CG60" s="7">
        <f>RD[[#This Row],[UID]]</f>
        <v>0</v>
      </c>
      <c r="CK60" s="7" t="str">
        <f>IF(RD[[#This Row],[Status]]=0,"",RD[[#This Row],[Status]])</f>
        <v/>
      </c>
    </row>
    <row r="61" spans="1:89">
      <c r="A61" s="8"/>
      <c r="B61" s="8"/>
      <c r="E61" s="18"/>
      <c r="G61" s="28"/>
      <c r="H61" s="28" t="str">
        <f>RD[[#This Row],[OD (inch)]]&amp;"in-"&amp;RD[[#This Row],[Pressure Burst Nominal psi]]&amp;"PSI"</f>
        <v>in-PSI</v>
      </c>
      <c r="I61" s="28"/>
      <c r="J61" s="28"/>
      <c r="L61" s="18"/>
      <c r="M61" s="18"/>
      <c r="N61" s="19"/>
      <c r="O61" s="19"/>
      <c r="P61" s="19"/>
      <c r="Q61" s="22"/>
      <c r="R61" s="22"/>
      <c r="S61" s="18"/>
      <c r="CA61" s="1" t="s">
        <v>71</v>
      </c>
      <c r="CB61" s="1" t="s">
        <v>18</v>
      </c>
      <c r="CC61" s="1" t="s">
        <v>308</v>
      </c>
      <c r="CE61" s="136">
        <f>RD[[#This Row],[Part Type]]</f>
        <v>0</v>
      </c>
      <c r="CF61" s="136" t="str">
        <f>RD[[#This Row],[Type Label]]</f>
        <v>in-PSI</v>
      </c>
      <c r="CG61" s="7">
        <f>RD[[#This Row],[UID]]</f>
        <v>0</v>
      </c>
      <c r="CK61" s="7" t="str">
        <f>IF(RD[[#This Row],[Status]]=0,"",RD[[#This Row],[Status]])</f>
        <v/>
      </c>
    </row>
    <row r="62" spans="1:89">
      <c r="A62" s="8"/>
      <c r="B62" s="8"/>
      <c r="E62" s="18"/>
      <c r="G62" s="28"/>
      <c r="H62" s="28" t="str">
        <f>RD[[#This Row],[OD (inch)]]&amp;"in-"&amp;RD[[#This Row],[Pressure Burst Nominal psi]]&amp;"PSI"</f>
        <v>in-PSI</v>
      </c>
      <c r="I62" s="28"/>
      <c r="J62" s="28"/>
      <c r="L62" s="18"/>
      <c r="M62" s="18"/>
      <c r="N62" s="19"/>
      <c r="O62" s="19"/>
      <c r="P62" s="19"/>
      <c r="Q62" s="22"/>
      <c r="R62" s="22"/>
      <c r="S62" s="18"/>
      <c r="CA62" s="1" t="s">
        <v>71</v>
      </c>
      <c r="CB62" s="1" t="s">
        <v>18</v>
      </c>
      <c r="CC62" s="1" t="s">
        <v>308</v>
      </c>
      <c r="CE62" s="136">
        <f>RD[[#This Row],[Part Type]]</f>
        <v>0</v>
      </c>
      <c r="CF62" s="136" t="str">
        <f>RD[[#This Row],[Type Label]]</f>
        <v>in-PSI</v>
      </c>
      <c r="CG62" s="7">
        <f>RD[[#This Row],[UID]]</f>
        <v>0</v>
      </c>
      <c r="CK62" s="7" t="str">
        <f>IF(RD[[#This Row],[Status]]=0,"",RD[[#This Row],[Status]])</f>
        <v/>
      </c>
    </row>
    <row r="63" spans="1:89">
      <c r="A63" s="8"/>
      <c r="B63" s="8"/>
      <c r="E63" s="18"/>
      <c r="G63" s="28"/>
      <c r="H63" s="28" t="str">
        <f>RD[[#This Row],[OD (inch)]]&amp;"in-"&amp;RD[[#This Row],[Pressure Burst Nominal psi]]&amp;"PSI"</f>
        <v>in-PSI</v>
      </c>
      <c r="I63" s="28"/>
      <c r="J63" s="28"/>
      <c r="L63" s="18"/>
      <c r="M63" s="18"/>
      <c r="N63" s="19"/>
      <c r="O63" s="19"/>
      <c r="P63" s="19"/>
      <c r="Q63" s="22"/>
      <c r="R63" s="22"/>
      <c r="S63" s="18"/>
      <c r="CA63" s="1" t="s">
        <v>71</v>
      </c>
      <c r="CB63" s="1" t="s">
        <v>18</v>
      </c>
      <c r="CC63" s="1" t="s">
        <v>308</v>
      </c>
      <c r="CE63" s="136">
        <f>RD[[#This Row],[Part Type]]</f>
        <v>0</v>
      </c>
      <c r="CF63" s="136" t="str">
        <f>RD[[#This Row],[Type Label]]</f>
        <v>in-PSI</v>
      </c>
      <c r="CG63" s="7">
        <f>RD[[#This Row],[UID]]</f>
        <v>0</v>
      </c>
      <c r="CK63" s="7" t="str">
        <f>IF(RD[[#This Row],[Status]]=0,"",RD[[#This Row],[Status]])</f>
        <v/>
      </c>
    </row>
    <row r="64" spans="1:89">
      <c r="A64" s="8"/>
      <c r="B64" s="8"/>
      <c r="E64" s="18"/>
      <c r="G64" s="28"/>
      <c r="H64" s="28" t="str">
        <f>RD[[#This Row],[OD (inch)]]&amp;"in-"&amp;RD[[#This Row],[Pressure Burst Nominal psi]]&amp;"PSI"</f>
        <v>in-PSI</v>
      </c>
      <c r="I64" s="28"/>
      <c r="J64" s="28"/>
      <c r="L64" s="18"/>
      <c r="M64" s="18"/>
      <c r="N64" s="19"/>
      <c r="O64" s="19"/>
      <c r="P64" s="19"/>
      <c r="Q64" s="22"/>
      <c r="R64" s="22"/>
      <c r="S64" s="18"/>
      <c r="CA64" s="1" t="s">
        <v>71</v>
      </c>
      <c r="CB64" s="1" t="s">
        <v>18</v>
      </c>
      <c r="CC64" s="1" t="s">
        <v>308</v>
      </c>
      <c r="CE64" s="136">
        <f>RD[[#This Row],[Part Type]]</f>
        <v>0</v>
      </c>
      <c r="CF64" s="136" t="str">
        <f>RD[[#This Row],[Type Label]]</f>
        <v>in-PSI</v>
      </c>
      <c r="CG64" s="7">
        <f>RD[[#This Row],[UID]]</f>
        <v>0</v>
      </c>
      <c r="CK64" s="7" t="str">
        <f>IF(RD[[#This Row],[Status]]=0,"",RD[[#This Row],[Status]])</f>
        <v/>
      </c>
    </row>
    <row r="65" spans="1:89">
      <c r="A65" s="8"/>
      <c r="B65" s="8"/>
      <c r="E65" s="18"/>
      <c r="G65" s="28"/>
      <c r="H65" s="28" t="str">
        <f>RD[[#This Row],[OD (inch)]]&amp;"in-"&amp;RD[[#This Row],[Pressure Burst Nominal psi]]&amp;"PSI"</f>
        <v>in-PSI</v>
      </c>
      <c r="I65" s="28"/>
      <c r="J65" s="28"/>
      <c r="L65" s="18"/>
      <c r="M65" s="18"/>
      <c r="N65" s="19"/>
      <c r="O65" s="19"/>
      <c r="P65" s="19"/>
      <c r="Q65" s="22"/>
      <c r="R65" s="22"/>
      <c r="S65" s="18"/>
      <c r="CA65" s="1" t="s">
        <v>71</v>
      </c>
      <c r="CB65" s="1" t="s">
        <v>18</v>
      </c>
      <c r="CC65" s="1" t="s">
        <v>308</v>
      </c>
      <c r="CE65" s="136">
        <f>RD[[#This Row],[Part Type]]</f>
        <v>0</v>
      </c>
      <c r="CF65" s="136" t="str">
        <f>RD[[#This Row],[Type Label]]</f>
        <v>in-PSI</v>
      </c>
      <c r="CG65" s="7">
        <f>RD[[#This Row],[UID]]</f>
        <v>0</v>
      </c>
      <c r="CK65" s="7" t="str">
        <f>IF(RD[[#This Row],[Status]]=0,"",RD[[#This Row],[Status]])</f>
        <v/>
      </c>
    </row>
    <row r="66" spans="1:89">
      <c r="A66" s="8"/>
      <c r="B66" s="8"/>
      <c r="E66" s="18"/>
      <c r="G66" s="28"/>
      <c r="H66" s="28" t="str">
        <f>RD[[#This Row],[OD (inch)]]&amp;"in-"&amp;RD[[#This Row],[Pressure Burst Nominal psi]]&amp;"PSI"</f>
        <v>in-PSI</v>
      </c>
      <c r="I66" s="28"/>
      <c r="J66" s="28"/>
      <c r="L66" s="18"/>
      <c r="M66" s="18"/>
      <c r="N66" s="19"/>
      <c r="O66" s="19"/>
      <c r="P66" s="19"/>
      <c r="Q66" s="22"/>
      <c r="R66" s="22"/>
      <c r="S66" s="18"/>
      <c r="CA66" s="1" t="s">
        <v>71</v>
      </c>
      <c r="CB66" s="1" t="s">
        <v>18</v>
      </c>
      <c r="CC66" s="1" t="s">
        <v>308</v>
      </c>
      <c r="CE66" s="136">
        <f>RD[[#This Row],[Part Type]]</f>
        <v>0</v>
      </c>
      <c r="CF66" s="136" t="str">
        <f>RD[[#This Row],[Type Label]]</f>
        <v>in-PSI</v>
      </c>
      <c r="CG66" s="7">
        <f>RD[[#This Row],[UID]]</f>
        <v>0</v>
      </c>
      <c r="CK66" s="7" t="str">
        <f>IF(RD[[#This Row],[Status]]=0,"",RD[[#This Row],[Status]])</f>
        <v/>
      </c>
    </row>
    <row r="67" spans="1:89">
      <c r="A67" s="8"/>
      <c r="B67" s="8"/>
      <c r="E67" s="18"/>
      <c r="G67" s="28"/>
      <c r="H67" s="28" t="str">
        <f>RD[[#This Row],[OD (inch)]]&amp;"in-"&amp;RD[[#This Row],[Pressure Burst Nominal psi]]&amp;"PSI"</f>
        <v>in-PSI</v>
      </c>
      <c r="I67" s="28"/>
      <c r="J67" s="28"/>
      <c r="L67" s="18"/>
      <c r="M67" s="18"/>
      <c r="N67" s="19"/>
      <c r="O67" s="19"/>
      <c r="P67" s="19"/>
      <c r="Q67" s="22"/>
      <c r="R67" s="22"/>
      <c r="S67" s="18"/>
      <c r="CA67" s="1" t="s">
        <v>71</v>
      </c>
      <c r="CB67" s="1" t="s">
        <v>18</v>
      </c>
      <c r="CC67" s="1" t="s">
        <v>308</v>
      </c>
      <c r="CE67" s="136">
        <f>RD[[#This Row],[Part Type]]</f>
        <v>0</v>
      </c>
      <c r="CF67" s="136" t="str">
        <f>RD[[#This Row],[Type Label]]</f>
        <v>in-PSI</v>
      </c>
      <c r="CG67" s="7">
        <f>RD[[#This Row],[UID]]</f>
        <v>0</v>
      </c>
      <c r="CK67" s="7" t="str">
        <f>IF(RD[[#This Row],[Status]]=0,"",RD[[#This Row],[Status]])</f>
        <v/>
      </c>
    </row>
    <row r="68" spans="1:89">
      <c r="A68" s="8"/>
      <c r="B68" s="8"/>
      <c r="E68" s="18"/>
      <c r="G68" s="28"/>
      <c r="H68" s="28" t="str">
        <f>RD[[#This Row],[OD (inch)]]&amp;"in-"&amp;RD[[#This Row],[Pressure Burst Nominal psi]]&amp;"PSI"</f>
        <v>in-PSI</v>
      </c>
      <c r="I68" s="28"/>
      <c r="J68" s="28"/>
      <c r="L68" s="18"/>
      <c r="M68" s="18"/>
      <c r="N68" s="19"/>
      <c r="O68" s="19"/>
      <c r="P68" s="19"/>
      <c r="Q68" s="22"/>
      <c r="R68" s="22"/>
      <c r="S68" s="18"/>
      <c r="CA68" s="1" t="s">
        <v>71</v>
      </c>
      <c r="CB68" s="1" t="s">
        <v>18</v>
      </c>
      <c r="CC68" s="1" t="s">
        <v>308</v>
      </c>
      <c r="CE68" s="136">
        <f>RD[[#This Row],[Part Type]]</f>
        <v>0</v>
      </c>
      <c r="CF68" s="136" t="str">
        <f>RD[[#This Row],[Type Label]]</f>
        <v>in-PSI</v>
      </c>
      <c r="CG68" s="7">
        <f>RD[[#This Row],[UID]]</f>
        <v>0</v>
      </c>
      <c r="CK68" s="7" t="str">
        <f>IF(RD[[#This Row],[Status]]=0,"",RD[[#This Row],[Status]])</f>
        <v/>
      </c>
    </row>
    <row r="69" spans="1:89">
      <c r="A69" s="8"/>
      <c r="B69" s="8"/>
      <c r="E69" s="18"/>
      <c r="G69" s="28"/>
      <c r="H69" s="28" t="str">
        <f>RD[[#This Row],[OD (inch)]]&amp;"in-"&amp;RD[[#This Row],[Pressure Burst Nominal psi]]&amp;"PSI"</f>
        <v>in-PSI</v>
      </c>
      <c r="I69" s="28"/>
      <c r="J69" s="28"/>
      <c r="L69" s="18"/>
      <c r="M69" s="18"/>
      <c r="N69" s="19"/>
      <c r="O69" s="19"/>
      <c r="P69" s="19"/>
      <c r="Q69" s="22"/>
      <c r="R69" s="22"/>
      <c r="S69" s="18"/>
      <c r="CA69" s="1" t="s">
        <v>71</v>
      </c>
      <c r="CB69" s="1" t="s">
        <v>18</v>
      </c>
      <c r="CC69" s="1" t="s">
        <v>308</v>
      </c>
      <c r="CE69" s="136">
        <f>RD[[#This Row],[Part Type]]</f>
        <v>0</v>
      </c>
      <c r="CF69" s="136" t="str">
        <f>RD[[#This Row],[Type Label]]</f>
        <v>in-PSI</v>
      </c>
      <c r="CG69" s="7">
        <f>RD[[#This Row],[UID]]</f>
        <v>0</v>
      </c>
      <c r="CK69" s="7" t="str">
        <f>IF(RD[[#This Row],[Status]]=0,"",RD[[#This Row],[Status]])</f>
        <v/>
      </c>
    </row>
    <row r="70" spans="1:89">
      <c r="A70" s="8"/>
      <c r="B70" s="8"/>
      <c r="E70" s="18"/>
      <c r="G70" s="28"/>
      <c r="H70" s="28" t="str">
        <f>RD[[#This Row],[OD (inch)]]&amp;"in-"&amp;RD[[#This Row],[Pressure Burst Nominal psi]]&amp;"PSI"</f>
        <v>in-PSI</v>
      </c>
      <c r="I70" s="28"/>
      <c r="J70" s="28"/>
      <c r="L70" s="18"/>
      <c r="M70" s="18"/>
      <c r="N70" s="19"/>
      <c r="O70" s="19"/>
      <c r="P70" s="19"/>
      <c r="Q70" s="22"/>
      <c r="R70" s="22"/>
      <c r="S70" s="18"/>
      <c r="CA70" s="1" t="s">
        <v>71</v>
      </c>
      <c r="CB70" s="1" t="s">
        <v>18</v>
      </c>
      <c r="CC70" s="1" t="s">
        <v>308</v>
      </c>
      <c r="CE70" s="136">
        <f>RD[[#This Row],[Part Type]]</f>
        <v>0</v>
      </c>
      <c r="CF70" s="136" t="str">
        <f>RD[[#This Row],[Type Label]]</f>
        <v>in-PSI</v>
      </c>
      <c r="CG70" s="7">
        <f>RD[[#This Row],[UID]]</f>
        <v>0</v>
      </c>
      <c r="CK70" s="7" t="str">
        <f>IF(RD[[#This Row],[Status]]=0,"",RD[[#This Row],[Status]])</f>
        <v/>
      </c>
    </row>
    <row r="71" spans="1:89">
      <c r="A71" s="8"/>
      <c r="B71" s="8"/>
      <c r="E71" s="18"/>
      <c r="G71" s="28"/>
      <c r="H71" s="28" t="str">
        <f>RD[[#This Row],[OD (inch)]]&amp;"in-"&amp;RD[[#This Row],[Pressure Burst Nominal psi]]&amp;"PSI"</f>
        <v>in-PSI</v>
      </c>
      <c r="I71" s="28"/>
      <c r="J71" s="28"/>
      <c r="L71" s="18"/>
      <c r="M71" s="18"/>
      <c r="N71" s="19"/>
      <c r="O71" s="19"/>
      <c r="P71" s="19"/>
      <c r="Q71" s="22"/>
      <c r="R71" s="22"/>
      <c r="S71" s="18"/>
      <c r="CA71" s="1" t="s">
        <v>71</v>
      </c>
      <c r="CB71" s="1" t="s">
        <v>18</v>
      </c>
      <c r="CC71" s="1" t="s">
        <v>308</v>
      </c>
      <c r="CE71" s="136">
        <f>RD[[#This Row],[Part Type]]</f>
        <v>0</v>
      </c>
      <c r="CF71" s="136" t="str">
        <f>RD[[#This Row],[Type Label]]</f>
        <v>in-PSI</v>
      </c>
      <c r="CG71" s="7">
        <f>RD[[#This Row],[UID]]</f>
        <v>0</v>
      </c>
      <c r="CK71" s="7" t="str">
        <f>IF(RD[[#This Row],[Status]]=0,"",RD[[#This Row],[Status]])</f>
        <v/>
      </c>
    </row>
    <row r="72" spans="1:89">
      <c r="A72" s="8"/>
      <c r="B72" s="8"/>
      <c r="E72" s="18"/>
      <c r="G72" s="28"/>
      <c r="H72" s="28" t="str">
        <f>RD[[#This Row],[OD (inch)]]&amp;"in-"&amp;RD[[#This Row],[Pressure Burst Nominal psi]]&amp;"PSI"</f>
        <v>in-PSI</v>
      </c>
      <c r="I72" s="28"/>
      <c r="J72" s="28"/>
      <c r="L72" s="18"/>
      <c r="M72" s="18"/>
      <c r="N72" s="19"/>
      <c r="O72" s="19"/>
      <c r="P72" s="19"/>
      <c r="Q72" s="22"/>
      <c r="R72" s="22"/>
      <c r="S72" s="18"/>
      <c r="CA72" s="1" t="s">
        <v>71</v>
      </c>
      <c r="CB72" s="1" t="s">
        <v>18</v>
      </c>
      <c r="CC72" s="1" t="s">
        <v>308</v>
      </c>
      <c r="CE72" s="136">
        <f>RD[[#This Row],[Part Type]]</f>
        <v>0</v>
      </c>
      <c r="CF72" s="136" t="str">
        <f>RD[[#This Row],[Type Label]]</f>
        <v>in-PSI</v>
      </c>
      <c r="CG72" s="7">
        <f>RD[[#This Row],[UID]]</f>
        <v>0</v>
      </c>
      <c r="CK72" s="7" t="str">
        <f>IF(RD[[#This Row],[Status]]=0,"",RD[[#This Row],[Status]])</f>
        <v/>
      </c>
    </row>
    <row r="73" spans="1:89">
      <c r="A73" s="8"/>
      <c r="B73" s="8"/>
      <c r="E73" s="18"/>
      <c r="G73" s="28"/>
      <c r="H73" s="28" t="str">
        <f>RD[[#This Row],[OD (inch)]]&amp;"in-"&amp;RD[[#This Row],[Pressure Burst Nominal psi]]&amp;"PSI"</f>
        <v>in-PSI</v>
      </c>
      <c r="I73" s="28"/>
      <c r="J73" s="28"/>
      <c r="L73" s="18"/>
      <c r="M73" s="18"/>
      <c r="N73" s="19"/>
      <c r="O73" s="19"/>
      <c r="P73" s="19"/>
      <c r="Q73" s="22"/>
      <c r="R73" s="22"/>
      <c r="S73" s="18"/>
      <c r="CA73" s="1" t="s">
        <v>71</v>
      </c>
      <c r="CB73" s="1" t="s">
        <v>18</v>
      </c>
      <c r="CC73" s="1" t="s">
        <v>308</v>
      </c>
      <c r="CE73" s="136">
        <f>RD[[#This Row],[Part Type]]</f>
        <v>0</v>
      </c>
      <c r="CF73" s="136" t="str">
        <f>RD[[#This Row],[Type Label]]</f>
        <v>in-PSI</v>
      </c>
      <c r="CG73" s="7">
        <f>RD[[#This Row],[UID]]</f>
        <v>0</v>
      </c>
      <c r="CK73" s="7" t="str">
        <f>IF(RD[[#This Row],[Status]]=0,"",RD[[#This Row],[Status]])</f>
        <v/>
      </c>
    </row>
    <row r="74" spans="1:89">
      <c r="A74" s="8"/>
      <c r="B74" s="8"/>
      <c r="E74" s="18"/>
      <c r="G74" s="28"/>
      <c r="H74" s="28" t="str">
        <f>RD[[#This Row],[OD (inch)]]&amp;"in-"&amp;RD[[#This Row],[Pressure Burst Nominal psi]]&amp;"PSI"</f>
        <v>in-PSI</v>
      </c>
      <c r="I74" s="28"/>
      <c r="J74" s="28"/>
      <c r="L74" s="18"/>
      <c r="M74" s="18"/>
      <c r="N74" s="19"/>
      <c r="O74" s="19"/>
      <c r="P74" s="19"/>
      <c r="Q74" s="22"/>
      <c r="R74" s="22"/>
      <c r="S74" s="18"/>
      <c r="CA74" s="1" t="s">
        <v>71</v>
      </c>
      <c r="CB74" s="1" t="s">
        <v>18</v>
      </c>
      <c r="CC74" s="1" t="s">
        <v>308</v>
      </c>
      <c r="CE74" s="136">
        <f>RD[[#This Row],[Part Type]]</f>
        <v>0</v>
      </c>
      <c r="CF74" s="136" t="str">
        <f>RD[[#This Row],[Type Label]]</f>
        <v>in-PSI</v>
      </c>
      <c r="CG74" s="7">
        <f>RD[[#This Row],[UID]]</f>
        <v>0</v>
      </c>
      <c r="CK74" s="7" t="str">
        <f>IF(RD[[#This Row],[Status]]=0,"",RD[[#This Row],[Status]])</f>
        <v/>
      </c>
    </row>
    <row r="75" spans="1:89">
      <c r="A75" s="8"/>
      <c r="B75" s="8"/>
      <c r="E75" s="18"/>
      <c r="G75" s="28"/>
      <c r="H75" s="28" t="str">
        <f>RD[[#This Row],[OD (inch)]]&amp;"in-"&amp;RD[[#This Row],[Pressure Burst Nominal psi]]&amp;"PSI"</f>
        <v>in-PSI</v>
      </c>
      <c r="I75" s="28"/>
      <c r="J75" s="28"/>
      <c r="L75" s="18"/>
      <c r="M75" s="18"/>
      <c r="N75" s="19"/>
      <c r="O75" s="19"/>
      <c r="P75" s="19"/>
      <c r="Q75" s="22"/>
      <c r="R75" s="22"/>
      <c r="S75" s="18"/>
      <c r="CA75" s="1" t="s">
        <v>71</v>
      </c>
      <c r="CB75" s="1" t="s">
        <v>18</v>
      </c>
      <c r="CC75" s="1" t="s">
        <v>308</v>
      </c>
      <c r="CE75" s="136">
        <f>RD[[#This Row],[Part Type]]</f>
        <v>0</v>
      </c>
      <c r="CF75" s="136" t="str">
        <f>RD[[#This Row],[Type Label]]</f>
        <v>in-PSI</v>
      </c>
      <c r="CG75" s="7">
        <f>RD[[#This Row],[UID]]</f>
        <v>0</v>
      </c>
      <c r="CK75" s="7" t="str">
        <f>IF(RD[[#This Row],[Status]]=0,"",RD[[#This Row],[Status]])</f>
        <v/>
      </c>
    </row>
    <row r="76" spans="1:89">
      <c r="A76" s="8"/>
      <c r="B76" s="8"/>
      <c r="E76" s="18"/>
      <c r="G76" s="28"/>
      <c r="H76" s="28" t="str">
        <f>RD[[#This Row],[OD (inch)]]&amp;"in-"&amp;RD[[#This Row],[Pressure Burst Nominal psi]]&amp;"PSI"</f>
        <v>in-PSI</v>
      </c>
      <c r="I76" s="28"/>
      <c r="J76" s="28"/>
      <c r="L76" s="18"/>
      <c r="M76" s="18"/>
      <c r="N76" s="19"/>
      <c r="O76" s="19"/>
      <c r="P76" s="19"/>
      <c r="Q76" s="22"/>
      <c r="R76" s="22"/>
      <c r="S76" s="18"/>
      <c r="CA76" s="1" t="s">
        <v>71</v>
      </c>
      <c r="CB76" s="1" t="s">
        <v>18</v>
      </c>
      <c r="CC76" s="1" t="s">
        <v>308</v>
      </c>
      <c r="CE76" s="136">
        <f>RD[[#This Row],[Part Type]]</f>
        <v>0</v>
      </c>
      <c r="CF76" s="136" t="str">
        <f>RD[[#This Row],[Type Label]]</f>
        <v>in-PSI</v>
      </c>
      <c r="CG76" s="7">
        <f>RD[[#This Row],[UID]]</f>
        <v>0</v>
      </c>
      <c r="CK76" s="7" t="str">
        <f>IF(RD[[#This Row],[Status]]=0,"",RD[[#This Row],[Status]])</f>
        <v/>
      </c>
    </row>
    <row r="77" spans="1:89">
      <c r="A77" s="8"/>
      <c r="B77" s="8"/>
      <c r="E77" s="18"/>
      <c r="G77" s="28"/>
      <c r="H77" s="28" t="str">
        <f>RD[[#This Row],[OD (inch)]]&amp;"in-"&amp;RD[[#This Row],[Pressure Burst Nominal psi]]&amp;"PSI"</f>
        <v>in-PSI</v>
      </c>
      <c r="I77" s="28"/>
      <c r="J77" s="28"/>
      <c r="L77" s="18"/>
      <c r="M77" s="18"/>
      <c r="N77" s="19"/>
      <c r="O77" s="19"/>
      <c r="P77" s="19"/>
      <c r="Q77" s="22"/>
      <c r="R77" s="22"/>
      <c r="S77" s="18"/>
      <c r="CA77" s="1" t="s">
        <v>71</v>
      </c>
      <c r="CB77" s="1" t="s">
        <v>18</v>
      </c>
      <c r="CC77" s="1" t="s">
        <v>308</v>
      </c>
      <c r="CE77" s="136">
        <f>RD[[#This Row],[Part Type]]</f>
        <v>0</v>
      </c>
      <c r="CF77" s="136" t="str">
        <f>RD[[#This Row],[Type Label]]</f>
        <v>in-PSI</v>
      </c>
      <c r="CG77" s="7">
        <f>RD[[#This Row],[UID]]</f>
        <v>0</v>
      </c>
      <c r="CK77" s="7" t="str">
        <f>IF(RD[[#This Row],[Status]]=0,"",RD[[#This Row],[Status]])</f>
        <v/>
      </c>
    </row>
    <row r="78" spans="1:89">
      <c r="A78" s="8"/>
      <c r="B78" s="8"/>
      <c r="E78" s="18"/>
      <c r="G78" s="28"/>
      <c r="H78" s="28" t="str">
        <f>RD[[#This Row],[OD (inch)]]&amp;"in-"&amp;RD[[#This Row],[Pressure Burst Nominal psi]]&amp;"PSI"</f>
        <v>in-PSI</v>
      </c>
      <c r="I78" s="28"/>
      <c r="J78" s="28"/>
      <c r="L78" s="18"/>
      <c r="M78" s="18"/>
      <c r="N78" s="19"/>
      <c r="O78" s="19"/>
      <c r="P78" s="19"/>
      <c r="Q78" s="22"/>
      <c r="R78" s="22"/>
      <c r="S78" s="18"/>
      <c r="CA78" s="1" t="s">
        <v>71</v>
      </c>
      <c r="CB78" s="1" t="s">
        <v>18</v>
      </c>
      <c r="CC78" s="1" t="s">
        <v>308</v>
      </c>
      <c r="CE78" s="136">
        <f>RD[[#This Row],[Part Type]]</f>
        <v>0</v>
      </c>
      <c r="CF78" s="136" t="str">
        <f>RD[[#This Row],[Type Label]]</f>
        <v>in-PSI</v>
      </c>
      <c r="CG78" s="7">
        <f>RD[[#This Row],[UID]]</f>
        <v>0</v>
      </c>
      <c r="CK78" s="7" t="str">
        <f>IF(RD[[#This Row],[Status]]=0,"",RD[[#This Row],[Status]])</f>
        <v/>
      </c>
    </row>
    <row r="79" spans="1:89">
      <c r="A79" s="8"/>
      <c r="B79" s="8"/>
      <c r="E79" s="18"/>
      <c r="G79" s="28"/>
      <c r="H79" s="28" t="str">
        <f>RD[[#This Row],[OD (inch)]]&amp;"in-"&amp;RD[[#This Row],[Pressure Burst Nominal psi]]&amp;"PSI"</f>
        <v>in-PSI</v>
      </c>
      <c r="I79" s="28"/>
      <c r="J79" s="28"/>
      <c r="L79" s="18"/>
      <c r="M79" s="18"/>
      <c r="N79" s="19"/>
      <c r="O79" s="19"/>
      <c r="P79" s="19"/>
      <c r="Q79" s="22"/>
      <c r="R79" s="22"/>
      <c r="S79" s="18"/>
      <c r="CA79" s="1" t="s">
        <v>71</v>
      </c>
      <c r="CB79" s="1" t="s">
        <v>18</v>
      </c>
      <c r="CC79" s="1" t="s">
        <v>308</v>
      </c>
      <c r="CE79" s="136">
        <f>RD[[#This Row],[Part Type]]</f>
        <v>0</v>
      </c>
      <c r="CF79" s="136" t="str">
        <f>RD[[#This Row],[Type Label]]</f>
        <v>in-PSI</v>
      </c>
      <c r="CG79" s="7">
        <f>RD[[#This Row],[UID]]</f>
        <v>0</v>
      </c>
      <c r="CK79" s="7" t="str">
        <f>IF(RD[[#This Row],[Status]]=0,"",RD[[#This Row],[Status]])</f>
        <v/>
      </c>
    </row>
    <row r="80" spans="1:89">
      <c r="A80" s="8"/>
      <c r="B80" s="8"/>
      <c r="E80" s="18"/>
      <c r="G80" s="28"/>
      <c r="H80" s="28" t="str">
        <f>RD[[#This Row],[OD (inch)]]&amp;"in-"&amp;RD[[#This Row],[Pressure Burst Nominal psi]]&amp;"PSI"</f>
        <v>in-PSI</v>
      </c>
      <c r="I80" s="28"/>
      <c r="J80" s="28"/>
      <c r="L80" s="18"/>
      <c r="M80" s="18"/>
      <c r="N80" s="19"/>
      <c r="O80" s="19"/>
      <c r="P80" s="19"/>
      <c r="Q80" s="22"/>
      <c r="R80" s="22"/>
      <c r="S80" s="18"/>
      <c r="CA80" s="1" t="s">
        <v>71</v>
      </c>
      <c r="CB80" s="1" t="s">
        <v>18</v>
      </c>
      <c r="CC80" s="1" t="s">
        <v>308</v>
      </c>
      <c r="CE80" s="136">
        <f>RD[[#This Row],[Part Type]]</f>
        <v>0</v>
      </c>
      <c r="CF80" s="136" t="str">
        <f>RD[[#This Row],[Type Label]]</f>
        <v>in-PSI</v>
      </c>
      <c r="CG80" s="7">
        <f>RD[[#This Row],[UID]]</f>
        <v>0</v>
      </c>
      <c r="CK80" s="7" t="str">
        <f>IF(RD[[#This Row],[Status]]=0,"",RD[[#This Row],[Status]])</f>
        <v/>
      </c>
    </row>
    <row r="81" spans="1:89">
      <c r="A81" s="8"/>
      <c r="B81" s="8"/>
      <c r="E81" s="18"/>
      <c r="G81" s="28"/>
      <c r="H81" s="28" t="str">
        <f>RD[[#This Row],[OD (inch)]]&amp;"in-"&amp;RD[[#This Row],[Pressure Burst Nominal psi]]&amp;"PSI"</f>
        <v>in-PSI</v>
      </c>
      <c r="I81" s="28"/>
      <c r="J81" s="28"/>
      <c r="L81" s="18"/>
      <c r="M81" s="18"/>
      <c r="N81" s="19"/>
      <c r="O81" s="19"/>
      <c r="P81" s="19"/>
      <c r="Q81" s="22"/>
      <c r="R81" s="22"/>
      <c r="S81" s="18"/>
      <c r="CA81" s="1" t="s">
        <v>71</v>
      </c>
      <c r="CB81" s="1" t="s">
        <v>18</v>
      </c>
      <c r="CC81" s="1" t="s">
        <v>308</v>
      </c>
      <c r="CE81" s="136">
        <f>RD[[#This Row],[Part Type]]</f>
        <v>0</v>
      </c>
      <c r="CF81" s="136" t="str">
        <f>RD[[#This Row],[Type Label]]</f>
        <v>in-PSI</v>
      </c>
      <c r="CG81" s="7">
        <f>RD[[#This Row],[UID]]</f>
        <v>0</v>
      </c>
      <c r="CK81" s="7" t="str">
        <f>IF(RD[[#This Row],[Status]]=0,"",RD[[#This Row],[Status]])</f>
        <v/>
      </c>
    </row>
    <row r="82" spans="1:89">
      <c r="A82" s="8"/>
      <c r="B82" s="8"/>
      <c r="E82" s="18"/>
      <c r="G82" s="28"/>
      <c r="H82" s="28" t="str">
        <f>RD[[#This Row],[OD (inch)]]&amp;"in-"&amp;RD[[#This Row],[Pressure Burst Nominal psi]]&amp;"PSI"</f>
        <v>in-PSI</v>
      </c>
      <c r="I82" s="28"/>
      <c r="J82" s="28"/>
      <c r="L82" s="18"/>
      <c r="M82" s="18"/>
      <c r="N82" s="19"/>
      <c r="O82" s="19"/>
      <c r="P82" s="19"/>
      <c r="Q82" s="22"/>
      <c r="R82" s="22"/>
      <c r="S82" s="18"/>
      <c r="CA82" s="1" t="s">
        <v>71</v>
      </c>
      <c r="CB82" s="1" t="s">
        <v>18</v>
      </c>
      <c r="CC82" s="1" t="s">
        <v>308</v>
      </c>
      <c r="CE82" s="136">
        <f>RD[[#This Row],[Part Type]]</f>
        <v>0</v>
      </c>
      <c r="CF82" s="136" t="str">
        <f>RD[[#This Row],[Type Label]]</f>
        <v>in-PSI</v>
      </c>
      <c r="CG82" s="7">
        <f>RD[[#This Row],[UID]]</f>
        <v>0</v>
      </c>
      <c r="CK82" s="7" t="str">
        <f>IF(RD[[#This Row],[Status]]=0,"",RD[[#This Row],[Status]])</f>
        <v/>
      </c>
    </row>
    <row r="83" spans="1:89">
      <c r="A83" s="8"/>
      <c r="B83" s="8"/>
      <c r="E83" s="18"/>
      <c r="G83" s="28"/>
      <c r="H83" s="28" t="str">
        <f>RD[[#This Row],[OD (inch)]]&amp;"in-"&amp;RD[[#This Row],[Pressure Burst Nominal psi]]&amp;"PSI"</f>
        <v>in-PSI</v>
      </c>
      <c r="I83" s="28"/>
      <c r="J83" s="28"/>
      <c r="L83" s="18"/>
      <c r="M83" s="18"/>
      <c r="N83" s="19"/>
      <c r="O83" s="19"/>
      <c r="P83" s="19"/>
      <c r="Q83" s="22"/>
      <c r="R83" s="22"/>
      <c r="S83" s="18"/>
      <c r="CA83" s="1" t="s">
        <v>71</v>
      </c>
      <c r="CB83" s="1" t="s">
        <v>18</v>
      </c>
      <c r="CC83" s="1" t="s">
        <v>308</v>
      </c>
      <c r="CE83" s="136">
        <f>RD[[#This Row],[Part Type]]</f>
        <v>0</v>
      </c>
      <c r="CF83" s="136" t="str">
        <f>RD[[#This Row],[Type Label]]</f>
        <v>in-PSI</v>
      </c>
      <c r="CG83" s="7">
        <f>RD[[#This Row],[UID]]</f>
        <v>0</v>
      </c>
      <c r="CK83" s="7" t="str">
        <f>IF(RD[[#This Row],[Status]]=0,"",RD[[#This Row],[Status]])</f>
        <v/>
      </c>
    </row>
    <row r="84" spans="1:89">
      <c r="A84" s="8"/>
      <c r="B84" s="8"/>
      <c r="E84" s="18"/>
      <c r="G84" s="28"/>
      <c r="H84" s="28" t="str">
        <f>RD[[#This Row],[OD (inch)]]&amp;"in-"&amp;RD[[#This Row],[Pressure Burst Nominal psi]]&amp;"PSI"</f>
        <v>in-PSI</v>
      </c>
      <c r="I84" s="28"/>
      <c r="J84" s="28"/>
      <c r="L84" s="18"/>
      <c r="M84" s="18"/>
      <c r="N84" s="19"/>
      <c r="O84" s="19"/>
      <c r="P84" s="19"/>
      <c r="Q84" s="22"/>
      <c r="R84" s="22"/>
      <c r="S84" s="18"/>
      <c r="CA84" s="1" t="s">
        <v>71</v>
      </c>
      <c r="CB84" s="1" t="s">
        <v>18</v>
      </c>
      <c r="CC84" s="1" t="s">
        <v>308</v>
      </c>
      <c r="CE84" s="136">
        <f>RD[[#This Row],[Part Type]]</f>
        <v>0</v>
      </c>
      <c r="CF84" s="136" t="str">
        <f>RD[[#This Row],[Type Label]]</f>
        <v>in-PSI</v>
      </c>
      <c r="CG84" s="7">
        <f>RD[[#This Row],[UID]]</f>
        <v>0</v>
      </c>
      <c r="CK84" s="7" t="str">
        <f>IF(RD[[#This Row],[Status]]=0,"",RD[[#This Row],[Status]])</f>
        <v/>
      </c>
    </row>
    <row r="85" spans="1:89">
      <c r="A85" s="8"/>
      <c r="B85" s="8"/>
      <c r="E85" s="18"/>
      <c r="G85" s="28"/>
      <c r="H85" s="28" t="str">
        <f>RD[[#This Row],[OD (inch)]]&amp;"in-"&amp;RD[[#This Row],[Pressure Burst Nominal psi]]&amp;"PSI"</f>
        <v>in-PSI</v>
      </c>
      <c r="I85" s="28"/>
      <c r="J85" s="28"/>
      <c r="L85" s="18"/>
      <c r="M85" s="18"/>
      <c r="N85" s="19"/>
      <c r="O85" s="19"/>
      <c r="P85" s="19"/>
      <c r="Q85" s="22"/>
      <c r="R85" s="22"/>
      <c r="S85" s="18"/>
      <c r="CA85" s="1" t="s">
        <v>71</v>
      </c>
      <c r="CB85" s="1" t="s">
        <v>18</v>
      </c>
      <c r="CC85" s="1" t="s">
        <v>308</v>
      </c>
      <c r="CE85" s="136">
        <f>RD[[#This Row],[Part Type]]</f>
        <v>0</v>
      </c>
      <c r="CF85" s="136" t="str">
        <f>RD[[#This Row],[Type Label]]</f>
        <v>in-PSI</v>
      </c>
      <c r="CG85" s="7">
        <f>RD[[#This Row],[UID]]</f>
        <v>0</v>
      </c>
      <c r="CK85" s="7" t="str">
        <f>IF(RD[[#This Row],[Status]]=0,"",RD[[#This Row],[Status]])</f>
        <v/>
      </c>
    </row>
    <row r="86" spans="1:89">
      <c r="A86" s="8"/>
      <c r="B86" s="8"/>
      <c r="E86" s="18"/>
      <c r="G86" s="28"/>
      <c r="H86" s="28" t="str">
        <f>RD[[#This Row],[OD (inch)]]&amp;"in-"&amp;RD[[#This Row],[Pressure Burst Nominal psi]]&amp;"PSI"</f>
        <v>in-PSI</v>
      </c>
      <c r="I86" s="28"/>
      <c r="J86" s="28"/>
      <c r="L86" s="18"/>
      <c r="M86" s="18"/>
      <c r="N86" s="19"/>
      <c r="O86" s="19"/>
      <c r="P86" s="19"/>
      <c r="Q86" s="22"/>
      <c r="R86" s="22"/>
      <c r="S86" s="18"/>
      <c r="CA86" s="1" t="s">
        <v>71</v>
      </c>
      <c r="CB86" s="1" t="s">
        <v>18</v>
      </c>
      <c r="CC86" s="1" t="s">
        <v>308</v>
      </c>
      <c r="CE86" s="136">
        <f>RD[[#This Row],[Part Type]]</f>
        <v>0</v>
      </c>
      <c r="CF86" s="136" t="str">
        <f>RD[[#This Row],[Type Label]]</f>
        <v>in-PSI</v>
      </c>
      <c r="CG86" s="7">
        <f>RD[[#This Row],[UID]]</f>
        <v>0</v>
      </c>
      <c r="CK86" s="7" t="str">
        <f>IF(RD[[#This Row],[Status]]=0,"",RD[[#This Row],[Status]])</f>
        <v/>
      </c>
    </row>
    <row r="87" spans="1:89">
      <c r="A87" s="8"/>
      <c r="B87" s="8"/>
      <c r="E87" s="18"/>
      <c r="G87" s="28"/>
      <c r="H87" s="28" t="str">
        <f>RD[[#This Row],[OD (inch)]]&amp;"in-"&amp;RD[[#This Row],[Pressure Burst Nominal psi]]&amp;"PSI"</f>
        <v>in-PSI</v>
      </c>
      <c r="I87" s="28"/>
      <c r="J87" s="28"/>
      <c r="L87" s="18"/>
      <c r="M87" s="18"/>
      <c r="N87" s="19"/>
      <c r="O87" s="19"/>
      <c r="P87" s="19"/>
      <c r="Q87" s="22"/>
      <c r="R87" s="22"/>
      <c r="S87" s="18"/>
      <c r="CA87" s="1" t="s">
        <v>71</v>
      </c>
      <c r="CB87" s="1" t="s">
        <v>18</v>
      </c>
      <c r="CC87" s="1" t="s">
        <v>308</v>
      </c>
      <c r="CE87" s="136">
        <f>RD[[#This Row],[Part Type]]</f>
        <v>0</v>
      </c>
      <c r="CF87" s="136" t="str">
        <f>RD[[#This Row],[Type Label]]</f>
        <v>in-PSI</v>
      </c>
      <c r="CG87" s="7">
        <f>RD[[#This Row],[UID]]</f>
        <v>0</v>
      </c>
      <c r="CK87" s="7" t="str">
        <f>IF(RD[[#This Row],[Status]]=0,"",RD[[#This Row],[Status]])</f>
        <v/>
      </c>
    </row>
    <row r="88" spans="1:89">
      <c r="A88" s="8"/>
      <c r="B88" s="8"/>
      <c r="E88" s="18"/>
      <c r="G88" s="28"/>
      <c r="H88" s="28" t="str">
        <f>RD[[#This Row],[OD (inch)]]&amp;"in-"&amp;RD[[#This Row],[Pressure Burst Nominal psi]]&amp;"PSI"</f>
        <v>in-PSI</v>
      </c>
      <c r="I88" s="28"/>
      <c r="J88" s="28"/>
      <c r="L88" s="18"/>
      <c r="M88" s="18"/>
      <c r="N88" s="19"/>
      <c r="O88" s="19"/>
      <c r="P88" s="19"/>
      <c r="Q88" s="22"/>
      <c r="R88" s="22"/>
      <c r="S88" s="18"/>
      <c r="CA88" s="1" t="s">
        <v>71</v>
      </c>
      <c r="CB88" s="1" t="s">
        <v>18</v>
      </c>
      <c r="CC88" s="1" t="s">
        <v>308</v>
      </c>
      <c r="CE88" s="136">
        <f>RD[[#This Row],[Part Type]]</f>
        <v>0</v>
      </c>
      <c r="CF88" s="136" t="str">
        <f>RD[[#This Row],[Type Label]]</f>
        <v>in-PSI</v>
      </c>
      <c r="CG88" s="7">
        <f>RD[[#This Row],[UID]]</f>
        <v>0</v>
      </c>
      <c r="CK88" s="7" t="str">
        <f>IF(RD[[#This Row],[Status]]=0,"",RD[[#This Row],[Status]])</f>
        <v/>
      </c>
    </row>
    <row r="89" spans="1:89">
      <c r="A89" s="8"/>
      <c r="B89" s="8"/>
      <c r="E89" s="18"/>
      <c r="G89" s="28"/>
      <c r="H89" s="28" t="str">
        <f>RD[[#This Row],[OD (inch)]]&amp;"in-"&amp;RD[[#This Row],[Pressure Burst Nominal psi]]&amp;"PSI"</f>
        <v>in-PSI</v>
      </c>
      <c r="I89" s="28"/>
      <c r="J89" s="28"/>
      <c r="L89" s="18"/>
      <c r="M89" s="18"/>
      <c r="N89" s="19"/>
      <c r="O89" s="19"/>
      <c r="P89" s="19"/>
      <c r="Q89" s="22"/>
      <c r="R89" s="22"/>
      <c r="S89" s="18"/>
      <c r="CA89" s="1" t="s">
        <v>71</v>
      </c>
      <c r="CB89" s="1" t="s">
        <v>18</v>
      </c>
      <c r="CC89" s="1" t="s">
        <v>308</v>
      </c>
      <c r="CE89" s="136">
        <f>RD[[#This Row],[Part Type]]</f>
        <v>0</v>
      </c>
      <c r="CF89" s="136" t="str">
        <f>RD[[#This Row],[Type Label]]</f>
        <v>in-PSI</v>
      </c>
      <c r="CG89" s="7">
        <f>RD[[#This Row],[UID]]</f>
        <v>0</v>
      </c>
      <c r="CK89" s="7" t="str">
        <f>IF(RD[[#This Row],[Status]]=0,"",RD[[#This Row],[Status]])</f>
        <v/>
      </c>
    </row>
    <row r="90" spans="1:89">
      <c r="A90" s="8"/>
      <c r="B90" s="8"/>
      <c r="E90" s="18"/>
      <c r="G90" s="28"/>
      <c r="H90" s="28" t="str">
        <f>RD[[#This Row],[OD (inch)]]&amp;"in-"&amp;RD[[#This Row],[Pressure Burst Nominal psi]]&amp;"PSI"</f>
        <v>in-PSI</v>
      </c>
      <c r="I90" s="28"/>
      <c r="J90" s="28"/>
      <c r="L90" s="18"/>
      <c r="M90" s="18"/>
      <c r="N90" s="19"/>
      <c r="O90" s="19"/>
      <c r="P90" s="19"/>
      <c r="Q90" s="22"/>
      <c r="R90" s="22"/>
      <c r="S90" s="18"/>
      <c r="CA90" s="1" t="s">
        <v>71</v>
      </c>
      <c r="CB90" s="1" t="s">
        <v>18</v>
      </c>
      <c r="CC90" s="1" t="s">
        <v>308</v>
      </c>
      <c r="CE90" s="136">
        <f>RD[[#This Row],[Part Type]]</f>
        <v>0</v>
      </c>
      <c r="CF90" s="136" t="str">
        <f>RD[[#This Row],[Type Label]]</f>
        <v>in-PSI</v>
      </c>
      <c r="CG90" s="7">
        <f>RD[[#This Row],[UID]]</f>
        <v>0</v>
      </c>
      <c r="CK90" s="7" t="str">
        <f>IF(RD[[#This Row],[Status]]=0,"",RD[[#This Row],[Status]])</f>
        <v/>
      </c>
    </row>
    <row r="91" spans="1:89">
      <c r="A91" s="8"/>
      <c r="B91" s="8"/>
      <c r="E91" s="18"/>
      <c r="G91" s="28"/>
      <c r="H91" s="28" t="str">
        <f>RD[[#This Row],[OD (inch)]]&amp;"in-"&amp;RD[[#This Row],[Pressure Burst Nominal psi]]&amp;"PSI"</f>
        <v>in-PSI</v>
      </c>
      <c r="I91" s="28"/>
      <c r="J91" s="28"/>
      <c r="L91" s="18"/>
      <c r="M91" s="18"/>
      <c r="N91" s="19"/>
      <c r="O91" s="19"/>
      <c r="P91" s="19"/>
      <c r="Q91" s="22"/>
      <c r="R91" s="22"/>
      <c r="S91" s="18"/>
      <c r="CA91" s="1" t="s">
        <v>71</v>
      </c>
      <c r="CB91" s="1" t="s">
        <v>18</v>
      </c>
      <c r="CC91" s="1" t="s">
        <v>308</v>
      </c>
      <c r="CE91" s="136">
        <f>RD[[#This Row],[Part Type]]</f>
        <v>0</v>
      </c>
      <c r="CF91" s="136" t="str">
        <f>RD[[#This Row],[Type Label]]</f>
        <v>in-PSI</v>
      </c>
      <c r="CG91" s="7">
        <f>RD[[#This Row],[UID]]</f>
        <v>0</v>
      </c>
      <c r="CK91" s="7" t="str">
        <f>IF(RD[[#This Row],[Status]]=0,"",RD[[#This Row],[Status]])</f>
        <v/>
      </c>
    </row>
    <row r="92" spans="1:89">
      <c r="A92" s="8"/>
      <c r="B92" s="8"/>
      <c r="E92" s="18"/>
      <c r="G92" s="28"/>
      <c r="H92" s="28" t="str">
        <f>RD[[#This Row],[OD (inch)]]&amp;"in-"&amp;RD[[#This Row],[Pressure Burst Nominal psi]]&amp;"PSI"</f>
        <v>in-PSI</v>
      </c>
      <c r="I92" s="28"/>
      <c r="J92" s="28"/>
      <c r="L92" s="18"/>
      <c r="M92" s="18"/>
      <c r="N92" s="19"/>
      <c r="O92" s="19"/>
      <c r="P92" s="19"/>
      <c r="Q92" s="22"/>
      <c r="R92" s="22"/>
      <c r="S92" s="18"/>
      <c r="CA92" s="1" t="s">
        <v>71</v>
      </c>
      <c r="CB92" s="1" t="s">
        <v>18</v>
      </c>
      <c r="CC92" s="1" t="s">
        <v>308</v>
      </c>
      <c r="CE92" s="136">
        <f>RD[[#This Row],[Part Type]]</f>
        <v>0</v>
      </c>
      <c r="CF92" s="136" t="str">
        <f>RD[[#This Row],[Type Label]]</f>
        <v>in-PSI</v>
      </c>
      <c r="CG92" s="7">
        <f>RD[[#This Row],[UID]]</f>
        <v>0</v>
      </c>
      <c r="CK92" s="7" t="str">
        <f>IF(RD[[#This Row],[Status]]=0,"",RD[[#This Row],[Status]])</f>
        <v/>
      </c>
    </row>
    <row r="93" spans="1:89">
      <c r="A93" s="8"/>
      <c r="B93" s="8"/>
      <c r="E93" s="18"/>
      <c r="G93" s="28"/>
      <c r="H93" s="28" t="str">
        <f>RD[[#This Row],[OD (inch)]]&amp;"in-"&amp;RD[[#This Row],[Pressure Burst Nominal psi]]&amp;"PSI"</f>
        <v>in-PSI</v>
      </c>
      <c r="I93" s="28"/>
      <c r="J93" s="28"/>
      <c r="L93" s="18"/>
      <c r="M93" s="18"/>
      <c r="N93" s="19"/>
      <c r="O93" s="19"/>
      <c r="P93" s="19"/>
      <c r="Q93" s="22"/>
      <c r="R93" s="22"/>
      <c r="S93" s="18"/>
      <c r="CA93" s="1" t="s">
        <v>71</v>
      </c>
      <c r="CB93" s="1" t="s">
        <v>18</v>
      </c>
      <c r="CC93" s="1" t="s">
        <v>308</v>
      </c>
      <c r="CE93" s="136">
        <f>RD[[#This Row],[Part Type]]</f>
        <v>0</v>
      </c>
      <c r="CF93" s="136" t="str">
        <f>RD[[#This Row],[Type Label]]</f>
        <v>in-PSI</v>
      </c>
      <c r="CG93" s="7">
        <f>RD[[#This Row],[UID]]</f>
        <v>0</v>
      </c>
      <c r="CK93" s="7" t="str">
        <f>IF(RD[[#This Row],[Status]]=0,"",RD[[#This Row],[Status]])</f>
        <v/>
      </c>
    </row>
    <row r="94" spans="1:89">
      <c r="A94" s="8"/>
      <c r="B94" s="8"/>
      <c r="E94" s="18"/>
      <c r="G94" s="28"/>
      <c r="H94" s="28" t="str">
        <f>RD[[#This Row],[OD (inch)]]&amp;"in-"&amp;RD[[#This Row],[Pressure Burst Nominal psi]]&amp;"PSI"</f>
        <v>in-PSI</v>
      </c>
      <c r="I94" s="28"/>
      <c r="J94" s="28"/>
      <c r="L94" s="18"/>
      <c r="M94" s="18"/>
      <c r="N94" s="19"/>
      <c r="O94" s="19"/>
      <c r="P94" s="19"/>
      <c r="Q94" s="22"/>
      <c r="R94" s="22"/>
      <c r="S94" s="18"/>
      <c r="CA94" s="1" t="s">
        <v>71</v>
      </c>
      <c r="CB94" s="1" t="s">
        <v>18</v>
      </c>
      <c r="CC94" s="1" t="s">
        <v>308</v>
      </c>
      <c r="CE94" s="136">
        <f>RD[[#This Row],[Part Type]]</f>
        <v>0</v>
      </c>
      <c r="CF94" s="136" t="str">
        <f>RD[[#This Row],[Type Label]]</f>
        <v>in-PSI</v>
      </c>
      <c r="CG94" s="7">
        <f>RD[[#This Row],[UID]]</f>
        <v>0</v>
      </c>
      <c r="CK94" s="7" t="str">
        <f>IF(RD[[#This Row],[Status]]=0,"",RD[[#This Row],[Status]])</f>
        <v/>
      </c>
    </row>
    <row r="95" spans="1:89">
      <c r="A95" s="8"/>
      <c r="B95" s="8"/>
      <c r="E95" s="18"/>
      <c r="G95" s="28"/>
      <c r="H95" s="28" t="str">
        <f>RD[[#This Row],[OD (inch)]]&amp;"in-"&amp;RD[[#This Row],[Pressure Burst Nominal psi]]&amp;"PSI"</f>
        <v>in-PSI</v>
      </c>
      <c r="I95" s="28"/>
      <c r="J95" s="28"/>
      <c r="L95" s="18"/>
      <c r="M95" s="18"/>
      <c r="N95" s="19"/>
      <c r="O95" s="19"/>
      <c r="P95" s="19"/>
      <c r="Q95" s="22"/>
      <c r="R95" s="22"/>
      <c r="S95" s="18"/>
      <c r="CA95" s="1" t="s">
        <v>71</v>
      </c>
      <c r="CB95" s="1" t="s">
        <v>18</v>
      </c>
      <c r="CC95" s="1" t="s">
        <v>308</v>
      </c>
      <c r="CE95" s="136">
        <f>RD[[#This Row],[Part Type]]</f>
        <v>0</v>
      </c>
      <c r="CF95" s="136" t="str">
        <f>RD[[#This Row],[Type Label]]</f>
        <v>in-PSI</v>
      </c>
      <c r="CG95" s="7">
        <f>RD[[#This Row],[UID]]</f>
        <v>0</v>
      </c>
      <c r="CK95" s="7" t="str">
        <f>IF(RD[[#This Row],[Status]]=0,"",RD[[#This Row],[Status]])</f>
        <v/>
      </c>
    </row>
    <row r="96" spans="1:89">
      <c r="A96" s="8"/>
      <c r="B96" s="8"/>
      <c r="E96" s="18"/>
      <c r="G96" s="28"/>
      <c r="H96" s="28" t="str">
        <f>RD[[#This Row],[OD (inch)]]&amp;"in-"&amp;RD[[#This Row],[Pressure Burst Nominal psi]]&amp;"PSI"</f>
        <v>in-PSI</v>
      </c>
      <c r="I96" s="28"/>
      <c r="J96" s="28"/>
      <c r="L96" s="18"/>
      <c r="M96" s="18"/>
      <c r="N96" s="19"/>
      <c r="O96" s="19"/>
      <c r="P96" s="19"/>
      <c r="Q96" s="22"/>
      <c r="R96" s="22"/>
      <c r="S96" s="18"/>
      <c r="CA96" s="1" t="s">
        <v>71</v>
      </c>
      <c r="CB96" s="1" t="s">
        <v>18</v>
      </c>
      <c r="CC96" s="1" t="s">
        <v>308</v>
      </c>
      <c r="CE96" s="136">
        <f>RD[[#This Row],[Part Type]]</f>
        <v>0</v>
      </c>
      <c r="CF96" s="136" t="str">
        <f>RD[[#This Row],[Type Label]]</f>
        <v>in-PSI</v>
      </c>
      <c r="CG96" s="7">
        <f>RD[[#This Row],[UID]]</f>
        <v>0</v>
      </c>
      <c r="CK96" s="7" t="str">
        <f>IF(RD[[#This Row],[Status]]=0,"",RD[[#This Row],[Status]])</f>
        <v/>
      </c>
    </row>
    <row r="97" spans="1:89">
      <c r="A97" s="8"/>
      <c r="B97" s="8"/>
      <c r="E97" s="18"/>
      <c r="G97" s="28"/>
      <c r="H97" s="28" t="str">
        <f>RD[[#This Row],[OD (inch)]]&amp;"in-"&amp;RD[[#This Row],[Pressure Burst Nominal psi]]&amp;"PSI"</f>
        <v>in-PSI</v>
      </c>
      <c r="I97" s="28"/>
      <c r="J97" s="28"/>
      <c r="L97" s="18"/>
      <c r="M97" s="18"/>
      <c r="N97" s="19"/>
      <c r="O97" s="19"/>
      <c r="P97" s="19"/>
      <c r="Q97" s="22"/>
      <c r="R97" s="22"/>
      <c r="S97" s="18"/>
      <c r="CA97" s="1" t="s">
        <v>71</v>
      </c>
      <c r="CB97" s="1" t="s">
        <v>18</v>
      </c>
      <c r="CC97" s="1" t="s">
        <v>308</v>
      </c>
      <c r="CE97" s="136">
        <f>RD[[#This Row],[Part Type]]</f>
        <v>0</v>
      </c>
      <c r="CF97" s="136" t="str">
        <f>RD[[#This Row],[Type Label]]</f>
        <v>in-PSI</v>
      </c>
      <c r="CG97" s="7">
        <f>RD[[#This Row],[UID]]</f>
        <v>0</v>
      </c>
      <c r="CK97" s="7" t="str">
        <f>IF(RD[[#This Row],[Status]]=0,"",RD[[#This Row],[Status]])</f>
        <v/>
      </c>
    </row>
    <row r="98" spans="1:89">
      <c r="A98" s="8"/>
      <c r="B98" s="8"/>
      <c r="E98" s="18"/>
      <c r="G98" s="28"/>
      <c r="H98" s="28" t="str">
        <f>RD[[#This Row],[OD (inch)]]&amp;"in-"&amp;RD[[#This Row],[Pressure Burst Nominal psi]]&amp;"PSI"</f>
        <v>in-PSI</v>
      </c>
      <c r="I98" s="28"/>
      <c r="J98" s="28"/>
      <c r="L98" s="18"/>
      <c r="M98" s="18"/>
      <c r="N98" s="19"/>
      <c r="O98" s="19"/>
      <c r="P98" s="19"/>
      <c r="Q98" s="22"/>
      <c r="R98" s="22"/>
      <c r="S98" s="18"/>
      <c r="CA98" s="1" t="s">
        <v>71</v>
      </c>
      <c r="CB98" s="1" t="s">
        <v>18</v>
      </c>
      <c r="CC98" s="1" t="s">
        <v>308</v>
      </c>
      <c r="CE98" s="136">
        <f>RD[[#This Row],[Part Type]]</f>
        <v>0</v>
      </c>
      <c r="CF98" s="136" t="str">
        <f>RD[[#This Row],[Type Label]]</f>
        <v>in-PSI</v>
      </c>
      <c r="CG98" s="7">
        <f>RD[[#This Row],[UID]]</f>
        <v>0</v>
      </c>
      <c r="CK98" s="7" t="str">
        <f>IF(RD[[#This Row],[Status]]=0,"",RD[[#This Row],[Status]])</f>
        <v/>
      </c>
    </row>
    <row r="99" spans="1:89">
      <c r="A99" s="8"/>
      <c r="B99" s="8"/>
      <c r="E99" s="18"/>
      <c r="G99" s="28"/>
      <c r="H99" s="28" t="str">
        <f>RD[[#This Row],[OD (inch)]]&amp;"in-"&amp;RD[[#This Row],[Pressure Burst Nominal psi]]&amp;"PSI"</f>
        <v>in-PSI</v>
      </c>
      <c r="I99" s="28"/>
      <c r="J99" s="28"/>
      <c r="L99" s="18"/>
      <c r="M99" s="18"/>
      <c r="N99" s="19"/>
      <c r="O99" s="19"/>
      <c r="P99" s="19"/>
      <c r="Q99" s="22"/>
      <c r="R99" s="22"/>
      <c r="S99" s="18"/>
      <c r="CA99" s="1" t="s">
        <v>71</v>
      </c>
      <c r="CB99" s="1" t="s">
        <v>18</v>
      </c>
      <c r="CC99" s="1" t="s">
        <v>308</v>
      </c>
      <c r="CE99" s="136">
        <f>RD[[#This Row],[Part Type]]</f>
        <v>0</v>
      </c>
      <c r="CF99" s="136" t="str">
        <f>RD[[#This Row],[Type Label]]</f>
        <v>in-PSI</v>
      </c>
      <c r="CG99" s="7">
        <f>RD[[#This Row],[UID]]</f>
        <v>0</v>
      </c>
      <c r="CK99" s="7" t="str">
        <f>IF(RD[[#This Row],[Status]]=0,"",RD[[#This Row],[Status]])</f>
        <v/>
      </c>
    </row>
    <row r="100" spans="1:89">
      <c r="A100" s="8"/>
      <c r="B100" s="8"/>
      <c r="E100" s="18"/>
      <c r="G100" s="28"/>
      <c r="H100" s="28" t="str">
        <f>RD[[#This Row],[OD (inch)]]&amp;"in-"&amp;RD[[#This Row],[Pressure Burst Nominal psi]]&amp;"PSI"</f>
        <v>in-PSI</v>
      </c>
      <c r="I100" s="28"/>
      <c r="J100" s="28"/>
      <c r="L100" s="18"/>
      <c r="M100" s="18"/>
      <c r="N100" s="19"/>
      <c r="O100" s="19"/>
      <c r="P100" s="19"/>
      <c r="Q100" s="22"/>
      <c r="R100" s="22"/>
      <c r="S100" s="18"/>
      <c r="CA100" s="1" t="s">
        <v>71</v>
      </c>
      <c r="CB100" s="1" t="s">
        <v>18</v>
      </c>
      <c r="CC100" s="1" t="s">
        <v>308</v>
      </c>
      <c r="CE100" s="136">
        <f>RD[[#This Row],[Part Type]]</f>
        <v>0</v>
      </c>
      <c r="CF100" s="136" t="str">
        <f>RD[[#This Row],[Type Label]]</f>
        <v>in-PSI</v>
      </c>
      <c r="CG100" s="7">
        <f>RD[[#This Row],[UID]]</f>
        <v>0</v>
      </c>
      <c r="CK100" s="7" t="str">
        <f>IF(RD[[#This Row],[Status]]=0,"",RD[[#This Row],[Status]])</f>
        <v/>
      </c>
    </row>
    <row r="101" spans="1:89">
      <c r="A101" s="8"/>
      <c r="B101" s="8"/>
      <c r="E101" s="18"/>
      <c r="G101" s="28"/>
      <c r="H101" s="28" t="str">
        <f>RD[[#This Row],[OD (inch)]]&amp;"in-"&amp;RD[[#This Row],[Pressure Burst Nominal psi]]&amp;"PSI"</f>
        <v>in-PSI</v>
      </c>
      <c r="I101" s="28"/>
      <c r="J101" s="28"/>
      <c r="L101" s="18"/>
      <c r="M101" s="18"/>
      <c r="N101" s="19"/>
      <c r="O101" s="19"/>
      <c r="P101" s="19"/>
      <c r="Q101" s="22"/>
      <c r="R101" s="22"/>
      <c r="S101" s="18"/>
      <c r="CA101" s="1" t="s">
        <v>71</v>
      </c>
      <c r="CB101" s="1" t="s">
        <v>18</v>
      </c>
      <c r="CC101" s="1" t="s">
        <v>308</v>
      </c>
      <c r="CE101" s="136">
        <f>RD[[#This Row],[Part Type]]</f>
        <v>0</v>
      </c>
      <c r="CF101" s="136" t="str">
        <f>RD[[#This Row],[Type Label]]</f>
        <v>in-PSI</v>
      </c>
      <c r="CG101" s="7">
        <f>RD[[#This Row],[UID]]</f>
        <v>0</v>
      </c>
      <c r="CK101" s="7" t="str">
        <f>IF(RD[[#This Row],[Status]]=0,"",RD[[#This Row],[Status]])</f>
        <v/>
      </c>
    </row>
  </sheetData>
  <phoneticPr fontId="5" type="noConversion"/>
  <hyperlinks>
    <hyperlink ref="S2" r:id="rId1" location="1 " xr:uid="{D785AF30-ABDF-FB4B-BDCA-BFCC611E6AF8}"/>
    <hyperlink ref="S3" r:id="rId2" location="1 " xr:uid="{07D81976-37BF-264A-91F2-789AE84B4489}"/>
    <hyperlink ref="S4" r:id="rId3" location="1 " xr:uid="{3C04A0D5-1B22-F446-B209-CFC14D7CB5F8}"/>
    <hyperlink ref="S5" r:id="rId4" location="1 " xr:uid="{D460A83C-63D3-374D-9905-53C8FE336BB3}"/>
    <hyperlink ref="S6" r:id="rId5" xr:uid="{9A631589-E9C6-BF40-80AA-BD906BF3A79C}"/>
    <hyperlink ref="S7" r:id="rId6" xr:uid="{6152F1A3-706D-EF45-A87D-AA4F35DFD666}"/>
    <hyperlink ref="S8" r:id="rId7" xr:uid="{5394E666-7AB6-5142-81D9-2DA34F51FCE3}"/>
    <hyperlink ref="S9" r:id="rId8" xr:uid="{36B235F6-2D65-C149-B720-89E28BBC0CE8}"/>
    <hyperlink ref="S10" r:id="rId9" xr:uid="{CA873196-EDD6-2A42-B848-67AEEAF71B8E}"/>
    <hyperlink ref="S11" r:id="rId10" xr:uid="{D5825E41-FDC5-ED4F-9C11-CD40FABEA8B4}"/>
    <hyperlink ref="S12" r:id="rId11" xr:uid="{AB24BF9C-8187-1B43-ABA9-981833354F0F}"/>
    <hyperlink ref="S13" r:id="rId12" xr:uid="{6A4DF82E-7950-8E45-90BA-72909454C0B9}"/>
    <hyperlink ref="S14" r:id="rId13" xr:uid="{9F594CCA-0C13-B340-A950-585539A9CCDC}"/>
    <hyperlink ref="S15" r:id="rId14" xr:uid="{A56DC443-9BA2-8D45-BF32-6F26ED8A2327}"/>
  </hyperlinks>
  <pageMargins left="0.7" right="0.7" top="0.75" bottom="0.75" header="0.3" footer="0.3"/>
  <tableParts count="2">
    <tablePart r:id="rId15"/>
    <tablePart r:id="rId16"/>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34C74-FD35-3E45-B8D5-997A7BC22C17}">
  <sheetPr codeName="Sheet23"/>
  <dimension ref="A1:CE151"/>
  <sheetViews>
    <sheetView topLeftCell="C1" zoomScale="91" zoomScaleNormal="91" workbookViewId="0">
      <selection activeCell="C1" sqref="C1"/>
    </sheetView>
  </sheetViews>
  <sheetFormatPr defaultColWidth="10.875" defaultRowHeight="15.95"/>
  <cols>
    <col min="1" max="2" width="11.5" style="18" customWidth="1"/>
    <col min="3" max="3" width="12.625" style="18" bestFit="1" customWidth="1"/>
    <col min="4" max="4" width="18.625" style="18" customWidth="1"/>
    <col min="5" max="5" width="26.875" style="18" bestFit="1" customWidth="1"/>
    <col min="6" max="6" width="26" style="18" bestFit="1" customWidth="1"/>
    <col min="7" max="7" width="26" style="18" customWidth="1"/>
    <col min="8" max="8" width="12.375" style="18" bestFit="1" customWidth="1"/>
    <col min="9" max="9" width="17.625" style="18" bestFit="1" customWidth="1"/>
    <col min="10" max="11" width="17.125" style="18" bestFit="1" customWidth="1"/>
    <col min="12" max="12" width="22.5" style="18" bestFit="1" customWidth="1"/>
    <col min="14" max="14" width="11.875" style="18" bestFit="1" customWidth="1"/>
    <col min="15" max="15" width="26.625" style="18" bestFit="1" customWidth="1"/>
    <col min="16" max="16" width="9.125" style="18" bestFit="1" customWidth="1"/>
    <col min="17" max="17" width="13.125" style="18" bestFit="1" customWidth="1"/>
    <col min="18" max="18" width="59" style="18" bestFit="1" customWidth="1"/>
    <col min="19" max="72" width="10.875" style="18"/>
    <col min="73" max="73" width="16.125" style="18" customWidth="1"/>
    <col min="74" max="74" width="19.875" style="18" customWidth="1"/>
    <col min="75" max="75" width="20.5" style="18" customWidth="1"/>
    <col min="76" max="77" width="10.875" style="18"/>
    <col min="78" max="78" width="13.625" style="18" customWidth="1"/>
    <col min="79" max="79" width="12.5" style="18" customWidth="1"/>
    <col min="80" max="80" width="17" style="18" customWidth="1"/>
    <col min="81" max="81" width="10.875" style="18"/>
    <col min="82" max="82" width="15.125" style="18" customWidth="1"/>
    <col min="83" max="16384" width="10.875" style="18"/>
  </cols>
  <sheetData>
    <row r="1" spans="1:83" ht="17.100000000000001">
      <c r="A1" s="18" t="s">
        <v>12</v>
      </c>
      <c r="B1" s="35" t="s">
        <v>95</v>
      </c>
      <c r="C1" s="178" t="s">
        <v>94</v>
      </c>
      <c r="D1" s="18" t="s">
        <v>226</v>
      </c>
      <c r="E1" s="18" t="s">
        <v>227</v>
      </c>
      <c r="F1" s="18" t="s">
        <v>228</v>
      </c>
      <c r="G1" s="18" t="s">
        <v>1068</v>
      </c>
      <c r="H1" s="19" t="s">
        <v>1069</v>
      </c>
      <c r="I1" s="19" t="s">
        <v>232</v>
      </c>
      <c r="J1" s="18" t="s">
        <v>303</v>
      </c>
      <c r="K1" s="53" t="s">
        <v>1349</v>
      </c>
      <c r="L1" s="18" t="s">
        <v>234</v>
      </c>
      <c r="M1" s="18" t="s">
        <v>236</v>
      </c>
      <c r="N1" s="18" t="s">
        <v>117</v>
      </c>
      <c r="O1" s="18" t="s">
        <v>237</v>
      </c>
      <c r="P1" s="18" t="s">
        <v>238</v>
      </c>
      <c r="BT1" t="s">
        <v>119</v>
      </c>
      <c r="BU1" s="117" t="s">
        <v>2</v>
      </c>
      <c r="BV1" s="118" t="s">
        <v>3</v>
      </c>
      <c r="BW1" s="118" t="s">
        <v>4</v>
      </c>
      <c r="BX1" s="118" t="s">
        <v>5</v>
      </c>
      <c r="BY1" s="118" t="s">
        <v>6</v>
      </c>
      <c r="BZ1" s="119" t="s">
        <v>7</v>
      </c>
      <c r="CA1" s="118" t="s">
        <v>8</v>
      </c>
      <c r="CB1" s="118" t="s">
        <v>9</v>
      </c>
      <c r="CC1" s="118" t="s">
        <v>10</v>
      </c>
      <c r="CD1" s="118" t="s">
        <v>11</v>
      </c>
      <c r="CE1" s="120" t="s">
        <v>12</v>
      </c>
    </row>
    <row r="2" spans="1:83">
      <c r="A2" s="18" t="s">
        <v>120</v>
      </c>
      <c r="B2" s="18" t="s">
        <v>1350</v>
      </c>
      <c r="C2" s="18" t="s">
        <v>1351</v>
      </c>
      <c r="D2" s="18" t="s">
        <v>1352</v>
      </c>
      <c r="E2" s="28" t="s">
        <v>129</v>
      </c>
      <c r="F2" s="19" t="s">
        <v>129</v>
      </c>
      <c r="G2" s="18" t="s">
        <v>129</v>
      </c>
      <c r="H2" s="53">
        <v>3</v>
      </c>
      <c r="I2" s="53">
        <v>2</v>
      </c>
      <c r="J2" s="152" t="s">
        <v>1077</v>
      </c>
      <c r="K2" s="28">
        <v>360</v>
      </c>
      <c r="L2" s="18" t="s">
        <v>161</v>
      </c>
      <c r="M2" s="18" t="s">
        <v>129</v>
      </c>
      <c r="P2" s="20"/>
      <c r="BT2" t="s">
        <v>131</v>
      </c>
      <c r="BU2" s="1" t="s">
        <v>71</v>
      </c>
      <c r="BV2" s="1" t="s">
        <v>18</v>
      </c>
      <c r="BW2" s="1" t="s">
        <v>308</v>
      </c>
      <c r="BX2" s="1"/>
      <c r="BY2" s="1" t="str">
        <f>NV_2343[[#This Row],[Part Type]]</f>
        <v>Ring</v>
      </c>
      <c r="BZ2" s="1" t="str">
        <f>NV_2343[[#This Row],[Part Nr.]]</f>
        <v>MATS-HPS-AC-RNG1</v>
      </c>
      <c r="CA2" s="1" t="str">
        <f>IF(NV_2343[[#This Row],[UID]]=0,"",NV_2343[[#This Row],[UID]])</f>
        <v>RNG-1</v>
      </c>
      <c r="CB2" s="1"/>
      <c r="CC2" s="1"/>
      <c r="CD2" s="1"/>
      <c r="CE2" s="1" t="str">
        <f>IF(NV_2343[[#This Row],[Status]]=0,"",NV_2343[[#This Row],[Status]])</f>
        <v>Active</v>
      </c>
    </row>
    <row r="3" spans="1:83">
      <c r="A3" s="18" t="s">
        <v>120</v>
      </c>
      <c r="B3" s="18" t="s">
        <v>1350</v>
      </c>
      <c r="C3" s="18" t="s">
        <v>1353</v>
      </c>
      <c r="D3" s="18" t="s">
        <v>1354</v>
      </c>
      <c r="E3" s="28"/>
      <c r="F3" s="19"/>
      <c r="H3" s="53">
        <v>2.1659999999999999</v>
      </c>
      <c r="I3" s="53">
        <v>0.35</v>
      </c>
      <c r="J3" s="153" t="s">
        <v>1077</v>
      </c>
      <c r="K3" s="28">
        <v>180</v>
      </c>
      <c r="L3" s="18" t="s">
        <v>136</v>
      </c>
      <c r="M3" s="18" t="s">
        <v>129</v>
      </c>
      <c r="N3" s="18" t="s">
        <v>129</v>
      </c>
      <c r="O3" s="18" t="s">
        <v>129</v>
      </c>
      <c r="P3" s="20"/>
      <c r="BT3"/>
      <c r="BU3" s="1" t="s">
        <v>71</v>
      </c>
      <c r="BV3" s="1" t="s">
        <v>18</v>
      </c>
      <c r="BW3" s="1" t="s">
        <v>308</v>
      </c>
      <c r="BX3"/>
      <c r="BY3" t="str">
        <f>NV_2343[[#This Row],[Part Type]]</f>
        <v>Ring</v>
      </c>
      <c r="BZ3" t="str">
        <f>NV_2343[[#This Row],[Part Nr.]]</f>
        <v>MATS-HPS-AC-RNG2</v>
      </c>
      <c r="CA3" t="str">
        <f>IF(NV_2343[[#This Row],[UID]]=0,"",NV_2343[[#This Row],[UID]])</f>
        <v>RNG-2</v>
      </c>
      <c r="CB3"/>
      <c r="CC3"/>
      <c r="CD3"/>
      <c r="CE3" t="str">
        <f>IF(NV_2343[[#This Row],[Status]]=0,"",NV_2343[[#This Row],[Status]])</f>
        <v>Active</v>
      </c>
    </row>
    <row r="4" spans="1:83">
      <c r="A4" s="18" t="s">
        <v>140</v>
      </c>
      <c r="B4" s="18" t="s">
        <v>1350</v>
      </c>
      <c r="C4" s="18" t="s">
        <v>1355</v>
      </c>
      <c r="E4" s="28">
        <v>240417</v>
      </c>
      <c r="F4" s="19">
        <v>130.84</v>
      </c>
      <c r="H4" s="53"/>
      <c r="I4" s="53"/>
      <c r="K4" s="53"/>
      <c r="M4" s="18"/>
      <c r="P4" s="20"/>
      <c r="BT4"/>
      <c r="BU4" s="1" t="s">
        <v>71</v>
      </c>
      <c r="BV4" s="1" t="s">
        <v>18</v>
      </c>
      <c r="BW4" s="1" t="s">
        <v>308</v>
      </c>
      <c r="BX4"/>
      <c r="BY4" t="str">
        <f>NV_2343[[#This Row],[Part Type]]</f>
        <v>Ring</v>
      </c>
      <c r="BZ4">
        <f>NV_2343[[#This Row],[Part Nr.]]</f>
        <v>0</v>
      </c>
      <c r="CA4" t="str">
        <f>IF(NV_2343[[#This Row],[UID]]=0,"",NV_2343[[#This Row],[UID]])</f>
        <v>RNG-2-A</v>
      </c>
      <c r="CB4"/>
      <c r="CC4"/>
      <c r="CD4"/>
      <c r="CE4" t="str">
        <f>IF(NV_2343[[#This Row],[Status]]=0,"",NV_2343[[#This Row],[Status]])</f>
        <v>New</v>
      </c>
    </row>
    <row r="5" spans="1:83">
      <c r="A5" s="18" t="s">
        <v>140</v>
      </c>
      <c r="B5" s="18" t="s">
        <v>1350</v>
      </c>
      <c r="C5" s="18" t="s">
        <v>1356</v>
      </c>
      <c r="E5" s="28">
        <v>240417</v>
      </c>
      <c r="F5" s="19">
        <v>131.13999999999999</v>
      </c>
      <c r="H5" s="53"/>
      <c r="I5" s="53"/>
      <c r="K5" s="53"/>
      <c r="M5" s="18"/>
      <c r="P5" s="20"/>
      <c r="BT5"/>
      <c r="BU5" s="1" t="s">
        <v>71</v>
      </c>
      <c r="BV5" s="1" t="s">
        <v>18</v>
      </c>
      <c r="BW5" s="1" t="s">
        <v>308</v>
      </c>
      <c r="BX5"/>
      <c r="BY5" t="str">
        <f>NV_2343[[#This Row],[Part Type]]</f>
        <v>Ring</v>
      </c>
      <c r="BZ5">
        <f>NV_2343[[#This Row],[Part Nr.]]</f>
        <v>0</v>
      </c>
      <c r="CA5" t="str">
        <f>IF(NV_2343[[#This Row],[UID]]=0,"",NV_2343[[#This Row],[UID]])</f>
        <v>RNG-2-B</v>
      </c>
      <c r="CB5"/>
      <c r="CC5"/>
      <c r="CD5"/>
      <c r="CE5" t="str">
        <f>IF(NV_2343[[#This Row],[Status]]=0,"",NV_2343[[#This Row],[Status]])</f>
        <v>New</v>
      </c>
    </row>
    <row r="6" spans="1:83">
      <c r="A6" s="18" t="s">
        <v>140</v>
      </c>
      <c r="B6" s="18" t="s">
        <v>1350</v>
      </c>
      <c r="C6" s="18" t="s">
        <v>1357</v>
      </c>
      <c r="E6" s="28">
        <v>240417</v>
      </c>
      <c r="F6" s="19">
        <v>131.13900000000001</v>
      </c>
      <c r="H6" s="53"/>
      <c r="I6" s="53"/>
      <c r="K6" s="53"/>
      <c r="M6" s="18"/>
      <c r="P6" s="20"/>
      <c r="BT6"/>
      <c r="BU6" s="1" t="s">
        <v>71</v>
      </c>
      <c r="BV6" s="1" t="s">
        <v>18</v>
      </c>
      <c r="BW6" s="1" t="s">
        <v>308</v>
      </c>
      <c r="BX6"/>
      <c r="BY6" t="str">
        <f>NV_2343[[#This Row],[Part Type]]</f>
        <v>Ring</v>
      </c>
      <c r="BZ6">
        <f>NV_2343[[#This Row],[Part Nr.]]</f>
        <v>0</v>
      </c>
      <c r="CA6" t="str">
        <f>IF(NV_2343[[#This Row],[UID]]=0,"",NV_2343[[#This Row],[UID]])</f>
        <v>RNG-2-C</v>
      </c>
      <c r="CB6"/>
      <c r="CC6"/>
      <c r="CD6"/>
      <c r="CE6" t="str">
        <f>IF(NV_2343[[#This Row],[Status]]=0,"",NV_2343[[#This Row],[Status]])</f>
        <v>New</v>
      </c>
    </row>
    <row r="7" spans="1:83">
      <c r="A7" s="18" t="s">
        <v>140</v>
      </c>
      <c r="B7" s="18" t="s">
        <v>1350</v>
      </c>
      <c r="C7" s="18" t="s">
        <v>1358</v>
      </c>
      <c r="E7" s="28">
        <v>240417</v>
      </c>
      <c r="F7" s="19">
        <v>130.471</v>
      </c>
      <c r="H7" s="53"/>
      <c r="I7" s="53"/>
      <c r="K7" s="53"/>
      <c r="M7" s="18"/>
      <c r="P7" s="20"/>
      <c r="BU7" s="1" t="s">
        <v>71</v>
      </c>
      <c r="BV7" s="1" t="s">
        <v>18</v>
      </c>
      <c r="BW7" s="1" t="s">
        <v>308</v>
      </c>
      <c r="BY7" s="18" t="str">
        <f>NV_2343[[#This Row],[Part Type]]</f>
        <v>Ring</v>
      </c>
      <c r="BZ7" s="18">
        <f>NV_2343[[#This Row],[Part Nr.]]</f>
        <v>0</v>
      </c>
      <c r="CA7" s="18" t="str">
        <f>IF(NV_2343[[#This Row],[UID]]=0,"",NV_2343[[#This Row],[UID]])</f>
        <v>RNG-2-D</v>
      </c>
      <c r="CE7" s="18" t="str">
        <f>IF(NV_2343[[#This Row],[Status]]=0,"",NV_2343[[#This Row],[Status]])</f>
        <v>New</v>
      </c>
    </row>
    <row r="8" spans="1:83">
      <c r="E8" s="28"/>
      <c r="F8" s="19"/>
      <c r="H8" s="53"/>
      <c r="I8" s="53"/>
      <c r="K8" s="53"/>
      <c r="M8" s="18"/>
      <c r="P8" s="20"/>
      <c r="BU8" s="1" t="s">
        <v>71</v>
      </c>
      <c r="BV8" s="1" t="s">
        <v>18</v>
      </c>
      <c r="BW8" s="1" t="s">
        <v>308</v>
      </c>
      <c r="BY8" s="18">
        <f>NV_2343[[#This Row],[Part Type]]</f>
        <v>0</v>
      </c>
      <c r="BZ8" s="18">
        <f>NV_2343[[#This Row],[Part Nr.]]</f>
        <v>0</v>
      </c>
      <c r="CA8" s="18" t="str">
        <f>IF(NV_2343[[#This Row],[UID]]=0,"",NV_2343[[#This Row],[UID]])</f>
        <v/>
      </c>
      <c r="CE8" s="18" t="str">
        <f>IF(NV_2343[[#This Row],[Status]]=0,"",NV_2343[[#This Row],[Status]])</f>
        <v/>
      </c>
    </row>
    <row r="9" spans="1:83">
      <c r="E9" s="28"/>
      <c r="F9" s="19"/>
      <c r="H9" s="53"/>
      <c r="I9" s="53"/>
      <c r="K9" s="53"/>
      <c r="M9" s="18"/>
      <c r="P9" s="20"/>
      <c r="BU9" s="1" t="s">
        <v>71</v>
      </c>
      <c r="BV9" s="1" t="s">
        <v>18</v>
      </c>
      <c r="BW9" s="1" t="s">
        <v>308</v>
      </c>
      <c r="BY9" s="18">
        <f>NV_2343[[#This Row],[Part Type]]</f>
        <v>0</v>
      </c>
      <c r="BZ9" s="18">
        <f>NV_2343[[#This Row],[Part Nr.]]</f>
        <v>0</v>
      </c>
      <c r="CA9" s="18" t="str">
        <f>IF(NV_2343[[#This Row],[UID]]=0,"",NV_2343[[#This Row],[UID]])</f>
        <v/>
      </c>
      <c r="CE9" s="18" t="str">
        <f>IF(NV_2343[[#This Row],[Status]]=0,"",NV_2343[[#This Row],[Status]])</f>
        <v/>
      </c>
    </row>
    <row r="10" spans="1:83">
      <c r="E10" s="28"/>
      <c r="F10" s="19"/>
      <c r="H10" s="53"/>
      <c r="I10" s="53"/>
      <c r="K10" s="53"/>
      <c r="M10" s="18"/>
      <c r="P10" s="20"/>
      <c r="BU10" s="1" t="s">
        <v>71</v>
      </c>
      <c r="BV10" s="1" t="s">
        <v>18</v>
      </c>
      <c r="BW10" s="1" t="s">
        <v>308</v>
      </c>
      <c r="BY10" s="18">
        <f>NV_2343[[#This Row],[Part Type]]</f>
        <v>0</v>
      </c>
      <c r="BZ10" s="18">
        <f>NV_2343[[#This Row],[Part Nr.]]</f>
        <v>0</v>
      </c>
      <c r="CA10" s="18" t="str">
        <f>IF(NV_2343[[#This Row],[UID]]=0,"",NV_2343[[#This Row],[UID]])</f>
        <v/>
      </c>
      <c r="CE10" s="18" t="str">
        <f>IF(NV_2343[[#This Row],[Status]]=0,"",NV_2343[[#This Row],[Status]])</f>
        <v/>
      </c>
    </row>
    <row r="11" spans="1:83">
      <c r="E11" s="28"/>
      <c r="F11" s="19"/>
      <c r="H11" s="53"/>
      <c r="I11" s="53"/>
      <c r="K11" s="53"/>
      <c r="M11" s="18"/>
      <c r="P11" s="20"/>
      <c r="BU11" s="1" t="s">
        <v>71</v>
      </c>
      <c r="BV11" s="1" t="s">
        <v>18</v>
      </c>
      <c r="BW11" s="1" t="s">
        <v>308</v>
      </c>
      <c r="BY11" s="18">
        <f>NV_2343[[#This Row],[Part Type]]</f>
        <v>0</v>
      </c>
      <c r="BZ11" s="18">
        <f>NV_2343[[#This Row],[Part Nr.]]</f>
        <v>0</v>
      </c>
      <c r="CA11" s="18" t="str">
        <f>IF(NV_2343[[#This Row],[UID]]=0,"",NV_2343[[#This Row],[UID]])</f>
        <v/>
      </c>
      <c r="CE11" s="18" t="str">
        <f>IF(NV_2343[[#This Row],[Status]]=0,"",NV_2343[[#This Row],[Status]])</f>
        <v/>
      </c>
    </row>
    <row r="12" spans="1:83">
      <c r="E12" s="28"/>
      <c r="F12" s="19"/>
      <c r="H12" s="53"/>
      <c r="I12" s="53"/>
      <c r="K12" s="53"/>
      <c r="M12" s="18"/>
      <c r="P12" s="20"/>
      <c r="BU12" s="1" t="s">
        <v>71</v>
      </c>
      <c r="BV12" s="1" t="s">
        <v>18</v>
      </c>
      <c r="BW12" s="1" t="s">
        <v>308</v>
      </c>
      <c r="BY12" s="18">
        <f>NV_2343[[#This Row],[Part Type]]</f>
        <v>0</v>
      </c>
      <c r="BZ12" s="18">
        <f>NV_2343[[#This Row],[Part Nr.]]</f>
        <v>0</v>
      </c>
      <c r="CA12" s="18" t="str">
        <f>IF(NV_2343[[#This Row],[UID]]=0,"",NV_2343[[#This Row],[UID]])</f>
        <v/>
      </c>
      <c r="CE12" s="18" t="str">
        <f>IF(NV_2343[[#This Row],[Status]]=0,"",NV_2343[[#This Row],[Status]])</f>
        <v/>
      </c>
    </row>
    <row r="13" spans="1:83">
      <c r="E13" s="28"/>
      <c r="F13" s="19"/>
      <c r="H13" s="53"/>
      <c r="I13" s="53"/>
      <c r="K13" s="53"/>
      <c r="M13" s="18"/>
      <c r="P13" s="20"/>
      <c r="BU13" s="1" t="s">
        <v>71</v>
      </c>
      <c r="BV13" s="1" t="s">
        <v>18</v>
      </c>
      <c r="BW13" s="1" t="s">
        <v>308</v>
      </c>
      <c r="BY13" s="18">
        <f>NV_2343[[#This Row],[Part Type]]</f>
        <v>0</v>
      </c>
      <c r="BZ13" s="18">
        <f>NV_2343[[#This Row],[Part Nr.]]</f>
        <v>0</v>
      </c>
      <c r="CA13" s="18" t="str">
        <f>IF(NV_2343[[#This Row],[UID]]=0,"",NV_2343[[#This Row],[UID]])</f>
        <v/>
      </c>
      <c r="CE13" s="18" t="str">
        <f>IF(NV_2343[[#This Row],[Status]]=0,"",NV_2343[[#This Row],[Status]])</f>
        <v/>
      </c>
    </row>
    <row r="14" spans="1:83">
      <c r="E14" s="28"/>
      <c r="F14" s="19"/>
      <c r="H14" s="53"/>
      <c r="I14" s="53"/>
      <c r="K14" s="53"/>
      <c r="M14" s="18"/>
      <c r="P14" s="20"/>
      <c r="BU14" s="1" t="s">
        <v>71</v>
      </c>
      <c r="BV14" s="1" t="s">
        <v>18</v>
      </c>
      <c r="BW14" s="1" t="s">
        <v>308</v>
      </c>
      <c r="BY14" s="18">
        <f>NV_2343[[#This Row],[Part Type]]</f>
        <v>0</v>
      </c>
      <c r="BZ14" s="18">
        <f>NV_2343[[#This Row],[Part Nr.]]</f>
        <v>0</v>
      </c>
      <c r="CA14" s="18" t="str">
        <f>IF(NV_2343[[#This Row],[UID]]=0,"",NV_2343[[#This Row],[UID]])</f>
        <v/>
      </c>
      <c r="CE14" s="18" t="str">
        <f>IF(NV_2343[[#This Row],[Status]]=0,"",NV_2343[[#This Row],[Status]])</f>
        <v/>
      </c>
    </row>
    <row r="15" spans="1:83">
      <c r="E15" s="28"/>
      <c r="F15" s="19"/>
      <c r="H15" s="53"/>
      <c r="I15" s="53"/>
      <c r="K15" s="53"/>
      <c r="M15" s="18"/>
      <c r="P15" s="20"/>
      <c r="BU15" s="1" t="s">
        <v>71</v>
      </c>
      <c r="BV15" s="1" t="s">
        <v>18</v>
      </c>
      <c r="BW15" s="1" t="s">
        <v>308</v>
      </c>
      <c r="BY15" s="18">
        <f>NV_2343[[#This Row],[Part Type]]</f>
        <v>0</v>
      </c>
      <c r="BZ15" s="18">
        <f>NV_2343[[#This Row],[Part Nr.]]</f>
        <v>0</v>
      </c>
      <c r="CA15" s="18" t="str">
        <f>IF(NV_2343[[#This Row],[UID]]=0,"",NV_2343[[#This Row],[UID]])</f>
        <v/>
      </c>
      <c r="CE15" s="18" t="str">
        <f>IF(NV_2343[[#This Row],[Status]]=0,"",NV_2343[[#This Row],[Status]])</f>
        <v/>
      </c>
    </row>
    <row r="16" spans="1:83">
      <c r="E16" s="28"/>
      <c r="F16" s="19"/>
      <c r="H16" s="53"/>
      <c r="I16" s="53"/>
      <c r="K16" s="53"/>
      <c r="M16" s="18"/>
      <c r="P16" s="20"/>
      <c r="BU16" s="1" t="s">
        <v>71</v>
      </c>
      <c r="BV16" s="1" t="s">
        <v>18</v>
      </c>
      <c r="BW16" s="1" t="s">
        <v>308</v>
      </c>
      <c r="BY16" s="18">
        <f>NV_2343[[#This Row],[Part Type]]</f>
        <v>0</v>
      </c>
      <c r="BZ16" s="18">
        <f>NV_2343[[#This Row],[Part Nr.]]</f>
        <v>0</v>
      </c>
      <c r="CA16" s="18" t="str">
        <f>IF(NV_2343[[#This Row],[UID]]=0,"",NV_2343[[#This Row],[UID]])</f>
        <v/>
      </c>
      <c r="CE16" s="18" t="str">
        <f>IF(NV_2343[[#This Row],[Status]]=0,"",NV_2343[[#This Row],[Status]])</f>
        <v/>
      </c>
    </row>
    <row r="17" spans="3:83">
      <c r="E17" s="28"/>
      <c r="F17" s="19"/>
      <c r="H17" s="53"/>
      <c r="I17" s="53"/>
      <c r="K17" s="53"/>
      <c r="M17" s="18"/>
      <c r="P17" s="20"/>
      <c r="BU17" s="1" t="s">
        <v>71</v>
      </c>
      <c r="BV17" s="1" t="s">
        <v>18</v>
      </c>
      <c r="BW17" s="1" t="s">
        <v>308</v>
      </c>
      <c r="BY17" s="18">
        <f>NV_2343[[#This Row],[Part Type]]</f>
        <v>0</v>
      </c>
      <c r="BZ17" s="18">
        <f>NV_2343[[#This Row],[Part Nr.]]</f>
        <v>0</v>
      </c>
      <c r="CA17" s="18" t="str">
        <f>IF(NV_2343[[#This Row],[UID]]=0,"",NV_2343[[#This Row],[UID]])</f>
        <v/>
      </c>
      <c r="CE17" s="18" t="str">
        <f>IF(NV_2343[[#This Row],[Status]]=0,"",NV_2343[[#This Row],[Status]])</f>
        <v/>
      </c>
    </row>
    <row r="18" spans="3:83">
      <c r="E18" s="28"/>
      <c r="F18" s="19"/>
      <c r="H18" s="53"/>
      <c r="I18" s="53"/>
      <c r="K18" s="53"/>
      <c r="M18" s="18"/>
      <c r="P18" s="20"/>
      <c r="BU18" s="1" t="s">
        <v>71</v>
      </c>
      <c r="BV18" s="1" t="s">
        <v>18</v>
      </c>
      <c r="BW18" s="1" t="s">
        <v>308</v>
      </c>
      <c r="BY18" s="18">
        <f>NV_2343[[#This Row],[Part Type]]</f>
        <v>0</v>
      </c>
      <c r="BZ18" s="18">
        <f>NV_2343[[#This Row],[Part Nr.]]</f>
        <v>0</v>
      </c>
      <c r="CA18" s="18" t="str">
        <f>IF(NV_2343[[#This Row],[UID]]=0,"",NV_2343[[#This Row],[UID]])</f>
        <v/>
      </c>
      <c r="CE18" s="18" t="str">
        <f>IF(NV_2343[[#This Row],[Status]]=0,"",NV_2343[[#This Row],[Status]])</f>
        <v/>
      </c>
    </row>
    <row r="19" spans="3:83">
      <c r="E19" s="28"/>
      <c r="F19" s="19"/>
      <c r="H19" s="53"/>
      <c r="I19" s="53"/>
      <c r="K19" s="53"/>
      <c r="M19" s="18"/>
      <c r="P19" s="20"/>
      <c r="BU19" s="1" t="s">
        <v>71</v>
      </c>
      <c r="BV19" s="1" t="s">
        <v>18</v>
      </c>
      <c r="BW19" s="1" t="s">
        <v>308</v>
      </c>
      <c r="BY19" s="18">
        <f>NV_2343[[#This Row],[Part Type]]</f>
        <v>0</v>
      </c>
      <c r="BZ19" s="18">
        <f>NV_2343[[#This Row],[Part Nr.]]</f>
        <v>0</v>
      </c>
      <c r="CA19" s="18" t="str">
        <f>IF(NV_2343[[#This Row],[UID]]=0,"",NV_2343[[#This Row],[UID]])</f>
        <v/>
      </c>
      <c r="CE19" s="18" t="str">
        <f>IF(NV_2343[[#This Row],[Status]]=0,"",NV_2343[[#This Row],[Status]])</f>
        <v/>
      </c>
    </row>
    <row r="20" spans="3:83">
      <c r="E20" s="28"/>
      <c r="F20" s="19"/>
      <c r="H20" s="53"/>
      <c r="I20" s="53"/>
      <c r="K20" s="53"/>
      <c r="M20" s="18"/>
      <c r="P20" s="20"/>
      <c r="BU20" s="1" t="s">
        <v>71</v>
      </c>
      <c r="BV20" s="1" t="s">
        <v>18</v>
      </c>
      <c r="BW20" s="1" t="s">
        <v>308</v>
      </c>
      <c r="BY20" s="18">
        <f>NV_2343[[#This Row],[Part Type]]</f>
        <v>0</v>
      </c>
      <c r="BZ20" s="18">
        <f>NV_2343[[#This Row],[Part Nr.]]</f>
        <v>0</v>
      </c>
      <c r="CA20" s="18" t="str">
        <f>IF(NV_2343[[#This Row],[UID]]=0,"",NV_2343[[#This Row],[UID]])</f>
        <v/>
      </c>
      <c r="CE20" s="18" t="str">
        <f>IF(NV_2343[[#This Row],[Status]]=0,"",NV_2343[[#This Row],[Status]])</f>
        <v/>
      </c>
    </row>
    <row r="21" spans="3:83">
      <c r="E21" s="28"/>
      <c r="F21" s="19"/>
      <c r="H21" s="53"/>
      <c r="I21" s="53"/>
      <c r="K21" s="53"/>
      <c r="M21" s="18"/>
      <c r="P21" s="20"/>
      <c r="BU21" s="1" t="s">
        <v>71</v>
      </c>
      <c r="BV21" s="1" t="s">
        <v>18</v>
      </c>
      <c r="BW21" s="1" t="s">
        <v>308</v>
      </c>
      <c r="BY21" s="18">
        <f>NV_2343[[#This Row],[Part Type]]</f>
        <v>0</v>
      </c>
      <c r="BZ21" s="18">
        <f>NV_2343[[#This Row],[Part Nr.]]</f>
        <v>0</v>
      </c>
      <c r="CA21" s="18" t="str">
        <f>IF(NV_2343[[#This Row],[UID]]=0,"",NV_2343[[#This Row],[UID]])</f>
        <v/>
      </c>
      <c r="CE21" s="18" t="str">
        <f>IF(NV_2343[[#This Row],[Status]]=0,"",NV_2343[[#This Row],[Status]])</f>
        <v/>
      </c>
    </row>
    <row r="22" spans="3:83">
      <c r="E22" s="28"/>
      <c r="F22" s="19"/>
      <c r="H22" s="53"/>
      <c r="I22" s="53"/>
      <c r="K22" s="53"/>
      <c r="M22" s="18"/>
      <c r="P22" s="20"/>
      <c r="BU22" s="1" t="s">
        <v>71</v>
      </c>
      <c r="BV22" s="1" t="s">
        <v>18</v>
      </c>
      <c r="BW22" s="1" t="s">
        <v>308</v>
      </c>
      <c r="BY22" s="18">
        <f>NV_2343[[#This Row],[Part Type]]</f>
        <v>0</v>
      </c>
      <c r="BZ22" s="18">
        <f>NV_2343[[#This Row],[Part Nr.]]</f>
        <v>0</v>
      </c>
      <c r="CA22" s="18" t="str">
        <f>IF(NV_2343[[#This Row],[UID]]=0,"",NV_2343[[#This Row],[UID]])</f>
        <v/>
      </c>
      <c r="CE22" s="18" t="str">
        <f>IF(NV_2343[[#This Row],[Status]]=0,"",NV_2343[[#This Row],[Status]])</f>
        <v/>
      </c>
    </row>
    <row r="23" spans="3:83">
      <c r="E23" s="28"/>
      <c r="F23" s="19"/>
      <c r="H23" s="53"/>
      <c r="I23" s="53"/>
      <c r="K23" s="53"/>
      <c r="M23" s="18"/>
      <c r="P23" s="20"/>
      <c r="BU23" s="1" t="s">
        <v>71</v>
      </c>
      <c r="BV23" s="1" t="s">
        <v>18</v>
      </c>
      <c r="BW23" s="1" t="s">
        <v>308</v>
      </c>
      <c r="BY23" s="18">
        <f>NV_2343[[#This Row],[Part Type]]</f>
        <v>0</v>
      </c>
      <c r="BZ23" s="18">
        <f>NV_2343[[#This Row],[Part Nr.]]</f>
        <v>0</v>
      </c>
      <c r="CA23" s="18" t="str">
        <f>IF(NV_2343[[#This Row],[UID]]=0,"",NV_2343[[#This Row],[UID]])</f>
        <v/>
      </c>
      <c r="CE23" s="18" t="str">
        <f>IF(NV_2343[[#This Row],[Status]]=0,"",NV_2343[[#This Row],[Status]])</f>
        <v/>
      </c>
    </row>
    <row r="24" spans="3:83">
      <c r="E24" s="28"/>
      <c r="F24" s="19"/>
      <c r="H24" s="53"/>
      <c r="I24" s="53"/>
      <c r="K24" s="53"/>
      <c r="M24" s="18"/>
      <c r="P24" s="20"/>
      <c r="BU24" s="1" t="s">
        <v>71</v>
      </c>
      <c r="BV24" s="1" t="s">
        <v>18</v>
      </c>
      <c r="BW24" s="1" t="s">
        <v>308</v>
      </c>
      <c r="BY24" s="18">
        <f>NV_2343[[#This Row],[Part Type]]</f>
        <v>0</v>
      </c>
      <c r="BZ24" s="18">
        <f>NV_2343[[#This Row],[Part Nr.]]</f>
        <v>0</v>
      </c>
      <c r="CA24" s="18" t="str">
        <f>IF(NV_2343[[#This Row],[UID]]=0,"",NV_2343[[#This Row],[UID]])</f>
        <v/>
      </c>
      <c r="CE24" s="18" t="str">
        <f>IF(NV_2343[[#This Row],[Status]]=0,"",NV_2343[[#This Row],[Status]])</f>
        <v/>
      </c>
    </row>
    <row r="25" spans="3:83">
      <c r="E25" s="28"/>
      <c r="F25" s="19"/>
      <c r="H25" s="53"/>
      <c r="I25" s="53"/>
      <c r="K25" s="53"/>
      <c r="M25" s="18"/>
      <c r="P25" s="20"/>
      <c r="BU25" s="1" t="s">
        <v>71</v>
      </c>
      <c r="BV25" s="1" t="s">
        <v>18</v>
      </c>
      <c r="BW25" s="1" t="s">
        <v>308</v>
      </c>
      <c r="BY25" s="18">
        <f>NV_2343[[#This Row],[Part Type]]</f>
        <v>0</v>
      </c>
      <c r="BZ25" s="18">
        <f>NV_2343[[#This Row],[Part Nr.]]</f>
        <v>0</v>
      </c>
      <c r="CA25" s="18" t="str">
        <f>IF(NV_2343[[#This Row],[UID]]=0,"",NV_2343[[#This Row],[UID]])</f>
        <v/>
      </c>
      <c r="CE25" s="18" t="str">
        <f>IF(NV_2343[[#This Row],[Status]]=0,"",NV_2343[[#This Row],[Status]])</f>
        <v/>
      </c>
    </row>
    <row r="26" spans="3:83">
      <c r="E26" s="28"/>
      <c r="F26" s="19"/>
      <c r="H26" s="53"/>
      <c r="I26" s="53"/>
      <c r="K26" s="53"/>
      <c r="M26" s="18"/>
      <c r="P26" s="20"/>
      <c r="BU26" s="1" t="s">
        <v>71</v>
      </c>
      <c r="BV26" s="1" t="s">
        <v>18</v>
      </c>
      <c r="BW26" s="1" t="s">
        <v>308</v>
      </c>
      <c r="BY26" s="18">
        <f>NV_2343[[#This Row],[Part Type]]</f>
        <v>0</v>
      </c>
      <c r="BZ26" s="18">
        <f>NV_2343[[#This Row],[Part Nr.]]</f>
        <v>0</v>
      </c>
      <c r="CA26" s="18" t="str">
        <f>IF(NV_2343[[#This Row],[UID]]=0,"",NV_2343[[#This Row],[UID]])</f>
        <v/>
      </c>
      <c r="CE26" s="18" t="str">
        <f>IF(NV_2343[[#This Row],[Status]]=0,"",NV_2343[[#This Row],[Status]])</f>
        <v/>
      </c>
    </row>
    <row r="27" spans="3:83">
      <c r="E27" s="28"/>
      <c r="F27" s="19"/>
      <c r="H27" s="53"/>
      <c r="I27" s="53"/>
      <c r="K27" s="53"/>
      <c r="M27" s="18"/>
      <c r="P27" s="20"/>
      <c r="BU27" s="1" t="s">
        <v>71</v>
      </c>
      <c r="BV27" s="1" t="s">
        <v>18</v>
      </c>
      <c r="BW27" s="1" t="s">
        <v>308</v>
      </c>
      <c r="BY27" s="18">
        <f>NV_2343[[#This Row],[Part Type]]</f>
        <v>0</v>
      </c>
      <c r="BZ27" s="18">
        <f>NV_2343[[#This Row],[Part Nr.]]</f>
        <v>0</v>
      </c>
      <c r="CA27" s="18" t="str">
        <f>IF(NV_2343[[#This Row],[UID]]=0,"",NV_2343[[#This Row],[UID]])</f>
        <v/>
      </c>
      <c r="CE27" s="18" t="str">
        <f>IF(NV_2343[[#This Row],[Status]]=0,"",NV_2343[[#This Row],[Status]])</f>
        <v/>
      </c>
    </row>
    <row r="28" spans="3:83">
      <c r="E28" s="28"/>
      <c r="F28" s="19"/>
      <c r="H28" s="53"/>
      <c r="I28" s="53"/>
      <c r="K28" s="53"/>
      <c r="M28" s="18"/>
      <c r="P28" s="20"/>
      <c r="BU28" s="1" t="s">
        <v>71</v>
      </c>
      <c r="BV28" s="1" t="s">
        <v>18</v>
      </c>
      <c r="BW28" s="1" t="s">
        <v>308</v>
      </c>
      <c r="BY28" s="18">
        <f>NV_2343[[#This Row],[Part Type]]</f>
        <v>0</v>
      </c>
      <c r="BZ28" s="18">
        <f>NV_2343[[#This Row],[Part Nr.]]</f>
        <v>0</v>
      </c>
      <c r="CA28" s="18" t="str">
        <f>IF(NV_2343[[#This Row],[UID]]=0,"",NV_2343[[#This Row],[UID]])</f>
        <v/>
      </c>
      <c r="CE28" s="18" t="str">
        <f>IF(NV_2343[[#This Row],[Status]]=0,"",NV_2343[[#This Row],[Status]])</f>
        <v/>
      </c>
    </row>
    <row r="29" spans="3:83">
      <c r="C29" s="54"/>
      <c r="E29" s="28"/>
      <c r="F29" s="19"/>
      <c r="H29" s="53"/>
      <c r="I29" s="53"/>
      <c r="K29" s="53"/>
      <c r="M29" s="18"/>
      <c r="P29" s="20"/>
      <c r="BU29" s="1" t="s">
        <v>71</v>
      </c>
      <c r="BV29" s="1" t="s">
        <v>18</v>
      </c>
      <c r="BW29" s="1" t="s">
        <v>308</v>
      </c>
      <c r="BY29" s="18">
        <f>NV_2343[[#This Row],[Part Type]]</f>
        <v>0</v>
      </c>
      <c r="BZ29" s="18">
        <f>NV_2343[[#This Row],[Part Nr.]]</f>
        <v>0</v>
      </c>
      <c r="CA29" s="18" t="str">
        <f>IF(NV_2343[[#This Row],[UID]]=0,"",NV_2343[[#This Row],[UID]])</f>
        <v/>
      </c>
      <c r="CE29" s="18" t="str">
        <f>IF(NV_2343[[#This Row],[Status]]=0,"",NV_2343[[#This Row],[Status]])</f>
        <v/>
      </c>
    </row>
    <row r="30" spans="3:83">
      <c r="E30" s="28"/>
      <c r="F30" s="19"/>
      <c r="H30" s="53"/>
      <c r="I30" s="53"/>
      <c r="K30" s="53"/>
      <c r="M30" s="18"/>
      <c r="P30" s="20"/>
      <c r="BU30" s="1" t="s">
        <v>71</v>
      </c>
      <c r="BV30" s="1" t="s">
        <v>18</v>
      </c>
      <c r="BW30" s="1" t="s">
        <v>308</v>
      </c>
      <c r="BY30" s="18">
        <f>NV_2343[[#This Row],[Part Type]]</f>
        <v>0</v>
      </c>
      <c r="BZ30" s="18">
        <f>NV_2343[[#This Row],[Part Nr.]]</f>
        <v>0</v>
      </c>
      <c r="CA30" s="18" t="str">
        <f>IF(NV_2343[[#This Row],[UID]]=0,"",NV_2343[[#This Row],[UID]])</f>
        <v/>
      </c>
      <c r="CE30" s="18" t="str">
        <f>IF(NV_2343[[#This Row],[Status]]=0,"",NV_2343[[#This Row],[Status]])</f>
        <v/>
      </c>
    </row>
    <row r="31" spans="3:83">
      <c r="E31" s="28"/>
      <c r="F31" s="19"/>
      <c r="H31" s="53"/>
      <c r="I31" s="53"/>
      <c r="K31" s="53"/>
      <c r="M31" s="18"/>
      <c r="P31" s="20"/>
      <c r="BU31" s="1" t="s">
        <v>71</v>
      </c>
      <c r="BV31" s="1" t="s">
        <v>18</v>
      </c>
      <c r="BW31" s="1" t="s">
        <v>308</v>
      </c>
      <c r="BY31" s="18">
        <f>NV_2343[[#This Row],[Part Type]]</f>
        <v>0</v>
      </c>
      <c r="BZ31" s="18">
        <f>NV_2343[[#This Row],[Part Nr.]]</f>
        <v>0</v>
      </c>
      <c r="CA31" s="18" t="str">
        <f>IF(NV_2343[[#This Row],[UID]]=0,"",NV_2343[[#This Row],[UID]])</f>
        <v/>
      </c>
      <c r="CE31" s="18" t="str">
        <f>IF(NV_2343[[#This Row],[Status]]=0,"",NV_2343[[#This Row],[Status]])</f>
        <v/>
      </c>
    </row>
    <row r="32" spans="3:83">
      <c r="E32" s="28"/>
      <c r="F32" s="19"/>
      <c r="H32" s="53"/>
      <c r="I32" s="53"/>
      <c r="K32" s="53"/>
      <c r="M32" s="18"/>
      <c r="P32" s="20"/>
      <c r="BU32" s="1" t="s">
        <v>71</v>
      </c>
      <c r="BV32" s="1" t="s">
        <v>18</v>
      </c>
      <c r="BW32" s="1" t="s">
        <v>308</v>
      </c>
      <c r="BY32" s="18">
        <f>NV_2343[[#This Row],[Part Type]]</f>
        <v>0</v>
      </c>
      <c r="BZ32" s="18">
        <f>NV_2343[[#This Row],[Part Nr.]]</f>
        <v>0</v>
      </c>
      <c r="CA32" s="18" t="str">
        <f>IF(NV_2343[[#This Row],[UID]]=0,"",NV_2343[[#This Row],[UID]])</f>
        <v/>
      </c>
      <c r="CE32" s="18" t="str">
        <f>IF(NV_2343[[#This Row],[Status]]=0,"",NV_2343[[#This Row],[Status]])</f>
        <v/>
      </c>
    </row>
    <row r="33" spans="5:83">
      <c r="E33" s="28"/>
      <c r="F33" s="19"/>
      <c r="H33" s="53"/>
      <c r="I33" s="53"/>
      <c r="K33" s="53"/>
      <c r="M33" s="18"/>
      <c r="P33" s="20"/>
      <c r="BU33" s="1" t="s">
        <v>71</v>
      </c>
      <c r="BV33" s="1" t="s">
        <v>18</v>
      </c>
      <c r="BW33" s="1" t="s">
        <v>308</v>
      </c>
      <c r="BY33" s="18">
        <f>NV_2343[[#This Row],[Part Type]]</f>
        <v>0</v>
      </c>
      <c r="BZ33" s="18">
        <f>NV_2343[[#This Row],[Part Nr.]]</f>
        <v>0</v>
      </c>
      <c r="CA33" s="18" t="str">
        <f>IF(NV_2343[[#This Row],[UID]]=0,"",NV_2343[[#This Row],[UID]])</f>
        <v/>
      </c>
      <c r="CE33" s="18" t="str">
        <f>IF(NV_2343[[#This Row],[Status]]=0,"",NV_2343[[#This Row],[Status]])</f>
        <v/>
      </c>
    </row>
    <row r="34" spans="5:83">
      <c r="E34" s="28"/>
      <c r="F34" s="19"/>
      <c r="H34" s="53"/>
      <c r="I34" s="53"/>
      <c r="K34" s="53"/>
      <c r="M34" s="18"/>
      <c r="P34" s="20"/>
      <c r="BU34" s="1" t="s">
        <v>71</v>
      </c>
      <c r="BV34" s="1" t="s">
        <v>18</v>
      </c>
      <c r="BW34" s="1" t="s">
        <v>308</v>
      </c>
      <c r="BY34" s="18">
        <f>NV_2343[[#This Row],[Part Type]]</f>
        <v>0</v>
      </c>
      <c r="BZ34" s="18">
        <f>NV_2343[[#This Row],[Part Nr.]]</f>
        <v>0</v>
      </c>
      <c r="CA34" s="18" t="str">
        <f>IF(NV_2343[[#This Row],[UID]]=0,"",NV_2343[[#This Row],[UID]])</f>
        <v/>
      </c>
      <c r="CE34" s="18" t="str">
        <f>IF(NV_2343[[#This Row],[Status]]=0,"",NV_2343[[#This Row],[Status]])</f>
        <v/>
      </c>
    </row>
    <row r="35" spans="5:83">
      <c r="E35" s="28"/>
      <c r="F35" s="19"/>
      <c r="H35" s="53"/>
      <c r="I35" s="53"/>
      <c r="K35" s="53"/>
      <c r="M35" s="18"/>
      <c r="P35" s="20"/>
      <c r="BU35" s="1" t="s">
        <v>71</v>
      </c>
      <c r="BV35" s="1" t="s">
        <v>18</v>
      </c>
      <c r="BW35" s="1" t="s">
        <v>308</v>
      </c>
      <c r="BY35" s="18">
        <f>NV_2343[[#This Row],[Part Type]]</f>
        <v>0</v>
      </c>
      <c r="BZ35" s="18">
        <f>NV_2343[[#This Row],[Part Nr.]]</f>
        <v>0</v>
      </c>
      <c r="CA35" s="18" t="str">
        <f>IF(NV_2343[[#This Row],[UID]]=0,"",NV_2343[[#This Row],[UID]])</f>
        <v/>
      </c>
      <c r="CE35" s="18" t="str">
        <f>IF(NV_2343[[#This Row],[Status]]=0,"",NV_2343[[#This Row],[Status]])</f>
        <v/>
      </c>
    </row>
    <row r="36" spans="5:83">
      <c r="E36" s="28"/>
      <c r="F36" s="19"/>
      <c r="H36" s="53"/>
      <c r="I36" s="53"/>
      <c r="K36" s="53"/>
      <c r="M36" s="18"/>
      <c r="P36" s="20"/>
      <c r="BU36" s="1" t="s">
        <v>71</v>
      </c>
      <c r="BV36" s="1" t="s">
        <v>18</v>
      </c>
      <c r="BW36" s="1" t="s">
        <v>308</v>
      </c>
      <c r="BY36" s="18">
        <f>NV_2343[[#This Row],[Part Type]]</f>
        <v>0</v>
      </c>
      <c r="BZ36" s="18">
        <f>NV_2343[[#This Row],[Part Nr.]]</f>
        <v>0</v>
      </c>
      <c r="CA36" s="18" t="str">
        <f>IF(NV_2343[[#This Row],[UID]]=0,"",NV_2343[[#This Row],[UID]])</f>
        <v/>
      </c>
      <c r="CE36" s="18" t="str">
        <f>IF(NV_2343[[#This Row],[Status]]=0,"",NV_2343[[#This Row],[Status]])</f>
        <v/>
      </c>
    </row>
    <row r="37" spans="5:83">
      <c r="E37" s="28"/>
      <c r="F37" s="19"/>
      <c r="H37" s="53"/>
      <c r="I37" s="53"/>
      <c r="K37" s="53"/>
      <c r="M37" s="18"/>
      <c r="P37" s="20"/>
      <c r="BU37" s="1" t="s">
        <v>71</v>
      </c>
      <c r="BV37" s="1" t="s">
        <v>18</v>
      </c>
      <c r="BW37" s="1" t="s">
        <v>308</v>
      </c>
      <c r="BY37" s="18">
        <f>NV_2343[[#This Row],[Part Type]]</f>
        <v>0</v>
      </c>
      <c r="BZ37" s="18">
        <f>NV_2343[[#This Row],[Part Nr.]]</f>
        <v>0</v>
      </c>
      <c r="CA37" s="18" t="str">
        <f>IF(NV_2343[[#This Row],[UID]]=0,"",NV_2343[[#This Row],[UID]])</f>
        <v/>
      </c>
      <c r="CE37" s="18" t="str">
        <f>IF(NV_2343[[#This Row],[Status]]=0,"",NV_2343[[#This Row],[Status]])</f>
        <v/>
      </c>
    </row>
    <row r="38" spans="5:83">
      <c r="E38" s="28"/>
      <c r="F38" s="19"/>
      <c r="H38" s="53"/>
      <c r="I38" s="53"/>
      <c r="K38" s="53"/>
      <c r="M38" s="18"/>
      <c r="P38" s="20"/>
      <c r="BU38" s="1" t="s">
        <v>71</v>
      </c>
      <c r="BV38" s="1" t="s">
        <v>18</v>
      </c>
      <c r="BW38" s="1" t="s">
        <v>308</v>
      </c>
      <c r="BY38" s="18">
        <f>NV_2343[[#This Row],[Part Type]]</f>
        <v>0</v>
      </c>
      <c r="BZ38" s="18">
        <f>NV_2343[[#This Row],[Part Nr.]]</f>
        <v>0</v>
      </c>
      <c r="CA38" s="18" t="str">
        <f>IF(NV_2343[[#This Row],[UID]]=0,"",NV_2343[[#This Row],[UID]])</f>
        <v/>
      </c>
      <c r="CE38" s="18" t="str">
        <f>IF(NV_2343[[#This Row],[Status]]=0,"",NV_2343[[#This Row],[Status]])</f>
        <v/>
      </c>
    </row>
    <row r="39" spans="5:83">
      <c r="E39" s="28"/>
      <c r="F39" s="19"/>
      <c r="H39" s="53"/>
      <c r="I39" s="53"/>
      <c r="K39" s="53"/>
      <c r="M39" s="18"/>
      <c r="P39" s="20"/>
      <c r="BU39" s="1" t="s">
        <v>71</v>
      </c>
      <c r="BV39" s="1" t="s">
        <v>18</v>
      </c>
      <c r="BW39" s="1" t="s">
        <v>308</v>
      </c>
      <c r="BY39" s="18">
        <f>NV_2343[[#This Row],[Part Type]]</f>
        <v>0</v>
      </c>
      <c r="BZ39" s="18">
        <f>NV_2343[[#This Row],[Part Nr.]]</f>
        <v>0</v>
      </c>
      <c r="CA39" s="18" t="str">
        <f>IF(NV_2343[[#This Row],[UID]]=0,"",NV_2343[[#This Row],[UID]])</f>
        <v/>
      </c>
      <c r="CE39" s="18" t="str">
        <f>IF(NV_2343[[#This Row],[Status]]=0,"",NV_2343[[#This Row],[Status]])</f>
        <v/>
      </c>
    </row>
    <row r="40" spans="5:83">
      <c r="E40" s="28"/>
      <c r="F40" s="19"/>
      <c r="H40" s="53"/>
      <c r="I40" s="53"/>
      <c r="K40" s="53"/>
      <c r="M40" s="18"/>
      <c r="P40" s="20"/>
      <c r="BU40" s="1" t="s">
        <v>71</v>
      </c>
      <c r="BV40" s="1" t="s">
        <v>18</v>
      </c>
      <c r="BW40" s="1" t="s">
        <v>308</v>
      </c>
      <c r="BY40" s="18">
        <f>NV_2343[[#This Row],[Part Type]]</f>
        <v>0</v>
      </c>
      <c r="BZ40" s="18">
        <f>NV_2343[[#This Row],[Part Nr.]]</f>
        <v>0</v>
      </c>
      <c r="CA40" s="18" t="str">
        <f>IF(NV_2343[[#This Row],[UID]]=0,"",NV_2343[[#This Row],[UID]])</f>
        <v/>
      </c>
      <c r="CE40" s="18" t="str">
        <f>IF(NV_2343[[#This Row],[Status]]=0,"",NV_2343[[#This Row],[Status]])</f>
        <v/>
      </c>
    </row>
    <row r="41" spans="5:83">
      <c r="E41" s="28"/>
      <c r="F41" s="19"/>
      <c r="H41" s="53"/>
      <c r="I41" s="53"/>
      <c r="K41" s="53"/>
      <c r="M41" s="18"/>
      <c r="P41" s="20"/>
      <c r="BU41" s="1" t="s">
        <v>71</v>
      </c>
      <c r="BV41" s="1" t="s">
        <v>18</v>
      </c>
      <c r="BW41" s="1" t="s">
        <v>308</v>
      </c>
      <c r="BY41" s="18">
        <f>NV_2343[[#This Row],[Part Type]]</f>
        <v>0</v>
      </c>
      <c r="BZ41" s="18">
        <f>NV_2343[[#This Row],[Part Nr.]]</f>
        <v>0</v>
      </c>
      <c r="CA41" s="18" t="str">
        <f>IF(NV_2343[[#This Row],[UID]]=0,"",NV_2343[[#This Row],[UID]])</f>
        <v/>
      </c>
      <c r="CE41" s="18" t="str">
        <f>IF(NV_2343[[#This Row],[Status]]=0,"",NV_2343[[#This Row],[Status]])</f>
        <v/>
      </c>
    </row>
    <row r="42" spans="5:83">
      <c r="E42" s="28"/>
      <c r="F42" s="19"/>
      <c r="H42" s="53"/>
      <c r="I42" s="53"/>
      <c r="K42" s="53"/>
      <c r="M42" s="18"/>
      <c r="P42" s="20"/>
      <c r="BU42" s="1" t="s">
        <v>71</v>
      </c>
      <c r="BV42" s="1" t="s">
        <v>18</v>
      </c>
      <c r="BW42" s="1" t="s">
        <v>308</v>
      </c>
      <c r="BY42" s="18">
        <f>NV_2343[[#This Row],[Part Type]]</f>
        <v>0</v>
      </c>
      <c r="BZ42" s="18">
        <f>NV_2343[[#This Row],[Part Nr.]]</f>
        <v>0</v>
      </c>
      <c r="CA42" s="18" t="str">
        <f>IF(NV_2343[[#This Row],[UID]]=0,"",NV_2343[[#This Row],[UID]])</f>
        <v/>
      </c>
      <c r="CE42" s="18" t="str">
        <f>IF(NV_2343[[#This Row],[Status]]=0,"",NV_2343[[#This Row],[Status]])</f>
        <v/>
      </c>
    </row>
    <row r="43" spans="5:83">
      <c r="E43" s="28"/>
      <c r="F43" s="19"/>
      <c r="H43" s="53"/>
      <c r="I43" s="53"/>
      <c r="K43" s="53"/>
      <c r="M43" s="18"/>
      <c r="P43" s="20"/>
      <c r="BU43" s="1" t="s">
        <v>71</v>
      </c>
      <c r="BV43" s="1" t="s">
        <v>18</v>
      </c>
      <c r="BW43" s="1" t="s">
        <v>308</v>
      </c>
      <c r="BY43" s="18">
        <f>NV_2343[[#This Row],[Part Type]]</f>
        <v>0</v>
      </c>
      <c r="BZ43" s="18">
        <f>NV_2343[[#This Row],[Part Nr.]]</f>
        <v>0</v>
      </c>
      <c r="CA43" s="18" t="str">
        <f>IF(NV_2343[[#This Row],[UID]]=0,"",NV_2343[[#This Row],[UID]])</f>
        <v/>
      </c>
      <c r="CE43" s="18" t="str">
        <f>IF(NV_2343[[#This Row],[Status]]=0,"",NV_2343[[#This Row],[Status]])</f>
        <v/>
      </c>
    </row>
    <row r="44" spans="5:83">
      <c r="E44" s="28"/>
      <c r="F44" s="19"/>
      <c r="H44" s="53"/>
      <c r="I44" s="53"/>
      <c r="K44" s="53"/>
      <c r="M44" s="18"/>
      <c r="P44" s="20"/>
      <c r="BU44" s="1" t="s">
        <v>71</v>
      </c>
      <c r="BV44" s="1" t="s">
        <v>18</v>
      </c>
      <c r="BW44" s="1" t="s">
        <v>308</v>
      </c>
      <c r="BY44" s="18">
        <f>NV_2343[[#This Row],[Part Type]]</f>
        <v>0</v>
      </c>
      <c r="BZ44" s="18">
        <f>NV_2343[[#This Row],[Part Nr.]]</f>
        <v>0</v>
      </c>
      <c r="CA44" s="18" t="str">
        <f>IF(NV_2343[[#This Row],[UID]]=0,"",NV_2343[[#This Row],[UID]])</f>
        <v/>
      </c>
      <c r="CE44" s="18" t="str">
        <f>IF(NV_2343[[#This Row],[Status]]=0,"",NV_2343[[#This Row],[Status]])</f>
        <v/>
      </c>
    </row>
    <row r="45" spans="5:83">
      <c r="E45" s="28"/>
      <c r="F45" s="19"/>
      <c r="H45" s="53"/>
      <c r="I45" s="53"/>
      <c r="K45" s="53"/>
      <c r="M45" s="18"/>
      <c r="P45" s="20"/>
      <c r="BU45" s="1" t="s">
        <v>71</v>
      </c>
      <c r="BV45" s="1" t="s">
        <v>18</v>
      </c>
      <c r="BW45" s="1" t="s">
        <v>308</v>
      </c>
      <c r="BY45" s="18">
        <f>NV_2343[[#This Row],[Part Type]]</f>
        <v>0</v>
      </c>
      <c r="BZ45" s="18">
        <f>NV_2343[[#This Row],[Part Nr.]]</f>
        <v>0</v>
      </c>
      <c r="CA45" s="18" t="str">
        <f>IF(NV_2343[[#This Row],[UID]]=0,"",NV_2343[[#This Row],[UID]])</f>
        <v/>
      </c>
      <c r="CE45" s="18" t="str">
        <f>IF(NV_2343[[#This Row],[Status]]=0,"",NV_2343[[#This Row],[Status]])</f>
        <v/>
      </c>
    </row>
    <row r="46" spans="5:83">
      <c r="E46" s="28"/>
      <c r="F46" s="19"/>
      <c r="H46" s="53"/>
      <c r="I46" s="53"/>
      <c r="K46" s="53"/>
      <c r="M46" s="18"/>
      <c r="P46" s="20"/>
      <c r="BU46" s="1" t="s">
        <v>71</v>
      </c>
      <c r="BV46" s="1" t="s">
        <v>18</v>
      </c>
      <c r="BW46" s="1" t="s">
        <v>308</v>
      </c>
      <c r="BY46" s="18">
        <f>NV_2343[[#This Row],[Part Type]]</f>
        <v>0</v>
      </c>
      <c r="BZ46" s="18">
        <f>NV_2343[[#This Row],[Part Nr.]]</f>
        <v>0</v>
      </c>
      <c r="CA46" s="18" t="str">
        <f>IF(NV_2343[[#This Row],[UID]]=0,"",NV_2343[[#This Row],[UID]])</f>
        <v/>
      </c>
      <c r="CE46" s="18" t="str">
        <f>IF(NV_2343[[#This Row],[Status]]=0,"",NV_2343[[#This Row],[Status]])</f>
        <v/>
      </c>
    </row>
    <row r="47" spans="5:83">
      <c r="E47" s="28"/>
      <c r="F47" s="19"/>
      <c r="H47" s="53"/>
      <c r="I47" s="53"/>
      <c r="K47" s="53"/>
      <c r="M47" s="18"/>
      <c r="P47" s="20"/>
      <c r="BU47" s="1" t="s">
        <v>71</v>
      </c>
      <c r="BV47" s="1" t="s">
        <v>18</v>
      </c>
      <c r="BW47" s="1" t="s">
        <v>308</v>
      </c>
      <c r="BY47" s="18">
        <f>NV_2343[[#This Row],[Part Type]]</f>
        <v>0</v>
      </c>
      <c r="BZ47" s="18">
        <f>NV_2343[[#This Row],[Part Nr.]]</f>
        <v>0</v>
      </c>
      <c r="CA47" s="18" t="str">
        <f>IF(NV_2343[[#This Row],[UID]]=0,"",NV_2343[[#This Row],[UID]])</f>
        <v/>
      </c>
      <c r="CE47" s="18" t="str">
        <f>IF(NV_2343[[#This Row],[Status]]=0,"",NV_2343[[#This Row],[Status]])</f>
        <v/>
      </c>
    </row>
    <row r="48" spans="5:83">
      <c r="E48" s="28"/>
      <c r="F48" s="19"/>
      <c r="H48" s="53"/>
      <c r="I48" s="53"/>
      <c r="K48" s="53"/>
      <c r="M48" s="18"/>
      <c r="P48" s="20"/>
      <c r="BU48" s="1" t="s">
        <v>71</v>
      </c>
      <c r="BV48" s="1" t="s">
        <v>18</v>
      </c>
      <c r="BW48" s="1" t="s">
        <v>308</v>
      </c>
      <c r="BY48" s="18">
        <f>NV_2343[[#This Row],[Part Type]]</f>
        <v>0</v>
      </c>
      <c r="BZ48" s="18">
        <f>NV_2343[[#This Row],[Part Nr.]]</f>
        <v>0</v>
      </c>
      <c r="CA48" s="18" t="str">
        <f>IF(NV_2343[[#This Row],[UID]]=0,"",NV_2343[[#This Row],[UID]])</f>
        <v/>
      </c>
      <c r="CE48" s="18" t="str">
        <f>IF(NV_2343[[#This Row],[Status]]=0,"",NV_2343[[#This Row],[Status]])</f>
        <v/>
      </c>
    </row>
    <row r="49" spans="5:83">
      <c r="E49" s="28"/>
      <c r="F49" s="19"/>
      <c r="H49" s="53"/>
      <c r="I49" s="53"/>
      <c r="K49" s="53"/>
      <c r="M49" s="18"/>
      <c r="P49" s="20"/>
      <c r="BU49" s="1" t="s">
        <v>71</v>
      </c>
      <c r="BV49" s="1" t="s">
        <v>18</v>
      </c>
      <c r="BW49" s="1" t="s">
        <v>308</v>
      </c>
      <c r="BY49" s="18">
        <f>NV_2343[[#This Row],[Part Type]]</f>
        <v>0</v>
      </c>
      <c r="BZ49" s="18">
        <f>NV_2343[[#This Row],[Part Nr.]]</f>
        <v>0</v>
      </c>
      <c r="CA49" s="18" t="str">
        <f>IF(NV_2343[[#This Row],[UID]]=0,"",NV_2343[[#This Row],[UID]])</f>
        <v/>
      </c>
      <c r="CE49" s="18" t="str">
        <f>IF(NV_2343[[#This Row],[Status]]=0,"",NV_2343[[#This Row],[Status]])</f>
        <v/>
      </c>
    </row>
    <row r="50" spans="5:83">
      <c r="E50" s="28"/>
      <c r="F50" s="19"/>
      <c r="H50" s="53"/>
      <c r="I50" s="53"/>
      <c r="K50" s="53"/>
      <c r="M50" s="18"/>
      <c r="P50" s="20"/>
      <c r="BU50" s="1" t="s">
        <v>71</v>
      </c>
      <c r="BV50" s="1" t="s">
        <v>18</v>
      </c>
      <c r="BW50" s="1" t="s">
        <v>308</v>
      </c>
      <c r="BY50" s="18">
        <f>NV_2343[[#This Row],[Part Type]]</f>
        <v>0</v>
      </c>
      <c r="BZ50" s="18">
        <f>NV_2343[[#This Row],[Part Nr.]]</f>
        <v>0</v>
      </c>
      <c r="CA50" s="18" t="str">
        <f>IF(NV_2343[[#This Row],[UID]]=0,"",NV_2343[[#This Row],[UID]])</f>
        <v/>
      </c>
      <c r="CE50" s="18" t="str">
        <f>IF(NV_2343[[#This Row],[Status]]=0,"",NV_2343[[#This Row],[Status]])</f>
        <v/>
      </c>
    </row>
    <row r="51" spans="5:83">
      <c r="E51" s="28"/>
      <c r="F51" s="19"/>
      <c r="H51" s="53"/>
      <c r="I51" s="53"/>
      <c r="K51" s="53"/>
      <c r="M51" s="18"/>
      <c r="P51" s="20"/>
      <c r="BU51" s="1" t="s">
        <v>71</v>
      </c>
      <c r="BV51" s="1" t="s">
        <v>18</v>
      </c>
      <c r="BW51" s="1" t="s">
        <v>308</v>
      </c>
      <c r="BY51" s="18">
        <f>NV_2343[[#This Row],[Part Type]]</f>
        <v>0</v>
      </c>
      <c r="BZ51" s="18">
        <f>NV_2343[[#This Row],[Part Nr.]]</f>
        <v>0</v>
      </c>
      <c r="CA51" s="18" t="str">
        <f>IF(NV_2343[[#This Row],[UID]]=0,"",NV_2343[[#This Row],[UID]])</f>
        <v/>
      </c>
      <c r="CE51" s="18" t="str">
        <f>IF(NV_2343[[#This Row],[Status]]=0,"",NV_2343[[#This Row],[Status]])</f>
        <v/>
      </c>
    </row>
    <row r="52" spans="5:83">
      <c r="E52" s="28"/>
      <c r="F52" s="19"/>
      <c r="H52" s="53"/>
      <c r="I52" s="53"/>
      <c r="K52" s="53"/>
      <c r="M52" s="18"/>
      <c r="P52" s="20"/>
      <c r="BU52" s="1" t="s">
        <v>71</v>
      </c>
      <c r="BV52" s="1" t="s">
        <v>18</v>
      </c>
      <c r="BW52" s="1" t="s">
        <v>308</v>
      </c>
      <c r="BY52" s="18">
        <f>NV_2343[[#This Row],[Part Type]]</f>
        <v>0</v>
      </c>
      <c r="BZ52" s="18">
        <f>NV_2343[[#This Row],[Part Nr.]]</f>
        <v>0</v>
      </c>
      <c r="CA52" s="18" t="str">
        <f>IF(NV_2343[[#This Row],[UID]]=0,"",NV_2343[[#This Row],[UID]])</f>
        <v/>
      </c>
      <c r="CE52" s="18" t="str">
        <f>IF(NV_2343[[#This Row],[Status]]=0,"",NV_2343[[#This Row],[Status]])</f>
        <v/>
      </c>
    </row>
    <row r="53" spans="5:83">
      <c r="E53" s="28"/>
      <c r="F53" s="19"/>
      <c r="H53" s="53"/>
      <c r="I53" s="53"/>
      <c r="K53" s="53"/>
      <c r="M53" s="18"/>
      <c r="P53" s="20"/>
      <c r="BU53" s="1" t="s">
        <v>71</v>
      </c>
      <c r="BV53" s="1" t="s">
        <v>18</v>
      </c>
      <c r="BW53" s="1" t="s">
        <v>308</v>
      </c>
      <c r="BY53" s="18">
        <f>NV_2343[[#This Row],[Part Type]]</f>
        <v>0</v>
      </c>
      <c r="BZ53" s="18">
        <f>NV_2343[[#This Row],[Part Nr.]]</f>
        <v>0</v>
      </c>
      <c r="CA53" s="18" t="str">
        <f>IF(NV_2343[[#This Row],[UID]]=0,"",NV_2343[[#This Row],[UID]])</f>
        <v/>
      </c>
      <c r="CE53" s="18" t="str">
        <f>IF(NV_2343[[#This Row],[Status]]=0,"",NV_2343[[#This Row],[Status]])</f>
        <v/>
      </c>
    </row>
    <row r="54" spans="5:83">
      <c r="E54" s="28"/>
      <c r="F54" s="19"/>
      <c r="H54" s="53"/>
      <c r="I54" s="53"/>
      <c r="K54" s="53"/>
      <c r="M54" s="18"/>
      <c r="P54" s="20"/>
      <c r="BU54" s="1" t="s">
        <v>71</v>
      </c>
      <c r="BV54" s="1" t="s">
        <v>18</v>
      </c>
      <c r="BW54" s="1" t="s">
        <v>308</v>
      </c>
      <c r="BY54" s="18">
        <f>NV_2343[[#This Row],[Part Type]]</f>
        <v>0</v>
      </c>
      <c r="BZ54" s="18">
        <f>NV_2343[[#This Row],[Part Nr.]]</f>
        <v>0</v>
      </c>
      <c r="CA54" s="18" t="str">
        <f>IF(NV_2343[[#This Row],[UID]]=0,"",NV_2343[[#This Row],[UID]])</f>
        <v/>
      </c>
      <c r="CE54" s="18" t="str">
        <f>IF(NV_2343[[#This Row],[Status]]=0,"",NV_2343[[#This Row],[Status]])</f>
        <v/>
      </c>
    </row>
    <row r="55" spans="5:83">
      <c r="E55" s="28"/>
      <c r="F55" s="19"/>
      <c r="H55" s="53"/>
      <c r="I55" s="53"/>
      <c r="K55" s="53"/>
      <c r="M55" s="18"/>
      <c r="P55" s="20"/>
      <c r="BU55" s="1" t="s">
        <v>71</v>
      </c>
      <c r="BV55" s="1" t="s">
        <v>18</v>
      </c>
      <c r="BW55" s="1" t="s">
        <v>308</v>
      </c>
      <c r="BY55" s="18">
        <f>NV_2343[[#This Row],[Part Type]]</f>
        <v>0</v>
      </c>
      <c r="BZ55" s="18">
        <f>NV_2343[[#This Row],[Part Nr.]]</f>
        <v>0</v>
      </c>
      <c r="CA55" s="18" t="str">
        <f>IF(NV_2343[[#This Row],[UID]]=0,"",NV_2343[[#This Row],[UID]])</f>
        <v/>
      </c>
      <c r="CE55" s="18" t="str">
        <f>IF(NV_2343[[#This Row],[Status]]=0,"",NV_2343[[#This Row],[Status]])</f>
        <v/>
      </c>
    </row>
    <row r="56" spans="5:83">
      <c r="E56" s="17"/>
      <c r="F56" s="19"/>
      <c r="H56" s="53"/>
      <c r="I56" s="53"/>
      <c r="K56" s="53"/>
      <c r="M56" s="18"/>
      <c r="P56" s="20"/>
      <c r="BU56" s="1" t="s">
        <v>71</v>
      </c>
      <c r="BV56" s="1" t="s">
        <v>18</v>
      </c>
      <c r="BW56" s="1" t="s">
        <v>308</v>
      </c>
      <c r="BY56" s="18">
        <f>NV_2343[[#This Row],[Part Type]]</f>
        <v>0</v>
      </c>
      <c r="BZ56" s="18">
        <f>NV_2343[[#This Row],[Part Nr.]]</f>
        <v>0</v>
      </c>
      <c r="CA56" s="18" t="str">
        <f>IF(NV_2343[[#This Row],[UID]]=0,"",NV_2343[[#This Row],[UID]])</f>
        <v/>
      </c>
      <c r="CE56" s="18" t="str">
        <f>IF(NV_2343[[#This Row],[Status]]=0,"",NV_2343[[#This Row],[Status]])</f>
        <v/>
      </c>
    </row>
    <row r="57" spans="5:83">
      <c r="E57" s="17"/>
      <c r="F57" s="19"/>
      <c r="H57" s="53"/>
      <c r="I57" s="53"/>
      <c r="K57" s="53"/>
      <c r="M57" s="18"/>
      <c r="P57" s="20"/>
      <c r="BU57" s="1" t="s">
        <v>71</v>
      </c>
      <c r="BV57" s="1" t="s">
        <v>18</v>
      </c>
      <c r="BW57" s="1" t="s">
        <v>308</v>
      </c>
      <c r="BY57" s="18">
        <f>NV_2343[[#This Row],[Part Type]]</f>
        <v>0</v>
      </c>
      <c r="BZ57" s="18">
        <f>NV_2343[[#This Row],[Part Nr.]]</f>
        <v>0</v>
      </c>
      <c r="CA57" s="18" t="str">
        <f>IF(NV_2343[[#This Row],[UID]]=0,"",NV_2343[[#This Row],[UID]])</f>
        <v/>
      </c>
      <c r="CE57" s="18" t="str">
        <f>IF(NV_2343[[#This Row],[Status]]=0,"",NV_2343[[#This Row],[Status]])</f>
        <v/>
      </c>
    </row>
    <row r="58" spans="5:83">
      <c r="F58" s="19"/>
      <c r="H58" s="53"/>
      <c r="I58" s="53"/>
      <c r="K58" s="53"/>
      <c r="M58" s="18"/>
      <c r="BU58" s="1" t="s">
        <v>71</v>
      </c>
      <c r="BV58" s="1" t="s">
        <v>18</v>
      </c>
      <c r="BW58" s="1" t="s">
        <v>308</v>
      </c>
      <c r="BY58" s="18">
        <f>NV_2343[[#This Row],[Part Type]]</f>
        <v>0</v>
      </c>
      <c r="BZ58" s="18">
        <f>NV_2343[[#This Row],[Part Nr.]]</f>
        <v>0</v>
      </c>
      <c r="CA58" s="18" t="str">
        <f>IF(NV_2343[[#This Row],[UID]]=0,"",NV_2343[[#This Row],[UID]])</f>
        <v/>
      </c>
      <c r="CE58" s="18" t="str">
        <f>IF(NV_2343[[#This Row],[Status]]=0,"",NV_2343[[#This Row],[Status]])</f>
        <v/>
      </c>
    </row>
    <row r="59" spans="5:83">
      <c r="F59" s="19"/>
      <c r="H59" s="53"/>
      <c r="I59" s="53"/>
      <c r="K59" s="53"/>
      <c r="M59" s="18"/>
      <c r="BU59" s="1" t="s">
        <v>71</v>
      </c>
      <c r="BV59" s="1" t="s">
        <v>18</v>
      </c>
      <c r="BW59" s="1" t="s">
        <v>308</v>
      </c>
      <c r="BY59" s="18">
        <f>NV_2343[[#This Row],[Part Type]]</f>
        <v>0</v>
      </c>
      <c r="BZ59" s="18">
        <f>NV_2343[[#This Row],[Part Nr.]]</f>
        <v>0</v>
      </c>
      <c r="CA59" s="18" t="str">
        <f>IF(NV_2343[[#This Row],[UID]]=0,"",NV_2343[[#This Row],[UID]])</f>
        <v/>
      </c>
      <c r="CE59" s="18" t="str">
        <f>IF(NV_2343[[#This Row],[Status]]=0,"",NV_2343[[#This Row],[Status]])</f>
        <v/>
      </c>
    </row>
    <row r="60" spans="5:83">
      <c r="F60" s="19"/>
      <c r="H60" s="53"/>
      <c r="I60" s="53"/>
      <c r="K60" s="53"/>
      <c r="M60" s="18"/>
      <c r="BU60" s="1" t="s">
        <v>71</v>
      </c>
      <c r="BV60" s="1" t="s">
        <v>18</v>
      </c>
      <c r="BW60" s="1" t="s">
        <v>308</v>
      </c>
      <c r="BY60" s="18">
        <f>NV_2343[[#This Row],[Part Type]]</f>
        <v>0</v>
      </c>
      <c r="BZ60" s="18">
        <f>NV_2343[[#This Row],[Part Nr.]]</f>
        <v>0</v>
      </c>
      <c r="CA60" s="18" t="str">
        <f>IF(NV_2343[[#This Row],[UID]]=0,"",NV_2343[[#This Row],[UID]])</f>
        <v/>
      </c>
      <c r="CE60" s="18" t="str">
        <f>IF(NV_2343[[#This Row],[Status]]=0,"",NV_2343[[#This Row],[Status]])</f>
        <v/>
      </c>
    </row>
    <row r="61" spans="5:83">
      <c r="F61" s="19"/>
      <c r="H61" s="53"/>
      <c r="I61" s="53"/>
      <c r="K61" s="53"/>
      <c r="M61" s="18"/>
      <c r="BU61" s="1" t="s">
        <v>71</v>
      </c>
      <c r="BV61" s="1" t="s">
        <v>18</v>
      </c>
      <c r="BW61" s="1" t="s">
        <v>308</v>
      </c>
      <c r="BY61" s="18">
        <f>NV_2343[[#This Row],[Part Type]]</f>
        <v>0</v>
      </c>
      <c r="BZ61" s="18">
        <f>NV_2343[[#This Row],[Part Nr.]]</f>
        <v>0</v>
      </c>
      <c r="CA61" s="18" t="str">
        <f>IF(NV_2343[[#This Row],[UID]]=0,"",NV_2343[[#This Row],[UID]])</f>
        <v/>
      </c>
      <c r="CE61" s="18" t="str">
        <f>IF(NV_2343[[#This Row],[Status]]=0,"",NV_2343[[#This Row],[Status]])</f>
        <v/>
      </c>
    </row>
    <row r="62" spans="5:83">
      <c r="F62" s="19"/>
      <c r="H62" s="53"/>
      <c r="I62" s="53"/>
      <c r="K62" s="53"/>
      <c r="M62" s="18"/>
      <c r="BU62" s="1" t="s">
        <v>71</v>
      </c>
      <c r="BV62" s="1" t="s">
        <v>18</v>
      </c>
      <c r="BW62" s="1" t="s">
        <v>308</v>
      </c>
      <c r="BY62" s="18">
        <f>NV_2343[[#This Row],[Part Type]]</f>
        <v>0</v>
      </c>
      <c r="BZ62" s="18">
        <f>NV_2343[[#This Row],[Part Nr.]]</f>
        <v>0</v>
      </c>
      <c r="CA62" s="18" t="str">
        <f>IF(NV_2343[[#This Row],[UID]]=0,"",NV_2343[[#This Row],[UID]])</f>
        <v/>
      </c>
      <c r="CE62" s="18" t="str">
        <f>IF(NV_2343[[#This Row],[Status]]=0,"",NV_2343[[#This Row],[Status]])</f>
        <v/>
      </c>
    </row>
    <row r="63" spans="5:83">
      <c r="F63" s="19"/>
      <c r="H63" s="53"/>
      <c r="I63" s="53"/>
      <c r="K63" s="53"/>
      <c r="M63" s="18"/>
      <c r="BU63" s="1" t="s">
        <v>71</v>
      </c>
      <c r="BV63" s="1" t="s">
        <v>18</v>
      </c>
      <c r="BW63" s="1" t="s">
        <v>308</v>
      </c>
      <c r="BY63" s="18">
        <f>NV_2343[[#This Row],[Part Type]]</f>
        <v>0</v>
      </c>
      <c r="BZ63" s="18">
        <f>NV_2343[[#This Row],[Part Nr.]]</f>
        <v>0</v>
      </c>
      <c r="CA63" s="18" t="str">
        <f>IF(NV_2343[[#This Row],[UID]]=0,"",NV_2343[[#This Row],[UID]])</f>
        <v/>
      </c>
      <c r="CE63" s="18" t="str">
        <f>IF(NV_2343[[#This Row],[Status]]=0,"",NV_2343[[#This Row],[Status]])</f>
        <v/>
      </c>
    </row>
    <row r="64" spans="5:83">
      <c r="F64" s="19"/>
      <c r="H64" s="53"/>
      <c r="I64" s="53"/>
      <c r="K64" s="53"/>
      <c r="M64" s="18"/>
      <c r="BU64" s="1" t="s">
        <v>71</v>
      </c>
      <c r="BV64" s="1" t="s">
        <v>18</v>
      </c>
      <c r="BW64" s="1" t="s">
        <v>308</v>
      </c>
      <c r="BY64" s="18">
        <f>NV_2343[[#This Row],[Part Type]]</f>
        <v>0</v>
      </c>
      <c r="BZ64" s="18">
        <f>NV_2343[[#This Row],[Part Nr.]]</f>
        <v>0</v>
      </c>
      <c r="CA64" s="18" t="str">
        <f>IF(NV_2343[[#This Row],[UID]]=0,"",NV_2343[[#This Row],[UID]])</f>
        <v/>
      </c>
      <c r="CE64" s="18" t="str">
        <f>IF(NV_2343[[#This Row],[Status]]=0,"",NV_2343[[#This Row],[Status]])</f>
        <v/>
      </c>
    </row>
    <row r="65" spans="6:83">
      <c r="F65" s="19"/>
      <c r="H65" s="53"/>
      <c r="I65" s="53"/>
      <c r="K65" s="53"/>
      <c r="M65" s="18"/>
      <c r="BU65" s="1" t="s">
        <v>71</v>
      </c>
      <c r="BV65" s="1" t="s">
        <v>18</v>
      </c>
      <c r="BW65" s="1" t="s">
        <v>308</v>
      </c>
      <c r="BY65" s="18">
        <f>NV_2343[[#This Row],[Part Type]]</f>
        <v>0</v>
      </c>
      <c r="BZ65" s="18">
        <f>NV_2343[[#This Row],[Part Nr.]]</f>
        <v>0</v>
      </c>
      <c r="CA65" s="18" t="str">
        <f>IF(NV_2343[[#This Row],[UID]]=0,"",NV_2343[[#This Row],[UID]])</f>
        <v/>
      </c>
      <c r="CE65" s="18" t="str">
        <f>IF(NV_2343[[#This Row],[Status]]=0,"",NV_2343[[#This Row],[Status]])</f>
        <v/>
      </c>
    </row>
    <row r="66" spans="6:83">
      <c r="F66" s="19"/>
      <c r="H66" s="53"/>
      <c r="I66" s="53"/>
      <c r="K66" s="53"/>
      <c r="M66" s="18"/>
      <c r="BU66" s="1" t="s">
        <v>71</v>
      </c>
      <c r="BV66" s="1" t="s">
        <v>18</v>
      </c>
      <c r="BW66" s="1" t="s">
        <v>308</v>
      </c>
      <c r="BY66" s="18">
        <f>NV_2343[[#This Row],[Part Type]]</f>
        <v>0</v>
      </c>
      <c r="BZ66" s="18">
        <f>NV_2343[[#This Row],[Part Nr.]]</f>
        <v>0</v>
      </c>
      <c r="CA66" s="18" t="str">
        <f>IF(NV_2343[[#This Row],[UID]]=0,"",NV_2343[[#This Row],[UID]])</f>
        <v/>
      </c>
      <c r="CE66" s="18" t="str">
        <f>IF(NV_2343[[#This Row],[Status]]=0,"",NV_2343[[#This Row],[Status]])</f>
        <v/>
      </c>
    </row>
    <row r="67" spans="6:83">
      <c r="F67" s="19"/>
      <c r="H67" s="53"/>
      <c r="I67" s="53"/>
      <c r="K67" s="53"/>
      <c r="M67" s="18"/>
      <c r="BU67" s="1" t="s">
        <v>71</v>
      </c>
      <c r="BV67" s="1" t="s">
        <v>18</v>
      </c>
      <c r="BW67" s="1" t="s">
        <v>308</v>
      </c>
      <c r="BY67" s="18">
        <f>NV_2343[[#This Row],[Part Type]]</f>
        <v>0</v>
      </c>
      <c r="BZ67" s="18">
        <f>NV_2343[[#This Row],[Part Nr.]]</f>
        <v>0</v>
      </c>
      <c r="CA67" s="18" t="str">
        <f>IF(NV_2343[[#This Row],[UID]]=0,"",NV_2343[[#This Row],[UID]])</f>
        <v/>
      </c>
      <c r="CE67" s="18" t="str">
        <f>IF(NV_2343[[#This Row],[Status]]=0,"",NV_2343[[#This Row],[Status]])</f>
        <v/>
      </c>
    </row>
    <row r="68" spans="6:83">
      <c r="F68" s="19"/>
      <c r="H68" s="53"/>
      <c r="I68" s="53"/>
      <c r="K68" s="53"/>
      <c r="M68" s="18"/>
      <c r="BU68" s="1" t="s">
        <v>71</v>
      </c>
      <c r="BV68" s="1" t="s">
        <v>18</v>
      </c>
      <c r="BW68" s="1" t="s">
        <v>308</v>
      </c>
      <c r="BY68" s="18">
        <f>NV_2343[[#This Row],[Part Type]]</f>
        <v>0</v>
      </c>
      <c r="BZ68" s="18">
        <f>NV_2343[[#This Row],[Part Nr.]]</f>
        <v>0</v>
      </c>
      <c r="CA68" s="18" t="str">
        <f>IF(NV_2343[[#This Row],[UID]]=0,"",NV_2343[[#This Row],[UID]])</f>
        <v/>
      </c>
      <c r="CE68" s="18" t="str">
        <f>IF(NV_2343[[#This Row],[Status]]=0,"",NV_2343[[#This Row],[Status]])</f>
        <v/>
      </c>
    </row>
    <row r="69" spans="6:83">
      <c r="F69" s="19"/>
      <c r="H69" s="53"/>
      <c r="I69" s="53"/>
      <c r="K69" s="53"/>
      <c r="M69" s="18"/>
      <c r="BU69" s="1" t="s">
        <v>71</v>
      </c>
      <c r="BV69" s="1" t="s">
        <v>18</v>
      </c>
      <c r="BW69" s="1" t="s">
        <v>308</v>
      </c>
      <c r="BY69" s="18">
        <f>NV_2343[[#This Row],[Part Type]]</f>
        <v>0</v>
      </c>
      <c r="BZ69" s="18">
        <f>NV_2343[[#This Row],[Part Nr.]]</f>
        <v>0</v>
      </c>
      <c r="CA69" s="18" t="str">
        <f>IF(NV_2343[[#This Row],[UID]]=0,"",NV_2343[[#This Row],[UID]])</f>
        <v/>
      </c>
      <c r="CE69" s="18" t="str">
        <f>IF(NV_2343[[#This Row],[Status]]=0,"",NV_2343[[#This Row],[Status]])</f>
        <v/>
      </c>
    </row>
    <row r="70" spans="6:83">
      <c r="F70" s="19"/>
      <c r="H70" s="53"/>
      <c r="I70" s="53"/>
      <c r="K70" s="53"/>
      <c r="M70" s="18"/>
      <c r="BU70" s="1" t="s">
        <v>71</v>
      </c>
      <c r="BV70" s="1" t="s">
        <v>18</v>
      </c>
      <c r="BW70" s="1" t="s">
        <v>308</v>
      </c>
      <c r="BY70" s="18">
        <f>NV_2343[[#This Row],[Part Type]]</f>
        <v>0</v>
      </c>
      <c r="BZ70" s="18">
        <f>NV_2343[[#This Row],[Part Nr.]]</f>
        <v>0</v>
      </c>
      <c r="CA70" s="18" t="str">
        <f>IF(NV_2343[[#This Row],[UID]]=0,"",NV_2343[[#This Row],[UID]])</f>
        <v/>
      </c>
      <c r="CE70" s="18" t="str">
        <f>IF(NV_2343[[#This Row],[Status]]=0,"",NV_2343[[#This Row],[Status]])</f>
        <v/>
      </c>
    </row>
    <row r="71" spans="6:83">
      <c r="F71" s="19"/>
      <c r="H71" s="53"/>
      <c r="I71" s="53"/>
      <c r="K71" s="53"/>
      <c r="M71" s="18"/>
      <c r="BU71" s="1" t="s">
        <v>71</v>
      </c>
      <c r="BV71" s="1" t="s">
        <v>18</v>
      </c>
      <c r="BW71" s="1" t="s">
        <v>308</v>
      </c>
      <c r="BY71" s="18">
        <f>NV_2343[[#This Row],[Part Type]]</f>
        <v>0</v>
      </c>
      <c r="BZ71" s="18">
        <f>NV_2343[[#This Row],[Part Nr.]]</f>
        <v>0</v>
      </c>
      <c r="CA71" s="18" t="str">
        <f>IF(NV_2343[[#This Row],[UID]]=0,"",NV_2343[[#This Row],[UID]])</f>
        <v/>
      </c>
      <c r="CE71" s="18" t="str">
        <f>IF(NV_2343[[#This Row],[Status]]=0,"",NV_2343[[#This Row],[Status]])</f>
        <v/>
      </c>
    </row>
    <row r="72" spans="6:83">
      <c r="F72" s="19"/>
      <c r="H72" s="53"/>
      <c r="I72" s="53"/>
      <c r="K72" s="53"/>
      <c r="M72" s="18"/>
      <c r="BU72" s="1" t="s">
        <v>71</v>
      </c>
      <c r="BV72" s="1" t="s">
        <v>18</v>
      </c>
      <c r="BW72" s="1" t="s">
        <v>308</v>
      </c>
      <c r="BY72" s="18">
        <f>NV_2343[[#This Row],[Part Type]]</f>
        <v>0</v>
      </c>
      <c r="BZ72" s="18">
        <f>NV_2343[[#This Row],[Part Nr.]]</f>
        <v>0</v>
      </c>
      <c r="CA72" s="18" t="str">
        <f>IF(NV_2343[[#This Row],[UID]]=0,"",NV_2343[[#This Row],[UID]])</f>
        <v/>
      </c>
      <c r="CE72" s="18" t="str">
        <f>IF(NV_2343[[#This Row],[Status]]=0,"",NV_2343[[#This Row],[Status]])</f>
        <v/>
      </c>
    </row>
    <row r="73" spans="6:83">
      <c r="F73" s="19"/>
      <c r="H73" s="53"/>
      <c r="I73" s="53"/>
      <c r="K73" s="53"/>
      <c r="M73" s="18"/>
      <c r="BU73" s="1" t="s">
        <v>71</v>
      </c>
      <c r="BV73" s="1" t="s">
        <v>18</v>
      </c>
      <c r="BW73" s="1" t="s">
        <v>308</v>
      </c>
      <c r="BY73" s="18">
        <f>NV_2343[[#This Row],[Part Type]]</f>
        <v>0</v>
      </c>
      <c r="BZ73" s="18">
        <f>NV_2343[[#This Row],[Part Nr.]]</f>
        <v>0</v>
      </c>
      <c r="CA73" s="18" t="str">
        <f>IF(NV_2343[[#This Row],[UID]]=0,"",NV_2343[[#This Row],[UID]])</f>
        <v/>
      </c>
      <c r="CE73" s="18" t="str">
        <f>IF(NV_2343[[#This Row],[Status]]=0,"",NV_2343[[#This Row],[Status]])</f>
        <v/>
      </c>
    </row>
    <row r="74" spans="6:83">
      <c r="F74" s="19"/>
      <c r="H74" s="53"/>
      <c r="I74" s="53"/>
      <c r="K74" s="53"/>
      <c r="M74" s="18"/>
      <c r="BU74" s="1" t="s">
        <v>71</v>
      </c>
      <c r="BV74" s="1" t="s">
        <v>18</v>
      </c>
      <c r="BW74" s="1" t="s">
        <v>308</v>
      </c>
      <c r="BY74" s="18">
        <f>NV_2343[[#This Row],[Part Type]]</f>
        <v>0</v>
      </c>
      <c r="BZ74" s="18">
        <f>NV_2343[[#This Row],[Part Nr.]]</f>
        <v>0</v>
      </c>
      <c r="CA74" s="18" t="str">
        <f>IF(NV_2343[[#This Row],[UID]]=0,"",NV_2343[[#This Row],[UID]])</f>
        <v/>
      </c>
      <c r="CE74" s="18" t="str">
        <f>IF(NV_2343[[#This Row],[Status]]=0,"",NV_2343[[#This Row],[Status]])</f>
        <v/>
      </c>
    </row>
    <row r="75" spans="6:83">
      <c r="F75" s="19"/>
      <c r="H75" s="53"/>
      <c r="I75" s="53"/>
      <c r="K75" s="53"/>
      <c r="M75" s="18"/>
      <c r="BU75" s="1" t="s">
        <v>71</v>
      </c>
      <c r="BV75" s="1" t="s">
        <v>18</v>
      </c>
      <c r="BW75" s="1" t="s">
        <v>308</v>
      </c>
      <c r="BY75" s="18">
        <f>NV_2343[[#This Row],[Part Type]]</f>
        <v>0</v>
      </c>
      <c r="BZ75" s="18">
        <f>NV_2343[[#This Row],[Part Nr.]]</f>
        <v>0</v>
      </c>
      <c r="CA75" s="18" t="str">
        <f>IF(NV_2343[[#This Row],[UID]]=0,"",NV_2343[[#This Row],[UID]])</f>
        <v/>
      </c>
      <c r="CE75" s="18" t="str">
        <f>IF(NV_2343[[#This Row],[Status]]=0,"",NV_2343[[#This Row],[Status]])</f>
        <v/>
      </c>
    </row>
    <row r="76" spans="6:83">
      <c r="F76" s="19"/>
      <c r="H76" s="53"/>
      <c r="I76" s="53"/>
      <c r="K76" s="53"/>
      <c r="M76" s="18"/>
      <c r="BU76" s="1" t="s">
        <v>71</v>
      </c>
      <c r="BV76" s="1" t="s">
        <v>18</v>
      </c>
      <c r="BW76" s="1" t="s">
        <v>308</v>
      </c>
      <c r="BY76" s="18">
        <f>NV_2343[[#This Row],[Part Type]]</f>
        <v>0</v>
      </c>
      <c r="BZ76" s="18">
        <f>NV_2343[[#This Row],[Part Nr.]]</f>
        <v>0</v>
      </c>
      <c r="CA76" s="18" t="str">
        <f>IF(NV_2343[[#This Row],[UID]]=0,"",NV_2343[[#This Row],[UID]])</f>
        <v/>
      </c>
      <c r="CE76" s="18" t="str">
        <f>IF(NV_2343[[#This Row],[Status]]=0,"",NV_2343[[#This Row],[Status]])</f>
        <v/>
      </c>
    </row>
    <row r="77" spans="6:83">
      <c r="F77" s="19"/>
      <c r="H77" s="53"/>
      <c r="I77" s="53"/>
      <c r="K77" s="53"/>
      <c r="M77" s="18"/>
      <c r="BU77" s="1" t="s">
        <v>71</v>
      </c>
      <c r="BV77" s="1" t="s">
        <v>18</v>
      </c>
      <c r="BW77" s="1" t="s">
        <v>308</v>
      </c>
      <c r="BY77" s="18">
        <f>NV_2343[[#This Row],[Part Type]]</f>
        <v>0</v>
      </c>
      <c r="BZ77" s="18">
        <f>NV_2343[[#This Row],[Part Nr.]]</f>
        <v>0</v>
      </c>
      <c r="CA77" s="18" t="str">
        <f>IF(NV_2343[[#This Row],[UID]]=0,"",NV_2343[[#This Row],[UID]])</f>
        <v/>
      </c>
      <c r="CE77" s="18" t="str">
        <f>IF(NV_2343[[#This Row],[Status]]=0,"",NV_2343[[#This Row],[Status]])</f>
        <v/>
      </c>
    </row>
    <row r="78" spans="6:83">
      <c r="F78" s="19"/>
      <c r="H78" s="53"/>
      <c r="I78" s="53"/>
      <c r="K78" s="53"/>
      <c r="M78" s="18"/>
      <c r="BU78" s="1" t="s">
        <v>71</v>
      </c>
      <c r="BV78" s="1" t="s">
        <v>18</v>
      </c>
      <c r="BW78" s="1" t="s">
        <v>308</v>
      </c>
      <c r="BY78" s="18">
        <f>NV_2343[[#This Row],[Part Type]]</f>
        <v>0</v>
      </c>
      <c r="BZ78" s="18">
        <f>NV_2343[[#This Row],[Part Nr.]]</f>
        <v>0</v>
      </c>
      <c r="CA78" s="18" t="str">
        <f>IF(NV_2343[[#This Row],[UID]]=0,"",NV_2343[[#This Row],[UID]])</f>
        <v/>
      </c>
      <c r="CE78" s="18" t="str">
        <f>IF(NV_2343[[#This Row],[Status]]=0,"",NV_2343[[#This Row],[Status]])</f>
        <v/>
      </c>
    </row>
    <row r="79" spans="6:83">
      <c r="F79" s="19"/>
      <c r="H79" s="53"/>
      <c r="I79" s="53"/>
      <c r="K79" s="53"/>
      <c r="M79" s="18"/>
      <c r="BU79" s="1" t="s">
        <v>71</v>
      </c>
      <c r="BV79" s="1" t="s">
        <v>18</v>
      </c>
      <c r="BW79" s="1" t="s">
        <v>308</v>
      </c>
      <c r="BY79" s="18">
        <f>NV_2343[[#This Row],[Part Type]]</f>
        <v>0</v>
      </c>
      <c r="BZ79" s="18">
        <f>NV_2343[[#This Row],[Part Nr.]]</f>
        <v>0</v>
      </c>
      <c r="CA79" s="18" t="str">
        <f>IF(NV_2343[[#This Row],[UID]]=0,"",NV_2343[[#This Row],[UID]])</f>
        <v/>
      </c>
      <c r="CE79" s="18" t="str">
        <f>IF(NV_2343[[#This Row],[Status]]=0,"",NV_2343[[#This Row],[Status]])</f>
        <v/>
      </c>
    </row>
    <row r="80" spans="6:83">
      <c r="F80" s="19"/>
      <c r="H80" s="53"/>
      <c r="I80" s="53"/>
      <c r="K80" s="53"/>
      <c r="M80" s="18"/>
      <c r="BU80" s="1" t="s">
        <v>71</v>
      </c>
      <c r="BV80" s="1" t="s">
        <v>18</v>
      </c>
      <c r="BW80" s="1" t="s">
        <v>308</v>
      </c>
      <c r="BY80" s="18">
        <f>NV_2343[[#This Row],[Part Type]]</f>
        <v>0</v>
      </c>
      <c r="BZ80" s="18">
        <f>NV_2343[[#This Row],[Part Nr.]]</f>
        <v>0</v>
      </c>
      <c r="CA80" s="18" t="str">
        <f>IF(NV_2343[[#This Row],[UID]]=0,"",NV_2343[[#This Row],[UID]])</f>
        <v/>
      </c>
      <c r="CE80" s="18" t="str">
        <f>IF(NV_2343[[#This Row],[Status]]=0,"",NV_2343[[#This Row],[Status]])</f>
        <v/>
      </c>
    </row>
    <row r="81" spans="6:83">
      <c r="F81" s="19"/>
      <c r="H81" s="53"/>
      <c r="I81" s="53"/>
      <c r="K81" s="53"/>
      <c r="M81" s="18"/>
      <c r="BU81" s="1" t="s">
        <v>71</v>
      </c>
      <c r="BV81" s="1" t="s">
        <v>18</v>
      </c>
      <c r="BW81" s="1" t="s">
        <v>308</v>
      </c>
      <c r="BY81" s="18">
        <f>NV_2343[[#This Row],[Part Type]]</f>
        <v>0</v>
      </c>
      <c r="BZ81" s="18">
        <f>NV_2343[[#This Row],[Part Nr.]]</f>
        <v>0</v>
      </c>
      <c r="CA81" s="18" t="str">
        <f>IF(NV_2343[[#This Row],[UID]]=0,"",NV_2343[[#This Row],[UID]])</f>
        <v/>
      </c>
      <c r="CE81" s="18" t="str">
        <f>IF(NV_2343[[#This Row],[Status]]=0,"",NV_2343[[#This Row],[Status]])</f>
        <v/>
      </c>
    </row>
    <row r="82" spans="6:83">
      <c r="F82" s="19"/>
      <c r="H82" s="53"/>
      <c r="I82" s="53"/>
      <c r="K82" s="53"/>
      <c r="M82" s="18"/>
      <c r="BU82" s="1" t="s">
        <v>71</v>
      </c>
      <c r="BV82" s="1" t="s">
        <v>18</v>
      </c>
      <c r="BW82" s="1" t="s">
        <v>308</v>
      </c>
      <c r="BY82" s="18">
        <f>NV_2343[[#This Row],[Part Type]]</f>
        <v>0</v>
      </c>
      <c r="BZ82" s="18">
        <f>NV_2343[[#This Row],[Part Nr.]]</f>
        <v>0</v>
      </c>
      <c r="CA82" s="18" t="str">
        <f>IF(NV_2343[[#This Row],[UID]]=0,"",NV_2343[[#This Row],[UID]])</f>
        <v/>
      </c>
      <c r="CE82" s="18" t="str">
        <f>IF(NV_2343[[#This Row],[Status]]=0,"",NV_2343[[#This Row],[Status]])</f>
        <v/>
      </c>
    </row>
    <row r="83" spans="6:83">
      <c r="F83" s="19"/>
      <c r="H83" s="53"/>
      <c r="I83" s="53"/>
      <c r="K83" s="53"/>
      <c r="M83" s="18"/>
      <c r="BU83" s="1" t="s">
        <v>71</v>
      </c>
      <c r="BV83" s="1" t="s">
        <v>18</v>
      </c>
      <c r="BW83" s="1" t="s">
        <v>308</v>
      </c>
      <c r="BY83" s="18">
        <f>NV_2343[[#This Row],[Part Type]]</f>
        <v>0</v>
      </c>
      <c r="BZ83" s="18">
        <f>NV_2343[[#This Row],[Part Nr.]]</f>
        <v>0</v>
      </c>
      <c r="CA83" s="18" t="str">
        <f>IF(NV_2343[[#This Row],[UID]]=0,"",NV_2343[[#This Row],[UID]])</f>
        <v/>
      </c>
      <c r="CE83" s="18" t="str">
        <f>IF(NV_2343[[#This Row],[Status]]=0,"",NV_2343[[#This Row],[Status]])</f>
        <v/>
      </c>
    </row>
    <row r="84" spans="6:83">
      <c r="F84" s="19"/>
      <c r="H84" s="53"/>
      <c r="I84" s="53"/>
      <c r="K84" s="53"/>
      <c r="M84" s="18"/>
      <c r="BU84" s="1" t="s">
        <v>71</v>
      </c>
      <c r="BV84" s="1" t="s">
        <v>18</v>
      </c>
      <c r="BW84" s="1" t="s">
        <v>308</v>
      </c>
      <c r="BY84" s="18">
        <f>NV_2343[[#This Row],[Part Type]]</f>
        <v>0</v>
      </c>
      <c r="BZ84" s="18">
        <f>NV_2343[[#This Row],[Part Nr.]]</f>
        <v>0</v>
      </c>
      <c r="CA84" s="18" t="str">
        <f>IF(NV_2343[[#This Row],[UID]]=0,"",NV_2343[[#This Row],[UID]])</f>
        <v/>
      </c>
      <c r="CE84" s="18" t="str">
        <f>IF(NV_2343[[#This Row],[Status]]=0,"",NV_2343[[#This Row],[Status]])</f>
        <v/>
      </c>
    </row>
    <row r="85" spans="6:83">
      <c r="F85" s="19"/>
      <c r="H85" s="53"/>
      <c r="I85" s="53"/>
      <c r="K85" s="53"/>
      <c r="M85" s="18"/>
      <c r="BU85" s="1" t="s">
        <v>71</v>
      </c>
      <c r="BV85" s="1" t="s">
        <v>18</v>
      </c>
      <c r="BW85" s="1" t="s">
        <v>308</v>
      </c>
      <c r="BY85" s="18">
        <f>NV_2343[[#This Row],[Part Type]]</f>
        <v>0</v>
      </c>
      <c r="BZ85" s="18">
        <f>NV_2343[[#This Row],[Part Nr.]]</f>
        <v>0</v>
      </c>
      <c r="CA85" s="18" t="str">
        <f>IF(NV_2343[[#This Row],[UID]]=0,"",NV_2343[[#This Row],[UID]])</f>
        <v/>
      </c>
      <c r="CE85" s="18" t="str">
        <f>IF(NV_2343[[#This Row],[Status]]=0,"",NV_2343[[#This Row],[Status]])</f>
        <v/>
      </c>
    </row>
    <row r="86" spans="6:83">
      <c r="F86" s="19"/>
      <c r="H86" s="53"/>
      <c r="I86" s="53"/>
      <c r="K86" s="53"/>
      <c r="M86" s="18"/>
      <c r="BU86" s="1" t="s">
        <v>71</v>
      </c>
      <c r="BV86" s="1" t="s">
        <v>18</v>
      </c>
      <c r="BW86" s="1" t="s">
        <v>308</v>
      </c>
      <c r="BY86" s="18">
        <f>NV_2343[[#This Row],[Part Type]]</f>
        <v>0</v>
      </c>
      <c r="BZ86" s="18">
        <f>NV_2343[[#This Row],[Part Nr.]]</f>
        <v>0</v>
      </c>
      <c r="CA86" s="18" t="str">
        <f>IF(NV_2343[[#This Row],[UID]]=0,"",NV_2343[[#This Row],[UID]])</f>
        <v/>
      </c>
      <c r="CE86" s="18" t="str">
        <f>IF(NV_2343[[#This Row],[Status]]=0,"",NV_2343[[#This Row],[Status]])</f>
        <v/>
      </c>
    </row>
    <row r="87" spans="6:83">
      <c r="F87" s="19"/>
      <c r="H87" s="53"/>
      <c r="I87" s="53"/>
      <c r="K87" s="53"/>
      <c r="M87" s="18"/>
      <c r="BU87" s="1" t="s">
        <v>71</v>
      </c>
      <c r="BV87" s="1" t="s">
        <v>18</v>
      </c>
      <c r="BW87" s="1" t="s">
        <v>308</v>
      </c>
      <c r="BY87" s="18">
        <f>NV_2343[[#This Row],[Part Type]]</f>
        <v>0</v>
      </c>
      <c r="BZ87" s="18">
        <f>NV_2343[[#This Row],[Part Nr.]]</f>
        <v>0</v>
      </c>
      <c r="CA87" s="18" t="str">
        <f>IF(NV_2343[[#This Row],[UID]]=0,"",NV_2343[[#This Row],[UID]])</f>
        <v/>
      </c>
      <c r="CE87" s="18" t="str">
        <f>IF(NV_2343[[#This Row],[Status]]=0,"",NV_2343[[#This Row],[Status]])</f>
        <v/>
      </c>
    </row>
    <row r="88" spans="6:83">
      <c r="F88" s="19"/>
      <c r="H88" s="53"/>
      <c r="I88" s="53"/>
      <c r="K88" s="53"/>
      <c r="M88" s="18"/>
      <c r="BU88" s="1" t="s">
        <v>71</v>
      </c>
      <c r="BV88" s="1" t="s">
        <v>18</v>
      </c>
      <c r="BW88" s="1" t="s">
        <v>308</v>
      </c>
      <c r="BY88" s="18">
        <f>NV_2343[[#This Row],[Part Type]]</f>
        <v>0</v>
      </c>
      <c r="BZ88" s="18">
        <f>NV_2343[[#This Row],[Part Nr.]]</f>
        <v>0</v>
      </c>
      <c r="CA88" s="18" t="str">
        <f>IF(NV_2343[[#This Row],[UID]]=0,"",NV_2343[[#This Row],[UID]])</f>
        <v/>
      </c>
      <c r="CE88" s="18" t="str">
        <f>IF(NV_2343[[#This Row],[Status]]=0,"",NV_2343[[#This Row],[Status]])</f>
        <v/>
      </c>
    </row>
    <row r="89" spans="6:83">
      <c r="F89" s="19"/>
      <c r="H89" s="53"/>
      <c r="I89" s="53"/>
      <c r="K89" s="53"/>
      <c r="M89" s="18"/>
      <c r="BU89" s="1" t="s">
        <v>71</v>
      </c>
      <c r="BV89" s="1" t="s">
        <v>18</v>
      </c>
      <c r="BW89" s="1" t="s">
        <v>308</v>
      </c>
      <c r="BY89" s="18">
        <f>NV_2343[[#This Row],[Part Type]]</f>
        <v>0</v>
      </c>
      <c r="BZ89" s="18">
        <f>NV_2343[[#This Row],[Part Nr.]]</f>
        <v>0</v>
      </c>
      <c r="CA89" s="18" t="str">
        <f>IF(NV_2343[[#This Row],[UID]]=0,"",NV_2343[[#This Row],[UID]])</f>
        <v/>
      </c>
      <c r="CE89" s="18" t="str">
        <f>IF(NV_2343[[#This Row],[Status]]=0,"",NV_2343[[#This Row],[Status]])</f>
        <v/>
      </c>
    </row>
    <row r="90" spans="6:83">
      <c r="F90" s="19"/>
      <c r="H90" s="53"/>
      <c r="I90" s="53"/>
      <c r="K90" s="53"/>
      <c r="M90" s="18"/>
      <c r="BU90" s="1" t="s">
        <v>71</v>
      </c>
      <c r="BV90" s="1" t="s">
        <v>18</v>
      </c>
      <c r="BW90" s="1" t="s">
        <v>308</v>
      </c>
      <c r="BY90" s="18">
        <f>NV_2343[[#This Row],[Part Type]]</f>
        <v>0</v>
      </c>
      <c r="BZ90" s="18">
        <f>NV_2343[[#This Row],[Part Nr.]]</f>
        <v>0</v>
      </c>
      <c r="CA90" s="18" t="str">
        <f>IF(NV_2343[[#This Row],[UID]]=0,"",NV_2343[[#This Row],[UID]])</f>
        <v/>
      </c>
      <c r="CE90" s="18" t="str">
        <f>IF(NV_2343[[#This Row],[Status]]=0,"",NV_2343[[#This Row],[Status]])</f>
        <v/>
      </c>
    </row>
    <row r="91" spans="6:83">
      <c r="F91" s="19"/>
      <c r="H91" s="53"/>
      <c r="I91" s="53"/>
      <c r="K91" s="53"/>
      <c r="M91" s="18"/>
      <c r="BU91" s="1" t="s">
        <v>71</v>
      </c>
      <c r="BV91" s="1" t="s">
        <v>18</v>
      </c>
      <c r="BW91" s="1" t="s">
        <v>308</v>
      </c>
      <c r="BY91" s="18">
        <f>NV_2343[[#This Row],[Part Type]]</f>
        <v>0</v>
      </c>
      <c r="BZ91" s="18">
        <f>NV_2343[[#This Row],[Part Nr.]]</f>
        <v>0</v>
      </c>
      <c r="CA91" s="18" t="str">
        <f>IF(NV_2343[[#This Row],[UID]]=0,"",NV_2343[[#This Row],[UID]])</f>
        <v/>
      </c>
      <c r="CE91" s="18" t="str">
        <f>IF(NV_2343[[#This Row],[Status]]=0,"",NV_2343[[#This Row],[Status]])</f>
        <v/>
      </c>
    </row>
    <row r="92" spans="6:83">
      <c r="F92" s="19"/>
      <c r="H92" s="53"/>
      <c r="I92" s="53"/>
      <c r="K92" s="53"/>
      <c r="M92" s="18"/>
      <c r="BU92" s="1" t="s">
        <v>71</v>
      </c>
      <c r="BV92" s="1" t="s">
        <v>18</v>
      </c>
      <c r="BW92" s="1" t="s">
        <v>308</v>
      </c>
      <c r="BY92" s="18">
        <f>NV_2343[[#This Row],[Part Type]]</f>
        <v>0</v>
      </c>
      <c r="BZ92" s="18">
        <f>NV_2343[[#This Row],[Part Nr.]]</f>
        <v>0</v>
      </c>
      <c r="CA92" s="18" t="str">
        <f>IF(NV_2343[[#This Row],[UID]]=0,"",NV_2343[[#This Row],[UID]])</f>
        <v/>
      </c>
      <c r="CE92" s="18" t="str">
        <f>IF(NV_2343[[#This Row],[Status]]=0,"",NV_2343[[#This Row],[Status]])</f>
        <v/>
      </c>
    </row>
    <row r="93" spans="6:83">
      <c r="F93" s="19"/>
      <c r="H93" s="53"/>
      <c r="I93" s="53"/>
      <c r="K93" s="53"/>
      <c r="M93" s="18"/>
      <c r="BU93" s="1" t="s">
        <v>71</v>
      </c>
      <c r="BV93" s="1" t="s">
        <v>18</v>
      </c>
      <c r="BW93" s="1" t="s">
        <v>308</v>
      </c>
      <c r="BY93" s="18">
        <f>NV_2343[[#This Row],[Part Type]]</f>
        <v>0</v>
      </c>
      <c r="BZ93" s="18">
        <f>NV_2343[[#This Row],[Part Nr.]]</f>
        <v>0</v>
      </c>
      <c r="CA93" s="18" t="str">
        <f>IF(NV_2343[[#This Row],[UID]]=0,"",NV_2343[[#This Row],[UID]])</f>
        <v/>
      </c>
      <c r="CE93" s="18" t="str">
        <f>IF(NV_2343[[#This Row],[Status]]=0,"",NV_2343[[#This Row],[Status]])</f>
        <v/>
      </c>
    </row>
    <row r="94" spans="6:83">
      <c r="F94" s="19"/>
      <c r="H94" s="53"/>
      <c r="I94" s="53"/>
      <c r="K94" s="53"/>
      <c r="M94" s="18"/>
      <c r="BU94" s="1" t="s">
        <v>71</v>
      </c>
      <c r="BV94" s="1" t="s">
        <v>18</v>
      </c>
      <c r="BW94" s="1" t="s">
        <v>308</v>
      </c>
      <c r="BY94" s="18">
        <f>NV_2343[[#This Row],[Part Type]]</f>
        <v>0</v>
      </c>
      <c r="BZ94" s="18">
        <f>NV_2343[[#This Row],[Part Nr.]]</f>
        <v>0</v>
      </c>
      <c r="CA94" s="18" t="str">
        <f>IF(NV_2343[[#This Row],[UID]]=0,"",NV_2343[[#This Row],[UID]])</f>
        <v/>
      </c>
      <c r="CE94" s="18" t="str">
        <f>IF(NV_2343[[#This Row],[Status]]=0,"",NV_2343[[#This Row],[Status]])</f>
        <v/>
      </c>
    </row>
    <row r="95" spans="6:83">
      <c r="F95" s="19"/>
      <c r="H95" s="53"/>
      <c r="I95" s="53"/>
      <c r="K95" s="53"/>
      <c r="M95" s="18"/>
      <c r="BU95" s="1" t="s">
        <v>71</v>
      </c>
      <c r="BV95" s="1" t="s">
        <v>18</v>
      </c>
      <c r="BW95" s="1" t="s">
        <v>308</v>
      </c>
      <c r="BY95" s="18">
        <f>NV_2343[[#This Row],[Part Type]]</f>
        <v>0</v>
      </c>
      <c r="BZ95" s="18">
        <f>NV_2343[[#This Row],[Part Nr.]]</f>
        <v>0</v>
      </c>
      <c r="CA95" s="18" t="str">
        <f>IF(NV_2343[[#This Row],[UID]]=0,"",NV_2343[[#This Row],[UID]])</f>
        <v/>
      </c>
      <c r="CE95" s="18" t="str">
        <f>IF(NV_2343[[#This Row],[Status]]=0,"",NV_2343[[#This Row],[Status]])</f>
        <v/>
      </c>
    </row>
    <row r="96" spans="6:83">
      <c r="F96" s="19"/>
      <c r="H96" s="53"/>
      <c r="I96" s="53"/>
      <c r="K96" s="53"/>
      <c r="M96" s="18"/>
      <c r="BU96" s="1" t="s">
        <v>71</v>
      </c>
      <c r="BV96" s="1" t="s">
        <v>18</v>
      </c>
      <c r="BW96" s="1" t="s">
        <v>308</v>
      </c>
      <c r="BY96" s="18">
        <f>NV_2343[[#This Row],[Part Type]]</f>
        <v>0</v>
      </c>
      <c r="BZ96" s="18">
        <f>NV_2343[[#This Row],[Part Nr.]]</f>
        <v>0</v>
      </c>
      <c r="CA96" s="18" t="str">
        <f>IF(NV_2343[[#This Row],[UID]]=0,"",NV_2343[[#This Row],[UID]])</f>
        <v/>
      </c>
      <c r="CE96" s="18" t="str">
        <f>IF(NV_2343[[#This Row],[Status]]=0,"",NV_2343[[#This Row],[Status]])</f>
        <v/>
      </c>
    </row>
    <row r="97" spans="6:83">
      <c r="F97" s="19"/>
      <c r="H97" s="53"/>
      <c r="I97" s="53"/>
      <c r="K97" s="53"/>
      <c r="M97" s="18"/>
      <c r="BU97" s="1" t="s">
        <v>71</v>
      </c>
      <c r="BV97" s="1" t="s">
        <v>18</v>
      </c>
      <c r="BW97" s="1" t="s">
        <v>308</v>
      </c>
      <c r="BY97" s="18">
        <f>NV_2343[[#This Row],[Part Type]]</f>
        <v>0</v>
      </c>
      <c r="BZ97" s="18">
        <f>NV_2343[[#This Row],[Part Nr.]]</f>
        <v>0</v>
      </c>
      <c r="CA97" s="18" t="str">
        <f>IF(NV_2343[[#This Row],[UID]]=0,"",NV_2343[[#This Row],[UID]])</f>
        <v/>
      </c>
      <c r="CE97" s="18" t="str">
        <f>IF(NV_2343[[#This Row],[Status]]=0,"",NV_2343[[#This Row],[Status]])</f>
        <v/>
      </c>
    </row>
    <row r="98" spans="6:83">
      <c r="F98" s="19"/>
      <c r="H98" s="53"/>
      <c r="I98" s="53"/>
      <c r="K98" s="53"/>
      <c r="M98" s="18"/>
      <c r="BU98" s="1" t="s">
        <v>71</v>
      </c>
      <c r="BV98" s="1" t="s">
        <v>18</v>
      </c>
      <c r="BW98" s="1" t="s">
        <v>308</v>
      </c>
      <c r="BY98" s="18">
        <f>NV_2343[[#This Row],[Part Type]]</f>
        <v>0</v>
      </c>
      <c r="BZ98" s="18">
        <f>NV_2343[[#This Row],[Part Nr.]]</f>
        <v>0</v>
      </c>
      <c r="CA98" s="18" t="str">
        <f>IF(NV_2343[[#This Row],[UID]]=0,"",NV_2343[[#This Row],[UID]])</f>
        <v/>
      </c>
      <c r="CE98" s="18" t="str">
        <f>IF(NV_2343[[#This Row],[Status]]=0,"",NV_2343[[#This Row],[Status]])</f>
        <v/>
      </c>
    </row>
    <row r="99" spans="6:83">
      <c r="F99" s="19"/>
      <c r="H99" s="53"/>
      <c r="I99" s="53"/>
      <c r="K99" s="53"/>
      <c r="M99" s="18"/>
      <c r="BU99" s="1" t="s">
        <v>71</v>
      </c>
      <c r="BV99" s="1" t="s">
        <v>18</v>
      </c>
      <c r="BW99" s="1" t="s">
        <v>308</v>
      </c>
      <c r="BY99" s="18">
        <f>NV_2343[[#This Row],[Part Type]]</f>
        <v>0</v>
      </c>
      <c r="BZ99" s="18">
        <f>NV_2343[[#This Row],[Part Nr.]]</f>
        <v>0</v>
      </c>
      <c r="CA99" s="18" t="str">
        <f>IF(NV_2343[[#This Row],[UID]]=0,"",NV_2343[[#This Row],[UID]])</f>
        <v/>
      </c>
      <c r="CE99" s="18" t="str">
        <f>IF(NV_2343[[#This Row],[Status]]=0,"",NV_2343[[#This Row],[Status]])</f>
        <v/>
      </c>
    </row>
    <row r="100" spans="6:83">
      <c r="F100" s="19"/>
      <c r="H100" s="53"/>
      <c r="I100" s="53"/>
      <c r="K100" s="53"/>
      <c r="M100" s="18"/>
      <c r="BU100" s="1" t="s">
        <v>71</v>
      </c>
      <c r="BV100" s="1" t="s">
        <v>18</v>
      </c>
      <c r="BW100" s="1" t="s">
        <v>308</v>
      </c>
      <c r="BY100" s="18">
        <f>NV_2343[[#This Row],[Part Type]]</f>
        <v>0</v>
      </c>
      <c r="BZ100" s="18">
        <f>NV_2343[[#This Row],[Part Nr.]]</f>
        <v>0</v>
      </c>
      <c r="CA100" s="18" t="str">
        <f>IF(NV_2343[[#This Row],[UID]]=0,"",NV_2343[[#This Row],[UID]])</f>
        <v/>
      </c>
      <c r="CE100" s="18" t="str">
        <f>IF(NV_2343[[#This Row],[Status]]=0,"",NV_2343[[#This Row],[Status]])</f>
        <v/>
      </c>
    </row>
    <row r="101" spans="6:83">
      <c r="F101" s="19"/>
      <c r="H101" s="53"/>
      <c r="I101" s="53"/>
      <c r="K101" s="53"/>
      <c r="M101" s="18"/>
      <c r="BU101" s="1" t="s">
        <v>71</v>
      </c>
      <c r="BV101" s="1" t="s">
        <v>18</v>
      </c>
      <c r="BW101" s="1" t="s">
        <v>308</v>
      </c>
      <c r="BY101" s="18">
        <f>NV_2343[[#This Row],[Part Type]]</f>
        <v>0</v>
      </c>
      <c r="BZ101" s="18">
        <f>NV_2343[[#This Row],[Part Nr.]]</f>
        <v>0</v>
      </c>
      <c r="CA101" s="18" t="str">
        <f>IF(NV_2343[[#This Row],[UID]]=0,"",NV_2343[[#This Row],[UID]])</f>
        <v/>
      </c>
      <c r="CE101" s="18" t="str">
        <f>IF(NV_2343[[#This Row],[Status]]=0,"",NV_2343[[#This Row],[Status]])</f>
        <v/>
      </c>
    </row>
    <row r="102" spans="6:83">
      <c r="F102" s="19"/>
      <c r="H102" s="53"/>
      <c r="I102" s="53"/>
      <c r="K102" s="53"/>
      <c r="M102" s="18"/>
      <c r="BU102" s="1" t="s">
        <v>71</v>
      </c>
      <c r="BV102" s="1" t="s">
        <v>18</v>
      </c>
      <c r="BW102" s="1" t="s">
        <v>308</v>
      </c>
      <c r="BY102" s="18">
        <f>NV_2343[[#This Row],[Part Type]]</f>
        <v>0</v>
      </c>
      <c r="BZ102" s="18">
        <f>NV_2343[[#This Row],[Part Nr.]]</f>
        <v>0</v>
      </c>
      <c r="CA102" s="18" t="str">
        <f>IF(NV_2343[[#This Row],[UID]]=0,"",NV_2343[[#This Row],[UID]])</f>
        <v/>
      </c>
      <c r="CE102" s="18" t="str">
        <f>IF(NV_2343[[#This Row],[Status]]=0,"",NV_2343[[#This Row],[Status]])</f>
        <v/>
      </c>
    </row>
    <row r="103" spans="6:83">
      <c r="F103" s="19"/>
      <c r="H103" s="53"/>
      <c r="I103" s="53"/>
      <c r="K103" s="53"/>
      <c r="M103" s="18"/>
      <c r="BU103" s="1" t="s">
        <v>71</v>
      </c>
      <c r="BV103" s="1" t="s">
        <v>18</v>
      </c>
      <c r="BW103" s="1" t="s">
        <v>308</v>
      </c>
      <c r="BY103" s="18">
        <f>NV_2343[[#This Row],[Part Type]]</f>
        <v>0</v>
      </c>
      <c r="BZ103" s="18">
        <f>NV_2343[[#This Row],[Part Nr.]]</f>
        <v>0</v>
      </c>
      <c r="CA103" s="18" t="str">
        <f>IF(NV_2343[[#This Row],[UID]]=0,"",NV_2343[[#This Row],[UID]])</f>
        <v/>
      </c>
      <c r="CE103" s="18" t="str">
        <f>IF(NV_2343[[#This Row],[Status]]=0,"",NV_2343[[#This Row],[Status]])</f>
        <v/>
      </c>
    </row>
    <row r="104" spans="6:83">
      <c r="F104" s="19"/>
      <c r="H104" s="53"/>
      <c r="I104" s="53"/>
      <c r="K104" s="53"/>
      <c r="M104" s="18"/>
      <c r="BU104" s="1" t="s">
        <v>71</v>
      </c>
      <c r="BV104" s="1" t="s">
        <v>18</v>
      </c>
      <c r="BW104" s="1" t="s">
        <v>308</v>
      </c>
      <c r="BY104" s="18">
        <f>NV_2343[[#This Row],[Part Type]]</f>
        <v>0</v>
      </c>
      <c r="BZ104" s="18">
        <f>NV_2343[[#This Row],[Part Nr.]]</f>
        <v>0</v>
      </c>
      <c r="CA104" s="18" t="str">
        <f>IF(NV_2343[[#This Row],[UID]]=0,"",NV_2343[[#This Row],[UID]])</f>
        <v/>
      </c>
      <c r="CE104" s="18" t="str">
        <f>IF(NV_2343[[#This Row],[Status]]=0,"",NV_2343[[#This Row],[Status]])</f>
        <v/>
      </c>
    </row>
    <row r="105" spans="6:83">
      <c r="F105" s="19"/>
      <c r="H105" s="53"/>
      <c r="I105" s="53"/>
      <c r="K105" s="53"/>
      <c r="M105" s="18"/>
      <c r="BU105" s="1" t="s">
        <v>71</v>
      </c>
      <c r="BV105" s="1" t="s">
        <v>18</v>
      </c>
      <c r="BW105" s="1" t="s">
        <v>308</v>
      </c>
      <c r="BY105" s="18">
        <f>NV_2343[[#This Row],[Part Type]]</f>
        <v>0</v>
      </c>
      <c r="BZ105" s="18">
        <f>NV_2343[[#This Row],[Part Nr.]]</f>
        <v>0</v>
      </c>
      <c r="CA105" s="18" t="str">
        <f>IF(NV_2343[[#This Row],[UID]]=0,"",NV_2343[[#This Row],[UID]])</f>
        <v/>
      </c>
      <c r="CE105" s="18" t="str">
        <f>IF(NV_2343[[#This Row],[Status]]=0,"",NV_2343[[#This Row],[Status]])</f>
        <v/>
      </c>
    </row>
    <row r="106" spans="6:83">
      <c r="F106" s="19"/>
      <c r="H106" s="53"/>
      <c r="I106" s="53"/>
      <c r="K106" s="53"/>
      <c r="M106" s="18"/>
      <c r="BU106" s="1" t="s">
        <v>71</v>
      </c>
      <c r="BV106" s="1" t="s">
        <v>18</v>
      </c>
      <c r="BW106" s="1" t="s">
        <v>308</v>
      </c>
      <c r="BY106" s="18">
        <f>NV_2343[[#This Row],[Part Type]]</f>
        <v>0</v>
      </c>
      <c r="BZ106" s="18">
        <f>NV_2343[[#This Row],[Part Nr.]]</f>
        <v>0</v>
      </c>
      <c r="CA106" s="18" t="str">
        <f>IF(NV_2343[[#This Row],[UID]]=0,"",NV_2343[[#This Row],[UID]])</f>
        <v/>
      </c>
      <c r="CE106" s="18" t="str">
        <f>IF(NV_2343[[#This Row],[Status]]=0,"",NV_2343[[#This Row],[Status]])</f>
        <v/>
      </c>
    </row>
    <row r="107" spans="6:83">
      <c r="F107" s="19"/>
      <c r="H107" s="53"/>
      <c r="I107" s="53"/>
      <c r="K107" s="53"/>
      <c r="M107" s="18"/>
      <c r="BU107" s="1" t="s">
        <v>71</v>
      </c>
      <c r="BV107" s="1" t="s">
        <v>18</v>
      </c>
      <c r="BW107" s="1" t="s">
        <v>308</v>
      </c>
      <c r="BY107" s="18">
        <f>NV_2343[[#This Row],[Part Type]]</f>
        <v>0</v>
      </c>
      <c r="BZ107" s="18">
        <f>NV_2343[[#This Row],[Part Nr.]]</f>
        <v>0</v>
      </c>
      <c r="CA107" s="18" t="str">
        <f>IF(NV_2343[[#This Row],[UID]]=0,"",NV_2343[[#This Row],[UID]])</f>
        <v/>
      </c>
      <c r="CE107" s="18" t="str">
        <f>IF(NV_2343[[#This Row],[Status]]=0,"",NV_2343[[#This Row],[Status]])</f>
        <v/>
      </c>
    </row>
    <row r="108" spans="6:83">
      <c r="F108" s="19"/>
      <c r="H108" s="53"/>
      <c r="I108" s="53"/>
      <c r="K108" s="53"/>
      <c r="M108" s="18"/>
      <c r="BU108" s="1" t="s">
        <v>71</v>
      </c>
      <c r="BV108" s="1" t="s">
        <v>18</v>
      </c>
      <c r="BW108" s="1" t="s">
        <v>308</v>
      </c>
      <c r="BY108" s="18">
        <f>NV_2343[[#This Row],[Part Type]]</f>
        <v>0</v>
      </c>
      <c r="BZ108" s="18">
        <f>NV_2343[[#This Row],[Part Nr.]]</f>
        <v>0</v>
      </c>
      <c r="CA108" s="18" t="str">
        <f>IF(NV_2343[[#This Row],[UID]]=0,"",NV_2343[[#This Row],[UID]])</f>
        <v/>
      </c>
      <c r="CE108" s="18" t="str">
        <f>IF(NV_2343[[#This Row],[Status]]=0,"",NV_2343[[#This Row],[Status]])</f>
        <v/>
      </c>
    </row>
    <row r="109" spans="6:83">
      <c r="F109" s="19"/>
      <c r="H109" s="53"/>
      <c r="I109" s="53"/>
      <c r="K109" s="53"/>
      <c r="M109" s="18"/>
      <c r="BU109" s="1" t="s">
        <v>71</v>
      </c>
      <c r="BV109" s="1" t="s">
        <v>18</v>
      </c>
      <c r="BW109" s="1" t="s">
        <v>308</v>
      </c>
      <c r="BY109" s="18">
        <f>NV_2343[[#This Row],[Part Type]]</f>
        <v>0</v>
      </c>
      <c r="BZ109" s="18">
        <f>NV_2343[[#This Row],[Part Nr.]]</f>
        <v>0</v>
      </c>
      <c r="CA109" s="18" t="str">
        <f>IF(NV_2343[[#This Row],[UID]]=0,"",NV_2343[[#This Row],[UID]])</f>
        <v/>
      </c>
      <c r="CE109" s="18" t="str">
        <f>IF(NV_2343[[#This Row],[Status]]=0,"",NV_2343[[#This Row],[Status]])</f>
        <v/>
      </c>
    </row>
    <row r="110" spans="6:83">
      <c r="F110" s="19"/>
      <c r="H110" s="53"/>
      <c r="I110" s="53"/>
      <c r="K110" s="53"/>
      <c r="M110" s="18"/>
      <c r="BU110" s="1" t="s">
        <v>71</v>
      </c>
      <c r="BV110" s="1" t="s">
        <v>18</v>
      </c>
      <c r="BW110" s="1" t="s">
        <v>308</v>
      </c>
      <c r="BY110" s="18">
        <f>NV_2343[[#This Row],[Part Type]]</f>
        <v>0</v>
      </c>
      <c r="BZ110" s="18">
        <f>NV_2343[[#This Row],[Part Nr.]]</f>
        <v>0</v>
      </c>
      <c r="CA110" s="18" t="str">
        <f>IF(NV_2343[[#This Row],[UID]]=0,"",NV_2343[[#This Row],[UID]])</f>
        <v/>
      </c>
      <c r="CE110" s="18" t="str">
        <f>IF(NV_2343[[#This Row],[Status]]=0,"",NV_2343[[#This Row],[Status]])</f>
        <v/>
      </c>
    </row>
    <row r="111" spans="6:83">
      <c r="F111" s="19"/>
      <c r="H111" s="53"/>
      <c r="I111" s="53"/>
      <c r="K111" s="53"/>
      <c r="M111" s="18"/>
      <c r="BU111" s="1" t="s">
        <v>71</v>
      </c>
      <c r="BV111" s="1" t="s">
        <v>18</v>
      </c>
      <c r="BW111" s="1" t="s">
        <v>308</v>
      </c>
      <c r="BY111" s="18">
        <f>NV_2343[[#This Row],[Part Type]]</f>
        <v>0</v>
      </c>
      <c r="BZ111" s="18">
        <f>NV_2343[[#This Row],[Part Nr.]]</f>
        <v>0</v>
      </c>
      <c r="CA111" s="18" t="str">
        <f>IF(NV_2343[[#This Row],[UID]]=0,"",NV_2343[[#This Row],[UID]])</f>
        <v/>
      </c>
      <c r="CE111" s="18" t="str">
        <f>IF(NV_2343[[#This Row],[Status]]=0,"",NV_2343[[#This Row],[Status]])</f>
        <v/>
      </c>
    </row>
    <row r="112" spans="6:83">
      <c r="F112" s="19"/>
      <c r="H112" s="53"/>
      <c r="I112" s="53"/>
      <c r="K112" s="53"/>
      <c r="M112" s="18"/>
      <c r="BU112" s="1" t="s">
        <v>71</v>
      </c>
      <c r="BV112" s="1" t="s">
        <v>18</v>
      </c>
      <c r="BW112" s="1" t="s">
        <v>308</v>
      </c>
      <c r="BY112" s="18">
        <f>NV_2343[[#This Row],[Part Type]]</f>
        <v>0</v>
      </c>
      <c r="BZ112" s="18">
        <f>NV_2343[[#This Row],[Part Nr.]]</f>
        <v>0</v>
      </c>
      <c r="CA112" s="18" t="str">
        <f>IF(NV_2343[[#This Row],[UID]]=0,"",NV_2343[[#This Row],[UID]])</f>
        <v/>
      </c>
      <c r="CE112" s="18" t="str">
        <f>IF(NV_2343[[#This Row],[Status]]=0,"",NV_2343[[#This Row],[Status]])</f>
        <v/>
      </c>
    </row>
    <row r="113" spans="6:83">
      <c r="F113" s="19"/>
      <c r="H113" s="53"/>
      <c r="I113" s="53"/>
      <c r="K113" s="53"/>
      <c r="M113" s="18"/>
      <c r="BU113" s="1" t="s">
        <v>71</v>
      </c>
      <c r="BV113" s="1" t="s">
        <v>18</v>
      </c>
      <c r="BW113" s="1" t="s">
        <v>308</v>
      </c>
      <c r="BY113" s="18">
        <f>NV_2343[[#This Row],[Part Type]]</f>
        <v>0</v>
      </c>
      <c r="BZ113" s="18">
        <f>NV_2343[[#This Row],[Part Nr.]]</f>
        <v>0</v>
      </c>
      <c r="CA113" s="18" t="str">
        <f>IF(NV_2343[[#This Row],[UID]]=0,"",NV_2343[[#This Row],[UID]])</f>
        <v/>
      </c>
      <c r="CE113" s="18" t="str">
        <f>IF(NV_2343[[#This Row],[Status]]=0,"",NV_2343[[#This Row],[Status]])</f>
        <v/>
      </c>
    </row>
    <row r="114" spans="6:83">
      <c r="F114" s="19"/>
      <c r="H114" s="53"/>
      <c r="I114" s="53"/>
      <c r="K114" s="53"/>
      <c r="M114" s="18"/>
      <c r="BU114" s="1" t="s">
        <v>71</v>
      </c>
      <c r="BV114" s="1" t="s">
        <v>18</v>
      </c>
      <c r="BW114" s="1" t="s">
        <v>308</v>
      </c>
      <c r="BY114" s="18">
        <f>NV_2343[[#This Row],[Part Type]]</f>
        <v>0</v>
      </c>
      <c r="BZ114" s="18">
        <f>NV_2343[[#This Row],[Part Nr.]]</f>
        <v>0</v>
      </c>
      <c r="CA114" s="18" t="str">
        <f>IF(NV_2343[[#This Row],[UID]]=0,"",NV_2343[[#This Row],[UID]])</f>
        <v/>
      </c>
      <c r="CE114" s="18" t="str">
        <f>IF(NV_2343[[#This Row],[Status]]=0,"",NV_2343[[#This Row],[Status]])</f>
        <v/>
      </c>
    </row>
    <row r="115" spans="6:83">
      <c r="F115" s="19"/>
      <c r="H115" s="53"/>
      <c r="I115" s="53"/>
      <c r="K115" s="53"/>
      <c r="M115" s="18"/>
      <c r="BU115" s="1" t="s">
        <v>71</v>
      </c>
      <c r="BV115" s="1" t="s">
        <v>18</v>
      </c>
      <c r="BW115" s="1" t="s">
        <v>308</v>
      </c>
      <c r="BY115" s="18">
        <f>NV_2343[[#This Row],[Part Type]]</f>
        <v>0</v>
      </c>
      <c r="BZ115" s="18">
        <f>NV_2343[[#This Row],[Part Nr.]]</f>
        <v>0</v>
      </c>
      <c r="CA115" s="18" t="str">
        <f>IF(NV_2343[[#This Row],[UID]]=0,"",NV_2343[[#This Row],[UID]])</f>
        <v/>
      </c>
      <c r="CE115" s="18" t="str">
        <f>IF(NV_2343[[#This Row],[Status]]=0,"",NV_2343[[#This Row],[Status]])</f>
        <v/>
      </c>
    </row>
    <row r="116" spans="6:83">
      <c r="F116" s="19"/>
      <c r="H116" s="53"/>
      <c r="I116" s="53"/>
      <c r="K116" s="53"/>
      <c r="M116" s="18"/>
      <c r="BU116" s="1" t="s">
        <v>71</v>
      </c>
      <c r="BV116" s="1" t="s">
        <v>18</v>
      </c>
      <c r="BW116" s="1" t="s">
        <v>308</v>
      </c>
      <c r="BY116" s="18">
        <f>NV_2343[[#This Row],[Part Type]]</f>
        <v>0</v>
      </c>
      <c r="BZ116" s="18">
        <f>NV_2343[[#This Row],[Part Nr.]]</f>
        <v>0</v>
      </c>
      <c r="CA116" s="18" t="str">
        <f>IF(NV_2343[[#This Row],[UID]]=0,"",NV_2343[[#This Row],[UID]])</f>
        <v/>
      </c>
      <c r="CE116" s="18" t="str">
        <f>IF(NV_2343[[#This Row],[Status]]=0,"",NV_2343[[#This Row],[Status]])</f>
        <v/>
      </c>
    </row>
    <row r="117" spans="6:83">
      <c r="F117" s="19"/>
      <c r="H117" s="53"/>
      <c r="I117" s="53"/>
      <c r="K117" s="53"/>
      <c r="M117" s="18"/>
      <c r="BU117" s="1" t="s">
        <v>71</v>
      </c>
      <c r="BV117" s="1" t="s">
        <v>18</v>
      </c>
      <c r="BW117" s="1" t="s">
        <v>308</v>
      </c>
      <c r="BY117" s="18">
        <f>NV_2343[[#This Row],[Part Type]]</f>
        <v>0</v>
      </c>
      <c r="BZ117" s="18">
        <f>NV_2343[[#This Row],[Part Nr.]]</f>
        <v>0</v>
      </c>
      <c r="CA117" s="18" t="str">
        <f>IF(NV_2343[[#This Row],[UID]]=0,"",NV_2343[[#This Row],[UID]])</f>
        <v/>
      </c>
      <c r="CE117" s="18" t="str">
        <f>IF(NV_2343[[#This Row],[Status]]=0,"",NV_2343[[#This Row],[Status]])</f>
        <v/>
      </c>
    </row>
    <row r="118" spans="6:83">
      <c r="F118" s="19"/>
      <c r="H118" s="53"/>
      <c r="I118" s="53"/>
      <c r="K118" s="53"/>
      <c r="M118" s="18"/>
      <c r="BU118" s="1" t="s">
        <v>71</v>
      </c>
      <c r="BV118" s="1" t="s">
        <v>18</v>
      </c>
      <c r="BW118" s="1" t="s">
        <v>308</v>
      </c>
      <c r="BY118" s="18">
        <f>NV_2343[[#This Row],[Part Type]]</f>
        <v>0</v>
      </c>
      <c r="BZ118" s="18">
        <f>NV_2343[[#This Row],[Part Nr.]]</f>
        <v>0</v>
      </c>
      <c r="CA118" s="18" t="str">
        <f>IF(NV_2343[[#This Row],[UID]]=0,"",NV_2343[[#This Row],[UID]])</f>
        <v/>
      </c>
      <c r="CE118" s="18" t="str">
        <f>IF(NV_2343[[#This Row],[Status]]=0,"",NV_2343[[#This Row],[Status]])</f>
        <v/>
      </c>
    </row>
    <row r="119" spans="6:83">
      <c r="F119" s="19"/>
      <c r="H119" s="53"/>
      <c r="I119" s="53"/>
      <c r="K119" s="53"/>
      <c r="M119" s="18"/>
      <c r="BU119" s="1" t="s">
        <v>71</v>
      </c>
      <c r="BV119" s="1" t="s">
        <v>18</v>
      </c>
      <c r="BW119" s="1" t="s">
        <v>308</v>
      </c>
      <c r="BY119" s="18">
        <f>NV_2343[[#This Row],[Part Type]]</f>
        <v>0</v>
      </c>
      <c r="BZ119" s="18">
        <f>NV_2343[[#This Row],[Part Nr.]]</f>
        <v>0</v>
      </c>
      <c r="CA119" s="18" t="str">
        <f>IF(NV_2343[[#This Row],[UID]]=0,"",NV_2343[[#This Row],[UID]])</f>
        <v/>
      </c>
      <c r="CE119" s="18" t="str">
        <f>IF(NV_2343[[#This Row],[Status]]=0,"",NV_2343[[#This Row],[Status]])</f>
        <v/>
      </c>
    </row>
    <row r="120" spans="6:83">
      <c r="F120" s="19"/>
      <c r="H120" s="53"/>
      <c r="I120" s="53"/>
      <c r="K120" s="53"/>
      <c r="M120" s="18"/>
      <c r="BU120" s="1" t="s">
        <v>71</v>
      </c>
      <c r="BV120" s="1" t="s">
        <v>18</v>
      </c>
      <c r="BW120" s="1" t="s">
        <v>308</v>
      </c>
      <c r="BY120" s="18">
        <f>NV_2343[[#This Row],[Part Type]]</f>
        <v>0</v>
      </c>
      <c r="BZ120" s="18">
        <f>NV_2343[[#This Row],[Part Nr.]]</f>
        <v>0</v>
      </c>
      <c r="CA120" s="18" t="str">
        <f>IF(NV_2343[[#This Row],[UID]]=0,"",NV_2343[[#This Row],[UID]])</f>
        <v/>
      </c>
      <c r="CE120" s="18" t="str">
        <f>IF(NV_2343[[#This Row],[Status]]=0,"",NV_2343[[#This Row],[Status]])</f>
        <v/>
      </c>
    </row>
    <row r="121" spans="6:83">
      <c r="F121" s="19"/>
      <c r="H121" s="53"/>
      <c r="I121" s="53"/>
      <c r="K121" s="53"/>
      <c r="M121" s="18"/>
      <c r="BU121" s="1" t="s">
        <v>71</v>
      </c>
      <c r="BV121" s="1" t="s">
        <v>18</v>
      </c>
      <c r="BW121" s="1" t="s">
        <v>308</v>
      </c>
      <c r="BY121" s="18">
        <f>NV_2343[[#This Row],[Part Type]]</f>
        <v>0</v>
      </c>
      <c r="BZ121" s="18">
        <f>NV_2343[[#This Row],[Part Nr.]]</f>
        <v>0</v>
      </c>
      <c r="CA121" s="18" t="str">
        <f>IF(NV_2343[[#This Row],[UID]]=0,"",NV_2343[[#This Row],[UID]])</f>
        <v/>
      </c>
      <c r="CE121" s="18" t="str">
        <f>IF(NV_2343[[#This Row],[Status]]=0,"",NV_2343[[#This Row],[Status]])</f>
        <v/>
      </c>
    </row>
    <row r="122" spans="6:83">
      <c r="F122" s="19"/>
      <c r="H122" s="53"/>
      <c r="I122" s="53"/>
      <c r="K122" s="53"/>
      <c r="M122" s="18"/>
      <c r="BU122" s="1" t="s">
        <v>71</v>
      </c>
      <c r="BV122" s="1" t="s">
        <v>18</v>
      </c>
      <c r="BW122" s="1" t="s">
        <v>308</v>
      </c>
      <c r="BY122" s="18">
        <f>NV_2343[[#This Row],[Part Type]]</f>
        <v>0</v>
      </c>
      <c r="BZ122" s="18">
        <f>NV_2343[[#This Row],[Part Nr.]]</f>
        <v>0</v>
      </c>
      <c r="CA122" s="18" t="str">
        <f>IF(NV_2343[[#This Row],[UID]]=0,"",NV_2343[[#This Row],[UID]])</f>
        <v/>
      </c>
      <c r="CE122" s="18" t="str">
        <f>IF(NV_2343[[#This Row],[Status]]=0,"",NV_2343[[#This Row],[Status]])</f>
        <v/>
      </c>
    </row>
    <row r="123" spans="6:83">
      <c r="F123" s="19"/>
      <c r="H123" s="53"/>
      <c r="I123" s="53"/>
      <c r="K123" s="53"/>
      <c r="M123" s="18"/>
      <c r="BU123" s="1" t="s">
        <v>71</v>
      </c>
      <c r="BV123" s="1" t="s">
        <v>18</v>
      </c>
      <c r="BW123" s="1" t="s">
        <v>308</v>
      </c>
      <c r="BY123" s="18">
        <f>NV_2343[[#This Row],[Part Type]]</f>
        <v>0</v>
      </c>
      <c r="BZ123" s="18">
        <f>NV_2343[[#This Row],[Part Nr.]]</f>
        <v>0</v>
      </c>
      <c r="CA123" s="18" t="str">
        <f>IF(NV_2343[[#This Row],[UID]]=0,"",NV_2343[[#This Row],[UID]])</f>
        <v/>
      </c>
      <c r="CE123" s="18" t="str">
        <f>IF(NV_2343[[#This Row],[Status]]=0,"",NV_2343[[#This Row],[Status]])</f>
        <v/>
      </c>
    </row>
    <row r="124" spans="6:83">
      <c r="F124" s="19"/>
      <c r="H124" s="53"/>
      <c r="I124" s="53"/>
      <c r="K124" s="53"/>
      <c r="M124" s="18"/>
      <c r="BU124" s="1" t="s">
        <v>71</v>
      </c>
      <c r="BV124" s="1" t="s">
        <v>18</v>
      </c>
      <c r="BW124" s="1" t="s">
        <v>308</v>
      </c>
      <c r="BY124" s="18">
        <f>NV_2343[[#This Row],[Part Type]]</f>
        <v>0</v>
      </c>
      <c r="BZ124" s="18">
        <f>NV_2343[[#This Row],[Part Nr.]]</f>
        <v>0</v>
      </c>
      <c r="CA124" s="18" t="str">
        <f>IF(NV_2343[[#This Row],[UID]]=0,"",NV_2343[[#This Row],[UID]])</f>
        <v/>
      </c>
      <c r="CE124" s="18" t="str">
        <f>IF(NV_2343[[#This Row],[Status]]=0,"",NV_2343[[#This Row],[Status]])</f>
        <v/>
      </c>
    </row>
    <row r="125" spans="6:83">
      <c r="F125" s="19"/>
      <c r="H125" s="53"/>
      <c r="I125" s="53"/>
      <c r="K125" s="53"/>
      <c r="M125" s="18"/>
      <c r="BU125" s="1" t="s">
        <v>71</v>
      </c>
      <c r="BV125" s="1" t="s">
        <v>18</v>
      </c>
      <c r="BW125" s="1" t="s">
        <v>308</v>
      </c>
      <c r="BY125" s="18">
        <f>NV_2343[[#This Row],[Part Type]]</f>
        <v>0</v>
      </c>
      <c r="BZ125" s="18">
        <f>NV_2343[[#This Row],[Part Nr.]]</f>
        <v>0</v>
      </c>
      <c r="CA125" s="18" t="str">
        <f>IF(NV_2343[[#This Row],[UID]]=0,"",NV_2343[[#This Row],[UID]])</f>
        <v/>
      </c>
      <c r="CE125" s="18" t="str">
        <f>IF(NV_2343[[#This Row],[Status]]=0,"",NV_2343[[#This Row],[Status]])</f>
        <v/>
      </c>
    </row>
    <row r="126" spans="6:83">
      <c r="F126" s="19"/>
      <c r="H126" s="53"/>
      <c r="I126" s="53"/>
      <c r="K126" s="53"/>
      <c r="M126" s="18"/>
      <c r="BU126" s="1" t="s">
        <v>71</v>
      </c>
      <c r="BV126" s="1" t="s">
        <v>18</v>
      </c>
      <c r="BW126" s="1" t="s">
        <v>308</v>
      </c>
      <c r="BY126" s="18">
        <f>NV_2343[[#This Row],[Part Type]]</f>
        <v>0</v>
      </c>
      <c r="BZ126" s="18">
        <f>NV_2343[[#This Row],[Part Nr.]]</f>
        <v>0</v>
      </c>
      <c r="CA126" s="18" t="str">
        <f>IF(NV_2343[[#This Row],[UID]]=0,"",NV_2343[[#This Row],[UID]])</f>
        <v/>
      </c>
      <c r="CE126" s="18" t="str">
        <f>IF(NV_2343[[#This Row],[Status]]=0,"",NV_2343[[#This Row],[Status]])</f>
        <v/>
      </c>
    </row>
    <row r="127" spans="6:83">
      <c r="F127" s="19"/>
      <c r="H127" s="53"/>
      <c r="I127" s="53"/>
      <c r="K127" s="53"/>
      <c r="M127" s="18"/>
      <c r="BU127" s="1" t="s">
        <v>71</v>
      </c>
      <c r="BV127" s="1" t="s">
        <v>18</v>
      </c>
      <c r="BW127" s="1" t="s">
        <v>308</v>
      </c>
      <c r="BY127" s="18">
        <f>NV_2343[[#This Row],[Part Type]]</f>
        <v>0</v>
      </c>
      <c r="BZ127" s="18">
        <f>NV_2343[[#This Row],[Part Nr.]]</f>
        <v>0</v>
      </c>
      <c r="CA127" s="18" t="str">
        <f>IF(NV_2343[[#This Row],[UID]]=0,"",NV_2343[[#This Row],[UID]])</f>
        <v/>
      </c>
      <c r="CE127" s="18" t="str">
        <f>IF(NV_2343[[#This Row],[Status]]=0,"",NV_2343[[#This Row],[Status]])</f>
        <v/>
      </c>
    </row>
    <row r="128" spans="6:83">
      <c r="F128" s="19"/>
      <c r="H128" s="53"/>
      <c r="I128" s="53"/>
      <c r="K128" s="53"/>
      <c r="M128" s="18"/>
      <c r="BU128" s="1" t="s">
        <v>71</v>
      </c>
      <c r="BV128" s="1" t="s">
        <v>18</v>
      </c>
      <c r="BW128" s="1" t="s">
        <v>308</v>
      </c>
      <c r="BY128" s="18">
        <f>NV_2343[[#This Row],[Part Type]]</f>
        <v>0</v>
      </c>
      <c r="BZ128" s="18">
        <f>NV_2343[[#This Row],[Part Nr.]]</f>
        <v>0</v>
      </c>
      <c r="CA128" s="18" t="str">
        <f>IF(NV_2343[[#This Row],[UID]]=0,"",NV_2343[[#This Row],[UID]])</f>
        <v/>
      </c>
      <c r="CE128" s="18" t="str">
        <f>IF(NV_2343[[#This Row],[Status]]=0,"",NV_2343[[#This Row],[Status]])</f>
        <v/>
      </c>
    </row>
    <row r="129" spans="6:83">
      <c r="F129" s="19"/>
      <c r="H129" s="53"/>
      <c r="I129" s="53"/>
      <c r="K129" s="53"/>
      <c r="M129" s="18"/>
      <c r="BU129" s="1" t="s">
        <v>71</v>
      </c>
      <c r="BV129" s="1" t="s">
        <v>18</v>
      </c>
      <c r="BW129" s="1" t="s">
        <v>308</v>
      </c>
      <c r="BY129" s="18">
        <f>NV_2343[[#This Row],[Part Type]]</f>
        <v>0</v>
      </c>
      <c r="BZ129" s="18">
        <f>NV_2343[[#This Row],[Part Nr.]]</f>
        <v>0</v>
      </c>
      <c r="CA129" s="18" t="str">
        <f>IF(NV_2343[[#This Row],[UID]]=0,"",NV_2343[[#This Row],[UID]])</f>
        <v/>
      </c>
      <c r="CE129" s="18" t="str">
        <f>IF(NV_2343[[#This Row],[Status]]=0,"",NV_2343[[#This Row],[Status]])</f>
        <v/>
      </c>
    </row>
    <row r="130" spans="6:83">
      <c r="F130" s="19"/>
      <c r="H130" s="53"/>
      <c r="I130" s="53"/>
      <c r="K130" s="53"/>
      <c r="M130" s="18"/>
      <c r="BU130" s="1" t="s">
        <v>71</v>
      </c>
      <c r="BV130" s="1" t="s">
        <v>18</v>
      </c>
      <c r="BW130" s="1" t="s">
        <v>308</v>
      </c>
      <c r="BY130" s="18">
        <f>NV_2343[[#This Row],[Part Type]]</f>
        <v>0</v>
      </c>
      <c r="BZ130" s="18">
        <f>NV_2343[[#This Row],[Part Nr.]]</f>
        <v>0</v>
      </c>
      <c r="CA130" s="18" t="str">
        <f>IF(NV_2343[[#This Row],[UID]]=0,"",NV_2343[[#This Row],[UID]])</f>
        <v/>
      </c>
      <c r="CE130" s="18" t="str">
        <f>IF(NV_2343[[#This Row],[Status]]=0,"",NV_2343[[#This Row],[Status]])</f>
        <v/>
      </c>
    </row>
    <row r="131" spans="6:83">
      <c r="F131" s="19"/>
      <c r="H131" s="53"/>
      <c r="I131" s="53"/>
      <c r="K131" s="53"/>
      <c r="M131" s="18"/>
      <c r="BU131" s="1" t="s">
        <v>71</v>
      </c>
      <c r="BV131" s="1" t="s">
        <v>18</v>
      </c>
      <c r="BW131" s="1" t="s">
        <v>308</v>
      </c>
      <c r="BY131" s="18">
        <f>NV_2343[[#This Row],[Part Type]]</f>
        <v>0</v>
      </c>
      <c r="BZ131" s="18">
        <f>NV_2343[[#This Row],[Part Nr.]]</f>
        <v>0</v>
      </c>
      <c r="CA131" s="18" t="str">
        <f>IF(NV_2343[[#This Row],[UID]]=0,"",NV_2343[[#This Row],[UID]])</f>
        <v/>
      </c>
      <c r="CE131" s="18" t="str">
        <f>IF(NV_2343[[#This Row],[Status]]=0,"",NV_2343[[#This Row],[Status]])</f>
        <v/>
      </c>
    </row>
    <row r="132" spans="6:83">
      <c r="F132" s="19"/>
      <c r="H132" s="53"/>
      <c r="I132" s="53"/>
      <c r="K132" s="53"/>
      <c r="M132" s="18"/>
      <c r="BU132" s="1" t="s">
        <v>71</v>
      </c>
      <c r="BV132" s="1" t="s">
        <v>18</v>
      </c>
      <c r="BW132" s="1" t="s">
        <v>308</v>
      </c>
      <c r="BY132" s="18">
        <f>NV_2343[[#This Row],[Part Type]]</f>
        <v>0</v>
      </c>
      <c r="BZ132" s="18">
        <f>NV_2343[[#This Row],[Part Nr.]]</f>
        <v>0</v>
      </c>
      <c r="CA132" s="18" t="str">
        <f>IF(NV_2343[[#This Row],[UID]]=0,"",NV_2343[[#This Row],[UID]])</f>
        <v/>
      </c>
      <c r="CE132" s="18" t="str">
        <f>IF(NV_2343[[#This Row],[Status]]=0,"",NV_2343[[#This Row],[Status]])</f>
        <v/>
      </c>
    </row>
    <row r="133" spans="6:83">
      <c r="F133" s="19"/>
      <c r="H133" s="53"/>
      <c r="I133" s="53"/>
      <c r="K133" s="53"/>
      <c r="M133" s="18"/>
      <c r="BU133" s="1" t="s">
        <v>71</v>
      </c>
      <c r="BV133" s="1" t="s">
        <v>18</v>
      </c>
      <c r="BW133" s="1" t="s">
        <v>308</v>
      </c>
      <c r="BY133" s="18">
        <f>NV_2343[[#This Row],[Part Type]]</f>
        <v>0</v>
      </c>
      <c r="BZ133" s="18">
        <f>NV_2343[[#This Row],[Part Nr.]]</f>
        <v>0</v>
      </c>
      <c r="CA133" s="18" t="str">
        <f>IF(NV_2343[[#This Row],[UID]]=0,"",NV_2343[[#This Row],[UID]])</f>
        <v/>
      </c>
      <c r="CE133" s="18" t="str">
        <f>IF(NV_2343[[#This Row],[Status]]=0,"",NV_2343[[#This Row],[Status]])</f>
        <v/>
      </c>
    </row>
    <row r="134" spans="6:83">
      <c r="F134" s="19"/>
      <c r="H134" s="53"/>
      <c r="I134" s="53"/>
      <c r="K134" s="53"/>
      <c r="M134" s="18"/>
      <c r="BU134" s="1" t="s">
        <v>71</v>
      </c>
      <c r="BV134" s="1" t="s">
        <v>18</v>
      </c>
      <c r="BW134" s="1" t="s">
        <v>308</v>
      </c>
      <c r="BY134" s="18">
        <f>NV_2343[[#This Row],[Part Type]]</f>
        <v>0</v>
      </c>
      <c r="BZ134" s="18">
        <f>NV_2343[[#This Row],[Part Nr.]]</f>
        <v>0</v>
      </c>
      <c r="CA134" s="18" t="str">
        <f>IF(NV_2343[[#This Row],[UID]]=0,"",NV_2343[[#This Row],[UID]])</f>
        <v/>
      </c>
      <c r="CE134" s="18" t="str">
        <f>IF(NV_2343[[#This Row],[Status]]=0,"",NV_2343[[#This Row],[Status]])</f>
        <v/>
      </c>
    </row>
    <row r="135" spans="6:83">
      <c r="F135" s="19"/>
      <c r="H135" s="53"/>
      <c r="I135" s="53"/>
      <c r="K135" s="53"/>
      <c r="M135" s="18"/>
      <c r="BU135" s="1" t="s">
        <v>71</v>
      </c>
      <c r="BV135" s="1" t="s">
        <v>18</v>
      </c>
      <c r="BW135" s="1" t="s">
        <v>308</v>
      </c>
      <c r="BY135" s="18">
        <f>NV_2343[[#This Row],[Part Type]]</f>
        <v>0</v>
      </c>
      <c r="BZ135" s="18">
        <f>NV_2343[[#This Row],[Part Nr.]]</f>
        <v>0</v>
      </c>
      <c r="CA135" s="18" t="str">
        <f>IF(NV_2343[[#This Row],[UID]]=0,"",NV_2343[[#This Row],[UID]])</f>
        <v/>
      </c>
      <c r="CE135" s="18" t="str">
        <f>IF(NV_2343[[#This Row],[Status]]=0,"",NV_2343[[#This Row],[Status]])</f>
        <v/>
      </c>
    </row>
    <row r="136" spans="6:83">
      <c r="F136" s="19"/>
      <c r="H136" s="53"/>
      <c r="I136" s="53"/>
      <c r="K136" s="53"/>
      <c r="M136" s="18"/>
      <c r="BU136" s="1" t="s">
        <v>71</v>
      </c>
      <c r="BV136" s="1" t="s">
        <v>18</v>
      </c>
      <c r="BW136" s="1" t="s">
        <v>308</v>
      </c>
      <c r="BY136" s="18">
        <f>NV_2343[[#This Row],[Part Type]]</f>
        <v>0</v>
      </c>
      <c r="BZ136" s="18">
        <f>NV_2343[[#This Row],[Part Nr.]]</f>
        <v>0</v>
      </c>
      <c r="CA136" s="18" t="str">
        <f>IF(NV_2343[[#This Row],[UID]]=0,"",NV_2343[[#This Row],[UID]])</f>
        <v/>
      </c>
      <c r="CE136" s="18" t="str">
        <f>IF(NV_2343[[#This Row],[Status]]=0,"",NV_2343[[#This Row],[Status]])</f>
        <v/>
      </c>
    </row>
    <row r="137" spans="6:83">
      <c r="F137" s="19"/>
      <c r="H137" s="53"/>
      <c r="I137" s="53"/>
      <c r="K137" s="53"/>
      <c r="M137" s="18"/>
      <c r="BU137" s="1" t="s">
        <v>71</v>
      </c>
      <c r="BV137" s="1" t="s">
        <v>18</v>
      </c>
      <c r="BW137" s="1" t="s">
        <v>308</v>
      </c>
      <c r="BY137" s="18">
        <f>NV_2343[[#This Row],[Part Type]]</f>
        <v>0</v>
      </c>
      <c r="BZ137" s="18">
        <f>NV_2343[[#This Row],[Part Nr.]]</f>
        <v>0</v>
      </c>
      <c r="CA137" s="18" t="str">
        <f>IF(NV_2343[[#This Row],[UID]]=0,"",NV_2343[[#This Row],[UID]])</f>
        <v/>
      </c>
      <c r="CE137" s="18" t="str">
        <f>IF(NV_2343[[#This Row],[Status]]=0,"",NV_2343[[#This Row],[Status]])</f>
        <v/>
      </c>
    </row>
    <row r="138" spans="6:83">
      <c r="F138" s="19"/>
      <c r="H138" s="53"/>
      <c r="I138" s="53"/>
      <c r="K138" s="53"/>
      <c r="M138" s="18"/>
      <c r="BU138" s="1" t="s">
        <v>71</v>
      </c>
      <c r="BV138" s="1" t="s">
        <v>18</v>
      </c>
      <c r="BW138" s="1" t="s">
        <v>308</v>
      </c>
      <c r="BY138" s="18">
        <f>NV_2343[[#This Row],[Part Type]]</f>
        <v>0</v>
      </c>
      <c r="BZ138" s="18">
        <f>NV_2343[[#This Row],[Part Nr.]]</f>
        <v>0</v>
      </c>
      <c r="CA138" s="18" t="str">
        <f>IF(NV_2343[[#This Row],[UID]]=0,"",NV_2343[[#This Row],[UID]])</f>
        <v/>
      </c>
      <c r="CE138" s="18" t="str">
        <f>IF(NV_2343[[#This Row],[Status]]=0,"",NV_2343[[#This Row],[Status]])</f>
        <v/>
      </c>
    </row>
    <row r="139" spans="6:83">
      <c r="F139" s="19"/>
      <c r="H139" s="53"/>
      <c r="I139" s="53"/>
      <c r="K139" s="53"/>
      <c r="M139" s="18"/>
      <c r="BU139" s="1" t="s">
        <v>71</v>
      </c>
      <c r="BV139" s="1" t="s">
        <v>18</v>
      </c>
      <c r="BW139" s="1" t="s">
        <v>308</v>
      </c>
      <c r="BY139" s="18">
        <f>NV_2343[[#This Row],[Part Type]]</f>
        <v>0</v>
      </c>
      <c r="BZ139" s="18">
        <f>NV_2343[[#This Row],[Part Nr.]]</f>
        <v>0</v>
      </c>
      <c r="CA139" s="18" t="str">
        <f>IF(NV_2343[[#This Row],[UID]]=0,"",NV_2343[[#This Row],[UID]])</f>
        <v/>
      </c>
      <c r="CE139" s="18" t="str">
        <f>IF(NV_2343[[#This Row],[Status]]=0,"",NV_2343[[#This Row],[Status]])</f>
        <v/>
      </c>
    </row>
    <row r="140" spans="6:83">
      <c r="F140" s="19"/>
      <c r="H140" s="53"/>
      <c r="I140" s="53"/>
      <c r="K140" s="53"/>
      <c r="M140" s="18"/>
      <c r="BU140" s="1" t="s">
        <v>71</v>
      </c>
      <c r="BV140" s="1" t="s">
        <v>18</v>
      </c>
      <c r="BW140" s="1" t="s">
        <v>308</v>
      </c>
      <c r="BY140" s="18">
        <f>NV_2343[[#This Row],[Part Type]]</f>
        <v>0</v>
      </c>
      <c r="BZ140" s="18">
        <f>NV_2343[[#This Row],[Part Nr.]]</f>
        <v>0</v>
      </c>
      <c r="CA140" s="18" t="str">
        <f>IF(NV_2343[[#This Row],[UID]]=0,"",NV_2343[[#This Row],[UID]])</f>
        <v/>
      </c>
      <c r="CE140" s="18" t="str">
        <f>IF(NV_2343[[#This Row],[Status]]=0,"",NV_2343[[#This Row],[Status]])</f>
        <v/>
      </c>
    </row>
    <row r="141" spans="6:83">
      <c r="F141" s="19"/>
      <c r="H141" s="53"/>
      <c r="I141" s="53"/>
      <c r="K141" s="53"/>
      <c r="M141" s="18"/>
      <c r="BU141" s="1" t="s">
        <v>71</v>
      </c>
      <c r="BV141" s="1" t="s">
        <v>18</v>
      </c>
      <c r="BW141" s="1" t="s">
        <v>308</v>
      </c>
      <c r="BY141" s="18">
        <f>NV_2343[[#This Row],[Part Type]]</f>
        <v>0</v>
      </c>
      <c r="BZ141" s="18">
        <f>NV_2343[[#This Row],[Part Nr.]]</f>
        <v>0</v>
      </c>
      <c r="CA141" s="18" t="str">
        <f>IF(NV_2343[[#This Row],[UID]]=0,"",NV_2343[[#This Row],[UID]])</f>
        <v/>
      </c>
      <c r="CE141" s="18" t="str">
        <f>IF(NV_2343[[#This Row],[Status]]=0,"",NV_2343[[#This Row],[Status]])</f>
        <v/>
      </c>
    </row>
    <row r="142" spans="6:83">
      <c r="F142" s="19"/>
      <c r="H142" s="53"/>
      <c r="I142" s="53"/>
      <c r="K142" s="53"/>
      <c r="M142" s="18"/>
      <c r="BU142" s="1" t="s">
        <v>71</v>
      </c>
      <c r="BV142" s="1" t="s">
        <v>18</v>
      </c>
      <c r="BW142" s="1" t="s">
        <v>308</v>
      </c>
      <c r="BY142" s="18">
        <f>NV_2343[[#This Row],[Part Type]]</f>
        <v>0</v>
      </c>
      <c r="BZ142" s="18">
        <f>NV_2343[[#This Row],[Part Nr.]]</f>
        <v>0</v>
      </c>
      <c r="CA142" s="18" t="str">
        <f>IF(NV_2343[[#This Row],[UID]]=0,"",NV_2343[[#This Row],[UID]])</f>
        <v/>
      </c>
      <c r="CE142" s="18" t="str">
        <f>IF(NV_2343[[#This Row],[Status]]=0,"",NV_2343[[#This Row],[Status]])</f>
        <v/>
      </c>
    </row>
    <row r="143" spans="6:83">
      <c r="F143" s="19"/>
      <c r="H143" s="53"/>
      <c r="I143" s="53"/>
      <c r="K143" s="53"/>
      <c r="M143" s="18"/>
      <c r="BU143" s="1" t="s">
        <v>71</v>
      </c>
      <c r="BV143" s="1" t="s">
        <v>18</v>
      </c>
      <c r="BW143" s="1" t="s">
        <v>308</v>
      </c>
      <c r="BY143" s="18">
        <f>NV_2343[[#This Row],[Part Type]]</f>
        <v>0</v>
      </c>
      <c r="BZ143" s="18">
        <f>NV_2343[[#This Row],[Part Nr.]]</f>
        <v>0</v>
      </c>
      <c r="CA143" s="18" t="str">
        <f>IF(NV_2343[[#This Row],[UID]]=0,"",NV_2343[[#This Row],[UID]])</f>
        <v/>
      </c>
      <c r="CE143" s="18" t="str">
        <f>IF(NV_2343[[#This Row],[Status]]=0,"",NV_2343[[#This Row],[Status]])</f>
        <v/>
      </c>
    </row>
    <row r="144" spans="6:83">
      <c r="F144" s="19"/>
      <c r="H144" s="53"/>
      <c r="I144" s="53"/>
      <c r="K144" s="53"/>
      <c r="M144" s="18"/>
      <c r="BU144" s="1" t="s">
        <v>71</v>
      </c>
      <c r="BV144" s="1" t="s">
        <v>18</v>
      </c>
      <c r="BW144" s="1" t="s">
        <v>308</v>
      </c>
      <c r="BY144" s="18">
        <f>NV_2343[[#This Row],[Part Type]]</f>
        <v>0</v>
      </c>
      <c r="BZ144" s="18">
        <f>NV_2343[[#This Row],[Part Nr.]]</f>
        <v>0</v>
      </c>
      <c r="CA144" s="18" t="str">
        <f>IF(NV_2343[[#This Row],[UID]]=0,"",NV_2343[[#This Row],[UID]])</f>
        <v/>
      </c>
      <c r="CE144" s="18" t="str">
        <f>IF(NV_2343[[#This Row],[Status]]=0,"",NV_2343[[#This Row],[Status]])</f>
        <v/>
      </c>
    </row>
    <row r="145" spans="6:83">
      <c r="F145" s="19"/>
      <c r="H145" s="53"/>
      <c r="I145" s="53"/>
      <c r="K145" s="53"/>
      <c r="M145" s="18"/>
      <c r="BU145" s="1" t="s">
        <v>71</v>
      </c>
      <c r="BV145" s="1" t="s">
        <v>18</v>
      </c>
      <c r="BW145" s="1" t="s">
        <v>308</v>
      </c>
      <c r="BY145" s="18">
        <f>NV_2343[[#This Row],[Part Type]]</f>
        <v>0</v>
      </c>
      <c r="BZ145" s="18">
        <f>NV_2343[[#This Row],[Part Nr.]]</f>
        <v>0</v>
      </c>
      <c r="CA145" s="18" t="str">
        <f>IF(NV_2343[[#This Row],[UID]]=0,"",NV_2343[[#This Row],[UID]])</f>
        <v/>
      </c>
      <c r="CE145" s="18" t="str">
        <f>IF(NV_2343[[#This Row],[Status]]=0,"",NV_2343[[#This Row],[Status]])</f>
        <v/>
      </c>
    </row>
    <row r="146" spans="6:83">
      <c r="F146" s="19"/>
      <c r="H146" s="53"/>
      <c r="I146" s="53"/>
      <c r="K146" s="53"/>
      <c r="M146" s="18"/>
      <c r="BU146" s="1" t="s">
        <v>71</v>
      </c>
      <c r="BV146" s="1" t="s">
        <v>18</v>
      </c>
      <c r="BW146" s="1" t="s">
        <v>308</v>
      </c>
      <c r="BY146" s="18">
        <f>NV_2343[[#This Row],[Part Type]]</f>
        <v>0</v>
      </c>
      <c r="BZ146" s="18">
        <f>NV_2343[[#This Row],[Part Nr.]]</f>
        <v>0</v>
      </c>
      <c r="CA146" s="18" t="str">
        <f>IF(NV_2343[[#This Row],[UID]]=0,"",NV_2343[[#This Row],[UID]])</f>
        <v/>
      </c>
      <c r="CE146" s="18" t="str">
        <f>IF(NV_2343[[#This Row],[Status]]=0,"",NV_2343[[#This Row],[Status]])</f>
        <v/>
      </c>
    </row>
    <row r="147" spans="6:83">
      <c r="F147" s="19"/>
      <c r="H147" s="53"/>
      <c r="I147" s="53"/>
      <c r="K147" s="53"/>
      <c r="M147" s="18"/>
      <c r="BU147" s="1" t="s">
        <v>71</v>
      </c>
      <c r="BV147" s="1" t="s">
        <v>18</v>
      </c>
      <c r="BW147" s="1" t="s">
        <v>308</v>
      </c>
      <c r="BY147" s="18">
        <f>NV_2343[[#This Row],[Part Type]]</f>
        <v>0</v>
      </c>
      <c r="BZ147" s="18">
        <f>NV_2343[[#This Row],[Part Nr.]]</f>
        <v>0</v>
      </c>
      <c r="CA147" s="18" t="str">
        <f>IF(NV_2343[[#This Row],[UID]]=0,"",NV_2343[[#This Row],[UID]])</f>
        <v/>
      </c>
      <c r="CE147" s="18" t="str">
        <f>IF(NV_2343[[#This Row],[Status]]=0,"",NV_2343[[#This Row],[Status]])</f>
        <v/>
      </c>
    </row>
    <row r="148" spans="6:83">
      <c r="F148" s="19"/>
      <c r="H148" s="53"/>
      <c r="I148" s="53"/>
      <c r="K148" s="53"/>
      <c r="M148" s="18"/>
      <c r="BU148" s="1" t="s">
        <v>71</v>
      </c>
      <c r="BV148" s="1" t="s">
        <v>18</v>
      </c>
      <c r="BW148" s="1" t="s">
        <v>308</v>
      </c>
      <c r="BY148" s="18">
        <f>NV_2343[[#This Row],[Part Type]]</f>
        <v>0</v>
      </c>
      <c r="BZ148" s="18">
        <f>NV_2343[[#This Row],[Part Nr.]]</f>
        <v>0</v>
      </c>
      <c r="CA148" s="18" t="str">
        <f>IF(NV_2343[[#This Row],[UID]]=0,"",NV_2343[[#This Row],[UID]])</f>
        <v/>
      </c>
      <c r="CE148" s="18" t="str">
        <f>IF(NV_2343[[#This Row],[Status]]=0,"",NV_2343[[#This Row],[Status]])</f>
        <v/>
      </c>
    </row>
    <row r="149" spans="6:83">
      <c r="F149" s="19"/>
      <c r="H149" s="53"/>
      <c r="I149" s="53"/>
      <c r="K149" s="53"/>
      <c r="M149" s="18"/>
      <c r="BU149" s="1" t="s">
        <v>71</v>
      </c>
      <c r="BV149" s="1" t="s">
        <v>18</v>
      </c>
      <c r="BW149" s="1" t="s">
        <v>308</v>
      </c>
      <c r="BY149" s="18">
        <f>NV_2343[[#This Row],[Part Type]]</f>
        <v>0</v>
      </c>
      <c r="BZ149" s="18">
        <f>NV_2343[[#This Row],[Part Nr.]]</f>
        <v>0</v>
      </c>
      <c r="CA149" s="18" t="str">
        <f>IF(NV_2343[[#This Row],[UID]]=0,"",NV_2343[[#This Row],[UID]])</f>
        <v/>
      </c>
      <c r="CE149" s="18" t="str">
        <f>IF(NV_2343[[#This Row],[Status]]=0,"",NV_2343[[#This Row],[Status]])</f>
        <v/>
      </c>
    </row>
    <row r="150" spans="6:83">
      <c r="F150" s="19"/>
      <c r="H150" s="53"/>
      <c r="I150" s="53"/>
      <c r="K150" s="53"/>
      <c r="M150" s="18"/>
      <c r="BU150" s="1" t="s">
        <v>71</v>
      </c>
      <c r="BV150" s="1" t="s">
        <v>18</v>
      </c>
      <c r="BW150" s="1" t="s">
        <v>308</v>
      </c>
      <c r="BY150" s="18">
        <f>NV_2343[[#This Row],[Part Type]]</f>
        <v>0</v>
      </c>
      <c r="BZ150" s="18">
        <f>NV_2343[[#This Row],[Part Nr.]]</f>
        <v>0</v>
      </c>
      <c r="CA150" s="18" t="str">
        <f>IF(NV_2343[[#This Row],[UID]]=0,"",NV_2343[[#This Row],[UID]])</f>
        <v/>
      </c>
      <c r="CE150" s="18" t="str">
        <f>IF(NV_2343[[#This Row],[Status]]=0,"",NV_2343[[#This Row],[Status]])</f>
        <v/>
      </c>
    </row>
    <row r="151" spans="6:83">
      <c r="F151" s="19"/>
      <c r="H151" s="53"/>
      <c r="I151" s="53"/>
      <c r="K151" s="53"/>
      <c r="M151" s="18"/>
      <c r="BU151" s="1" t="s">
        <v>71</v>
      </c>
      <c r="BV151" s="1" t="s">
        <v>18</v>
      </c>
      <c r="BW151" s="1" t="s">
        <v>308</v>
      </c>
      <c r="BY151" s="18">
        <f>NV_2343[[#This Row],[Part Type]]</f>
        <v>0</v>
      </c>
      <c r="BZ151" s="18">
        <f>NV_2343[[#This Row],[Part Nr.]]</f>
        <v>0</v>
      </c>
      <c r="CA151" s="18" t="str">
        <f>IF(NV_2343[[#This Row],[UID]]=0,"",NV_2343[[#This Row],[UID]])</f>
        <v/>
      </c>
      <c r="CE151" s="18" t="str">
        <f>IF(NV_2343[[#This Row],[Status]]=0,"",NV_2343[[#This Row],[Status]])</f>
        <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7DA23-BA52-43BA-8025-0D04A6580F84}">
  <sheetPr codeName="Sheet17"/>
  <dimension ref="A1:CK151"/>
  <sheetViews>
    <sheetView topLeftCell="U1" zoomScale="89" zoomScaleNormal="123" workbookViewId="0">
      <selection activeCell="C1" sqref="C1"/>
    </sheetView>
  </sheetViews>
  <sheetFormatPr defaultColWidth="10.875" defaultRowHeight="15.95"/>
  <cols>
    <col min="1" max="1" width="12.125" style="18" bestFit="1" customWidth="1"/>
    <col min="2" max="2" width="12" style="18" customWidth="1"/>
    <col min="3" max="3" width="16.125" style="18" bestFit="1" customWidth="1"/>
    <col min="4" max="4" width="28.625" style="18" bestFit="1" customWidth="1"/>
    <col min="5" max="5" width="26.5" style="18" bestFit="1" customWidth="1"/>
    <col min="6" max="6" width="26.5" style="18" customWidth="1"/>
    <col min="7" max="7" width="18.875" style="18" bestFit="1" customWidth="1"/>
    <col min="8" max="8" width="18" style="18" bestFit="1" customWidth="1"/>
    <col min="9" max="9" width="24.125" style="18" bestFit="1" customWidth="1"/>
    <col min="10" max="10" width="36.625" style="18" bestFit="1" customWidth="1"/>
    <col min="11" max="11" width="28.625" style="18" bestFit="1" customWidth="1"/>
    <col min="12" max="12" width="24.375" style="18" bestFit="1" customWidth="1"/>
    <col min="13" max="13" width="19" style="18" bestFit="1" customWidth="1"/>
    <col min="14" max="14" width="14" style="18" bestFit="1" customWidth="1"/>
    <col min="15" max="15" width="16.125" style="18" bestFit="1" customWidth="1"/>
    <col min="16" max="16" width="16.125" style="18" customWidth="1"/>
    <col min="17" max="17" width="21.5" style="18" bestFit="1" customWidth="1"/>
    <col min="18" max="18" width="11" style="18" bestFit="1" customWidth="1"/>
    <col min="19" max="19" width="19.875" style="18" bestFit="1" customWidth="1"/>
    <col min="20" max="20" width="24" bestFit="1" customWidth="1"/>
    <col min="21" max="22" width="56.125" style="18" bestFit="1" customWidth="1"/>
    <col min="23" max="23" width="19.5" style="18" bestFit="1" customWidth="1"/>
    <col min="24" max="24" width="24" style="18" bestFit="1" customWidth="1"/>
    <col min="25" max="25" width="56.125" style="18" bestFit="1" customWidth="1"/>
    <col min="26" max="26" width="10.375" style="19" customWidth="1"/>
    <col min="27" max="27" width="26.125" style="19" customWidth="1"/>
    <col min="28" max="28" width="21.625" style="19" bestFit="1" customWidth="1"/>
    <col min="29" max="36" width="13.125" style="22" customWidth="1"/>
    <col min="37" max="37" width="21.125" style="18" bestFit="1" customWidth="1"/>
    <col min="38" max="38" width="15.5" style="18" bestFit="1" customWidth="1"/>
    <col min="39" max="39" width="18" style="18" bestFit="1" customWidth="1"/>
    <col min="40" max="40" width="10.875" style="18"/>
    <col min="41" max="41" width="12" style="8" bestFit="1" customWidth="1"/>
    <col min="42" max="42" width="15" style="8" customWidth="1"/>
    <col min="43" max="78" width="10.875" style="8"/>
    <col min="79" max="79" width="16.5" style="8" customWidth="1"/>
    <col min="80" max="80" width="20.125" style="8" customWidth="1"/>
    <col min="81" max="81" width="21" style="8" customWidth="1"/>
    <col min="82" max="83" width="10.875" style="8"/>
    <col min="84" max="84" width="14" style="8" customWidth="1"/>
    <col min="85" max="85" width="12.625" style="8" customWidth="1"/>
    <col min="86" max="86" width="17.375" style="8" customWidth="1"/>
    <col min="87" max="87" width="10.875" style="8"/>
    <col min="88" max="88" width="15.5" style="8" customWidth="1"/>
    <col min="89" max="89" width="13.5" style="8" customWidth="1"/>
    <col min="90" max="16384" width="10.875" style="8"/>
  </cols>
  <sheetData>
    <row r="1" spans="1:89" s="57" customFormat="1" ht="17.100000000000001">
      <c r="A1" s="18" t="s">
        <v>12</v>
      </c>
      <c r="B1" s="35" t="s">
        <v>95</v>
      </c>
      <c r="C1" s="178" t="s">
        <v>94</v>
      </c>
      <c r="D1" s="18" t="s">
        <v>339</v>
      </c>
      <c r="E1" s="18" t="s">
        <v>228</v>
      </c>
      <c r="F1" s="18" t="s">
        <v>391</v>
      </c>
      <c r="G1" s="18" t="s">
        <v>392</v>
      </c>
      <c r="H1" s="18" t="s">
        <v>1359</v>
      </c>
      <c r="I1" s="18" t="s">
        <v>1360</v>
      </c>
      <c r="J1" s="18" t="s">
        <v>1361</v>
      </c>
      <c r="K1" s="18" t="s">
        <v>225</v>
      </c>
      <c r="L1" s="18" t="s">
        <v>395</v>
      </c>
      <c r="M1" s="18" t="s">
        <v>396</v>
      </c>
      <c r="N1" s="18" t="s">
        <v>1362</v>
      </c>
      <c r="O1" s="18" t="s">
        <v>231</v>
      </c>
      <c r="P1" s="18" t="s">
        <v>302</v>
      </c>
      <c r="Q1" s="18" t="s">
        <v>303</v>
      </c>
      <c r="R1" s="18" t="s">
        <v>399</v>
      </c>
      <c r="S1" s="18" t="s">
        <v>233</v>
      </c>
      <c r="T1" s="18" t="s">
        <v>400</v>
      </c>
      <c r="U1" s="18" t="s">
        <v>115</v>
      </c>
      <c r="V1" s="18" t="s">
        <v>238</v>
      </c>
      <c r="W1" s="35"/>
      <c r="X1" s="35"/>
      <c r="Y1" s="35"/>
      <c r="Z1" s="35"/>
      <c r="AA1" s="35"/>
      <c r="AB1" s="35"/>
      <c r="AC1" s="35"/>
      <c r="AD1" s="35"/>
      <c r="AE1" s="35"/>
      <c r="AF1" s="35"/>
      <c r="AG1" s="35"/>
      <c r="AH1" s="35"/>
      <c r="BZ1" t="s">
        <v>119</v>
      </c>
      <c r="CA1" s="117" t="s">
        <v>2</v>
      </c>
      <c r="CB1" s="118" t="s">
        <v>3</v>
      </c>
      <c r="CC1" s="118" t="s">
        <v>4</v>
      </c>
      <c r="CD1" s="118" t="s">
        <v>5</v>
      </c>
      <c r="CE1" s="118" t="s">
        <v>6</v>
      </c>
      <c r="CF1" s="119" t="s">
        <v>7</v>
      </c>
      <c r="CG1" s="118" t="s">
        <v>8</v>
      </c>
      <c r="CH1" s="118" t="s">
        <v>9</v>
      </c>
      <c r="CI1" s="118" t="s">
        <v>10</v>
      </c>
      <c r="CJ1" s="118" t="s">
        <v>11</v>
      </c>
      <c r="CK1" s="120" t="s">
        <v>12</v>
      </c>
    </row>
    <row r="2" spans="1:89" s="57" customFormat="1">
      <c r="A2" s="9" t="s">
        <v>1363</v>
      </c>
      <c r="B2" s="18" t="s">
        <v>894</v>
      </c>
      <c r="C2" s="9" t="s">
        <v>903</v>
      </c>
      <c r="D2" s="18" t="s">
        <v>129</v>
      </c>
      <c r="E2" s="18" t="s">
        <v>129</v>
      </c>
      <c r="F2" s="18" t="s">
        <v>173</v>
      </c>
      <c r="G2" s="9" t="s">
        <v>1364</v>
      </c>
      <c r="H2" s="9" t="s">
        <v>1365</v>
      </c>
      <c r="I2" s="18">
        <v>324</v>
      </c>
      <c r="J2" s="10">
        <v>120</v>
      </c>
      <c r="K2" s="10">
        <v>60000</v>
      </c>
      <c r="L2" s="18" t="s">
        <v>243</v>
      </c>
      <c r="M2" s="18" t="s">
        <v>1366</v>
      </c>
      <c r="N2" s="18" t="s">
        <v>129</v>
      </c>
      <c r="O2" s="11">
        <v>2.875</v>
      </c>
      <c r="P2" s="11" t="s">
        <v>129</v>
      </c>
      <c r="Q2" s="11" t="s">
        <v>129</v>
      </c>
      <c r="R2" s="18" t="s">
        <v>161</v>
      </c>
      <c r="S2" s="18" t="s">
        <v>1367</v>
      </c>
      <c r="T2" s="18" t="s">
        <v>129</v>
      </c>
      <c r="U2" s="12">
        <v>39448</v>
      </c>
      <c r="V2" s="20" t="s">
        <v>307</v>
      </c>
      <c r="W2" s="35"/>
      <c r="X2" s="35"/>
      <c r="Y2" s="35"/>
      <c r="Z2" s="35"/>
      <c r="AA2" s="35"/>
      <c r="AB2" s="35"/>
      <c r="AC2" s="35"/>
      <c r="AD2" s="35"/>
      <c r="AE2" s="35"/>
      <c r="AF2" s="35"/>
      <c r="AG2" s="35"/>
      <c r="AH2" s="35"/>
      <c r="BZ2" t="s">
        <v>131</v>
      </c>
      <c r="CA2" s="1" t="s">
        <v>71</v>
      </c>
      <c r="CB2" s="1" t="s">
        <v>18</v>
      </c>
      <c r="CC2" s="1" t="s">
        <v>308</v>
      </c>
      <c r="CD2" s="1"/>
      <c r="CE2" s="135" t="str">
        <f>SH[[#This Row],[Part Type]]</f>
        <v>Safety Head</v>
      </c>
      <c r="CF2" s="135" t="str">
        <f>SH[[#This Row],[Part Number]]</f>
        <v>60-61HM4</v>
      </c>
      <c r="CG2" s="112" t="str">
        <f>SH[[#This Row],[UID]]</f>
        <v>SH-A1</v>
      </c>
      <c r="CH2" s="1"/>
      <c r="CI2" s="1"/>
      <c r="CJ2" s="1"/>
      <c r="CK2" s="1" t="str">
        <f>IF(SH[[#This Row],[Status]]=0,"",SH[[#This Row],[Status]])</f>
        <v>RD Failed</v>
      </c>
    </row>
    <row r="3" spans="1:89" s="57" customFormat="1">
      <c r="A3" s="9" t="s">
        <v>260</v>
      </c>
      <c r="B3" s="18" t="s">
        <v>894</v>
      </c>
      <c r="C3" s="9" t="s">
        <v>907</v>
      </c>
      <c r="D3" s="18" t="s">
        <v>129</v>
      </c>
      <c r="E3" s="18" t="s">
        <v>129</v>
      </c>
      <c r="F3" s="18" t="s">
        <v>173</v>
      </c>
      <c r="G3" s="9" t="s">
        <v>1364</v>
      </c>
      <c r="H3" s="9" t="s">
        <v>1365</v>
      </c>
      <c r="I3" s="18">
        <v>324</v>
      </c>
      <c r="J3" s="10">
        <v>120</v>
      </c>
      <c r="K3" s="10">
        <v>60000</v>
      </c>
      <c r="L3" s="18" t="s">
        <v>243</v>
      </c>
      <c r="M3" s="18" t="s">
        <v>1366</v>
      </c>
      <c r="N3" s="18" t="s">
        <v>129</v>
      </c>
      <c r="O3" s="11">
        <v>2.875</v>
      </c>
      <c r="P3" s="11" t="s">
        <v>129</v>
      </c>
      <c r="Q3" s="11" t="s">
        <v>129</v>
      </c>
      <c r="R3" s="18" t="s">
        <v>161</v>
      </c>
      <c r="S3" s="18" t="s">
        <v>1367</v>
      </c>
      <c r="T3" s="18" t="s">
        <v>129</v>
      </c>
      <c r="U3" s="12">
        <v>39814</v>
      </c>
      <c r="V3" s="20" t="s">
        <v>307</v>
      </c>
      <c r="W3" s="35"/>
      <c r="X3" s="35"/>
      <c r="Y3" s="35"/>
      <c r="Z3" s="35"/>
      <c r="AA3" s="35"/>
      <c r="AB3" s="35"/>
      <c r="AC3" s="35"/>
      <c r="AD3" s="35"/>
      <c r="AE3" s="35"/>
      <c r="AF3" s="35"/>
      <c r="AG3" s="35"/>
      <c r="AH3" s="35"/>
      <c r="BZ3"/>
      <c r="CA3" s="1" t="s">
        <v>71</v>
      </c>
      <c r="CB3" s="1" t="s">
        <v>18</v>
      </c>
      <c r="CC3" s="1" t="s">
        <v>308</v>
      </c>
      <c r="CD3"/>
      <c r="CE3" s="52" t="str">
        <f>SH[[#This Row],[Part Type]]</f>
        <v>Safety Head</v>
      </c>
      <c r="CF3" s="29" t="str">
        <f>SH[[#This Row],[Part Number]]</f>
        <v>60-61HM4</v>
      </c>
      <c r="CG3" s="52" t="str">
        <f>SH[[#This Row],[UID]]</f>
        <v>SH-A2</v>
      </c>
      <c r="CH3"/>
      <c r="CI3"/>
      <c r="CJ3"/>
      <c r="CK3" t="str">
        <f>IF(SH[[#This Row],[Status]]=0,"",SH[[#This Row],[Status]])</f>
        <v>Retired</v>
      </c>
    </row>
    <row r="4" spans="1:89" s="57" customFormat="1">
      <c r="A4" s="9" t="s">
        <v>1104</v>
      </c>
      <c r="B4" s="18" t="s">
        <v>894</v>
      </c>
      <c r="C4" s="9" t="s">
        <v>965</v>
      </c>
      <c r="D4" s="18" t="s">
        <v>129</v>
      </c>
      <c r="E4" s="18" t="s">
        <v>129</v>
      </c>
      <c r="F4" s="18" t="s">
        <v>173</v>
      </c>
      <c r="G4" s="9" t="s">
        <v>1368</v>
      </c>
      <c r="H4" s="9" t="s">
        <v>1369</v>
      </c>
      <c r="I4" s="18">
        <v>353</v>
      </c>
      <c r="J4" s="10">
        <v>120</v>
      </c>
      <c r="K4" s="10">
        <v>60000</v>
      </c>
      <c r="L4" s="18" t="s">
        <v>243</v>
      </c>
      <c r="M4" s="18" t="s">
        <v>1366</v>
      </c>
      <c r="N4" s="18" t="s">
        <v>129</v>
      </c>
      <c r="O4" s="18">
        <v>2.875</v>
      </c>
      <c r="P4" s="11" t="s">
        <v>129</v>
      </c>
      <c r="Q4" s="11" t="s">
        <v>129</v>
      </c>
      <c r="R4" s="18" t="s">
        <v>161</v>
      </c>
      <c r="S4" s="18" t="s">
        <v>1367</v>
      </c>
      <c r="T4" s="18" t="s">
        <v>129</v>
      </c>
      <c r="U4" s="12">
        <v>40107</v>
      </c>
      <c r="V4" s="20" t="s">
        <v>307</v>
      </c>
      <c r="W4" s="35"/>
      <c r="X4" s="35"/>
      <c r="Y4" s="35"/>
      <c r="Z4" s="35"/>
      <c r="AA4" s="35"/>
      <c r="AB4" s="35"/>
      <c r="AC4" s="35"/>
      <c r="AD4" s="35"/>
      <c r="AE4" s="35"/>
      <c r="AF4" s="35"/>
      <c r="AG4" s="35"/>
      <c r="AH4" s="35"/>
      <c r="BZ4"/>
      <c r="CA4" s="1" t="s">
        <v>71</v>
      </c>
      <c r="CB4" s="1" t="s">
        <v>18</v>
      </c>
      <c r="CC4" s="1" t="s">
        <v>308</v>
      </c>
      <c r="CD4"/>
      <c r="CE4" s="52" t="str">
        <f>SH[[#This Row],[Part Type]]</f>
        <v>Safety Head</v>
      </c>
      <c r="CF4" s="29" t="str">
        <f>SH[[#This Row],[Part Number]]</f>
        <v>60-61HF4</v>
      </c>
      <c r="CG4" s="52" t="str">
        <f>SH[[#This Row],[UID]]</f>
        <v>SH-A3</v>
      </c>
      <c r="CH4"/>
      <c r="CI4"/>
      <c r="CJ4"/>
      <c r="CK4" t="str">
        <f>IF(SH[[#This Row],[Status]]=0,"",SH[[#This Row],[Status]])</f>
        <v>Superseded</v>
      </c>
    </row>
    <row r="5" spans="1:89" s="57" customFormat="1">
      <c r="A5" s="9" t="s">
        <v>1104</v>
      </c>
      <c r="B5" s="18" t="s">
        <v>894</v>
      </c>
      <c r="C5" s="9" t="s">
        <v>1370</v>
      </c>
      <c r="D5" s="18" t="s">
        <v>129</v>
      </c>
      <c r="E5" s="18" t="s">
        <v>129</v>
      </c>
      <c r="F5" s="18" t="s">
        <v>173</v>
      </c>
      <c r="G5" s="9" t="s">
        <v>1368</v>
      </c>
      <c r="H5" s="9" t="s">
        <v>1369</v>
      </c>
      <c r="I5" s="18">
        <v>353</v>
      </c>
      <c r="J5" s="10">
        <v>120</v>
      </c>
      <c r="K5" s="10">
        <v>60000</v>
      </c>
      <c r="L5" s="18" t="s">
        <v>243</v>
      </c>
      <c r="M5" s="18" t="s">
        <v>1366</v>
      </c>
      <c r="N5" s="18" t="s">
        <v>129</v>
      </c>
      <c r="O5" s="18">
        <v>2.875</v>
      </c>
      <c r="P5" s="11" t="s">
        <v>129</v>
      </c>
      <c r="Q5" s="11" t="s">
        <v>129</v>
      </c>
      <c r="R5" s="18" t="s">
        <v>161</v>
      </c>
      <c r="S5" s="18" t="s">
        <v>1367</v>
      </c>
      <c r="T5" s="18" t="s">
        <v>129</v>
      </c>
      <c r="U5" s="12">
        <v>40107</v>
      </c>
      <c r="V5" s="20" t="s">
        <v>307</v>
      </c>
      <c r="W5" s="35"/>
      <c r="X5" s="35"/>
      <c r="Y5" s="35"/>
      <c r="Z5" s="35"/>
      <c r="AA5" s="35"/>
      <c r="AB5" s="35"/>
      <c r="AC5" s="35"/>
      <c r="AD5" s="35"/>
      <c r="AE5" s="35"/>
      <c r="AF5" s="35"/>
      <c r="AG5" s="35"/>
      <c r="AH5" s="35"/>
      <c r="BZ5"/>
      <c r="CA5" s="1" t="s">
        <v>71</v>
      </c>
      <c r="CB5" s="1" t="s">
        <v>18</v>
      </c>
      <c r="CC5" s="1" t="s">
        <v>308</v>
      </c>
      <c r="CD5"/>
      <c r="CE5" s="52" t="str">
        <f>SH[[#This Row],[Part Type]]</f>
        <v>Safety Head</v>
      </c>
      <c r="CF5" s="29" t="str">
        <f>SH[[#This Row],[Part Number]]</f>
        <v>60-61HF4</v>
      </c>
      <c r="CG5" s="52" t="str">
        <f>SH[[#This Row],[UID]]</f>
        <v>SH-A4</v>
      </c>
      <c r="CH5"/>
      <c r="CI5"/>
      <c r="CJ5"/>
      <c r="CK5" t="str">
        <f>IF(SH[[#This Row],[Status]]=0,"",SH[[#This Row],[Status]])</f>
        <v>Superseded</v>
      </c>
    </row>
    <row r="6" spans="1:89" s="57" customFormat="1">
      <c r="A6" s="9" t="s">
        <v>1104</v>
      </c>
      <c r="B6" s="18" t="s">
        <v>894</v>
      </c>
      <c r="C6" s="9" t="s">
        <v>909</v>
      </c>
      <c r="D6" s="18" t="s">
        <v>129</v>
      </c>
      <c r="E6" s="18" t="s">
        <v>129</v>
      </c>
      <c r="F6" s="18" t="s">
        <v>173</v>
      </c>
      <c r="G6" s="9" t="s">
        <v>1368</v>
      </c>
      <c r="H6" s="9" t="s">
        <v>1365</v>
      </c>
      <c r="I6" s="18">
        <v>324</v>
      </c>
      <c r="J6" s="10">
        <v>130</v>
      </c>
      <c r="K6" s="10">
        <v>60000</v>
      </c>
      <c r="L6" s="18" t="s">
        <v>243</v>
      </c>
      <c r="M6" s="18" t="s">
        <v>1366</v>
      </c>
      <c r="N6" s="18" t="s">
        <v>129</v>
      </c>
      <c r="O6" s="18">
        <v>2.875</v>
      </c>
      <c r="P6" s="11" t="s">
        <v>129</v>
      </c>
      <c r="Q6" s="11" t="s">
        <v>129</v>
      </c>
      <c r="R6" s="18" t="s">
        <v>161</v>
      </c>
      <c r="S6" s="18" t="s">
        <v>1367</v>
      </c>
      <c r="T6" s="18" t="s">
        <v>129</v>
      </c>
      <c r="U6" s="12">
        <v>39814</v>
      </c>
      <c r="V6" s="20" t="s">
        <v>307</v>
      </c>
      <c r="W6" s="35"/>
      <c r="X6" s="35"/>
      <c r="Y6" s="35"/>
      <c r="Z6" s="35"/>
      <c r="AA6" s="35"/>
      <c r="AB6" s="35"/>
      <c r="AC6" s="35"/>
      <c r="AD6" s="35"/>
      <c r="AE6" s="35"/>
      <c r="AF6" s="35"/>
      <c r="AG6" s="35"/>
      <c r="AH6" s="35"/>
      <c r="BZ6"/>
      <c r="CA6" s="1" t="s">
        <v>71</v>
      </c>
      <c r="CB6" s="1" t="s">
        <v>18</v>
      </c>
      <c r="CC6" s="1" t="s">
        <v>308</v>
      </c>
      <c r="CD6"/>
      <c r="CE6" s="52" t="str">
        <f>SH[[#This Row],[Part Type]]</f>
        <v>Safety Head</v>
      </c>
      <c r="CF6" s="29" t="str">
        <f>SH[[#This Row],[Part Number]]</f>
        <v>60-61HF4</v>
      </c>
      <c r="CG6" s="52" t="str">
        <f>SH[[#This Row],[UID]]</f>
        <v>SH-B1</v>
      </c>
      <c r="CH6"/>
      <c r="CI6"/>
      <c r="CJ6"/>
      <c r="CK6" t="str">
        <f>IF(SH[[#This Row],[Status]]=0,"",SH[[#This Row],[Status]])</f>
        <v>Superseded</v>
      </c>
    </row>
    <row r="7" spans="1:89" s="57" customFormat="1">
      <c r="A7" s="9" t="s">
        <v>1104</v>
      </c>
      <c r="B7" s="18" t="s">
        <v>894</v>
      </c>
      <c r="C7" s="9" t="s">
        <v>911</v>
      </c>
      <c r="D7" s="18" t="s">
        <v>129</v>
      </c>
      <c r="E7" s="18" t="s">
        <v>129</v>
      </c>
      <c r="F7" s="18" t="s">
        <v>173</v>
      </c>
      <c r="G7" s="9" t="s">
        <v>1368</v>
      </c>
      <c r="H7" s="9" t="s">
        <v>1369</v>
      </c>
      <c r="I7" s="18">
        <v>353</v>
      </c>
      <c r="J7" s="10">
        <v>120</v>
      </c>
      <c r="K7" s="10">
        <v>60000</v>
      </c>
      <c r="L7" s="18" t="s">
        <v>243</v>
      </c>
      <c r="M7" s="18" t="s">
        <v>1366</v>
      </c>
      <c r="N7" s="18" t="s">
        <v>129</v>
      </c>
      <c r="O7" s="18">
        <v>2.875</v>
      </c>
      <c r="P7" s="11" t="s">
        <v>129</v>
      </c>
      <c r="Q7" s="11" t="s">
        <v>129</v>
      </c>
      <c r="R7" s="18" t="s">
        <v>161</v>
      </c>
      <c r="S7" s="18" t="s">
        <v>1367</v>
      </c>
      <c r="T7" s="18" t="s">
        <v>129</v>
      </c>
      <c r="U7" s="12">
        <v>39965</v>
      </c>
      <c r="V7" s="20" t="s">
        <v>307</v>
      </c>
      <c r="W7" s="35"/>
      <c r="X7" s="35"/>
      <c r="Y7" s="35"/>
      <c r="Z7" s="35"/>
      <c r="AA7" s="35"/>
      <c r="AB7" s="35"/>
      <c r="AC7" s="35"/>
      <c r="AD7" s="35"/>
      <c r="AE7" s="35"/>
      <c r="AF7" s="35"/>
      <c r="AG7" s="35"/>
      <c r="AH7" s="35"/>
      <c r="BZ7" s="18"/>
      <c r="CA7" s="1" t="s">
        <v>71</v>
      </c>
      <c r="CB7" s="1" t="s">
        <v>18</v>
      </c>
      <c r="CC7" s="1" t="s">
        <v>308</v>
      </c>
      <c r="CD7" s="18"/>
      <c r="CE7" s="36" t="str">
        <f>SH[[#This Row],[Part Type]]</f>
        <v>Safety Head</v>
      </c>
      <c r="CF7" s="28" t="str">
        <f>SH[[#This Row],[Part Number]]</f>
        <v>60-61HF4</v>
      </c>
      <c r="CG7" s="36" t="str">
        <f>SH[[#This Row],[UID]]</f>
        <v>SH-B2</v>
      </c>
      <c r="CH7" s="18"/>
      <c r="CI7" s="18"/>
      <c r="CJ7" s="18"/>
      <c r="CK7" s="18" t="str">
        <f>IF(SH[[#This Row],[Status]]=0,"",SH[[#This Row],[Status]])</f>
        <v>Superseded</v>
      </c>
    </row>
    <row r="8" spans="1:89" s="57" customFormat="1">
      <c r="A8" s="9" t="s">
        <v>260</v>
      </c>
      <c r="B8" s="18" t="s">
        <v>894</v>
      </c>
      <c r="C8" s="9" t="s">
        <v>914</v>
      </c>
      <c r="D8" s="18" t="s">
        <v>129</v>
      </c>
      <c r="E8" s="18" t="s">
        <v>129</v>
      </c>
      <c r="F8" s="18" t="s">
        <v>173</v>
      </c>
      <c r="G8" s="9" t="s">
        <v>1364</v>
      </c>
      <c r="H8" s="9" t="s">
        <v>1365</v>
      </c>
      <c r="I8" s="18">
        <v>324</v>
      </c>
      <c r="J8" s="10">
        <v>120</v>
      </c>
      <c r="K8" s="10">
        <v>60000</v>
      </c>
      <c r="L8" s="18" t="s">
        <v>243</v>
      </c>
      <c r="M8" s="18" t="s">
        <v>1366</v>
      </c>
      <c r="N8" s="18" t="s">
        <v>129</v>
      </c>
      <c r="O8" s="11">
        <v>2.875</v>
      </c>
      <c r="P8" s="11" t="s">
        <v>129</v>
      </c>
      <c r="Q8" s="11" t="s">
        <v>129</v>
      </c>
      <c r="R8" s="18" t="s">
        <v>161</v>
      </c>
      <c r="S8" s="18" t="s">
        <v>1367</v>
      </c>
      <c r="T8" s="18" t="s">
        <v>129</v>
      </c>
      <c r="U8" s="12">
        <v>39814</v>
      </c>
      <c r="V8" s="20" t="s">
        <v>307</v>
      </c>
      <c r="W8" s="35"/>
      <c r="X8" s="35"/>
      <c r="Y8" s="35"/>
      <c r="Z8" s="35"/>
      <c r="AA8" s="35"/>
      <c r="AB8" s="35"/>
      <c r="AC8" s="35"/>
      <c r="AD8" s="35"/>
      <c r="AE8" s="35"/>
      <c r="AF8" s="35"/>
      <c r="AG8" s="35"/>
      <c r="AH8" s="35"/>
      <c r="BZ8" s="18"/>
      <c r="CA8" s="1" t="s">
        <v>71</v>
      </c>
      <c r="CB8" s="1" t="s">
        <v>18</v>
      </c>
      <c r="CC8" s="1" t="s">
        <v>308</v>
      </c>
      <c r="CD8" s="18"/>
      <c r="CE8" s="36" t="str">
        <f>SH[[#This Row],[Part Type]]</f>
        <v>Safety Head</v>
      </c>
      <c r="CF8" s="28" t="str">
        <f>SH[[#This Row],[Part Number]]</f>
        <v>60-61HM4</v>
      </c>
      <c r="CG8" s="36" t="str">
        <f>SH[[#This Row],[UID]]</f>
        <v>SH-C1</v>
      </c>
      <c r="CH8" s="18"/>
      <c r="CI8" s="18"/>
      <c r="CJ8" s="18"/>
      <c r="CK8" s="18" t="str">
        <f>IF(SH[[#This Row],[Status]]=0,"",SH[[#This Row],[Status]])</f>
        <v>Retired</v>
      </c>
    </row>
    <row r="9" spans="1:89" s="57" customFormat="1">
      <c r="A9" s="9" t="s">
        <v>1104</v>
      </c>
      <c r="B9" s="18" t="s">
        <v>894</v>
      </c>
      <c r="C9" s="9" t="s">
        <v>916</v>
      </c>
      <c r="D9" s="18" t="s">
        <v>129</v>
      </c>
      <c r="E9" s="18" t="s">
        <v>129</v>
      </c>
      <c r="F9" s="18" t="s">
        <v>173</v>
      </c>
      <c r="G9" s="9" t="s">
        <v>1368</v>
      </c>
      <c r="H9" s="9" t="s">
        <v>1369</v>
      </c>
      <c r="I9" s="18">
        <v>353</v>
      </c>
      <c r="J9" s="10">
        <v>120</v>
      </c>
      <c r="K9" s="10">
        <v>60000</v>
      </c>
      <c r="L9" s="18" t="s">
        <v>243</v>
      </c>
      <c r="M9" s="18" t="s">
        <v>1366</v>
      </c>
      <c r="N9" s="18" t="s">
        <v>129</v>
      </c>
      <c r="O9" s="18">
        <v>2.875</v>
      </c>
      <c r="P9" s="11" t="s">
        <v>129</v>
      </c>
      <c r="Q9" s="11" t="s">
        <v>129</v>
      </c>
      <c r="R9" s="18" t="s">
        <v>161</v>
      </c>
      <c r="S9" s="18" t="s">
        <v>1367</v>
      </c>
      <c r="T9" s="18" t="s">
        <v>129</v>
      </c>
      <c r="U9" s="12">
        <v>39965</v>
      </c>
      <c r="V9" s="20" t="s">
        <v>307</v>
      </c>
      <c r="W9" s="35"/>
      <c r="X9" s="35"/>
      <c r="Y9" s="35"/>
      <c r="Z9" s="35"/>
      <c r="AA9" s="35"/>
      <c r="AB9" s="35"/>
      <c r="AC9" s="35"/>
      <c r="AD9" s="35"/>
      <c r="AE9" s="35"/>
      <c r="AF9" s="35"/>
      <c r="AG9" s="35"/>
      <c r="AH9" s="35"/>
      <c r="BZ9" s="18"/>
      <c r="CA9" s="1" t="s">
        <v>71</v>
      </c>
      <c r="CB9" s="1" t="s">
        <v>18</v>
      </c>
      <c r="CC9" s="1" t="s">
        <v>308</v>
      </c>
      <c r="CD9" s="18"/>
      <c r="CE9" s="36" t="str">
        <f>SH[[#This Row],[Part Type]]</f>
        <v>Safety Head</v>
      </c>
      <c r="CF9" s="28" t="str">
        <f>SH[[#This Row],[Part Number]]</f>
        <v>60-61HF4</v>
      </c>
      <c r="CG9" s="36" t="str">
        <f>SH[[#This Row],[UID]]</f>
        <v>SH-C2</v>
      </c>
      <c r="CH9" s="18"/>
      <c r="CI9" s="18"/>
      <c r="CJ9" s="18"/>
      <c r="CK9" s="18" t="str">
        <f>IF(SH[[#This Row],[Status]]=0,"",SH[[#This Row],[Status]])</f>
        <v>Superseded</v>
      </c>
    </row>
    <row r="10" spans="1:89" s="57" customFormat="1">
      <c r="A10" s="9" t="s">
        <v>1104</v>
      </c>
      <c r="B10" s="18" t="s">
        <v>894</v>
      </c>
      <c r="C10" s="9" t="s">
        <v>963</v>
      </c>
      <c r="D10" s="18" t="s">
        <v>129</v>
      </c>
      <c r="E10" s="18" t="s">
        <v>129</v>
      </c>
      <c r="F10" s="18" t="s">
        <v>173</v>
      </c>
      <c r="G10" s="9" t="s">
        <v>1368</v>
      </c>
      <c r="H10" s="9" t="s">
        <v>1371</v>
      </c>
      <c r="I10" s="18">
        <v>356</v>
      </c>
      <c r="J10" s="10">
        <v>130</v>
      </c>
      <c r="K10" s="10">
        <v>60000</v>
      </c>
      <c r="L10" s="18" t="s">
        <v>243</v>
      </c>
      <c r="M10" s="18" t="s">
        <v>1366</v>
      </c>
      <c r="N10" s="18" t="s">
        <v>129</v>
      </c>
      <c r="O10" s="18">
        <v>2.875</v>
      </c>
      <c r="P10" s="11" t="s">
        <v>129</v>
      </c>
      <c r="Q10" s="11" t="s">
        <v>129</v>
      </c>
      <c r="R10" s="18" t="s">
        <v>161</v>
      </c>
      <c r="S10" s="18" t="s">
        <v>1367</v>
      </c>
      <c r="T10" s="18" t="s">
        <v>129</v>
      </c>
      <c r="U10" s="12">
        <v>40697</v>
      </c>
      <c r="V10" s="20" t="s">
        <v>307</v>
      </c>
      <c r="W10" s="35"/>
      <c r="X10" s="35"/>
      <c r="Y10" s="35"/>
      <c r="Z10" s="35"/>
      <c r="AA10" s="35"/>
      <c r="AB10" s="35"/>
      <c r="AC10" s="35"/>
      <c r="AD10" s="35"/>
      <c r="AE10" s="35"/>
      <c r="AF10" s="35"/>
      <c r="AG10" s="35"/>
      <c r="AH10" s="35"/>
      <c r="BZ10" s="18"/>
      <c r="CA10" s="1" t="s">
        <v>71</v>
      </c>
      <c r="CB10" s="1" t="s">
        <v>18</v>
      </c>
      <c r="CC10" s="1" t="s">
        <v>308</v>
      </c>
      <c r="CD10" s="18"/>
      <c r="CE10" s="36" t="str">
        <f>SH[[#This Row],[Part Type]]</f>
        <v>Safety Head</v>
      </c>
      <c r="CF10" s="28" t="str">
        <f>SH[[#This Row],[Part Number]]</f>
        <v>60-61HF4</v>
      </c>
      <c r="CG10" s="36" t="str">
        <f>SH[[#This Row],[UID]]</f>
        <v>SH-C3</v>
      </c>
      <c r="CH10" s="18"/>
      <c r="CI10" s="18"/>
      <c r="CJ10" s="18"/>
      <c r="CK10" s="18" t="str">
        <f>IF(SH[[#This Row],[Status]]=0,"",SH[[#This Row],[Status]])</f>
        <v>Superseded</v>
      </c>
    </row>
    <row r="11" spans="1:89" s="57" customFormat="1" ht="33.950000000000003">
      <c r="A11" s="9" t="s">
        <v>1104</v>
      </c>
      <c r="B11" s="18" t="s">
        <v>894</v>
      </c>
      <c r="C11" s="9" t="s">
        <v>918</v>
      </c>
      <c r="D11" s="18" t="s">
        <v>129</v>
      </c>
      <c r="E11" s="18" t="s">
        <v>129</v>
      </c>
      <c r="F11" s="18" t="s">
        <v>173</v>
      </c>
      <c r="G11" s="9" t="s">
        <v>1368</v>
      </c>
      <c r="H11" s="9" t="s">
        <v>1369</v>
      </c>
      <c r="I11" s="18">
        <v>353</v>
      </c>
      <c r="J11" s="10">
        <v>120</v>
      </c>
      <c r="K11" s="10">
        <v>60000</v>
      </c>
      <c r="L11" s="18" t="s">
        <v>243</v>
      </c>
      <c r="M11" s="18" t="s">
        <v>1366</v>
      </c>
      <c r="N11" s="18" t="s">
        <v>129</v>
      </c>
      <c r="O11" s="18">
        <v>2.875</v>
      </c>
      <c r="P11" s="11" t="s">
        <v>129</v>
      </c>
      <c r="Q11" s="11" t="s">
        <v>129</v>
      </c>
      <c r="R11" s="18" t="s">
        <v>161</v>
      </c>
      <c r="S11" s="18" t="s">
        <v>1367</v>
      </c>
      <c r="T11" s="18" t="s">
        <v>129</v>
      </c>
      <c r="U11" s="12">
        <v>39965</v>
      </c>
      <c r="V11" s="20" t="s">
        <v>307</v>
      </c>
      <c r="W11" s="35"/>
      <c r="X11" s="35"/>
      <c r="Y11" s="35"/>
      <c r="Z11" s="35"/>
      <c r="AA11" s="35"/>
      <c r="AB11" s="35"/>
      <c r="AC11" s="35"/>
      <c r="AD11" s="35"/>
      <c r="AE11" s="35"/>
      <c r="AF11" s="35"/>
      <c r="AG11" s="35"/>
      <c r="AH11" s="35"/>
      <c r="CA11" s="1" t="s">
        <v>71</v>
      </c>
      <c r="CB11" s="1" t="s">
        <v>18</v>
      </c>
      <c r="CC11" s="1" t="s">
        <v>308</v>
      </c>
      <c r="CE11" s="138" t="str">
        <f>SH[[#This Row],[Part Type]]</f>
        <v>Safety Head</v>
      </c>
      <c r="CF11" s="138" t="str">
        <f>SH[[#This Row],[Part Number]]</f>
        <v>60-61HF4</v>
      </c>
      <c r="CG11" s="140" t="str">
        <f>SH[[#This Row],[UID]]</f>
        <v>SH-D1</v>
      </c>
      <c r="CK11" s="57" t="str">
        <f>IF(SH[[#This Row],[Status]]=0,"",SH[[#This Row],[Status]])</f>
        <v>Superseded</v>
      </c>
    </row>
    <row r="12" spans="1:89" s="57" customFormat="1" ht="33.950000000000003">
      <c r="A12" s="9" t="s">
        <v>1104</v>
      </c>
      <c r="B12" s="18" t="s">
        <v>894</v>
      </c>
      <c r="C12" s="9" t="s">
        <v>920</v>
      </c>
      <c r="D12" s="18" t="s">
        <v>129</v>
      </c>
      <c r="E12" s="18" t="s">
        <v>129</v>
      </c>
      <c r="F12" s="18" t="s">
        <v>173</v>
      </c>
      <c r="G12" s="9" t="s">
        <v>1368</v>
      </c>
      <c r="H12" s="9" t="s">
        <v>1369</v>
      </c>
      <c r="I12" s="18">
        <v>353</v>
      </c>
      <c r="J12" s="10">
        <v>120</v>
      </c>
      <c r="K12" s="10">
        <v>60000</v>
      </c>
      <c r="L12" s="18" t="s">
        <v>243</v>
      </c>
      <c r="M12" s="18" t="s">
        <v>1366</v>
      </c>
      <c r="N12" s="18" t="s">
        <v>129</v>
      </c>
      <c r="O12" s="18">
        <v>2.875</v>
      </c>
      <c r="P12" s="11" t="s">
        <v>129</v>
      </c>
      <c r="Q12" s="11" t="s">
        <v>129</v>
      </c>
      <c r="R12" s="18" t="s">
        <v>161</v>
      </c>
      <c r="S12" s="18" t="s">
        <v>1367</v>
      </c>
      <c r="T12" s="18" t="s">
        <v>129</v>
      </c>
      <c r="U12" s="12">
        <v>39965</v>
      </c>
      <c r="V12" s="20" t="s">
        <v>307</v>
      </c>
      <c r="W12" s="35"/>
      <c r="X12" s="35"/>
      <c r="Y12" s="35"/>
      <c r="Z12" s="35"/>
      <c r="AA12" s="35"/>
      <c r="AB12" s="35"/>
      <c r="AC12" s="35"/>
      <c r="AD12" s="35"/>
      <c r="AE12" s="35"/>
      <c r="AF12" s="35"/>
      <c r="AG12" s="35"/>
      <c r="AH12" s="35"/>
      <c r="CA12" s="1" t="s">
        <v>71</v>
      </c>
      <c r="CB12" s="1" t="s">
        <v>18</v>
      </c>
      <c r="CC12" s="1" t="s">
        <v>308</v>
      </c>
      <c r="CE12" s="138" t="str">
        <f>SH[[#This Row],[Part Type]]</f>
        <v>Safety Head</v>
      </c>
      <c r="CF12" s="138" t="str">
        <f>SH[[#This Row],[Part Number]]</f>
        <v>60-61HF4</v>
      </c>
      <c r="CG12" s="140" t="str">
        <f>SH[[#This Row],[UID]]</f>
        <v>SH-D2</v>
      </c>
      <c r="CK12" s="57" t="str">
        <f>IF(SH[[#This Row],[Status]]=0,"",SH[[#This Row],[Status]])</f>
        <v>Superseded</v>
      </c>
    </row>
    <row r="13" spans="1:89" s="57" customFormat="1" ht="33.950000000000003">
      <c r="A13" s="9" t="s">
        <v>1104</v>
      </c>
      <c r="B13" s="18" t="s">
        <v>894</v>
      </c>
      <c r="C13" s="9" t="s">
        <v>922</v>
      </c>
      <c r="D13" s="18" t="s">
        <v>129</v>
      </c>
      <c r="E13" s="18" t="s">
        <v>129</v>
      </c>
      <c r="F13" s="18" t="s">
        <v>173</v>
      </c>
      <c r="G13" s="9" t="s">
        <v>1368</v>
      </c>
      <c r="H13" s="9" t="s">
        <v>1372</v>
      </c>
      <c r="I13" s="18">
        <v>157</v>
      </c>
      <c r="J13" s="10">
        <v>120</v>
      </c>
      <c r="K13" s="10">
        <v>60000</v>
      </c>
      <c r="L13" s="18" t="s">
        <v>243</v>
      </c>
      <c r="M13" s="18" t="s">
        <v>1366</v>
      </c>
      <c r="N13" s="18" t="s">
        <v>129</v>
      </c>
      <c r="O13" s="18">
        <v>2.875</v>
      </c>
      <c r="P13" s="11" t="s">
        <v>129</v>
      </c>
      <c r="Q13" s="11" t="s">
        <v>129</v>
      </c>
      <c r="R13" s="18" t="s">
        <v>161</v>
      </c>
      <c r="S13" s="18" t="s">
        <v>1367</v>
      </c>
      <c r="T13" s="18" t="s">
        <v>129</v>
      </c>
      <c r="U13" s="12">
        <v>39814</v>
      </c>
      <c r="V13" s="20" t="s">
        <v>307</v>
      </c>
      <c r="W13" s="35"/>
      <c r="X13" s="35"/>
      <c r="Y13" s="35"/>
      <c r="Z13" s="35"/>
      <c r="AA13" s="35"/>
      <c r="AB13" s="35"/>
      <c r="AC13" s="35"/>
      <c r="AD13" s="35"/>
      <c r="AE13" s="35"/>
      <c r="AF13" s="35"/>
      <c r="AG13" s="35"/>
      <c r="AH13" s="35"/>
      <c r="CA13" s="1" t="s">
        <v>71</v>
      </c>
      <c r="CB13" s="1" t="s">
        <v>18</v>
      </c>
      <c r="CC13" s="1" t="s">
        <v>308</v>
      </c>
      <c r="CE13" s="138" t="str">
        <f>SH[[#This Row],[Part Type]]</f>
        <v>Safety Head</v>
      </c>
      <c r="CF13" s="138" t="str">
        <f>SH[[#This Row],[Part Number]]</f>
        <v>60-61HF4</v>
      </c>
      <c r="CG13" s="140" t="str">
        <f>SH[[#This Row],[UID]]</f>
        <v>SH-E1</v>
      </c>
      <c r="CK13" s="57" t="str">
        <f>IF(SH[[#This Row],[Status]]=0,"",SH[[#This Row],[Status]])</f>
        <v>Superseded</v>
      </c>
    </row>
    <row r="14" spans="1:89" s="57" customFormat="1" ht="33.950000000000003">
      <c r="A14" s="9" t="s">
        <v>1363</v>
      </c>
      <c r="B14" s="18" t="s">
        <v>894</v>
      </c>
      <c r="C14" s="9" t="s">
        <v>924</v>
      </c>
      <c r="D14" s="18" t="s">
        <v>129</v>
      </c>
      <c r="E14" s="18" t="s">
        <v>129</v>
      </c>
      <c r="F14" s="18" t="s">
        <v>173</v>
      </c>
      <c r="G14" s="9" t="s">
        <v>1368</v>
      </c>
      <c r="H14" s="9" t="s">
        <v>1372</v>
      </c>
      <c r="I14" s="18">
        <v>157</v>
      </c>
      <c r="J14" s="10">
        <v>120</v>
      </c>
      <c r="K14" s="10">
        <v>60000</v>
      </c>
      <c r="L14" s="18" t="s">
        <v>243</v>
      </c>
      <c r="M14" s="18" t="s">
        <v>1366</v>
      </c>
      <c r="N14" s="18" t="s">
        <v>129</v>
      </c>
      <c r="O14" s="18">
        <v>2.875</v>
      </c>
      <c r="P14" s="11" t="s">
        <v>129</v>
      </c>
      <c r="Q14" s="11" t="s">
        <v>129</v>
      </c>
      <c r="R14" s="18" t="s">
        <v>161</v>
      </c>
      <c r="S14" s="18" t="s">
        <v>1367</v>
      </c>
      <c r="T14" s="18" t="s">
        <v>129</v>
      </c>
      <c r="U14" s="12">
        <v>39783</v>
      </c>
      <c r="V14" s="20" t="s">
        <v>307</v>
      </c>
      <c r="W14" s="35"/>
      <c r="X14" s="35"/>
      <c r="Y14" s="35"/>
      <c r="Z14" s="35"/>
      <c r="AA14" s="35"/>
      <c r="AB14" s="35"/>
      <c r="AC14" s="35"/>
      <c r="AD14" s="35"/>
      <c r="AE14" s="35"/>
      <c r="AF14" s="35"/>
      <c r="AG14" s="35"/>
      <c r="AH14" s="35"/>
      <c r="CA14" s="1" t="s">
        <v>71</v>
      </c>
      <c r="CB14" s="1" t="s">
        <v>18</v>
      </c>
      <c r="CC14" s="1" t="s">
        <v>308</v>
      </c>
      <c r="CE14" s="138" t="str">
        <f>SH[[#This Row],[Part Type]]</f>
        <v>Safety Head</v>
      </c>
      <c r="CF14" s="138" t="str">
        <f>SH[[#This Row],[Part Number]]</f>
        <v>60-61HF4</v>
      </c>
      <c r="CG14" s="140" t="str">
        <f>SH[[#This Row],[UID]]</f>
        <v>SH-E2</v>
      </c>
      <c r="CK14" s="57" t="str">
        <f>IF(SH[[#This Row],[Status]]=0,"",SH[[#This Row],[Status]])</f>
        <v>RD Failed</v>
      </c>
    </row>
    <row r="15" spans="1:89" s="57" customFormat="1" ht="33.950000000000003">
      <c r="A15" s="9" t="s">
        <v>1104</v>
      </c>
      <c r="B15" s="18" t="s">
        <v>894</v>
      </c>
      <c r="C15" s="9" t="s">
        <v>1373</v>
      </c>
      <c r="D15" s="18" t="s">
        <v>129</v>
      </c>
      <c r="E15" s="18" t="s">
        <v>129</v>
      </c>
      <c r="F15" s="18" t="s">
        <v>173</v>
      </c>
      <c r="G15" s="9" t="s">
        <v>1368</v>
      </c>
      <c r="H15" s="9" t="s">
        <v>1372</v>
      </c>
      <c r="I15" s="18">
        <v>157</v>
      </c>
      <c r="J15" s="10">
        <v>120</v>
      </c>
      <c r="K15" s="10">
        <v>60000</v>
      </c>
      <c r="L15" s="18" t="s">
        <v>243</v>
      </c>
      <c r="M15" s="18" t="s">
        <v>1366</v>
      </c>
      <c r="N15" s="18" t="s">
        <v>129</v>
      </c>
      <c r="O15" s="18">
        <v>2.875</v>
      </c>
      <c r="P15" s="11" t="s">
        <v>129</v>
      </c>
      <c r="Q15" s="11" t="s">
        <v>129</v>
      </c>
      <c r="R15" s="18" t="s">
        <v>161</v>
      </c>
      <c r="S15" s="18" t="s">
        <v>1367</v>
      </c>
      <c r="T15" s="18" t="s">
        <v>924</v>
      </c>
      <c r="U15" s="12">
        <v>39965</v>
      </c>
      <c r="V15" s="20" t="s">
        <v>307</v>
      </c>
      <c r="W15" s="35"/>
      <c r="X15" s="35"/>
      <c r="Y15" s="35"/>
      <c r="Z15" s="35"/>
      <c r="AA15" s="35"/>
      <c r="AB15" s="35"/>
      <c r="AC15" s="35"/>
      <c r="AD15" s="35"/>
      <c r="AE15" s="35"/>
      <c r="AF15" s="35"/>
      <c r="AG15" s="35"/>
      <c r="AH15" s="35"/>
      <c r="CA15" s="1" t="s">
        <v>71</v>
      </c>
      <c r="CB15" s="1" t="s">
        <v>18</v>
      </c>
      <c r="CC15" s="1" t="s">
        <v>308</v>
      </c>
      <c r="CE15" s="138" t="str">
        <f>SH[[#This Row],[Part Type]]</f>
        <v>Safety Head</v>
      </c>
      <c r="CF15" s="138" t="str">
        <f>SH[[#This Row],[Part Number]]</f>
        <v>60-61HF4</v>
      </c>
      <c r="CG15" s="140" t="str">
        <f>SH[[#This Row],[UID]]</f>
        <v>SH-E3</v>
      </c>
      <c r="CK15" s="57" t="str">
        <f>IF(SH[[#This Row],[Status]]=0,"",SH[[#This Row],[Status]])</f>
        <v>Superseded</v>
      </c>
    </row>
    <row r="16" spans="1:89" s="57" customFormat="1" ht="33.950000000000003">
      <c r="A16" s="9" t="s">
        <v>1104</v>
      </c>
      <c r="B16" s="18" t="s">
        <v>894</v>
      </c>
      <c r="C16" s="9" t="s">
        <v>926</v>
      </c>
      <c r="D16" s="18" t="s">
        <v>129</v>
      </c>
      <c r="E16" s="18" t="s">
        <v>129</v>
      </c>
      <c r="F16" s="18" t="s">
        <v>173</v>
      </c>
      <c r="G16" s="9" t="s">
        <v>1368</v>
      </c>
      <c r="H16" s="9" t="s">
        <v>1372</v>
      </c>
      <c r="I16" s="18">
        <v>157</v>
      </c>
      <c r="J16" s="10">
        <v>120</v>
      </c>
      <c r="K16" s="10">
        <v>60000</v>
      </c>
      <c r="L16" s="18" t="s">
        <v>243</v>
      </c>
      <c r="M16" s="18" t="s">
        <v>1366</v>
      </c>
      <c r="N16" s="18" t="s">
        <v>129</v>
      </c>
      <c r="O16" s="18">
        <v>2.875</v>
      </c>
      <c r="P16" s="11" t="s">
        <v>129</v>
      </c>
      <c r="Q16" s="11" t="s">
        <v>129</v>
      </c>
      <c r="R16" s="18" t="s">
        <v>161</v>
      </c>
      <c r="S16" s="18" t="s">
        <v>1367</v>
      </c>
      <c r="T16" s="18" t="s">
        <v>129</v>
      </c>
      <c r="U16" s="12">
        <v>39814</v>
      </c>
      <c r="V16" s="20" t="s">
        <v>307</v>
      </c>
      <c r="W16" s="35"/>
      <c r="X16" s="35"/>
      <c r="Y16" s="35"/>
      <c r="Z16" s="35"/>
      <c r="AA16" s="35"/>
      <c r="AB16" s="35"/>
      <c r="AC16" s="35"/>
      <c r="AD16" s="35"/>
      <c r="AE16" s="35"/>
      <c r="AF16" s="35"/>
      <c r="AG16" s="35"/>
      <c r="AH16" s="35"/>
      <c r="CA16" s="1" t="s">
        <v>71</v>
      </c>
      <c r="CB16" s="1" t="s">
        <v>18</v>
      </c>
      <c r="CC16" s="1" t="s">
        <v>308</v>
      </c>
      <c r="CE16" s="138" t="str">
        <f>SH[[#This Row],[Part Type]]</f>
        <v>Safety Head</v>
      </c>
      <c r="CF16" s="138" t="str">
        <f>SH[[#This Row],[Part Number]]</f>
        <v>60-61HF4</v>
      </c>
      <c r="CG16" s="140" t="str">
        <f>SH[[#This Row],[UID]]</f>
        <v>SH-F1</v>
      </c>
      <c r="CK16" s="57" t="str">
        <f>IF(SH[[#This Row],[Status]]=0,"",SH[[#This Row],[Status]])</f>
        <v>Superseded</v>
      </c>
    </row>
    <row r="17" spans="1:89" s="57" customFormat="1" ht="33.950000000000003">
      <c r="A17" s="9" t="s">
        <v>1104</v>
      </c>
      <c r="B17" s="18" t="s">
        <v>894</v>
      </c>
      <c r="C17" s="9" t="s">
        <v>928</v>
      </c>
      <c r="D17" s="18" t="s">
        <v>129</v>
      </c>
      <c r="E17" s="18" t="s">
        <v>129</v>
      </c>
      <c r="F17" s="18" t="s">
        <v>173</v>
      </c>
      <c r="G17" s="9" t="s">
        <v>1368</v>
      </c>
      <c r="H17" s="9" t="s">
        <v>1372</v>
      </c>
      <c r="I17" s="18">
        <v>157</v>
      </c>
      <c r="J17" s="10">
        <v>120</v>
      </c>
      <c r="K17" s="10">
        <v>60000</v>
      </c>
      <c r="L17" s="18" t="s">
        <v>243</v>
      </c>
      <c r="M17" s="18" t="s">
        <v>1366</v>
      </c>
      <c r="N17" s="18" t="s">
        <v>129</v>
      </c>
      <c r="O17" s="18">
        <v>2.875</v>
      </c>
      <c r="P17" s="11" t="s">
        <v>129</v>
      </c>
      <c r="Q17" s="11" t="s">
        <v>129</v>
      </c>
      <c r="R17" s="18" t="s">
        <v>161</v>
      </c>
      <c r="S17" s="18" t="s">
        <v>1367</v>
      </c>
      <c r="T17" s="18" t="s">
        <v>129</v>
      </c>
      <c r="U17" s="12">
        <v>39965</v>
      </c>
      <c r="V17" s="20" t="s">
        <v>307</v>
      </c>
      <c r="W17" s="35"/>
      <c r="X17" s="35"/>
      <c r="Y17" s="35"/>
      <c r="Z17" s="35"/>
      <c r="AA17" s="35"/>
      <c r="AB17" s="35"/>
      <c r="AC17" s="35"/>
      <c r="AD17" s="35"/>
      <c r="AE17" s="35"/>
      <c r="AF17" s="35"/>
      <c r="AG17" s="35"/>
      <c r="AH17" s="35"/>
      <c r="CA17" s="1" t="s">
        <v>71</v>
      </c>
      <c r="CB17" s="1" t="s">
        <v>18</v>
      </c>
      <c r="CC17" s="1" t="s">
        <v>308</v>
      </c>
      <c r="CE17" s="138" t="str">
        <f>SH[[#This Row],[Part Type]]</f>
        <v>Safety Head</v>
      </c>
      <c r="CF17" s="138" t="str">
        <f>SH[[#This Row],[Part Number]]</f>
        <v>60-61HF4</v>
      </c>
      <c r="CG17" s="140" t="str">
        <f>SH[[#This Row],[UID]]</f>
        <v>SH-F2</v>
      </c>
      <c r="CK17" s="57" t="str">
        <f>IF(SH[[#This Row],[Status]]=0,"",SH[[#This Row],[Status]])</f>
        <v>Superseded</v>
      </c>
    </row>
    <row r="18" spans="1:89" s="57" customFormat="1" ht="33.950000000000003">
      <c r="A18" s="9" t="s">
        <v>1104</v>
      </c>
      <c r="B18" s="18" t="s">
        <v>894</v>
      </c>
      <c r="C18" s="9" t="s">
        <v>930</v>
      </c>
      <c r="D18" s="18" t="s">
        <v>129</v>
      </c>
      <c r="E18" s="18" t="s">
        <v>129</v>
      </c>
      <c r="F18" s="18" t="s">
        <v>173</v>
      </c>
      <c r="G18" s="9" t="s">
        <v>1368</v>
      </c>
      <c r="H18" s="9" t="s">
        <v>1372</v>
      </c>
      <c r="I18" s="18">
        <v>157</v>
      </c>
      <c r="J18" s="10">
        <v>120</v>
      </c>
      <c r="K18" s="10">
        <v>60000</v>
      </c>
      <c r="L18" s="18" t="s">
        <v>243</v>
      </c>
      <c r="M18" s="18" t="s">
        <v>1366</v>
      </c>
      <c r="N18" s="18" t="s">
        <v>129</v>
      </c>
      <c r="O18" s="18">
        <v>2.875</v>
      </c>
      <c r="P18" s="11" t="s">
        <v>129</v>
      </c>
      <c r="Q18" s="11" t="s">
        <v>129</v>
      </c>
      <c r="R18" s="18" t="s">
        <v>161</v>
      </c>
      <c r="S18" s="18" t="s">
        <v>1367</v>
      </c>
      <c r="T18" s="18" t="s">
        <v>129</v>
      </c>
      <c r="U18" s="12">
        <v>39814</v>
      </c>
      <c r="V18" s="20" t="s">
        <v>307</v>
      </c>
      <c r="W18" s="35"/>
      <c r="X18" s="35"/>
      <c r="Y18" s="35"/>
      <c r="Z18" s="35"/>
      <c r="AA18" s="35"/>
      <c r="AB18" s="35"/>
      <c r="AC18" s="35"/>
      <c r="AD18" s="35"/>
      <c r="AE18" s="35"/>
      <c r="AF18" s="35"/>
      <c r="AG18" s="35"/>
      <c r="AH18" s="35"/>
      <c r="CA18" s="1" t="s">
        <v>71</v>
      </c>
      <c r="CB18" s="1" t="s">
        <v>18</v>
      </c>
      <c r="CC18" s="1" t="s">
        <v>308</v>
      </c>
      <c r="CE18" s="138" t="str">
        <f>SH[[#This Row],[Part Type]]</f>
        <v>Safety Head</v>
      </c>
      <c r="CF18" s="138" t="str">
        <f>SH[[#This Row],[Part Number]]</f>
        <v>60-61HF4</v>
      </c>
      <c r="CG18" s="140" t="str">
        <f>SH[[#This Row],[UID]]</f>
        <v>SH-G1</v>
      </c>
      <c r="CK18" s="57" t="str">
        <f>IF(SH[[#This Row],[Status]]=0,"",SH[[#This Row],[Status]])</f>
        <v>Superseded</v>
      </c>
    </row>
    <row r="19" spans="1:89" s="57" customFormat="1" ht="33.950000000000003">
      <c r="A19" s="9" t="s">
        <v>1104</v>
      </c>
      <c r="B19" s="18" t="s">
        <v>894</v>
      </c>
      <c r="C19" s="9" t="s">
        <v>932</v>
      </c>
      <c r="D19" s="18" t="s">
        <v>129</v>
      </c>
      <c r="E19" s="18" t="s">
        <v>129</v>
      </c>
      <c r="F19" s="18" t="s">
        <v>173</v>
      </c>
      <c r="G19" s="9" t="s">
        <v>1368</v>
      </c>
      <c r="H19" s="9" t="s">
        <v>1372</v>
      </c>
      <c r="I19" s="18">
        <v>157</v>
      </c>
      <c r="J19" s="10">
        <v>120</v>
      </c>
      <c r="K19" s="10">
        <v>60000</v>
      </c>
      <c r="L19" s="18" t="s">
        <v>243</v>
      </c>
      <c r="M19" s="18" t="s">
        <v>1366</v>
      </c>
      <c r="N19" s="18" t="s">
        <v>129</v>
      </c>
      <c r="O19" s="18">
        <v>2.875</v>
      </c>
      <c r="P19" s="11" t="s">
        <v>129</v>
      </c>
      <c r="Q19" s="11" t="s">
        <v>129</v>
      </c>
      <c r="R19" s="18" t="s">
        <v>161</v>
      </c>
      <c r="S19" s="18" t="s">
        <v>1367</v>
      </c>
      <c r="T19" s="18" t="s">
        <v>129</v>
      </c>
      <c r="U19" s="12">
        <v>39965</v>
      </c>
      <c r="V19" s="20" t="s">
        <v>307</v>
      </c>
      <c r="W19" s="35"/>
      <c r="X19" s="35"/>
      <c r="Y19" s="35"/>
      <c r="Z19" s="35"/>
      <c r="AA19" s="35"/>
      <c r="AB19" s="35"/>
      <c r="AC19" s="35"/>
      <c r="AD19" s="35"/>
      <c r="AE19" s="35"/>
      <c r="AF19" s="35"/>
      <c r="AG19" s="35"/>
      <c r="AH19" s="35"/>
      <c r="CA19" s="1" t="s">
        <v>71</v>
      </c>
      <c r="CB19" s="1" t="s">
        <v>18</v>
      </c>
      <c r="CC19" s="1" t="s">
        <v>308</v>
      </c>
      <c r="CE19" s="138" t="str">
        <f>SH[[#This Row],[Part Type]]</f>
        <v>Safety Head</v>
      </c>
      <c r="CF19" s="138" t="str">
        <f>SH[[#This Row],[Part Number]]</f>
        <v>60-61HF4</v>
      </c>
      <c r="CG19" s="140" t="str">
        <f>SH[[#This Row],[UID]]</f>
        <v>SH-G2</v>
      </c>
      <c r="CK19" s="57" t="str">
        <f>IF(SH[[#This Row],[Status]]=0,"",SH[[#This Row],[Status]])</f>
        <v>Superseded</v>
      </c>
    </row>
    <row r="20" spans="1:89" s="57" customFormat="1" ht="33.950000000000003">
      <c r="A20" s="9" t="s">
        <v>1363</v>
      </c>
      <c r="B20" s="18" t="s">
        <v>894</v>
      </c>
      <c r="C20" s="9" t="s">
        <v>936</v>
      </c>
      <c r="D20" s="18" t="s">
        <v>129</v>
      </c>
      <c r="E20" s="18" t="s">
        <v>129</v>
      </c>
      <c r="F20" s="18" t="s">
        <v>173</v>
      </c>
      <c r="G20" s="9" t="s">
        <v>1368</v>
      </c>
      <c r="H20" s="9" t="s">
        <v>1374</v>
      </c>
      <c r="I20" s="18">
        <v>448</v>
      </c>
      <c r="J20" s="10">
        <v>130</v>
      </c>
      <c r="K20" s="10">
        <v>60000</v>
      </c>
      <c r="L20" s="18" t="s">
        <v>243</v>
      </c>
      <c r="M20" s="18" t="s">
        <v>1366</v>
      </c>
      <c r="N20" s="18" t="s">
        <v>129</v>
      </c>
      <c r="O20" s="18">
        <v>2.875</v>
      </c>
      <c r="P20" s="11" t="s">
        <v>129</v>
      </c>
      <c r="Q20" s="11" t="s">
        <v>129</v>
      </c>
      <c r="R20" s="18" t="s">
        <v>161</v>
      </c>
      <c r="S20" s="18" t="s">
        <v>1367</v>
      </c>
      <c r="T20" s="18" t="s">
        <v>129</v>
      </c>
      <c r="U20" s="12">
        <v>39965</v>
      </c>
      <c r="V20" s="20" t="s">
        <v>307</v>
      </c>
      <c r="W20" s="35"/>
      <c r="X20" s="35"/>
      <c r="Y20" s="35"/>
      <c r="Z20" s="35"/>
      <c r="AA20" s="35"/>
      <c r="AB20" s="35"/>
      <c r="AC20" s="35"/>
      <c r="AD20" s="35"/>
      <c r="AE20" s="35"/>
      <c r="AF20" s="35"/>
      <c r="AG20" s="35"/>
      <c r="AH20" s="35"/>
      <c r="CA20" s="1" t="s">
        <v>71</v>
      </c>
      <c r="CB20" s="1" t="s">
        <v>18</v>
      </c>
      <c r="CC20" s="1" t="s">
        <v>308</v>
      </c>
      <c r="CE20" s="138" t="str">
        <f>SH[[#This Row],[Part Type]]</f>
        <v>Safety Head</v>
      </c>
      <c r="CF20" s="138" t="str">
        <f>SH[[#This Row],[Part Number]]</f>
        <v>60-61HF4</v>
      </c>
      <c r="CG20" s="140" t="str">
        <f>SH[[#This Row],[UID]]</f>
        <v>SH-K1</v>
      </c>
      <c r="CK20" s="57" t="str">
        <f>IF(SH[[#This Row],[Status]]=0,"",SH[[#This Row],[Status]])</f>
        <v>RD Failed</v>
      </c>
    </row>
    <row r="21" spans="1:89" s="57" customFormat="1" ht="33.950000000000003">
      <c r="A21" s="9" t="s">
        <v>1104</v>
      </c>
      <c r="B21" s="18" t="s">
        <v>894</v>
      </c>
      <c r="C21" s="9" t="s">
        <v>938</v>
      </c>
      <c r="D21" s="18" t="s">
        <v>129</v>
      </c>
      <c r="E21" s="18" t="s">
        <v>129</v>
      </c>
      <c r="F21" s="18" t="s">
        <v>173</v>
      </c>
      <c r="G21" s="9" t="s">
        <v>1368</v>
      </c>
      <c r="H21" s="9" t="s">
        <v>1374</v>
      </c>
      <c r="I21" s="18">
        <v>448</v>
      </c>
      <c r="J21" s="10">
        <v>130</v>
      </c>
      <c r="K21" s="10">
        <v>60000</v>
      </c>
      <c r="L21" s="18" t="s">
        <v>243</v>
      </c>
      <c r="M21" s="18" t="s">
        <v>1366</v>
      </c>
      <c r="N21" s="18" t="s">
        <v>129</v>
      </c>
      <c r="O21" s="18">
        <v>2.875</v>
      </c>
      <c r="P21" s="11" t="s">
        <v>129</v>
      </c>
      <c r="Q21" s="11" t="s">
        <v>129</v>
      </c>
      <c r="R21" s="18" t="s">
        <v>161</v>
      </c>
      <c r="S21" s="18" t="s">
        <v>1367</v>
      </c>
      <c r="T21" s="18" t="s">
        <v>129</v>
      </c>
      <c r="U21" s="12">
        <v>39965</v>
      </c>
      <c r="V21" s="20" t="s">
        <v>307</v>
      </c>
      <c r="W21" s="35"/>
      <c r="X21" s="35"/>
      <c r="Y21" s="35"/>
      <c r="Z21" s="35"/>
      <c r="AA21" s="35"/>
      <c r="AB21" s="35"/>
      <c r="AC21" s="35"/>
      <c r="AD21" s="35"/>
      <c r="AE21" s="35"/>
      <c r="AF21" s="35"/>
      <c r="AG21" s="35"/>
      <c r="AH21" s="35"/>
      <c r="CA21" s="1" t="s">
        <v>71</v>
      </c>
      <c r="CB21" s="1" t="s">
        <v>18</v>
      </c>
      <c r="CC21" s="1" t="s">
        <v>308</v>
      </c>
      <c r="CE21" s="138" t="str">
        <f>SH[[#This Row],[Part Type]]</f>
        <v>Safety Head</v>
      </c>
      <c r="CF21" s="138" t="str">
        <f>SH[[#This Row],[Part Number]]</f>
        <v>60-61HF4</v>
      </c>
      <c r="CG21" s="140" t="str">
        <f>SH[[#This Row],[UID]]</f>
        <v>SH-K2</v>
      </c>
      <c r="CK21" s="57" t="str">
        <f>IF(SH[[#This Row],[Status]]=0,"",SH[[#This Row],[Status]])</f>
        <v>Superseded</v>
      </c>
    </row>
    <row r="22" spans="1:89" s="57" customFormat="1" ht="33.950000000000003">
      <c r="A22" s="9" t="s">
        <v>1104</v>
      </c>
      <c r="B22" s="18" t="s">
        <v>894</v>
      </c>
      <c r="C22" s="9" t="s">
        <v>1375</v>
      </c>
      <c r="D22" s="18" t="s">
        <v>129</v>
      </c>
      <c r="E22" s="18" t="s">
        <v>129</v>
      </c>
      <c r="F22" s="18" t="s">
        <v>173</v>
      </c>
      <c r="G22" s="9" t="s">
        <v>1368</v>
      </c>
      <c r="H22" s="9" t="s">
        <v>1374</v>
      </c>
      <c r="I22" s="18">
        <v>448</v>
      </c>
      <c r="J22" s="10">
        <v>130</v>
      </c>
      <c r="K22" s="10">
        <v>60000</v>
      </c>
      <c r="L22" s="18" t="s">
        <v>243</v>
      </c>
      <c r="M22" s="18" t="s">
        <v>1366</v>
      </c>
      <c r="N22" s="18" t="s">
        <v>129</v>
      </c>
      <c r="O22" s="18">
        <v>2.875</v>
      </c>
      <c r="P22" s="11" t="s">
        <v>129</v>
      </c>
      <c r="Q22" s="11" t="s">
        <v>129</v>
      </c>
      <c r="R22" s="18" t="s">
        <v>161</v>
      </c>
      <c r="S22" s="18" t="s">
        <v>1367</v>
      </c>
      <c r="T22" s="18" t="s">
        <v>936</v>
      </c>
      <c r="U22" s="12">
        <v>40697</v>
      </c>
      <c r="V22" s="20" t="s">
        <v>307</v>
      </c>
      <c r="W22" s="35"/>
      <c r="X22" s="35"/>
      <c r="Y22" s="35"/>
      <c r="Z22" s="35"/>
      <c r="AA22" s="35"/>
      <c r="AB22" s="35"/>
      <c r="AC22" s="35"/>
      <c r="AD22" s="35"/>
      <c r="AE22" s="35"/>
      <c r="AF22" s="35"/>
      <c r="AG22" s="35"/>
      <c r="AH22" s="35"/>
      <c r="CA22" s="1" t="s">
        <v>71</v>
      </c>
      <c r="CB22" s="1" t="s">
        <v>18</v>
      </c>
      <c r="CC22" s="1" t="s">
        <v>308</v>
      </c>
      <c r="CE22" s="138" t="str">
        <f>SH[[#This Row],[Part Type]]</f>
        <v>Safety Head</v>
      </c>
      <c r="CF22" s="138" t="str">
        <f>SH[[#This Row],[Part Number]]</f>
        <v>60-61HF4</v>
      </c>
      <c r="CG22" s="140" t="str">
        <f>SH[[#This Row],[UID]]</f>
        <v>SH-K3</v>
      </c>
      <c r="CK22" s="57" t="str">
        <f>IF(SH[[#This Row],[Status]]=0,"",SH[[#This Row],[Status]])</f>
        <v>Superseded</v>
      </c>
    </row>
    <row r="23" spans="1:89" s="57" customFormat="1" ht="33.950000000000003">
      <c r="A23" s="9" t="s">
        <v>1104</v>
      </c>
      <c r="B23" s="18" t="s">
        <v>894</v>
      </c>
      <c r="C23" s="9" t="s">
        <v>940</v>
      </c>
      <c r="D23" s="18" t="s">
        <v>129</v>
      </c>
      <c r="E23" s="18" t="s">
        <v>129</v>
      </c>
      <c r="F23" s="18" t="s">
        <v>173</v>
      </c>
      <c r="G23" s="9" t="s">
        <v>1376</v>
      </c>
      <c r="H23" s="9" t="s">
        <v>1377</v>
      </c>
      <c r="I23" s="18">
        <v>482</v>
      </c>
      <c r="J23" s="10">
        <v>200</v>
      </c>
      <c r="K23" s="10">
        <v>100000</v>
      </c>
      <c r="L23" s="18" t="s">
        <v>243</v>
      </c>
      <c r="M23" s="18" t="s">
        <v>1366</v>
      </c>
      <c r="N23" s="18" t="s">
        <v>129</v>
      </c>
      <c r="O23" s="11">
        <v>3.625</v>
      </c>
      <c r="P23" s="11" t="s">
        <v>129</v>
      </c>
      <c r="Q23" s="11" t="s">
        <v>129</v>
      </c>
      <c r="R23" s="18" t="s">
        <v>161</v>
      </c>
      <c r="S23" s="18" t="s">
        <v>1367</v>
      </c>
      <c r="T23" s="18" t="s">
        <v>129</v>
      </c>
      <c r="U23" s="12">
        <v>40107</v>
      </c>
      <c r="V23" s="24" t="s">
        <v>307</v>
      </c>
      <c r="W23" s="35"/>
      <c r="X23" s="35"/>
      <c r="Y23" s="35"/>
      <c r="Z23" s="35"/>
      <c r="AA23" s="35"/>
      <c r="AB23" s="35"/>
      <c r="AC23" s="35"/>
      <c r="AD23" s="35"/>
      <c r="AE23" s="35"/>
      <c r="AF23" s="35"/>
      <c r="AG23" s="35"/>
      <c r="AH23" s="35"/>
      <c r="CA23" s="1" t="s">
        <v>71</v>
      </c>
      <c r="CB23" s="1" t="s">
        <v>18</v>
      </c>
      <c r="CC23" s="1" t="s">
        <v>308</v>
      </c>
      <c r="CE23" s="138" t="str">
        <f>SH[[#This Row],[Part Type]]</f>
        <v>Safety Head</v>
      </c>
      <c r="CF23" s="138" t="str">
        <f>SH[[#This Row],[Part Number]]</f>
        <v>100-61XF4</v>
      </c>
      <c r="CG23" s="140" t="str">
        <f>SH[[#This Row],[UID]]</f>
        <v>SH-L1</v>
      </c>
      <c r="CK23" s="57" t="str">
        <f>IF(SH[[#This Row],[Status]]=0,"",SH[[#This Row],[Status]])</f>
        <v>Superseded</v>
      </c>
    </row>
    <row r="24" spans="1:89" s="57" customFormat="1" ht="33.950000000000003">
      <c r="A24" s="9" t="s">
        <v>1104</v>
      </c>
      <c r="B24" s="18" t="s">
        <v>894</v>
      </c>
      <c r="C24" s="9" t="s">
        <v>942</v>
      </c>
      <c r="D24" s="18" t="s">
        <v>129</v>
      </c>
      <c r="E24" s="18" t="s">
        <v>129</v>
      </c>
      <c r="F24" s="18" t="s">
        <v>173</v>
      </c>
      <c r="G24" s="9" t="s">
        <v>1376</v>
      </c>
      <c r="H24" s="9" t="s">
        <v>1377</v>
      </c>
      <c r="I24" s="18">
        <v>482</v>
      </c>
      <c r="J24" s="10">
        <v>200</v>
      </c>
      <c r="K24" s="10">
        <v>100000</v>
      </c>
      <c r="L24" s="18" t="s">
        <v>243</v>
      </c>
      <c r="M24" s="18" t="s">
        <v>1366</v>
      </c>
      <c r="N24" s="18" t="s">
        <v>129</v>
      </c>
      <c r="O24" s="11">
        <v>3.625</v>
      </c>
      <c r="P24" s="11" t="s">
        <v>129</v>
      </c>
      <c r="Q24" s="11" t="s">
        <v>129</v>
      </c>
      <c r="R24" s="18" t="s">
        <v>161</v>
      </c>
      <c r="S24" s="18" t="s">
        <v>1367</v>
      </c>
      <c r="T24" s="18" t="s">
        <v>129</v>
      </c>
      <c r="U24" s="12">
        <v>40107</v>
      </c>
      <c r="V24" s="24" t="s">
        <v>307</v>
      </c>
      <c r="W24" s="35"/>
      <c r="X24" s="35"/>
      <c r="Y24" s="35"/>
      <c r="Z24" s="35"/>
      <c r="AA24" s="35"/>
      <c r="AB24" s="35"/>
      <c r="AC24" s="35"/>
      <c r="AD24" s="35"/>
      <c r="AE24" s="35"/>
      <c r="AF24" s="35"/>
      <c r="AG24" s="35"/>
      <c r="AH24" s="35"/>
      <c r="CA24" s="1" t="s">
        <v>71</v>
      </c>
      <c r="CB24" s="1" t="s">
        <v>18</v>
      </c>
      <c r="CC24" s="1" t="s">
        <v>308</v>
      </c>
      <c r="CE24" s="138" t="str">
        <f>SH[[#This Row],[Part Type]]</f>
        <v>Safety Head</v>
      </c>
      <c r="CF24" s="138" t="str">
        <f>SH[[#This Row],[Part Number]]</f>
        <v>100-61XF4</v>
      </c>
      <c r="CG24" s="140" t="str">
        <f>SH[[#This Row],[UID]]</f>
        <v>SH-L2</v>
      </c>
      <c r="CK24" s="57" t="str">
        <f>IF(SH[[#This Row],[Status]]=0,"",SH[[#This Row],[Status]])</f>
        <v>Superseded</v>
      </c>
    </row>
    <row r="25" spans="1:89" s="57" customFormat="1" ht="33.950000000000003">
      <c r="A25" s="9" t="s">
        <v>1104</v>
      </c>
      <c r="B25" s="18" t="s">
        <v>894</v>
      </c>
      <c r="C25" s="9" t="s">
        <v>944</v>
      </c>
      <c r="D25" s="18" t="s">
        <v>129</v>
      </c>
      <c r="E25" s="18" t="s">
        <v>129</v>
      </c>
      <c r="F25" s="18" t="s">
        <v>173</v>
      </c>
      <c r="G25" s="9" t="s">
        <v>1368</v>
      </c>
      <c r="H25" s="9" t="s">
        <v>1369</v>
      </c>
      <c r="I25" s="18">
        <v>353</v>
      </c>
      <c r="J25" s="10">
        <v>120</v>
      </c>
      <c r="K25" s="10">
        <v>60000</v>
      </c>
      <c r="L25" s="18" t="s">
        <v>243</v>
      </c>
      <c r="M25" s="18" t="s">
        <v>1366</v>
      </c>
      <c r="N25" s="18" t="s">
        <v>129</v>
      </c>
      <c r="O25" s="18">
        <v>2.875</v>
      </c>
      <c r="P25" s="11" t="s">
        <v>129</v>
      </c>
      <c r="Q25" s="11" t="s">
        <v>129</v>
      </c>
      <c r="R25" s="18" t="s">
        <v>161</v>
      </c>
      <c r="S25" s="18" t="s">
        <v>1367</v>
      </c>
      <c r="T25" s="18" t="s">
        <v>129</v>
      </c>
      <c r="U25" s="12">
        <v>39965</v>
      </c>
      <c r="V25" s="20" t="s">
        <v>307</v>
      </c>
      <c r="W25" s="35"/>
      <c r="X25" s="35"/>
      <c r="Y25" s="35"/>
      <c r="Z25" s="35"/>
      <c r="AA25" s="35"/>
      <c r="AB25" s="35"/>
      <c r="AC25" s="35"/>
      <c r="AD25" s="35"/>
      <c r="AE25" s="35"/>
      <c r="AF25" s="35"/>
      <c r="AG25" s="35"/>
      <c r="AH25" s="35"/>
      <c r="CA25" s="1" t="s">
        <v>71</v>
      </c>
      <c r="CB25" s="1" t="s">
        <v>18</v>
      </c>
      <c r="CC25" s="1" t="s">
        <v>308</v>
      </c>
      <c r="CE25" s="138" t="str">
        <f>SH[[#This Row],[Part Type]]</f>
        <v>Safety Head</v>
      </c>
      <c r="CF25" s="138" t="str">
        <f>SH[[#This Row],[Part Number]]</f>
        <v>60-61HF4</v>
      </c>
      <c r="CG25" s="140" t="str">
        <f>SH[[#This Row],[UID]]</f>
        <v>SH-M1</v>
      </c>
      <c r="CK25" s="57" t="str">
        <f>IF(SH[[#This Row],[Status]]=0,"",SH[[#This Row],[Status]])</f>
        <v>Superseded</v>
      </c>
    </row>
    <row r="26" spans="1:89" s="57" customFormat="1" ht="33.950000000000003">
      <c r="A26" s="9" t="s">
        <v>1104</v>
      </c>
      <c r="B26" s="18" t="s">
        <v>894</v>
      </c>
      <c r="C26" s="9" t="s">
        <v>946</v>
      </c>
      <c r="D26" s="18" t="s">
        <v>129</v>
      </c>
      <c r="E26" s="18" t="s">
        <v>129</v>
      </c>
      <c r="F26" s="18" t="s">
        <v>173</v>
      </c>
      <c r="G26" s="9" t="s">
        <v>1368</v>
      </c>
      <c r="H26" s="9" t="s">
        <v>1369</v>
      </c>
      <c r="I26" s="18">
        <v>353</v>
      </c>
      <c r="J26" s="10">
        <v>130</v>
      </c>
      <c r="K26" s="10">
        <v>60000</v>
      </c>
      <c r="L26" s="18" t="s">
        <v>243</v>
      </c>
      <c r="M26" s="18" t="s">
        <v>1366</v>
      </c>
      <c r="N26" s="18" t="s">
        <v>129</v>
      </c>
      <c r="O26" s="18">
        <v>2.875</v>
      </c>
      <c r="P26" s="11" t="s">
        <v>129</v>
      </c>
      <c r="Q26" s="11" t="s">
        <v>129</v>
      </c>
      <c r="R26" s="18" t="s">
        <v>161</v>
      </c>
      <c r="S26" s="18" t="s">
        <v>1367</v>
      </c>
      <c r="T26" s="18" t="s">
        <v>129</v>
      </c>
      <c r="U26" s="12">
        <v>40107</v>
      </c>
      <c r="V26" s="20" t="s">
        <v>307</v>
      </c>
      <c r="W26" s="35"/>
      <c r="X26" s="35"/>
      <c r="Y26" s="35"/>
      <c r="Z26" s="35"/>
      <c r="AA26" s="35"/>
      <c r="AB26" s="35"/>
      <c r="AC26" s="35"/>
      <c r="AD26" s="35"/>
      <c r="AE26" s="35"/>
      <c r="AF26" s="35"/>
      <c r="AG26" s="35"/>
      <c r="AH26" s="35"/>
      <c r="CA26" s="1" t="s">
        <v>71</v>
      </c>
      <c r="CB26" s="1" t="s">
        <v>18</v>
      </c>
      <c r="CC26" s="1" t="s">
        <v>308</v>
      </c>
      <c r="CE26" s="138" t="str">
        <f>SH[[#This Row],[Part Type]]</f>
        <v>Safety Head</v>
      </c>
      <c r="CF26" s="138" t="str">
        <f>SH[[#This Row],[Part Number]]</f>
        <v>60-61HF4</v>
      </c>
      <c r="CG26" s="140" t="str">
        <f>SH[[#This Row],[UID]]</f>
        <v>SH-M2</v>
      </c>
      <c r="CK26" s="57" t="str">
        <f>IF(SH[[#This Row],[Status]]=0,"",SH[[#This Row],[Status]])</f>
        <v>Superseded</v>
      </c>
    </row>
    <row r="27" spans="1:89" s="57" customFormat="1" ht="33.950000000000003">
      <c r="A27" s="9" t="s">
        <v>1104</v>
      </c>
      <c r="B27" s="18" t="s">
        <v>894</v>
      </c>
      <c r="C27" s="9" t="s">
        <v>948</v>
      </c>
      <c r="D27" s="18" t="s">
        <v>129</v>
      </c>
      <c r="E27" s="18" t="s">
        <v>129</v>
      </c>
      <c r="F27" s="18" t="s">
        <v>173</v>
      </c>
      <c r="G27" s="9" t="s">
        <v>1368</v>
      </c>
      <c r="H27" s="9" t="s">
        <v>1369</v>
      </c>
      <c r="I27" s="18">
        <v>353</v>
      </c>
      <c r="J27" s="10">
        <v>130</v>
      </c>
      <c r="K27" s="10">
        <v>60000</v>
      </c>
      <c r="L27" s="18" t="s">
        <v>243</v>
      </c>
      <c r="M27" s="18" t="s">
        <v>1366</v>
      </c>
      <c r="N27" s="18" t="s">
        <v>129</v>
      </c>
      <c r="O27" s="18">
        <v>2.875</v>
      </c>
      <c r="P27" s="11" t="s">
        <v>129</v>
      </c>
      <c r="Q27" s="11" t="s">
        <v>129</v>
      </c>
      <c r="R27" s="18" t="s">
        <v>161</v>
      </c>
      <c r="S27" s="18" t="s">
        <v>1367</v>
      </c>
      <c r="T27" s="18" t="s">
        <v>129</v>
      </c>
      <c r="U27" s="12">
        <v>40107</v>
      </c>
      <c r="V27" s="20" t="s">
        <v>307</v>
      </c>
      <c r="W27" s="35"/>
      <c r="X27" s="35"/>
      <c r="Y27" s="35"/>
      <c r="Z27" s="35"/>
      <c r="AA27" s="35"/>
      <c r="AB27" s="35"/>
      <c r="AC27" s="35"/>
      <c r="AD27" s="35"/>
      <c r="AE27" s="35"/>
      <c r="AF27" s="35"/>
      <c r="AG27" s="35"/>
      <c r="AH27" s="35"/>
      <c r="CA27" s="1" t="s">
        <v>71</v>
      </c>
      <c r="CB27" s="1" t="s">
        <v>18</v>
      </c>
      <c r="CC27" s="1" t="s">
        <v>308</v>
      </c>
      <c r="CE27" s="138" t="str">
        <f>SH[[#This Row],[Part Type]]</f>
        <v>Safety Head</v>
      </c>
      <c r="CF27" s="138" t="str">
        <f>SH[[#This Row],[Part Number]]</f>
        <v>60-61HF4</v>
      </c>
      <c r="CG27" s="140" t="str">
        <f>SH[[#This Row],[UID]]</f>
        <v>SH-N1</v>
      </c>
      <c r="CK27" s="57" t="str">
        <f>IF(SH[[#This Row],[Status]]=0,"",SH[[#This Row],[Status]])</f>
        <v>Superseded</v>
      </c>
    </row>
    <row r="28" spans="1:89" s="57" customFormat="1" ht="33.950000000000003">
      <c r="A28" s="9" t="s">
        <v>1104</v>
      </c>
      <c r="B28" s="18" t="s">
        <v>894</v>
      </c>
      <c r="C28" s="9" t="s">
        <v>950</v>
      </c>
      <c r="D28" s="18" t="s">
        <v>129</v>
      </c>
      <c r="E28" s="18" t="s">
        <v>129</v>
      </c>
      <c r="F28" s="18" t="s">
        <v>173</v>
      </c>
      <c r="G28" s="9" t="s">
        <v>1368</v>
      </c>
      <c r="H28" s="9" t="s">
        <v>1369</v>
      </c>
      <c r="I28" s="18">
        <v>353</v>
      </c>
      <c r="J28" s="10">
        <v>130</v>
      </c>
      <c r="K28" s="10">
        <v>60000</v>
      </c>
      <c r="L28" s="18" t="s">
        <v>243</v>
      </c>
      <c r="M28" s="18" t="s">
        <v>1366</v>
      </c>
      <c r="N28" s="18" t="s">
        <v>129</v>
      </c>
      <c r="O28" s="18">
        <v>2.875</v>
      </c>
      <c r="P28" s="11" t="s">
        <v>129</v>
      </c>
      <c r="Q28" s="11" t="s">
        <v>129</v>
      </c>
      <c r="R28" s="18" t="s">
        <v>161</v>
      </c>
      <c r="S28" s="18" t="s">
        <v>1367</v>
      </c>
      <c r="T28" s="18" t="s">
        <v>129</v>
      </c>
      <c r="U28" s="12">
        <v>40107</v>
      </c>
      <c r="V28" s="20" t="s">
        <v>307</v>
      </c>
      <c r="W28" s="35"/>
      <c r="X28" s="35"/>
      <c r="Y28" s="35"/>
      <c r="Z28" s="35"/>
      <c r="AA28" s="35"/>
      <c r="AB28" s="35"/>
      <c r="AC28" s="35"/>
      <c r="AD28" s="35"/>
      <c r="AE28" s="35"/>
      <c r="AF28" s="35"/>
      <c r="AG28" s="35"/>
      <c r="AH28" s="35"/>
      <c r="CA28" s="1" t="s">
        <v>71</v>
      </c>
      <c r="CB28" s="1" t="s">
        <v>18</v>
      </c>
      <c r="CC28" s="1" t="s">
        <v>308</v>
      </c>
      <c r="CE28" s="138" t="str">
        <f>SH[[#This Row],[Part Type]]</f>
        <v>Safety Head</v>
      </c>
      <c r="CF28" s="138" t="str">
        <f>SH[[#This Row],[Part Number]]</f>
        <v>60-61HF4</v>
      </c>
      <c r="CG28" s="140" t="str">
        <f>SH[[#This Row],[UID]]</f>
        <v>SH-N2</v>
      </c>
      <c r="CK28" s="57" t="str">
        <f>IF(SH[[#This Row],[Status]]=0,"",SH[[#This Row],[Status]])</f>
        <v>Superseded</v>
      </c>
    </row>
    <row r="29" spans="1:89" s="57" customFormat="1" ht="33.950000000000003">
      <c r="A29" s="9" t="s">
        <v>1104</v>
      </c>
      <c r="B29" s="18" t="s">
        <v>894</v>
      </c>
      <c r="C29" s="9" t="s">
        <v>953</v>
      </c>
      <c r="D29" s="18" t="s">
        <v>129</v>
      </c>
      <c r="E29" s="18" t="s">
        <v>129</v>
      </c>
      <c r="F29" s="18" t="s">
        <v>173</v>
      </c>
      <c r="G29" s="9" t="s">
        <v>1368</v>
      </c>
      <c r="H29" s="9" t="s">
        <v>1378</v>
      </c>
      <c r="I29" s="18">
        <v>310</v>
      </c>
      <c r="J29" s="10">
        <v>130</v>
      </c>
      <c r="K29" s="10">
        <v>60000</v>
      </c>
      <c r="L29" s="18" t="s">
        <v>243</v>
      </c>
      <c r="M29" s="18" t="s">
        <v>1366</v>
      </c>
      <c r="N29" s="18" t="s">
        <v>129</v>
      </c>
      <c r="O29" s="18">
        <v>2.875</v>
      </c>
      <c r="P29" s="11" t="s">
        <v>129</v>
      </c>
      <c r="Q29" s="11" t="s">
        <v>129</v>
      </c>
      <c r="R29" s="18" t="s">
        <v>161</v>
      </c>
      <c r="S29" s="18" t="s">
        <v>1367</v>
      </c>
      <c r="T29" s="18" t="s">
        <v>129</v>
      </c>
      <c r="U29" s="12">
        <v>40605</v>
      </c>
      <c r="V29" s="20" t="s">
        <v>307</v>
      </c>
      <c r="W29" s="35"/>
      <c r="X29" s="35"/>
      <c r="Y29" s="35"/>
      <c r="Z29" s="35"/>
      <c r="AA29" s="35"/>
      <c r="AB29" s="35"/>
      <c r="AC29" s="35"/>
      <c r="AD29" s="35"/>
      <c r="AE29" s="35"/>
      <c r="AF29" s="35"/>
      <c r="AG29" s="35"/>
      <c r="AH29" s="35"/>
      <c r="CA29" s="1" t="s">
        <v>71</v>
      </c>
      <c r="CB29" s="1" t="s">
        <v>18</v>
      </c>
      <c r="CC29" s="1" t="s">
        <v>308</v>
      </c>
      <c r="CE29" s="138" t="str">
        <f>SH[[#This Row],[Part Type]]</f>
        <v>Safety Head</v>
      </c>
      <c r="CF29" s="138" t="str">
        <f>SH[[#This Row],[Part Number]]</f>
        <v>60-61HF4</v>
      </c>
      <c r="CG29" s="140" t="str">
        <f>SH[[#This Row],[UID]]</f>
        <v>SH-P1</v>
      </c>
      <c r="CK29" s="57" t="str">
        <f>IF(SH[[#This Row],[Status]]=0,"",SH[[#This Row],[Status]])</f>
        <v>Superseded</v>
      </c>
    </row>
    <row r="30" spans="1:89" s="57" customFormat="1" ht="33.950000000000003">
      <c r="A30" s="9" t="s">
        <v>1104</v>
      </c>
      <c r="B30" s="18" t="s">
        <v>894</v>
      </c>
      <c r="C30" s="9" t="s">
        <v>1379</v>
      </c>
      <c r="D30" s="18" t="s">
        <v>129</v>
      </c>
      <c r="E30" s="18" t="s">
        <v>129</v>
      </c>
      <c r="F30" s="18" t="s">
        <v>173</v>
      </c>
      <c r="G30" s="9" t="s">
        <v>1368</v>
      </c>
      <c r="H30" s="9" t="s">
        <v>1371</v>
      </c>
      <c r="I30" s="18">
        <v>356</v>
      </c>
      <c r="J30" s="10">
        <v>130</v>
      </c>
      <c r="K30" s="10">
        <v>60000</v>
      </c>
      <c r="L30" s="18" t="s">
        <v>243</v>
      </c>
      <c r="M30" s="18" t="s">
        <v>1366</v>
      </c>
      <c r="N30" s="18" t="s">
        <v>129</v>
      </c>
      <c r="O30" s="18">
        <v>2.875</v>
      </c>
      <c r="P30" s="11" t="s">
        <v>129</v>
      </c>
      <c r="Q30" s="11" t="s">
        <v>129</v>
      </c>
      <c r="R30" s="18" t="s">
        <v>161</v>
      </c>
      <c r="S30" s="18" t="s">
        <v>1367</v>
      </c>
      <c r="T30" s="18" t="s">
        <v>129</v>
      </c>
      <c r="U30" s="12">
        <v>40697</v>
      </c>
      <c r="V30" s="20" t="s">
        <v>307</v>
      </c>
      <c r="W30" s="35"/>
      <c r="X30" s="35"/>
      <c r="Y30" s="35"/>
      <c r="Z30" s="35"/>
      <c r="AA30" s="35"/>
      <c r="AB30" s="35"/>
      <c r="AC30" s="35"/>
      <c r="AD30" s="35"/>
      <c r="AE30" s="35"/>
      <c r="AF30" s="35"/>
      <c r="AG30" s="35"/>
      <c r="AH30" s="35"/>
      <c r="CA30" s="1" t="s">
        <v>71</v>
      </c>
      <c r="CB30" s="1" t="s">
        <v>18</v>
      </c>
      <c r="CC30" s="1" t="s">
        <v>308</v>
      </c>
      <c r="CE30" s="138" t="str">
        <f>SH[[#This Row],[Part Type]]</f>
        <v>Safety Head</v>
      </c>
      <c r="CF30" s="138" t="str">
        <f>SH[[#This Row],[Part Number]]</f>
        <v>60-61HF4</v>
      </c>
      <c r="CG30" s="140" t="str">
        <f>SH[[#This Row],[UID]]</f>
        <v>SH-P2</v>
      </c>
      <c r="CK30" s="57" t="str">
        <f>IF(SH[[#This Row],[Status]]=0,"",SH[[#This Row],[Status]])</f>
        <v>Superseded</v>
      </c>
    </row>
    <row r="31" spans="1:89" s="57" customFormat="1" ht="33.950000000000003">
      <c r="A31" s="9" t="s">
        <v>1104</v>
      </c>
      <c r="B31" s="18" t="s">
        <v>894</v>
      </c>
      <c r="C31" s="9" t="s">
        <v>955</v>
      </c>
      <c r="D31" s="18" t="s">
        <v>129</v>
      </c>
      <c r="E31" s="18" t="s">
        <v>129</v>
      </c>
      <c r="F31" s="18" t="s">
        <v>173</v>
      </c>
      <c r="G31" s="9" t="s">
        <v>1368</v>
      </c>
      <c r="H31" s="9" t="s">
        <v>1378</v>
      </c>
      <c r="I31" s="18">
        <v>310</v>
      </c>
      <c r="J31" s="10">
        <v>130</v>
      </c>
      <c r="K31" s="10">
        <v>60000</v>
      </c>
      <c r="L31" s="18" t="s">
        <v>243</v>
      </c>
      <c r="M31" s="18" t="s">
        <v>1366</v>
      </c>
      <c r="N31" s="18" t="s">
        <v>129</v>
      </c>
      <c r="O31" s="18">
        <v>2.875</v>
      </c>
      <c r="P31" s="11" t="s">
        <v>129</v>
      </c>
      <c r="Q31" s="11" t="s">
        <v>129</v>
      </c>
      <c r="R31" s="18" t="s">
        <v>161</v>
      </c>
      <c r="S31" s="18" t="s">
        <v>1367</v>
      </c>
      <c r="T31" s="18" t="s">
        <v>129</v>
      </c>
      <c r="U31" s="12">
        <v>40605</v>
      </c>
      <c r="V31" s="20" t="s">
        <v>307</v>
      </c>
      <c r="W31" s="35"/>
      <c r="X31" s="35"/>
      <c r="Y31" s="35"/>
      <c r="Z31" s="35"/>
      <c r="AA31" s="35"/>
      <c r="AB31" s="35"/>
      <c r="AC31" s="35"/>
      <c r="AD31" s="35"/>
      <c r="AE31" s="35"/>
      <c r="AF31" s="35"/>
      <c r="AG31" s="35"/>
      <c r="AH31" s="35"/>
      <c r="CA31" s="1" t="s">
        <v>71</v>
      </c>
      <c r="CB31" s="1" t="s">
        <v>18</v>
      </c>
      <c r="CC31" s="1" t="s">
        <v>308</v>
      </c>
      <c r="CE31" s="138" t="str">
        <f>SH[[#This Row],[Part Type]]</f>
        <v>Safety Head</v>
      </c>
      <c r="CF31" s="138" t="str">
        <f>SH[[#This Row],[Part Number]]</f>
        <v>60-61HF4</v>
      </c>
      <c r="CG31" s="140" t="str">
        <f>SH[[#This Row],[UID]]</f>
        <v>SH-Q1</v>
      </c>
      <c r="CK31" s="57" t="str">
        <f>IF(SH[[#This Row],[Status]]=0,"",SH[[#This Row],[Status]])</f>
        <v>Superseded</v>
      </c>
    </row>
    <row r="32" spans="1:89" s="57" customFormat="1" ht="33.950000000000003">
      <c r="A32" s="9" t="s">
        <v>1104</v>
      </c>
      <c r="B32" s="18" t="s">
        <v>894</v>
      </c>
      <c r="C32" s="9" t="s">
        <v>1380</v>
      </c>
      <c r="D32" s="18" t="s">
        <v>129</v>
      </c>
      <c r="E32" s="18" t="s">
        <v>129</v>
      </c>
      <c r="F32" s="18" t="s">
        <v>173</v>
      </c>
      <c r="G32" s="9" t="s">
        <v>1368</v>
      </c>
      <c r="H32" s="9" t="s">
        <v>1371</v>
      </c>
      <c r="I32" s="18">
        <v>356</v>
      </c>
      <c r="J32" s="10">
        <v>130</v>
      </c>
      <c r="K32" s="10">
        <v>60000</v>
      </c>
      <c r="L32" s="18" t="s">
        <v>243</v>
      </c>
      <c r="M32" s="18" t="s">
        <v>1366</v>
      </c>
      <c r="N32" s="18" t="s">
        <v>129</v>
      </c>
      <c r="O32" s="18">
        <v>2.875</v>
      </c>
      <c r="P32" s="11" t="s">
        <v>129</v>
      </c>
      <c r="Q32" s="11" t="s">
        <v>129</v>
      </c>
      <c r="R32" s="18" t="s">
        <v>161</v>
      </c>
      <c r="S32" s="18" t="s">
        <v>1367</v>
      </c>
      <c r="T32" s="18" t="s">
        <v>129</v>
      </c>
      <c r="U32" s="12">
        <v>40697</v>
      </c>
      <c r="V32" s="20" t="s">
        <v>307</v>
      </c>
      <c r="W32" s="35"/>
      <c r="X32" s="35"/>
      <c r="Y32" s="35"/>
      <c r="Z32" s="35"/>
      <c r="AA32" s="35"/>
      <c r="AB32" s="35"/>
      <c r="AC32" s="35"/>
      <c r="AD32" s="35"/>
      <c r="AE32" s="35"/>
      <c r="AF32" s="35"/>
      <c r="AG32" s="35"/>
      <c r="AH32" s="35"/>
      <c r="CA32" s="1" t="s">
        <v>71</v>
      </c>
      <c r="CB32" s="1" t="s">
        <v>18</v>
      </c>
      <c r="CC32" s="1" t="s">
        <v>308</v>
      </c>
      <c r="CE32" s="138" t="str">
        <f>SH[[#This Row],[Part Type]]</f>
        <v>Safety Head</v>
      </c>
      <c r="CF32" s="138" t="str">
        <f>SH[[#This Row],[Part Number]]</f>
        <v>60-61HF4</v>
      </c>
      <c r="CG32" s="140" t="str">
        <f>SH[[#This Row],[UID]]</f>
        <v>SH-Q2</v>
      </c>
      <c r="CK32" s="57" t="str">
        <f>IF(SH[[#This Row],[Status]]=0,"",SH[[#This Row],[Status]])</f>
        <v>Superseded</v>
      </c>
    </row>
    <row r="33" spans="1:89" s="57" customFormat="1" ht="33.950000000000003">
      <c r="A33" s="9" t="s">
        <v>1104</v>
      </c>
      <c r="B33" s="18" t="s">
        <v>894</v>
      </c>
      <c r="C33" s="9" t="s">
        <v>957</v>
      </c>
      <c r="D33" s="18" t="s">
        <v>129</v>
      </c>
      <c r="E33" s="18" t="s">
        <v>129</v>
      </c>
      <c r="F33" s="18" t="s">
        <v>173</v>
      </c>
      <c r="G33" s="9" t="s">
        <v>1368</v>
      </c>
      <c r="H33" s="9" t="s">
        <v>1378</v>
      </c>
      <c r="I33" s="18">
        <v>310</v>
      </c>
      <c r="J33" s="10">
        <v>130</v>
      </c>
      <c r="K33" s="10">
        <v>60000</v>
      </c>
      <c r="L33" s="18" t="s">
        <v>243</v>
      </c>
      <c r="M33" s="18" t="s">
        <v>1366</v>
      </c>
      <c r="N33" s="18" t="s">
        <v>129</v>
      </c>
      <c r="O33" s="18">
        <v>2.875</v>
      </c>
      <c r="P33" s="11" t="s">
        <v>129</v>
      </c>
      <c r="Q33" s="11" t="s">
        <v>129</v>
      </c>
      <c r="R33" s="18" t="s">
        <v>161</v>
      </c>
      <c r="S33" s="18" t="s">
        <v>1367</v>
      </c>
      <c r="T33" s="18" t="s">
        <v>129</v>
      </c>
      <c r="U33" s="12">
        <v>40605</v>
      </c>
      <c r="V33" s="20" t="s">
        <v>307</v>
      </c>
      <c r="W33" s="35"/>
      <c r="X33" s="35"/>
      <c r="Y33" s="35"/>
      <c r="Z33" s="35"/>
      <c r="AA33" s="35"/>
      <c r="AB33" s="35"/>
      <c r="AC33" s="35"/>
      <c r="AD33" s="35"/>
      <c r="AE33" s="35"/>
      <c r="AF33" s="35"/>
      <c r="AG33" s="35"/>
      <c r="AH33" s="35"/>
      <c r="CA33" s="1" t="s">
        <v>71</v>
      </c>
      <c r="CB33" s="1" t="s">
        <v>18</v>
      </c>
      <c r="CC33" s="1" t="s">
        <v>308</v>
      </c>
      <c r="CE33" s="138" t="str">
        <f>SH[[#This Row],[Part Type]]</f>
        <v>Safety Head</v>
      </c>
      <c r="CF33" s="138" t="str">
        <f>SH[[#This Row],[Part Number]]</f>
        <v>60-61HF4</v>
      </c>
      <c r="CG33" s="140" t="str">
        <f>SH[[#This Row],[UID]]</f>
        <v>SH-R1</v>
      </c>
      <c r="CK33" s="57" t="str">
        <f>IF(SH[[#This Row],[Status]]=0,"",SH[[#This Row],[Status]])</f>
        <v>Superseded</v>
      </c>
    </row>
    <row r="34" spans="1:89" s="57" customFormat="1" ht="33.950000000000003">
      <c r="A34" s="9" t="s">
        <v>1104</v>
      </c>
      <c r="B34" s="18" t="s">
        <v>894</v>
      </c>
      <c r="C34" s="9" t="s">
        <v>1381</v>
      </c>
      <c r="D34" s="18" t="s">
        <v>129</v>
      </c>
      <c r="E34" s="18" t="s">
        <v>129</v>
      </c>
      <c r="F34" s="18" t="s">
        <v>173</v>
      </c>
      <c r="G34" s="9" t="s">
        <v>1368</v>
      </c>
      <c r="H34" s="9" t="s">
        <v>1371</v>
      </c>
      <c r="I34" s="18">
        <v>356</v>
      </c>
      <c r="J34" s="10">
        <v>130</v>
      </c>
      <c r="K34" s="10">
        <v>60000</v>
      </c>
      <c r="L34" s="18" t="s">
        <v>243</v>
      </c>
      <c r="M34" s="18" t="s">
        <v>1366</v>
      </c>
      <c r="N34" s="18" t="s">
        <v>129</v>
      </c>
      <c r="O34" s="18">
        <v>2.875</v>
      </c>
      <c r="P34" s="11" t="s">
        <v>129</v>
      </c>
      <c r="Q34" s="11" t="s">
        <v>129</v>
      </c>
      <c r="R34" s="18" t="s">
        <v>161</v>
      </c>
      <c r="S34" s="18" t="s">
        <v>1367</v>
      </c>
      <c r="T34" s="18" t="s">
        <v>129</v>
      </c>
      <c r="U34" s="12">
        <v>40697</v>
      </c>
      <c r="V34" s="20" t="s">
        <v>307</v>
      </c>
      <c r="W34" s="35"/>
      <c r="X34" s="35"/>
      <c r="Y34" s="35"/>
      <c r="Z34" s="35"/>
      <c r="AA34" s="35"/>
      <c r="AB34" s="35"/>
      <c r="AC34" s="35"/>
      <c r="AD34" s="35"/>
      <c r="AE34" s="35"/>
      <c r="AF34" s="35"/>
      <c r="AG34" s="35"/>
      <c r="AH34" s="35"/>
      <c r="CA34" s="1" t="s">
        <v>71</v>
      </c>
      <c r="CB34" s="1" t="s">
        <v>18</v>
      </c>
      <c r="CC34" s="1" t="s">
        <v>308</v>
      </c>
      <c r="CE34" s="138" t="str">
        <f>SH[[#This Row],[Part Type]]</f>
        <v>Safety Head</v>
      </c>
      <c r="CF34" s="138" t="str">
        <f>SH[[#This Row],[Part Number]]</f>
        <v>60-61HF4</v>
      </c>
      <c r="CG34" s="140" t="str">
        <f>SH[[#This Row],[UID]]</f>
        <v>SH-R2</v>
      </c>
      <c r="CK34" s="57" t="str">
        <f>IF(SH[[#This Row],[Status]]=0,"",SH[[#This Row],[Status]])</f>
        <v>Superseded</v>
      </c>
    </row>
    <row r="35" spans="1:89" s="57" customFormat="1" ht="33.950000000000003">
      <c r="A35" s="9" t="s">
        <v>1104</v>
      </c>
      <c r="B35" s="18" t="s">
        <v>894</v>
      </c>
      <c r="C35" s="9" t="s">
        <v>959</v>
      </c>
      <c r="D35" s="18" t="s">
        <v>129</v>
      </c>
      <c r="E35" s="18" t="s">
        <v>129</v>
      </c>
      <c r="F35" s="18" t="s">
        <v>173</v>
      </c>
      <c r="G35" s="9" t="s">
        <v>1368</v>
      </c>
      <c r="H35" s="9" t="s">
        <v>1382</v>
      </c>
      <c r="I35" s="18">
        <v>403</v>
      </c>
      <c r="J35" s="10">
        <v>130</v>
      </c>
      <c r="K35" s="10">
        <v>60000</v>
      </c>
      <c r="L35" s="18" t="s">
        <v>243</v>
      </c>
      <c r="M35" s="18" t="s">
        <v>1366</v>
      </c>
      <c r="N35" s="18" t="s">
        <v>129</v>
      </c>
      <c r="O35" s="18">
        <v>2.875</v>
      </c>
      <c r="P35" s="11" t="s">
        <v>129</v>
      </c>
      <c r="Q35" s="11" t="s">
        <v>129</v>
      </c>
      <c r="R35" s="18" t="s">
        <v>161</v>
      </c>
      <c r="S35" s="18" t="s">
        <v>1367</v>
      </c>
      <c r="T35" s="18" t="s">
        <v>129</v>
      </c>
      <c r="U35" s="12">
        <v>40107</v>
      </c>
      <c r="V35" s="20" t="s">
        <v>307</v>
      </c>
      <c r="W35" s="35"/>
      <c r="X35" s="35"/>
      <c r="Y35" s="35"/>
      <c r="Z35" s="35"/>
      <c r="AA35" s="35"/>
      <c r="AB35" s="35"/>
      <c r="AC35" s="35"/>
      <c r="AD35" s="35"/>
      <c r="AE35" s="35"/>
      <c r="AF35" s="35"/>
      <c r="AG35" s="35"/>
      <c r="AH35" s="35"/>
      <c r="CA35" s="1" t="s">
        <v>71</v>
      </c>
      <c r="CB35" s="1" t="s">
        <v>18</v>
      </c>
      <c r="CC35" s="1" t="s">
        <v>308</v>
      </c>
      <c r="CE35" s="138" t="str">
        <f>SH[[#This Row],[Part Type]]</f>
        <v>Safety Head</v>
      </c>
      <c r="CF35" s="138" t="str">
        <f>SH[[#This Row],[Part Number]]</f>
        <v>60-61HF4</v>
      </c>
      <c r="CG35" s="140" t="str">
        <f>SH[[#This Row],[UID]]</f>
        <v>SH-Z1</v>
      </c>
      <c r="CK35" s="57" t="str">
        <f>IF(SH[[#This Row],[Status]]=0,"",SH[[#This Row],[Status]])</f>
        <v>Superseded</v>
      </c>
    </row>
    <row r="36" spans="1:89" s="57" customFormat="1" ht="33.950000000000003">
      <c r="A36" s="9" t="s">
        <v>1104</v>
      </c>
      <c r="B36" s="18" t="s">
        <v>894</v>
      </c>
      <c r="C36" s="9" t="s">
        <v>961</v>
      </c>
      <c r="D36" s="18" t="s">
        <v>129</v>
      </c>
      <c r="E36" s="18" t="s">
        <v>129</v>
      </c>
      <c r="F36" s="18" t="s">
        <v>173</v>
      </c>
      <c r="G36" s="9" t="s">
        <v>1368</v>
      </c>
      <c r="H36" s="9" t="s">
        <v>1382</v>
      </c>
      <c r="I36" s="18">
        <v>403</v>
      </c>
      <c r="J36" s="10">
        <v>130</v>
      </c>
      <c r="K36" s="10">
        <v>60000</v>
      </c>
      <c r="L36" s="18" t="s">
        <v>243</v>
      </c>
      <c r="M36" s="18" t="s">
        <v>1366</v>
      </c>
      <c r="N36" s="18" t="s">
        <v>129</v>
      </c>
      <c r="O36" s="18">
        <v>2.875</v>
      </c>
      <c r="P36" s="11" t="s">
        <v>129</v>
      </c>
      <c r="Q36" s="11" t="s">
        <v>129</v>
      </c>
      <c r="R36" s="18" t="s">
        <v>161</v>
      </c>
      <c r="S36" s="18" t="s">
        <v>1367</v>
      </c>
      <c r="T36" s="18" t="s">
        <v>129</v>
      </c>
      <c r="U36" s="12">
        <v>40107</v>
      </c>
      <c r="V36" s="20" t="s">
        <v>307</v>
      </c>
      <c r="W36" s="35"/>
      <c r="X36" s="35"/>
      <c r="Y36" s="35"/>
      <c r="Z36" s="35"/>
      <c r="AA36" s="35"/>
      <c r="AB36" s="35"/>
      <c r="AC36" s="35"/>
      <c r="AD36" s="35"/>
      <c r="AE36" s="35"/>
      <c r="AF36" s="35"/>
      <c r="AG36" s="35"/>
      <c r="AH36" s="35"/>
      <c r="CA36" s="1" t="s">
        <v>71</v>
      </c>
      <c r="CB36" s="1" t="s">
        <v>18</v>
      </c>
      <c r="CC36" s="1" t="s">
        <v>308</v>
      </c>
      <c r="CE36" s="138" t="str">
        <f>SH[[#This Row],[Part Type]]</f>
        <v>Safety Head</v>
      </c>
      <c r="CF36" s="138" t="str">
        <f>SH[[#This Row],[Part Number]]</f>
        <v>60-61HF4</v>
      </c>
      <c r="CG36" s="140" t="str">
        <f>SH[[#This Row],[UID]]</f>
        <v>SH-Z2</v>
      </c>
      <c r="CK36" s="57" t="str">
        <f>IF(SH[[#This Row],[Status]]=0,"",SH[[#This Row],[Status]])</f>
        <v>Superseded</v>
      </c>
    </row>
    <row r="37" spans="1:89">
      <c r="A37" s="18" t="s">
        <v>120</v>
      </c>
      <c r="B37" s="18" t="s">
        <v>894</v>
      </c>
      <c r="C37" s="18" t="s">
        <v>968</v>
      </c>
      <c r="D37" s="17">
        <v>220930</v>
      </c>
      <c r="E37" s="19">
        <v>313.529</v>
      </c>
      <c r="F37" s="18" t="s">
        <v>173</v>
      </c>
      <c r="G37" s="18" t="s">
        <v>1368</v>
      </c>
      <c r="H37" s="9" t="s">
        <v>1369</v>
      </c>
      <c r="I37" s="18">
        <v>353</v>
      </c>
      <c r="J37" s="18">
        <v>120</v>
      </c>
      <c r="K37" s="18">
        <v>60000</v>
      </c>
      <c r="L37" s="18" t="s">
        <v>243</v>
      </c>
      <c r="M37" s="18" t="s">
        <v>1366</v>
      </c>
      <c r="N37" s="18" t="s">
        <v>129</v>
      </c>
      <c r="O37" s="18">
        <v>2.875</v>
      </c>
      <c r="P37" s="11" t="s">
        <v>129</v>
      </c>
      <c r="Q37" s="11" t="s">
        <v>129</v>
      </c>
      <c r="R37" s="18" t="s">
        <v>161</v>
      </c>
      <c r="S37" s="18" t="s">
        <v>1367</v>
      </c>
      <c r="T37" s="18" t="s">
        <v>965</v>
      </c>
      <c r="U37" s="12">
        <v>40107</v>
      </c>
      <c r="V37" s="20" t="s">
        <v>307</v>
      </c>
      <c r="Z37" s="18"/>
      <c r="AA37" s="18"/>
      <c r="AB37" s="18"/>
      <c r="AC37" s="18"/>
      <c r="AD37" s="18"/>
      <c r="AE37" s="18"/>
      <c r="AF37" s="18"/>
      <c r="AG37" s="18"/>
      <c r="AH37" s="18"/>
      <c r="AI37" s="8"/>
      <c r="AJ37" s="8"/>
      <c r="AK37" s="8"/>
      <c r="AL37" s="8"/>
      <c r="AM37" s="8"/>
      <c r="AN37" s="8"/>
      <c r="CA37" s="1" t="s">
        <v>71</v>
      </c>
      <c r="CB37" s="1" t="s">
        <v>18</v>
      </c>
      <c r="CC37" s="1" t="s">
        <v>308</v>
      </c>
      <c r="CE37" s="139" t="str">
        <f>SH[[#This Row],[Part Type]]</f>
        <v>Safety Head</v>
      </c>
      <c r="CF37" s="139" t="str">
        <f>SH[[#This Row],[Part Number]]</f>
        <v>60-61HF4</v>
      </c>
      <c r="CG37" s="128" t="str">
        <f>SH[[#This Row],[UID]]</f>
        <v>SH-1</v>
      </c>
      <c r="CK37" s="8" t="str">
        <f>IF(SH[[#This Row],[Status]]=0,"",SH[[#This Row],[Status]])</f>
        <v>Active</v>
      </c>
    </row>
    <row r="38" spans="1:89">
      <c r="A38" s="18" t="s">
        <v>120</v>
      </c>
      <c r="B38" s="18" t="s">
        <v>894</v>
      </c>
      <c r="C38" s="18" t="s">
        <v>1383</v>
      </c>
      <c r="D38" s="17">
        <v>220930</v>
      </c>
      <c r="E38" s="19">
        <v>313.59100000000001</v>
      </c>
      <c r="F38" s="18" t="s">
        <v>173</v>
      </c>
      <c r="G38" s="18" t="s">
        <v>1368</v>
      </c>
      <c r="H38" s="9" t="s">
        <v>1369</v>
      </c>
      <c r="I38" s="18">
        <v>353</v>
      </c>
      <c r="J38" s="18">
        <v>120</v>
      </c>
      <c r="K38" s="18">
        <v>60000</v>
      </c>
      <c r="L38" s="18" t="s">
        <v>243</v>
      </c>
      <c r="M38" s="18" t="s">
        <v>1366</v>
      </c>
      <c r="N38" s="18" t="s">
        <v>129</v>
      </c>
      <c r="O38" s="18">
        <v>2.875</v>
      </c>
      <c r="P38" s="11" t="s">
        <v>129</v>
      </c>
      <c r="Q38" s="11" t="s">
        <v>129</v>
      </c>
      <c r="R38" s="18" t="s">
        <v>161</v>
      </c>
      <c r="S38" s="18" t="s">
        <v>1367</v>
      </c>
      <c r="T38" s="18" t="s">
        <v>1370</v>
      </c>
      <c r="U38" s="12">
        <v>40107</v>
      </c>
      <c r="V38" s="20" t="s">
        <v>307</v>
      </c>
      <c r="Z38" s="18"/>
      <c r="AA38" s="18"/>
      <c r="AB38" s="18"/>
      <c r="AC38" s="18"/>
      <c r="AD38" s="18"/>
      <c r="AE38" s="18"/>
      <c r="AF38" s="18"/>
      <c r="AG38" s="18"/>
      <c r="AH38" s="18"/>
      <c r="AI38" s="8"/>
      <c r="AJ38" s="8"/>
      <c r="AK38" s="8"/>
      <c r="AL38" s="8"/>
      <c r="AM38" s="8"/>
      <c r="AN38" s="8"/>
      <c r="CA38" s="1" t="s">
        <v>71</v>
      </c>
      <c r="CB38" s="1" t="s">
        <v>18</v>
      </c>
      <c r="CC38" s="1" t="s">
        <v>308</v>
      </c>
      <c r="CE38" s="139" t="str">
        <f>SH[[#This Row],[Part Type]]</f>
        <v>Safety Head</v>
      </c>
      <c r="CF38" s="139" t="str">
        <f>SH[[#This Row],[Part Number]]</f>
        <v>60-61HF4</v>
      </c>
      <c r="CG38" s="128" t="str">
        <f>SH[[#This Row],[UID]]</f>
        <v>SH-2</v>
      </c>
      <c r="CK38" s="8" t="str">
        <f>IF(SH[[#This Row],[Status]]=0,"",SH[[#This Row],[Status]])</f>
        <v>Active</v>
      </c>
    </row>
    <row r="39" spans="1:89">
      <c r="A39" s="18" t="s">
        <v>120</v>
      </c>
      <c r="B39" s="18" t="s">
        <v>894</v>
      </c>
      <c r="C39" s="18" t="s">
        <v>974</v>
      </c>
      <c r="D39" s="17">
        <v>220930</v>
      </c>
      <c r="E39" s="19">
        <v>312.24299999999999</v>
      </c>
      <c r="F39" s="18" t="s">
        <v>173</v>
      </c>
      <c r="G39" s="18" t="s">
        <v>1368</v>
      </c>
      <c r="H39" s="9" t="s">
        <v>1365</v>
      </c>
      <c r="I39" s="18">
        <v>324</v>
      </c>
      <c r="J39" s="18">
        <v>130</v>
      </c>
      <c r="K39" s="18">
        <v>60000</v>
      </c>
      <c r="L39" s="18" t="s">
        <v>243</v>
      </c>
      <c r="M39" s="18" t="s">
        <v>1366</v>
      </c>
      <c r="N39" s="18" t="s">
        <v>129</v>
      </c>
      <c r="O39" s="18">
        <v>2.875</v>
      </c>
      <c r="P39" s="11" t="s">
        <v>129</v>
      </c>
      <c r="Q39" s="11" t="s">
        <v>129</v>
      </c>
      <c r="R39" s="18" t="s">
        <v>161</v>
      </c>
      <c r="S39" s="18" t="s">
        <v>1367</v>
      </c>
      <c r="T39" s="18" t="s">
        <v>909</v>
      </c>
      <c r="U39" s="12">
        <v>39814</v>
      </c>
      <c r="V39" s="20" t="s">
        <v>307</v>
      </c>
      <c r="Z39" s="18"/>
      <c r="AA39" s="18"/>
      <c r="AB39" s="18"/>
      <c r="AC39" s="18"/>
      <c r="AD39" s="18"/>
      <c r="AE39" s="18"/>
      <c r="AF39" s="18"/>
      <c r="AG39" s="18"/>
      <c r="AH39" s="24"/>
      <c r="AI39" s="8"/>
      <c r="AJ39" s="8"/>
      <c r="AK39" s="8"/>
      <c r="AL39" s="8"/>
      <c r="AM39" s="8"/>
      <c r="AN39" s="8"/>
      <c r="CA39" s="1" t="s">
        <v>71</v>
      </c>
      <c r="CB39" s="1" t="s">
        <v>18</v>
      </c>
      <c r="CC39" s="1" t="s">
        <v>308</v>
      </c>
      <c r="CE39" s="139" t="str">
        <f>SH[[#This Row],[Part Type]]</f>
        <v>Safety Head</v>
      </c>
      <c r="CF39" s="139" t="str">
        <f>SH[[#This Row],[Part Number]]</f>
        <v>60-61HF4</v>
      </c>
      <c r="CG39" s="128" t="str">
        <f>SH[[#This Row],[UID]]</f>
        <v>SH-3</v>
      </c>
      <c r="CK39" s="8" t="str">
        <f>IF(SH[[#This Row],[Status]]=0,"",SH[[#This Row],[Status]])</f>
        <v>Active</v>
      </c>
    </row>
    <row r="40" spans="1:89">
      <c r="A40" s="18" t="s">
        <v>120</v>
      </c>
      <c r="B40" s="18" t="s">
        <v>894</v>
      </c>
      <c r="C40" s="18" t="s">
        <v>1384</v>
      </c>
      <c r="D40" s="17">
        <v>220930</v>
      </c>
      <c r="E40" s="19">
        <v>314.59800000000001</v>
      </c>
      <c r="F40" s="18" t="s">
        <v>173</v>
      </c>
      <c r="G40" s="18" t="s">
        <v>1368</v>
      </c>
      <c r="H40" s="9" t="s">
        <v>1369</v>
      </c>
      <c r="I40" s="18">
        <v>353</v>
      </c>
      <c r="J40" s="18">
        <v>120</v>
      </c>
      <c r="K40" s="18">
        <v>60000</v>
      </c>
      <c r="L40" s="18" t="s">
        <v>243</v>
      </c>
      <c r="M40" s="18" t="s">
        <v>1366</v>
      </c>
      <c r="N40" s="18" t="s">
        <v>129</v>
      </c>
      <c r="O40" s="18">
        <v>2.875</v>
      </c>
      <c r="P40" s="11" t="s">
        <v>129</v>
      </c>
      <c r="Q40" s="11" t="s">
        <v>129</v>
      </c>
      <c r="R40" s="18" t="s">
        <v>161</v>
      </c>
      <c r="S40" s="18" t="s">
        <v>1367</v>
      </c>
      <c r="T40" s="18" t="s">
        <v>911</v>
      </c>
      <c r="U40" s="12">
        <v>39965</v>
      </c>
      <c r="V40" s="20" t="s">
        <v>307</v>
      </c>
      <c r="Z40" s="18"/>
      <c r="AA40" s="18"/>
      <c r="AB40" s="18"/>
      <c r="AC40" s="18"/>
      <c r="AD40" s="18"/>
      <c r="AE40" s="18"/>
      <c r="AF40" s="18"/>
      <c r="AG40" s="18"/>
      <c r="AH40" s="24"/>
      <c r="AI40" s="8"/>
      <c r="AJ40" s="8"/>
      <c r="AK40" s="8"/>
      <c r="AL40" s="8"/>
      <c r="AM40" s="8"/>
      <c r="AN40" s="8"/>
      <c r="CA40" s="1" t="s">
        <v>71</v>
      </c>
      <c r="CB40" s="1" t="s">
        <v>18</v>
      </c>
      <c r="CC40" s="1" t="s">
        <v>308</v>
      </c>
      <c r="CE40" s="139" t="str">
        <f>SH[[#This Row],[Part Type]]</f>
        <v>Safety Head</v>
      </c>
      <c r="CF40" s="139" t="str">
        <f>SH[[#This Row],[Part Number]]</f>
        <v>60-61HF4</v>
      </c>
      <c r="CG40" s="128" t="str">
        <f>SH[[#This Row],[UID]]</f>
        <v>SH-4</v>
      </c>
      <c r="CK40" s="8" t="str">
        <f>IF(SH[[#This Row],[Status]]=0,"",SH[[#This Row],[Status]])</f>
        <v>Active</v>
      </c>
    </row>
    <row r="41" spans="1:89">
      <c r="A41" s="18" t="s">
        <v>120</v>
      </c>
      <c r="B41" s="18" t="s">
        <v>894</v>
      </c>
      <c r="C41" s="18" t="s">
        <v>980</v>
      </c>
      <c r="D41" s="17">
        <v>220930</v>
      </c>
      <c r="E41" s="19">
        <v>313.50400000000002</v>
      </c>
      <c r="F41" s="18" t="s">
        <v>173</v>
      </c>
      <c r="G41" s="18" t="s">
        <v>1368</v>
      </c>
      <c r="H41" s="18" t="s">
        <v>1369</v>
      </c>
      <c r="I41" s="18">
        <v>353</v>
      </c>
      <c r="J41" s="18">
        <v>120</v>
      </c>
      <c r="K41" s="18">
        <v>60000</v>
      </c>
      <c r="L41" s="18" t="s">
        <v>243</v>
      </c>
      <c r="M41" s="18" t="s">
        <v>1366</v>
      </c>
      <c r="N41" s="18" t="s">
        <v>129</v>
      </c>
      <c r="O41" s="18">
        <v>2.875</v>
      </c>
      <c r="P41" s="11" t="s">
        <v>129</v>
      </c>
      <c r="Q41" s="11" t="s">
        <v>129</v>
      </c>
      <c r="R41" s="18" t="s">
        <v>161</v>
      </c>
      <c r="S41" s="18" t="s">
        <v>1367</v>
      </c>
      <c r="T41" s="18" t="s">
        <v>916</v>
      </c>
      <c r="U41" s="12">
        <v>39965</v>
      </c>
      <c r="V41" s="20" t="s">
        <v>307</v>
      </c>
      <c r="Z41" s="18"/>
      <c r="AA41" s="18"/>
      <c r="AB41" s="18"/>
      <c r="AC41" s="18"/>
      <c r="AD41" s="18"/>
      <c r="AE41" s="18"/>
      <c r="AF41" s="18"/>
      <c r="AG41" s="18"/>
      <c r="AH41" s="24"/>
      <c r="AI41" s="8"/>
      <c r="AJ41" s="8"/>
      <c r="AK41" s="8"/>
      <c r="AL41" s="8"/>
      <c r="AM41" s="8"/>
      <c r="AN41" s="8"/>
      <c r="CA41" s="1" t="s">
        <v>71</v>
      </c>
      <c r="CB41" s="1" t="s">
        <v>18</v>
      </c>
      <c r="CC41" s="1" t="s">
        <v>308</v>
      </c>
      <c r="CE41" s="139" t="str">
        <f>SH[[#This Row],[Part Type]]</f>
        <v>Safety Head</v>
      </c>
      <c r="CF41" s="139" t="str">
        <f>SH[[#This Row],[Part Number]]</f>
        <v>60-61HF4</v>
      </c>
      <c r="CG41" s="128" t="str">
        <f>SH[[#This Row],[UID]]</f>
        <v>SH-5</v>
      </c>
      <c r="CK41" s="8" t="str">
        <f>IF(SH[[#This Row],[Status]]=0,"",SH[[#This Row],[Status]])</f>
        <v>Active</v>
      </c>
    </row>
    <row r="42" spans="1:89">
      <c r="A42" s="18" t="s">
        <v>120</v>
      </c>
      <c r="B42" s="18" t="s">
        <v>894</v>
      </c>
      <c r="C42" s="18" t="s">
        <v>986</v>
      </c>
      <c r="D42" s="17">
        <v>220930</v>
      </c>
      <c r="E42" s="19">
        <v>314.459</v>
      </c>
      <c r="F42" s="18" t="s">
        <v>173</v>
      </c>
      <c r="G42" s="18" t="s">
        <v>1368</v>
      </c>
      <c r="H42" s="18" t="s">
        <v>1369</v>
      </c>
      <c r="I42" s="18">
        <v>353</v>
      </c>
      <c r="J42" s="18">
        <v>120</v>
      </c>
      <c r="K42" s="18">
        <v>60000</v>
      </c>
      <c r="L42" s="18" t="s">
        <v>243</v>
      </c>
      <c r="M42" s="18" t="s">
        <v>1366</v>
      </c>
      <c r="N42" s="18" t="s">
        <v>129</v>
      </c>
      <c r="O42" s="18">
        <v>2.875</v>
      </c>
      <c r="P42" s="11" t="s">
        <v>129</v>
      </c>
      <c r="Q42" s="11" t="s">
        <v>129</v>
      </c>
      <c r="R42" s="18" t="s">
        <v>161</v>
      </c>
      <c r="S42" s="18" t="s">
        <v>1367</v>
      </c>
      <c r="T42" s="18" t="s">
        <v>918</v>
      </c>
      <c r="U42" s="12">
        <v>39965</v>
      </c>
      <c r="V42" s="20" t="s">
        <v>307</v>
      </c>
      <c r="Z42" s="18"/>
      <c r="AA42" s="36"/>
      <c r="AB42" s="18"/>
      <c r="AC42" s="18"/>
      <c r="AD42" s="18"/>
      <c r="AE42" s="36"/>
      <c r="AF42" s="58"/>
      <c r="AG42" s="18"/>
      <c r="AH42" s="24"/>
      <c r="AI42" s="8"/>
      <c r="AJ42" s="8"/>
      <c r="AK42" s="8"/>
      <c r="AL42" s="8"/>
      <c r="AM42" s="8"/>
      <c r="AN42" s="8"/>
      <c r="CA42" s="1" t="s">
        <v>71</v>
      </c>
      <c r="CB42" s="1" t="s">
        <v>18</v>
      </c>
      <c r="CC42" s="1" t="s">
        <v>308</v>
      </c>
      <c r="CE42" s="139" t="str">
        <f>SH[[#This Row],[Part Type]]</f>
        <v>Safety Head</v>
      </c>
      <c r="CF42" s="139" t="str">
        <f>SH[[#This Row],[Part Number]]</f>
        <v>60-61HF4</v>
      </c>
      <c r="CG42" s="128" t="str">
        <f>SH[[#This Row],[UID]]</f>
        <v>SH-6</v>
      </c>
      <c r="CK42" s="8" t="str">
        <f>IF(SH[[#This Row],[Status]]=0,"",SH[[#This Row],[Status]])</f>
        <v>Active</v>
      </c>
    </row>
    <row r="43" spans="1:89">
      <c r="A43" s="18" t="s">
        <v>120</v>
      </c>
      <c r="B43" s="18" t="s">
        <v>894</v>
      </c>
      <c r="C43" s="18" t="s">
        <v>1385</v>
      </c>
      <c r="D43" s="17">
        <v>220930</v>
      </c>
      <c r="E43" s="19">
        <v>313.17399999999998</v>
      </c>
      <c r="F43" s="18" t="s">
        <v>173</v>
      </c>
      <c r="G43" s="18" t="s">
        <v>1368</v>
      </c>
      <c r="H43" s="18" t="s">
        <v>1369</v>
      </c>
      <c r="I43" s="18">
        <v>353</v>
      </c>
      <c r="J43" s="18">
        <v>120</v>
      </c>
      <c r="K43" s="18">
        <v>60000</v>
      </c>
      <c r="L43" s="18" t="s">
        <v>243</v>
      </c>
      <c r="M43" s="18" t="s">
        <v>1366</v>
      </c>
      <c r="N43" s="18" t="s">
        <v>129</v>
      </c>
      <c r="O43" s="18">
        <v>2.875</v>
      </c>
      <c r="P43" s="11" t="s">
        <v>129</v>
      </c>
      <c r="Q43" s="11" t="s">
        <v>129</v>
      </c>
      <c r="R43" s="18" t="s">
        <v>161</v>
      </c>
      <c r="S43" s="18" t="s">
        <v>1367</v>
      </c>
      <c r="T43" s="18" t="s">
        <v>920</v>
      </c>
      <c r="U43" s="12">
        <v>39965</v>
      </c>
      <c r="V43" s="20" t="s">
        <v>307</v>
      </c>
      <c r="Z43" s="18"/>
      <c r="AA43" s="36"/>
      <c r="AB43" s="18"/>
      <c r="AC43" s="18"/>
      <c r="AD43" s="18"/>
      <c r="AE43" s="36"/>
      <c r="AF43" s="58"/>
      <c r="AG43" s="18"/>
      <c r="AH43" s="24"/>
      <c r="AI43" s="8"/>
      <c r="AJ43" s="8"/>
      <c r="AK43" s="8"/>
      <c r="AL43" s="8"/>
      <c r="AM43" s="8"/>
      <c r="AN43" s="8"/>
      <c r="CA43" s="1" t="s">
        <v>71</v>
      </c>
      <c r="CB43" s="1" t="s">
        <v>18</v>
      </c>
      <c r="CC43" s="1" t="s">
        <v>308</v>
      </c>
      <c r="CE43" s="139" t="str">
        <f>SH[[#This Row],[Part Type]]</f>
        <v>Safety Head</v>
      </c>
      <c r="CF43" s="139" t="str">
        <f>SH[[#This Row],[Part Number]]</f>
        <v>60-61HF4</v>
      </c>
      <c r="CG43" s="128" t="str">
        <f>SH[[#This Row],[UID]]</f>
        <v>SH-7</v>
      </c>
      <c r="CK43" s="8" t="str">
        <f>IF(SH[[#This Row],[Status]]=0,"",SH[[#This Row],[Status]])</f>
        <v>Active</v>
      </c>
    </row>
    <row r="44" spans="1:89">
      <c r="A44" s="18" t="s">
        <v>120</v>
      </c>
      <c r="B44" s="18" t="s">
        <v>894</v>
      </c>
      <c r="C44" s="18" t="s">
        <v>992</v>
      </c>
      <c r="D44" s="17">
        <v>220930</v>
      </c>
      <c r="E44" s="56">
        <v>313.68</v>
      </c>
      <c r="F44" s="18" t="s">
        <v>173</v>
      </c>
      <c r="G44" s="18" t="s">
        <v>1368</v>
      </c>
      <c r="H44" s="18" t="s">
        <v>1372</v>
      </c>
      <c r="I44" s="18">
        <v>157</v>
      </c>
      <c r="J44" s="18">
        <v>120</v>
      </c>
      <c r="K44" s="18">
        <v>60000</v>
      </c>
      <c r="L44" s="18" t="s">
        <v>243</v>
      </c>
      <c r="M44" s="18" t="s">
        <v>1366</v>
      </c>
      <c r="N44" s="18" t="s">
        <v>129</v>
      </c>
      <c r="O44" s="18">
        <v>2.875</v>
      </c>
      <c r="P44" s="11" t="s">
        <v>129</v>
      </c>
      <c r="Q44" s="11" t="s">
        <v>129</v>
      </c>
      <c r="R44" s="18" t="s">
        <v>161</v>
      </c>
      <c r="S44" s="18" t="s">
        <v>1367</v>
      </c>
      <c r="T44" s="18" t="s">
        <v>922</v>
      </c>
      <c r="U44" s="12">
        <v>39814</v>
      </c>
      <c r="V44" s="20" t="s">
        <v>307</v>
      </c>
      <c r="Z44" s="18"/>
      <c r="AA44" s="36"/>
      <c r="AB44" s="18"/>
      <c r="AC44" s="18"/>
      <c r="AD44" s="18"/>
      <c r="AE44" s="36"/>
      <c r="AF44" s="58"/>
      <c r="AG44" s="18"/>
      <c r="AH44" s="24"/>
      <c r="AI44" s="8"/>
      <c r="AJ44" s="8"/>
      <c r="AK44" s="8"/>
      <c r="AL44" s="8"/>
      <c r="AM44" s="8"/>
      <c r="AN44" s="8"/>
      <c r="CA44" s="1" t="s">
        <v>71</v>
      </c>
      <c r="CB44" s="1" t="s">
        <v>18</v>
      </c>
      <c r="CC44" s="1" t="s">
        <v>308</v>
      </c>
      <c r="CE44" s="139" t="str">
        <f>SH[[#This Row],[Part Type]]</f>
        <v>Safety Head</v>
      </c>
      <c r="CF44" s="139" t="str">
        <f>SH[[#This Row],[Part Number]]</f>
        <v>60-61HF4</v>
      </c>
      <c r="CG44" s="128" t="str">
        <f>SH[[#This Row],[UID]]</f>
        <v>SH-8</v>
      </c>
      <c r="CK44" s="8" t="str">
        <f>IF(SH[[#This Row],[Status]]=0,"",SH[[#This Row],[Status]])</f>
        <v>Active</v>
      </c>
    </row>
    <row r="45" spans="1:89">
      <c r="A45" s="18" t="s">
        <v>1363</v>
      </c>
      <c r="B45" s="18" t="s">
        <v>894</v>
      </c>
      <c r="C45" s="18" t="s">
        <v>1386</v>
      </c>
      <c r="D45" s="17">
        <v>220930</v>
      </c>
      <c r="E45" s="56">
        <v>312.31400000000002</v>
      </c>
      <c r="F45" s="18" t="s">
        <v>173</v>
      </c>
      <c r="G45" s="18" t="s">
        <v>1368</v>
      </c>
      <c r="H45" s="18" t="s">
        <v>1372</v>
      </c>
      <c r="I45" s="18">
        <v>157</v>
      </c>
      <c r="J45" s="18">
        <v>120</v>
      </c>
      <c r="K45" s="18">
        <v>60000</v>
      </c>
      <c r="L45" s="18" t="s">
        <v>243</v>
      </c>
      <c r="M45" s="18" t="s">
        <v>1366</v>
      </c>
      <c r="N45" s="18" t="s">
        <v>129</v>
      </c>
      <c r="O45" s="18">
        <v>2.875</v>
      </c>
      <c r="P45" s="11" t="s">
        <v>129</v>
      </c>
      <c r="Q45" s="11" t="s">
        <v>129</v>
      </c>
      <c r="R45" s="18" t="s">
        <v>161</v>
      </c>
      <c r="S45" s="18" t="s">
        <v>1367</v>
      </c>
      <c r="T45" s="18" t="s">
        <v>1373</v>
      </c>
      <c r="U45" s="12">
        <v>39965</v>
      </c>
      <c r="V45" s="20" t="s">
        <v>307</v>
      </c>
      <c r="Z45" s="18"/>
      <c r="AA45" s="36"/>
      <c r="AB45" s="18"/>
      <c r="AC45" s="18"/>
      <c r="AD45" s="18"/>
      <c r="AE45" s="36"/>
      <c r="AF45" s="58"/>
      <c r="AG45" s="18"/>
      <c r="AH45" s="24"/>
      <c r="AI45" s="8"/>
      <c r="AJ45" s="8"/>
      <c r="AK45" s="8"/>
      <c r="AL45" s="8"/>
      <c r="AM45" s="8"/>
      <c r="AN45" s="8"/>
      <c r="CA45" s="1" t="s">
        <v>71</v>
      </c>
      <c r="CB45" s="1" t="s">
        <v>18</v>
      </c>
      <c r="CC45" s="1" t="s">
        <v>308</v>
      </c>
      <c r="CE45" s="139" t="str">
        <f>SH[[#This Row],[Part Type]]</f>
        <v>Safety Head</v>
      </c>
      <c r="CF45" s="139" t="str">
        <f>SH[[#This Row],[Part Number]]</f>
        <v>60-61HF4</v>
      </c>
      <c r="CG45" s="128" t="str">
        <f>SH[[#This Row],[UID]]</f>
        <v>SH-9</v>
      </c>
      <c r="CK45" s="8" t="str">
        <f>IF(SH[[#This Row],[Status]]=0,"",SH[[#This Row],[Status]])</f>
        <v>RD Failed</v>
      </c>
    </row>
    <row r="46" spans="1:89">
      <c r="A46" s="18" t="s">
        <v>120</v>
      </c>
      <c r="B46" s="18" t="s">
        <v>894</v>
      </c>
      <c r="C46" s="18" t="s">
        <v>997</v>
      </c>
      <c r="D46" s="17">
        <v>220930</v>
      </c>
      <c r="E46" s="56">
        <v>312.07100000000003</v>
      </c>
      <c r="F46" s="18" t="s">
        <v>173</v>
      </c>
      <c r="G46" s="18" t="s">
        <v>1368</v>
      </c>
      <c r="H46" s="18" t="s">
        <v>1372</v>
      </c>
      <c r="I46" s="18">
        <v>157</v>
      </c>
      <c r="J46" s="18">
        <v>120</v>
      </c>
      <c r="K46" s="18">
        <v>60000</v>
      </c>
      <c r="L46" s="18" t="s">
        <v>243</v>
      </c>
      <c r="M46" s="18" t="s">
        <v>1366</v>
      </c>
      <c r="N46" s="18" t="s">
        <v>129</v>
      </c>
      <c r="O46" s="18">
        <v>2.875</v>
      </c>
      <c r="P46" s="11" t="s">
        <v>129</v>
      </c>
      <c r="Q46" s="11" t="s">
        <v>129</v>
      </c>
      <c r="R46" s="18" t="s">
        <v>161</v>
      </c>
      <c r="S46" s="18" t="s">
        <v>1367</v>
      </c>
      <c r="T46" s="18" t="s">
        <v>926</v>
      </c>
      <c r="U46" s="12">
        <v>39814</v>
      </c>
      <c r="V46" s="20" t="s">
        <v>307</v>
      </c>
      <c r="Z46" s="18"/>
      <c r="AA46" s="36"/>
      <c r="AB46" s="18"/>
      <c r="AC46" s="18"/>
      <c r="AD46" s="18"/>
      <c r="AE46" s="36"/>
      <c r="AF46" s="58"/>
      <c r="AG46" s="18"/>
      <c r="AH46" s="24"/>
      <c r="AI46" s="8"/>
      <c r="AJ46" s="8"/>
      <c r="AK46" s="8"/>
      <c r="AL46" s="8"/>
      <c r="AM46" s="8"/>
      <c r="AN46" s="8"/>
      <c r="CA46" s="1" t="s">
        <v>71</v>
      </c>
      <c r="CB46" s="1" t="s">
        <v>18</v>
      </c>
      <c r="CC46" s="1" t="s">
        <v>308</v>
      </c>
      <c r="CE46" s="139" t="str">
        <f>SH[[#This Row],[Part Type]]</f>
        <v>Safety Head</v>
      </c>
      <c r="CF46" s="139" t="str">
        <f>SH[[#This Row],[Part Number]]</f>
        <v>60-61HF4</v>
      </c>
      <c r="CG46" s="128" t="str">
        <f>SH[[#This Row],[UID]]</f>
        <v>SH-10</v>
      </c>
      <c r="CK46" s="8" t="str">
        <f>IF(SH[[#This Row],[Status]]=0,"",SH[[#This Row],[Status]])</f>
        <v>Active</v>
      </c>
    </row>
    <row r="47" spans="1:89">
      <c r="A47" s="18" t="s">
        <v>120</v>
      </c>
      <c r="B47" s="18" t="s">
        <v>894</v>
      </c>
      <c r="C47" s="18" t="s">
        <v>1387</v>
      </c>
      <c r="D47" s="17">
        <v>220930</v>
      </c>
      <c r="E47" s="56">
        <v>312.97300000000001</v>
      </c>
      <c r="F47" s="18" t="s">
        <v>173</v>
      </c>
      <c r="G47" s="18" t="s">
        <v>1368</v>
      </c>
      <c r="H47" s="18" t="s">
        <v>1372</v>
      </c>
      <c r="I47" s="18">
        <v>157</v>
      </c>
      <c r="J47" s="18">
        <v>120</v>
      </c>
      <c r="K47" s="18">
        <v>60000</v>
      </c>
      <c r="L47" s="18" t="s">
        <v>243</v>
      </c>
      <c r="M47" s="18" t="s">
        <v>1366</v>
      </c>
      <c r="N47" s="18" t="s">
        <v>129</v>
      </c>
      <c r="O47" s="18">
        <v>2.875</v>
      </c>
      <c r="P47" s="11" t="s">
        <v>129</v>
      </c>
      <c r="Q47" s="11" t="s">
        <v>129</v>
      </c>
      <c r="R47" s="18" t="s">
        <v>161</v>
      </c>
      <c r="S47" s="18" t="s">
        <v>1367</v>
      </c>
      <c r="T47" s="18" t="s">
        <v>928</v>
      </c>
      <c r="U47" s="12">
        <v>39965</v>
      </c>
      <c r="V47" s="20" t="s">
        <v>307</v>
      </c>
      <c r="Z47" s="18"/>
      <c r="AA47" s="36"/>
      <c r="AB47" s="18"/>
      <c r="AC47" s="18"/>
      <c r="AD47" s="18"/>
      <c r="AE47" s="36"/>
      <c r="AF47" s="58"/>
      <c r="AG47" s="18"/>
      <c r="AH47" s="24"/>
      <c r="AI47" s="8"/>
      <c r="AJ47" s="8"/>
      <c r="AK47" s="8"/>
      <c r="AL47" s="8"/>
      <c r="AM47" s="8"/>
      <c r="AN47" s="8"/>
      <c r="CA47" s="1" t="s">
        <v>71</v>
      </c>
      <c r="CB47" s="1" t="s">
        <v>18</v>
      </c>
      <c r="CC47" s="1" t="s">
        <v>308</v>
      </c>
      <c r="CE47" s="139" t="str">
        <f>SH[[#This Row],[Part Type]]</f>
        <v>Safety Head</v>
      </c>
      <c r="CF47" s="139" t="str">
        <f>SH[[#This Row],[Part Number]]</f>
        <v>60-61HF4</v>
      </c>
      <c r="CG47" s="128" t="str">
        <f>SH[[#This Row],[UID]]</f>
        <v>SH-11</v>
      </c>
      <c r="CK47" s="8" t="str">
        <f>IF(SH[[#This Row],[Status]]=0,"",SH[[#This Row],[Status]])</f>
        <v>Active</v>
      </c>
    </row>
    <row r="48" spans="1:89">
      <c r="A48" s="18" t="s">
        <v>120</v>
      </c>
      <c r="B48" s="18" t="s">
        <v>894</v>
      </c>
      <c r="C48" s="18" t="s">
        <v>1002</v>
      </c>
      <c r="D48" s="17">
        <v>220930</v>
      </c>
      <c r="E48" s="56">
        <v>313.29000000000002</v>
      </c>
      <c r="F48" s="18" t="s">
        <v>173</v>
      </c>
      <c r="G48" s="18" t="s">
        <v>1368</v>
      </c>
      <c r="H48" s="18" t="s">
        <v>1372</v>
      </c>
      <c r="I48" s="18">
        <v>157</v>
      </c>
      <c r="J48" s="18">
        <v>120</v>
      </c>
      <c r="K48" s="18">
        <v>60000</v>
      </c>
      <c r="L48" s="18" t="s">
        <v>243</v>
      </c>
      <c r="M48" s="18" t="s">
        <v>1366</v>
      </c>
      <c r="N48" s="18" t="s">
        <v>129</v>
      </c>
      <c r="O48" s="18">
        <v>2.875</v>
      </c>
      <c r="P48" s="11" t="s">
        <v>129</v>
      </c>
      <c r="Q48" s="11" t="s">
        <v>129</v>
      </c>
      <c r="R48" s="18" t="s">
        <v>161</v>
      </c>
      <c r="S48" s="18" t="s">
        <v>1367</v>
      </c>
      <c r="T48" s="18" t="s">
        <v>930</v>
      </c>
      <c r="U48" s="12">
        <v>39814</v>
      </c>
      <c r="V48" s="20" t="s">
        <v>307</v>
      </c>
      <c r="Z48" s="18"/>
      <c r="AA48" s="36"/>
      <c r="AB48" s="18"/>
      <c r="AC48" s="18"/>
      <c r="AD48" s="18"/>
      <c r="AE48" s="36"/>
      <c r="AF48" s="58"/>
      <c r="AG48" s="18"/>
      <c r="AH48" s="24"/>
      <c r="AI48" s="8"/>
      <c r="AJ48" s="8"/>
      <c r="AK48" s="8"/>
      <c r="AL48" s="8"/>
      <c r="AM48" s="8"/>
      <c r="AN48" s="8"/>
      <c r="CA48" s="1" t="s">
        <v>71</v>
      </c>
      <c r="CB48" s="1" t="s">
        <v>18</v>
      </c>
      <c r="CC48" s="1" t="s">
        <v>308</v>
      </c>
      <c r="CE48" s="139" t="str">
        <f>SH[[#This Row],[Part Type]]</f>
        <v>Safety Head</v>
      </c>
      <c r="CF48" s="139" t="str">
        <f>SH[[#This Row],[Part Number]]</f>
        <v>60-61HF4</v>
      </c>
      <c r="CG48" s="128" t="str">
        <f>SH[[#This Row],[UID]]</f>
        <v>SH-12</v>
      </c>
      <c r="CK48" s="8" t="str">
        <f>IF(SH[[#This Row],[Status]]=0,"",SH[[#This Row],[Status]])</f>
        <v>Active</v>
      </c>
    </row>
    <row r="49" spans="1:89">
      <c r="A49" s="18" t="s">
        <v>120</v>
      </c>
      <c r="B49" s="18" t="s">
        <v>894</v>
      </c>
      <c r="C49" s="18" t="s">
        <v>1388</v>
      </c>
      <c r="D49" s="17">
        <v>220930</v>
      </c>
      <c r="E49" s="56">
        <v>313.399</v>
      </c>
      <c r="F49" s="18" t="s">
        <v>173</v>
      </c>
      <c r="G49" s="18" t="s">
        <v>1368</v>
      </c>
      <c r="H49" s="18" t="s">
        <v>1372</v>
      </c>
      <c r="I49" s="18">
        <v>157</v>
      </c>
      <c r="J49" s="18">
        <v>120</v>
      </c>
      <c r="K49" s="18">
        <v>60000</v>
      </c>
      <c r="L49" s="18" t="s">
        <v>243</v>
      </c>
      <c r="M49" s="18" t="s">
        <v>1366</v>
      </c>
      <c r="N49" s="18" t="s">
        <v>129</v>
      </c>
      <c r="O49" s="18">
        <v>2.875</v>
      </c>
      <c r="P49" s="11" t="s">
        <v>129</v>
      </c>
      <c r="Q49" s="11" t="s">
        <v>129</v>
      </c>
      <c r="R49" s="18" t="s">
        <v>161</v>
      </c>
      <c r="S49" s="18" t="s">
        <v>1367</v>
      </c>
      <c r="T49" s="18" t="s">
        <v>932</v>
      </c>
      <c r="U49" s="12">
        <v>39965</v>
      </c>
      <c r="V49" s="20" t="s">
        <v>307</v>
      </c>
      <c r="Z49" s="18"/>
      <c r="AA49" s="18"/>
      <c r="AB49" s="18"/>
      <c r="AC49" s="18"/>
      <c r="AD49" s="18"/>
      <c r="AE49" s="18"/>
      <c r="AF49" s="18"/>
      <c r="AG49" s="18"/>
      <c r="AH49" s="24"/>
      <c r="AI49" s="8"/>
      <c r="AJ49" s="8"/>
      <c r="AK49" s="8"/>
      <c r="AL49" s="8"/>
      <c r="AM49" s="8"/>
      <c r="AN49" s="8"/>
      <c r="CA49" s="1" t="s">
        <v>71</v>
      </c>
      <c r="CB49" s="1" t="s">
        <v>18</v>
      </c>
      <c r="CC49" s="1" t="s">
        <v>308</v>
      </c>
      <c r="CE49" s="139" t="str">
        <f>SH[[#This Row],[Part Type]]</f>
        <v>Safety Head</v>
      </c>
      <c r="CF49" s="139" t="str">
        <f>SH[[#This Row],[Part Number]]</f>
        <v>60-61HF4</v>
      </c>
      <c r="CG49" s="128" t="str">
        <f>SH[[#This Row],[UID]]</f>
        <v>SH-13</v>
      </c>
      <c r="CK49" s="8" t="str">
        <f>IF(SH[[#This Row],[Status]]=0,"",SH[[#This Row],[Status]])</f>
        <v>Active</v>
      </c>
    </row>
    <row r="50" spans="1:89">
      <c r="A50" s="18" t="s">
        <v>120</v>
      </c>
      <c r="B50" s="18" t="s">
        <v>894</v>
      </c>
      <c r="C50" s="18" t="s">
        <v>1389</v>
      </c>
      <c r="D50" s="17">
        <v>220930</v>
      </c>
      <c r="E50" s="56">
        <v>314.71100000000001</v>
      </c>
      <c r="F50" s="18" t="s">
        <v>173</v>
      </c>
      <c r="G50" s="18" t="s">
        <v>1368</v>
      </c>
      <c r="H50" s="18" t="s">
        <v>1374</v>
      </c>
      <c r="I50" s="18">
        <v>448</v>
      </c>
      <c r="J50" s="18">
        <v>130</v>
      </c>
      <c r="K50" s="18">
        <v>60000</v>
      </c>
      <c r="L50" s="18" t="s">
        <v>243</v>
      </c>
      <c r="M50" s="18" t="s">
        <v>1366</v>
      </c>
      <c r="N50" s="18" t="s">
        <v>129</v>
      </c>
      <c r="O50" s="18">
        <v>2.875</v>
      </c>
      <c r="P50" s="11" t="s">
        <v>129</v>
      </c>
      <c r="Q50" s="11" t="s">
        <v>129</v>
      </c>
      <c r="R50" s="18" t="s">
        <v>161</v>
      </c>
      <c r="S50" s="18" t="s">
        <v>1367</v>
      </c>
      <c r="T50" s="18" t="s">
        <v>938</v>
      </c>
      <c r="U50" s="12">
        <v>39965</v>
      </c>
      <c r="V50" s="20" t="s">
        <v>307</v>
      </c>
      <c r="Z50" s="18"/>
      <c r="AA50" s="18"/>
      <c r="AB50" s="18"/>
      <c r="AC50" s="18"/>
      <c r="AD50" s="18"/>
      <c r="AE50" s="36"/>
      <c r="AF50" s="58"/>
      <c r="AG50" s="18"/>
      <c r="AH50" s="24"/>
      <c r="AI50" s="8"/>
      <c r="AJ50" s="8"/>
      <c r="AK50" s="8"/>
      <c r="AL50" s="8"/>
      <c r="AM50" s="8"/>
      <c r="AN50" s="8"/>
      <c r="CA50" s="1" t="s">
        <v>71</v>
      </c>
      <c r="CB50" s="1" t="s">
        <v>18</v>
      </c>
      <c r="CC50" s="1" t="s">
        <v>308</v>
      </c>
      <c r="CE50" s="139" t="str">
        <f>SH[[#This Row],[Part Type]]</f>
        <v>Safety Head</v>
      </c>
      <c r="CF50" s="139" t="str">
        <f>SH[[#This Row],[Part Number]]</f>
        <v>60-61HF4</v>
      </c>
      <c r="CG50" s="128" t="str">
        <f>SH[[#This Row],[UID]]</f>
        <v>SH-14</v>
      </c>
      <c r="CK50" s="8" t="str">
        <f>IF(SH[[#This Row],[Status]]=0,"",SH[[#This Row],[Status]])</f>
        <v>Active</v>
      </c>
    </row>
    <row r="51" spans="1:89">
      <c r="A51" s="18" t="s">
        <v>1363</v>
      </c>
      <c r="B51" s="18" t="s">
        <v>894</v>
      </c>
      <c r="C51" s="18" t="s">
        <v>1390</v>
      </c>
      <c r="D51" s="17">
        <v>220930</v>
      </c>
      <c r="E51" s="56">
        <v>313.21300000000002</v>
      </c>
      <c r="F51" s="18" t="s">
        <v>173</v>
      </c>
      <c r="G51" s="18" t="s">
        <v>1368</v>
      </c>
      <c r="H51" s="18" t="s">
        <v>1374</v>
      </c>
      <c r="I51" s="18">
        <v>448</v>
      </c>
      <c r="J51" s="18">
        <v>130</v>
      </c>
      <c r="K51" s="18">
        <v>60000</v>
      </c>
      <c r="L51" s="18" t="s">
        <v>243</v>
      </c>
      <c r="M51" s="18" t="s">
        <v>1366</v>
      </c>
      <c r="N51" s="18" t="s">
        <v>129</v>
      </c>
      <c r="O51" s="18">
        <v>2.875</v>
      </c>
      <c r="P51" s="11" t="s">
        <v>129</v>
      </c>
      <c r="Q51" s="11" t="s">
        <v>129</v>
      </c>
      <c r="R51" s="18" t="s">
        <v>161</v>
      </c>
      <c r="S51" s="18" t="s">
        <v>1367</v>
      </c>
      <c r="T51" s="18" t="s">
        <v>1375</v>
      </c>
      <c r="U51" s="12">
        <v>40697</v>
      </c>
      <c r="V51" s="20" t="s">
        <v>307</v>
      </c>
      <c r="Z51" s="18"/>
      <c r="AA51" s="18"/>
      <c r="AB51" s="18"/>
      <c r="AC51" s="18"/>
      <c r="AD51" s="18"/>
      <c r="AE51" s="18"/>
      <c r="AF51" s="18"/>
      <c r="AG51" s="18"/>
      <c r="AH51" s="24"/>
      <c r="AI51" s="8"/>
      <c r="AJ51" s="8"/>
      <c r="AK51" s="8"/>
      <c r="AL51" s="8"/>
      <c r="AM51" s="8"/>
      <c r="AN51" s="8"/>
      <c r="CA51" s="1" t="s">
        <v>71</v>
      </c>
      <c r="CB51" s="1" t="s">
        <v>18</v>
      </c>
      <c r="CC51" s="1" t="s">
        <v>308</v>
      </c>
      <c r="CE51" s="139" t="str">
        <f>SH[[#This Row],[Part Type]]</f>
        <v>Safety Head</v>
      </c>
      <c r="CF51" s="139" t="str">
        <f>SH[[#This Row],[Part Number]]</f>
        <v>60-61HF4</v>
      </c>
      <c r="CG51" s="128" t="str">
        <f>SH[[#This Row],[UID]]</f>
        <v>SH-15</v>
      </c>
      <c r="CK51" s="8" t="str">
        <f>IF(SH[[#This Row],[Status]]=0,"",SH[[#This Row],[Status]])</f>
        <v>RD Failed</v>
      </c>
    </row>
    <row r="52" spans="1:89">
      <c r="A52" s="18" t="s">
        <v>120</v>
      </c>
      <c r="B52" s="18" t="s">
        <v>894</v>
      </c>
      <c r="C52" s="18" t="s">
        <v>1391</v>
      </c>
      <c r="D52" s="17">
        <v>220930</v>
      </c>
      <c r="E52" s="56">
        <v>314.25400000000002</v>
      </c>
      <c r="F52" s="18" t="s">
        <v>173</v>
      </c>
      <c r="G52" s="18" t="s">
        <v>1368</v>
      </c>
      <c r="H52" s="9" t="s">
        <v>1369</v>
      </c>
      <c r="I52" s="18">
        <v>353</v>
      </c>
      <c r="J52" s="18">
        <v>120</v>
      </c>
      <c r="K52" s="18">
        <v>60000</v>
      </c>
      <c r="L52" s="18" t="s">
        <v>243</v>
      </c>
      <c r="M52" s="18" t="s">
        <v>1366</v>
      </c>
      <c r="N52" s="18" t="s">
        <v>129</v>
      </c>
      <c r="O52" s="18">
        <v>2.875</v>
      </c>
      <c r="P52" s="11" t="s">
        <v>129</v>
      </c>
      <c r="Q52" s="11" t="s">
        <v>129</v>
      </c>
      <c r="R52" s="18" t="s">
        <v>161</v>
      </c>
      <c r="S52" s="18" t="s">
        <v>1367</v>
      </c>
      <c r="T52" s="18" t="s">
        <v>944</v>
      </c>
      <c r="U52" s="12">
        <v>39965</v>
      </c>
      <c r="V52" s="20" t="s">
        <v>307</v>
      </c>
      <c r="Z52" s="18"/>
      <c r="AA52" s="18"/>
      <c r="AB52" s="18"/>
      <c r="AC52" s="18"/>
      <c r="AD52" s="18"/>
      <c r="AE52" s="36"/>
      <c r="AF52" s="58"/>
      <c r="AG52" s="18"/>
      <c r="AH52" s="24"/>
      <c r="AI52" s="8"/>
      <c r="AJ52" s="8"/>
      <c r="AK52" s="8"/>
      <c r="AL52" s="8"/>
      <c r="AM52" s="8"/>
      <c r="AN52" s="8"/>
      <c r="CA52" s="1" t="s">
        <v>71</v>
      </c>
      <c r="CB52" s="1" t="s">
        <v>18</v>
      </c>
      <c r="CC52" s="1" t="s">
        <v>308</v>
      </c>
      <c r="CE52" s="139" t="str">
        <f>SH[[#This Row],[Part Type]]</f>
        <v>Safety Head</v>
      </c>
      <c r="CF52" s="139" t="str">
        <f>SH[[#This Row],[Part Number]]</f>
        <v>60-61HF4</v>
      </c>
      <c r="CG52" s="128" t="str">
        <f>SH[[#This Row],[UID]]</f>
        <v>SH-16</v>
      </c>
      <c r="CK52" s="8" t="str">
        <f>IF(SH[[#This Row],[Status]]=0,"",SH[[#This Row],[Status]])</f>
        <v>Active</v>
      </c>
    </row>
    <row r="53" spans="1:89">
      <c r="A53" s="18" t="s">
        <v>120</v>
      </c>
      <c r="B53" s="18" t="s">
        <v>894</v>
      </c>
      <c r="C53" s="18" t="s">
        <v>1392</v>
      </c>
      <c r="D53" s="17">
        <v>220930</v>
      </c>
      <c r="E53" s="56">
        <v>313.81700000000001</v>
      </c>
      <c r="F53" s="18" t="s">
        <v>173</v>
      </c>
      <c r="G53" s="18" t="s">
        <v>1368</v>
      </c>
      <c r="H53" s="18" t="s">
        <v>1369</v>
      </c>
      <c r="I53" s="18">
        <v>353</v>
      </c>
      <c r="J53" s="18">
        <v>130</v>
      </c>
      <c r="K53" s="18">
        <v>60000</v>
      </c>
      <c r="L53" s="18" t="s">
        <v>243</v>
      </c>
      <c r="M53" s="18" t="s">
        <v>1366</v>
      </c>
      <c r="N53" s="18" t="s">
        <v>129</v>
      </c>
      <c r="O53" s="18">
        <v>2.875</v>
      </c>
      <c r="P53" s="11" t="s">
        <v>129</v>
      </c>
      <c r="Q53" s="11" t="s">
        <v>129</v>
      </c>
      <c r="R53" s="18" t="s">
        <v>161</v>
      </c>
      <c r="S53" s="18" t="s">
        <v>1367</v>
      </c>
      <c r="T53" s="18" t="s">
        <v>946</v>
      </c>
      <c r="U53" s="12">
        <v>40107</v>
      </c>
      <c r="V53" s="20" t="s">
        <v>307</v>
      </c>
      <c r="Z53" s="18"/>
      <c r="AA53" s="18"/>
      <c r="AB53" s="18"/>
      <c r="AC53" s="18"/>
      <c r="AD53" s="18"/>
      <c r="AE53" s="18"/>
      <c r="AF53" s="18"/>
      <c r="AG53" s="18"/>
      <c r="AH53" s="24"/>
      <c r="AI53" s="8"/>
      <c r="AJ53" s="8"/>
      <c r="AK53" s="8"/>
      <c r="AL53" s="8"/>
      <c r="AM53" s="8"/>
      <c r="AN53" s="8"/>
      <c r="CA53" s="1" t="s">
        <v>71</v>
      </c>
      <c r="CB53" s="1" t="s">
        <v>18</v>
      </c>
      <c r="CC53" s="1" t="s">
        <v>308</v>
      </c>
      <c r="CE53" s="139" t="str">
        <f>SH[[#This Row],[Part Type]]</f>
        <v>Safety Head</v>
      </c>
      <c r="CF53" s="139" t="str">
        <f>SH[[#This Row],[Part Number]]</f>
        <v>60-61HF4</v>
      </c>
      <c r="CG53" s="128" t="str">
        <f>SH[[#This Row],[UID]]</f>
        <v>SH-17</v>
      </c>
      <c r="CK53" s="8" t="str">
        <f>IF(SH[[#This Row],[Status]]=0,"",SH[[#This Row],[Status]])</f>
        <v>Active</v>
      </c>
    </row>
    <row r="54" spans="1:89">
      <c r="A54" s="18" t="s">
        <v>120</v>
      </c>
      <c r="B54" s="18" t="s">
        <v>894</v>
      </c>
      <c r="C54" s="18" t="s">
        <v>1393</v>
      </c>
      <c r="D54" s="17">
        <v>220930</v>
      </c>
      <c r="E54" s="56">
        <v>313.18299999999999</v>
      </c>
      <c r="F54" s="18" t="s">
        <v>173</v>
      </c>
      <c r="G54" s="18" t="s">
        <v>1368</v>
      </c>
      <c r="H54" s="18" t="s">
        <v>1369</v>
      </c>
      <c r="I54" s="18">
        <v>353</v>
      </c>
      <c r="J54" s="18">
        <v>130</v>
      </c>
      <c r="K54" s="18">
        <v>60000</v>
      </c>
      <c r="L54" s="18" t="s">
        <v>243</v>
      </c>
      <c r="M54" s="18" t="s">
        <v>1366</v>
      </c>
      <c r="N54" s="18" t="s">
        <v>129</v>
      </c>
      <c r="O54" s="18">
        <v>2.875</v>
      </c>
      <c r="P54" s="11" t="s">
        <v>129</v>
      </c>
      <c r="Q54" s="11" t="s">
        <v>129</v>
      </c>
      <c r="R54" s="18" t="s">
        <v>161</v>
      </c>
      <c r="S54" s="18" t="s">
        <v>1367</v>
      </c>
      <c r="T54" s="18" t="s">
        <v>948</v>
      </c>
      <c r="U54" s="12">
        <v>40107</v>
      </c>
      <c r="V54" s="20" t="s">
        <v>307</v>
      </c>
      <c r="Z54" s="18"/>
      <c r="AA54" s="18"/>
      <c r="AB54" s="18"/>
      <c r="AC54" s="18"/>
      <c r="AD54" s="18"/>
      <c r="AE54" s="18"/>
      <c r="AF54" s="18"/>
      <c r="AG54" s="18"/>
      <c r="AH54" s="24"/>
      <c r="AI54" s="8"/>
      <c r="AJ54" s="8"/>
      <c r="AK54" s="8"/>
      <c r="AL54" s="8"/>
      <c r="AM54" s="8"/>
      <c r="AN54" s="8"/>
      <c r="CA54" s="1" t="s">
        <v>71</v>
      </c>
      <c r="CB54" s="1" t="s">
        <v>18</v>
      </c>
      <c r="CC54" s="1" t="s">
        <v>308</v>
      </c>
      <c r="CE54" s="139" t="str">
        <f>SH[[#This Row],[Part Type]]</f>
        <v>Safety Head</v>
      </c>
      <c r="CF54" s="139" t="str">
        <f>SH[[#This Row],[Part Number]]</f>
        <v>60-61HF4</v>
      </c>
      <c r="CG54" s="128" t="str">
        <f>SH[[#This Row],[UID]]</f>
        <v>SH-18</v>
      </c>
      <c r="CK54" s="8" t="str">
        <f>IF(SH[[#This Row],[Status]]=0,"",SH[[#This Row],[Status]])</f>
        <v>Active</v>
      </c>
    </row>
    <row r="55" spans="1:89">
      <c r="A55" s="18" t="s">
        <v>120</v>
      </c>
      <c r="B55" s="18" t="s">
        <v>894</v>
      </c>
      <c r="C55" s="18" t="s">
        <v>1394</v>
      </c>
      <c r="D55" s="17">
        <v>220930</v>
      </c>
      <c r="E55" s="56">
        <v>313.86399999999998</v>
      </c>
      <c r="F55" s="18" t="s">
        <v>173</v>
      </c>
      <c r="G55" s="18" t="s">
        <v>1368</v>
      </c>
      <c r="H55" s="18" t="s">
        <v>1369</v>
      </c>
      <c r="I55" s="18">
        <v>353</v>
      </c>
      <c r="J55" s="18">
        <v>130</v>
      </c>
      <c r="K55" s="18">
        <v>60000</v>
      </c>
      <c r="L55" s="18" t="s">
        <v>243</v>
      </c>
      <c r="M55" s="18" t="s">
        <v>1366</v>
      </c>
      <c r="N55" s="18" t="s">
        <v>129</v>
      </c>
      <c r="O55" s="18">
        <v>2.875</v>
      </c>
      <c r="P55" s="11" t="s">
        <v>129</v>
      </c>
      <c r="Q55" s="11" t="s">
        <v>129</v>
      </c>
      <c r="R55" s="18" t="s">
        <v>161</v>
      </c>
      <c r="S55" s="18" t="s">
        <v>1367</v>
      </c>
      <c r="T55" s="18" t="s">
        <v>950</v>
      </c>
      <c r="U55" s="12">
        <v>40107</v>
      </c>
      <c r="V55" s="20" t="s">
        <v>307</v>
      </c>
      <c r="Z55" s="18"/>
      <c r="AA55" s="18"/>
      <c r="AB55" s="18"/>
      <c r="AC55" s="18"/>
      <c r="AD55" s="18"/>
      <c r="AE55" s="18"/>
      <c r="AF55" s="18"/>
      <c r="AG55" s="18"/>
      <c r="AH55" s="24"/>
      <c r="AI55" s="8"/>
      <c r="AJ55" s="8"/>
      <c r="AK55" s="8"/>
      <c r="AL55" s="8"/>
      <c r="AM55" s="8"/>
      <c r="AN55" s="8"/>
      <c r="CA55" s="1" t="s">
        <v>71</v>
      </c>
      <c r="CB55" s="1" t="s">
        <v>18</v>
      </c>
      <c r="CC55" s="1" t="s">
        <v>308</v>
      </c>
      <c r="CE55" s="139" t="str">
        <f>SH[[#This Row],[Part Type]]</f>
        <v>Safety Head</v>
      </c>
      <c r="CF55" s="139" t="str">
        <f>SH[[#This Row],[Part Number]]</f>
        <v>60-61HF4</v>
      </c>
      <c r="CG55" s="128" t="str">
        <f>SH[[#This Row],[UID]]</f>
        <v>SH-19</v>
      </c>
      <c r="CK55" s="8" t="str">
        <f>IF(SH[[#This Row],[Status]]=0,"",SH[[#This Row],[Status]])</f>
        <v>Active</v>
      </c>
    </row>
    <row r="56" spans="1:89">
      <c r="A56" s="18" t="s">
        <v>120</v>
      </c>
      <c r="B56" s="18" t="s">
        <v>894</v>
      </c>
      <c r="C56" s="18" t="s">
        <v>1007</v>
      </c>
      <c r="D56" s="17">
        <v>220930</v>
      </c>
      <c r="E56" s="56">
        <v>314.08999999999997</v>
      </c>
      <c r="F56" s="18" t="s">
        <v>173</v>
      </c>
      <c r="G56" s="18" t="s">
        <v>1368</v>
      </c>
      <c r="H56" s="18" t="s">
        <v>1395</v>
      </c>
      <c r="I56" s="18">
        <v>313</v>
      </c>
      <c r="J56" s="18">
        <v>130</v>
      </c>
      <c r="K56" s="18">
        <v>60000</v>
      </c>
      <c r="L56" s="18" t="s">
        <v>243</v>
      </c>
      <c r="M56" s="18" t="s">
        <v>1366</v>
      </c>
      <c r="N56" s="18" t="s">
        <v>129</v>
      </c>
      <c r="O56" s="18">
        <v>2.875</v>
      </c>
      <c r="P56" s="11" t="s">
        <v>129</v>
      </c>
      <c r="Q56" s="11" t="s">
        <v>129</v>
      </c>
      <c r="R56" s="18" t="s">
        <v>161</v>
      </c>
      <c r="S56" s="18" t="s">
        <v>1367</v>
      </c>
      <c r="T56" s="18" t="s">
        <v>953</v>
      </c>
      <c r="U56" s="12">
        <v>40605</v>
      </c>
      <c r="V56" s="20" t="s">
        <v>307</v>
      </c>
      <c r="Z56" s="18"/>
      <c r="AA56" s="18"/>
      <c r="AB56" s="18"/>
      <c r="AC56" s="18"/>
      <c r="AD56" s="18"/>
      <c r="AE56" s="18"/>
      <c r="AF56" s="18"/>
      <c r="AG56" s="18"/>
      <c r="AH56" s="24"/>
      <c r="AI56" s="8"/>
      <c r="AJ56" s="8"/>
      <c r="AK56" s="8"/>
      <c r="AL56" s="8"/>
      <c r="AM56" s="8"/>
      <c r="AN56" s="8"/>
      <c r="CA56" s="1" t="s">
        <v>71</v>
      </c>
      <c r="CB56" s="1" t="s">
        <v>18</v>
      </c>
      <c r="CC56" s="1" t="s">
        <v>308</v>
      </c>
      <c r="CE56" s="139" t="str">
        <f>SH[[#This Row],[Part Type]]</f>
        <v>Safety Head</v>
      </c>
      <c r="CF56" s="139" t="str">
        <f>SH[[#This Row],[Part Number]]</f>
        <v>60-61HF4</v>
      </c>
      <c r="CG56" s="128" t="str">
        <f>SH[[#This Row],[UID]]</f>
        <v>SH-20</v>
      </c>
      <c r="CK56" s="8" t="str">
        <f>IF(SH[[#This Row],[Status]]=0,"",SH[[#This Row],[Status]])</f>
        <v>Active</v>
      </c>
    </row>
    <row r="57" spans="1:89">
      <c r="A57" s="18" t="s">
        <v>120</v>
      </c>
      <c r="B57" s="18" t="s">
        <v>894</v>
      </c>
      <c r="C57" s="18" t="s">
        <v>1396</v>
      </c>
      <c r="D57" s="17">
        <v>220930</v>
      </c>
      <c r="E57" s="56">
        <v>313.25200000000001</v>
      </c>
      <c r="F57" s="18" t="s">
        <v>173</v>
      </c>
      <c r="G57" s="18" t="s">
        <v>1368</v>
      </c>
      <c r="H57" s="18" t="s">
        <v>1369</v>
      </c>
      <c r="I57" s="18">
        <v>356</v>
      </c>
      <c r="J57" s="18">
        <v>130</v>
      </c>
      <c r="K57" s="18">
        <v>60000</v>
      </c>
      <c r="L57" s="18" t="s">
        <v>243</v>
      </c>
      <c r="M57" s="18" t="s">
        <v>1366</v>
      </c>
      <c r="N57" s="18" t="s">
        <v>129</v>
      </c>
      <c r="O57" s="18">
        <v>2.875</v>
      </c>
      <c r="P57" s="11" t="s">
        <v>129</v>
      </c>
      <c r="Q57" s="11" t="s">
        <v>129</v>
      </c>
      <c r="R57" s="18" t="s">
        <v>161</v>
      </c>
      <c r="S57" s="18" t="s">
        <v>1367</v>
      </c>
      <c r="T57" s="18" t="s">
        <v>1379</v>
      </c>
      <c r="U57" s="12">
        <v>40697</v>
      </c>
      <c r="V57" s="20" t="s">
        <v>307</v>
      </c>
      <c r="Z57" s="18"/>
      <c r="AA57" s="18"/>
      <c r="AB57" s="18"/>
      <c r="AC57" s="18"/>
      <c r="AD57" s="18"/>
      <c r="AE57" s="18"/>
      <c r="AF57" s="18"/>
      <c r="AG57" s="18"/>
      <c r="AH57" s="24"/>
      <c r="AI57" s="8"/>
      <c r="AJ57" s="8"/>
      <c r="AK57" s="8"/>
      <c r="AL57" s="8"/>
      <c r="AM57" s="8"/>
      <c r="AN57" s="8"/>
      <c r="CA57" s="1" t="s">
        <v>71</v>
      </c>
      <c r="CB57" s="1" t="s">
        <v>18</v>
      </c>
      <c r="CC57" s="1" t="s">
        <v>308</v>
      </c>
      <c r="CE57" s="139" t="str">
        <f>SH[[#This Row],[Part Type]]</f>
        <v>Safety Head</v>
      </c>
      <c r="CF57" s="139" t="str">
        <f>SH[[#This Row],[Part Number]]</f>
        <v>60-61HF4</v>
      </c>
      <c r="CG57" s="128" t="str">
        <f>SH[[#This Row],[UID]]</f>
        <v>SH-21</v>
      </c>
      <c r="CK57" s="8" t="str">
        <f>IF(SH[[#This Row],[Status]]=0,"",SH[[#This Row],[Status]])</f>
        <v>Active</v>
      </c>
    </row>
    <row r="58" spans="1:89">
      <c r="A58" s="18" t="s">
        <v>120</v>
      </c>
      <c r="B58" s="18" t="s">
        <v>894</v>
      </c>
      <c r="C58" s="18" t="s">
        <v>1397</v>
      </c>
      <c r="D58" s="17">
        <v>220930</v>
      </c>
      <c r="E58" s="56">
        <v>314.58699999999999</v>
      </c>
      <c r="F58" s="18" t="s">
        <v>173</v>
      </c>
      <c r="G58" s="18" t="s">
        <v>1368</v>
      </c>
      <c r="H58" s="18" t="s">
        <v>1395</v>
      </c>
      <c r="I58" s="18">
        <v>313</v>
      </c>
      <c r="J58" s="18">
        <v>130</v>
      </c>
      <c r="K58" s="18">
        <v>60000</v>
      </c>
      <c r="L58" s="18" t="s">
        <v>243</v>
      </c>
      <c r="M58" s="18" t="s">
        <v>1366</v>
      </c>
      <c r="N58" s="18" t="s">
        <v>129</v>
      </c>
      <c r="O58" s="18">
        <v>2.875</v>
      </c>
      <c r="P58" s="11" t="s">
        <v>129</v>
      </c>
      <c r="Q58" s="11" t="s">
        <v>129</v>
      </c>
      <c r="R58" s="18" t="s">
        <v>161</v>
      </c>
      <c r="S58" s="18" t="s">
        <v>1367</v>
      </c>
      <c r="T58" s="18" t="s">
        <v>955</v>
      </c>
      <c r="U58" s="12">
        <v>40605</v>
      </c>
      <c r="V58" s="20" t="s">
        <v>307</v>
      </c>
      <c r="Z58" s="18"/>
      <c r="AA58" s="18"/>
      <c r="AB58" s="18"/>
      <c r="AC58" s="18"/>
      <c r="AD58" s="18"/>
      <c r="AE58" s="18"/>
      <c r="AF58" s="18"/>
      <c r="AG58" s="18"/>
      <c r="AH58" s="24"/>
      <c r="AI58" s="8"/>
      <c r="AJ58" s="8"/>
      <c r="AK58" s="8"/>
      <c r="AL58" s="8"/>
      <c r="AM58" s="8"/>
      <c r="AN58" s="8"/>
      <c r="CA58" s="1" t="s">
        <v>71</v>
      </c>
      <c r="CB58" s="1" t="s">
        <v>18</v>
      </c>
      <c r="CC58" s="1" t="s">
        <v>308</v>
      </c>
      <c r="CE58" s="139" t="str">
        <f>SH[[#This Row],[Part Type]]</f>
        <v>Safety Head</v>
      </c>
      <c r="CF58" s="139" t="str">
        <f>SH[[#This Row],[Part Number]]</f>
        <v>60-61HF4</v>
      </c>
      <c r="CG58" s="128" t="str">
        <f>SH[[#This Row],[UID]]</f>
        <v>SH-22</v>
      </c>
      <c r="CK58" s="8" t="str">
        <f>IF(SH[[#This Row],[Status]]=0,"",SH[[#This Row],[Status]])</f>
        <v>Active</v>
      </c>
    </row>
    <row r="59" spans="1:89">
      <c r="A59" s="18" t="s">
        <v>120</v>
      </c>
      <c r="B59" s="18" t="s">
        <v>894</v>
      </c>
      <c r="C59" s="18" t="s">
        <v>1013</v>
      </c>
      <c r="D59" s="17">
        <v>220930</v>
      </c>
      <c r="E59" s="56">
        <v>313.601</v>
      </c>
      <c r="F59" s="18" t="s">
        <v>173</v>
      </c>
      <c r="G59" s="18" t="s">
        <v>1368</v>
      </c>
      <c r="H59" s="18" t="s">
        <v>1369</v>
      </c>
      <c r="I59" s="18">
        <v>356</v>
      </c>
      <c r="J59" s="18">
        <v>130</v>
      </c>
      <c r="K59" s="18">
        <v>60000</v>
      </c>
      <c r="L59" s="18" t="s">
        <v>243</v>
      </c>
      <c r="M59" s="18" t="s">
        <v>1366</v>
      </c>
      <c r="N59" s="18" t="s">
        <v>129</v>
      </c>
      <c r="O59" s="18">
        <v>2.875</v>
      </c>
      <c r="P59" s="11" t="s">
        <v>129</v>
      </c>
      <c r="Q59" s="11" t="s">
        <v>129</v>
      </c>
      <c r="R59" s="18" t="s">
        <v>161</v>
      </c>
      <c r="S59" s="18" t="s">
        <v>1367</v>
      </c>
      <c r="T59" s="18" t="s">
        <v>1380</v>
      </c>
      <c r="U59" s="12">
        <v>40697</v>
      </c>
      <c r="V59" s="20" t="s">
        <v>307</v>
      </c>
      <c r="Z59" s="18"/>
      <c r="AA59" s="18"/>
      <c r="AB59" s="18"/>
      <c r="AC59" s="18"/>
      <c r="AD59" s="18"/>
      <c r="AE59" s="18"/>
      <c r="AF59" s="18"/>
      <c r="AG59" s="18"/>
      <c r="AH59" s="24"/>
      <c r="AI59" s="8"/>
      <c r="AJ59" s="8"/>
      <c r="AK59" s="8"/>
      <c r="AL59" s="8"/>
      <c r="AM59" s="8"/>
      <c r="AN59" s="8"/>
      <c r="CA59" s="1" t="s">
        <v>71</v>
      </c>
      <c r="CB59" s="1" t="s">
        <v>18</v>
      </c>
      <c r="CC59" s="1" t="s">
        <v>308</v>
      </c>
      <c r="CE59" s="139" t="str">
        <f>SH[[#This Row],[Part Type]]</f>
        <v>Safety Head</v>
      </c>
      <c r="CF59" s="139" t="str">
        <f>SH[[#This Row],[Part Number]]</f>
        <v>60-61HF4</v>
      </c>
      <c r="CG59" s="128" t="str">
        <f>SH[[#This Row],[UID]]</f>
        <v>SH-23</v>
      </c>
      <c r="CK59" s="8" t="str">
        <f>IF(SH[[#This Row],[Status]]=0,"",SH[[#This Row],[Status]])</f>
        <v>Active</v>
      </c>
    </row>
    <row r="60" spans="1:89">
      <c r="A60" s="18" t="s">
        <v>120</v>
      </c>
      <c r="B60" s="18" t="s">
        <v>894</v>
      </c>
      <c r="C60" s="18" t="s">
        <v>1398</v>
      </c>
      <c r="D60" s="17">
        <v>220930</v>
      </c>
      <c r="E60" s="56">
        <v>314.87299999999999</v>
      </c>
      <c r="F60" s="18" t="s">
        <v>173</v>
      </c>
      <c r="G60" s="18" t="s">
        <v>1368</v>
      </c>
      <c r="H60" s="18" t="s">
        <v>1395</v>
      </c>
      <c r="I60" s="18">
        <v>313</v>
      </c>
      <c r="J60" s="18">
        <v>130</v>
      </c>
      <c r="K60" s="18">
        <v>60000</v>
      </c>
      <c r="L60" s="18" t="s">
        <v>243</v>
      </c>
      <c r="M60" s="18" t="s">
        <v>1366</v>
      </c>
      <c r="N60" s="18" t="s">
        <v>129</v>
      </c>
      <c r="O60" s="18">
        <v>2.875</v>
      </c>
      <c r="P60" s="11" t="s">
        <v>129</v>
      </c>
      <c r="Q60" s="11" t="s">
        <v>129</v>
      </c>
      <c r="R60" s="18" t="s">
        <v>161</v>
      </c>
      <c r="S60" s="18" t="s">
        <v>1367</v>
      </c>
      <c r="T60" s="18" t="s">
        <v>957</v>
      </c>
      <c r="U60" s="12">
        <v>40605</v>
      </c>
      <c r="V60" s="20" t="s">
        <v>307</v>
      </c>
      <c r="Z60" s="18"/>
      <c r="AA60" s="18"/>
      <c r="AB60" s="18"/>
      <c r="AC60" s="18"/>
      <c r="AD60" s="18"/>
      <c r="AE60" s="18"/>
      <c r="AF60" s="18"/>
      <c r="AG60" s="18"/>
      <c r="AH60" s="24"/>
      <c r="AI60" s="8"/>
      <c r="AJ60" s="8"/>
      <c r="AK60" s="8"/>
      <c r="AL60" s="8"/>
      <c r="AM60" s="8"/>
      <c r="AN60" s="8"/>
      <c r="CA60" s="1" t="s">
        <v>71</v>
      </c>
      <c r="CB60" s="1" t="s">
        <v>18</v>
      </c>
      <c r="CC60" s="1" t="s">
        <v>308</v>
      </c>
      <c r="CE60" s="139" t="str">
        <f>SH[[#This Row],[Part Type]]</f>
        <v>Safety Head</v>
      </c>
      <c r="CF60" s="139" t="str">
        <f>SH[[#This Row],[Part Number]]</f>
        <v>60-61HF4</v>
      </c>
      <c r="CG60" s="128" t="str">
        <f>SH[[#This Row],[UID]]</f>
        <v>SH-24</v>
      </c>
      <c r="CK60" s="8" t="str">
        <f>IF(SH[[#This Row],[Status]]=0,"",SH[[#This Row],[Status]])</f>
        <v>Active</v>
      </c>
    </row>
    <row r="61" spans="1:89">
      <c r="A61" s="18" t="s">
        <v>120</v>
      </c>
      <c r="B61" s="18" t="s">
        <v>894</v>
      </c>
      <c r="C61" s="18" t="s">
        <v>1020</v>
      </c>
      <c r="D61" s="17">
        <v>220929</v>
      </c>
      <c r="E61" s="56">
        <v>313.53100000000001</v>
      </c>
      <c r="F61" s="18" t="s">
        <v>173</v>
      </c>
      <c r="G61" s="18" t="s">
        <v>1368</v>
      </c>
      <c r="H61" s="18" t="s">
        <v>1369</v>
      </c>
      <c r="I61" s="18">
        <v>356</v>
      </c>
      <c r="J61" s="18">
        <v>130</v>
      </c>
      <c r="K61" s="18">
        <v>60000</v>
      </c>
      <c r="L61" s="18" t="s">
        <v>243</v>
      </c>
      <c r="M61" s="18" t="s">
        <v>1366</v>
      </c>
      <c r="N61" s="18" t="s">
        <v>129</v>
      </c>
      <c r="O61" s="18">
        <v>2.875</v>
      </c>
      <c r="P61" s="11" t="s">
        <v>129</v>
      </c>
      <c r="Q61" s="11" t="s">
        <v>129</v>
      </c>
      <c r="R61" s="18" t="s">
        <v>161</v>
      </c>
      <c r="S61" s="18" t="s">
        <v>1367</v>
      </c>
      <c r="T61" s="18" t="s">
        <v>1381</v>
      </c>
      <c r="U61" s="12">
        <v>40697</v>
      </c>
      <c r="V61" s="20" t="s">
        <v>307</v>
      </c>
      <c r="Z61" s="18"/>
      <c r="AA61" s="18"/>
      <c r="AB61" s="18"/>
      <c r="AC61" s="18"/>
      <c r="AD61" s="18"/>
      <c r="AE61" s="18"/>
      <c r="AF61" s="18"/>
      <c r="AG61" s="18"/>
      <c r="AH61" s="24"/>
      <c r="AI61" s="8"/>
      <c r="AJ61" s="8"/>
      <c r="AK61" s="8"/>
      <c r="AL61" s="8"/>
      <c r="AM61" s="8"/>
      <c r="AN61" s="8"/>
      <c r="CA61" s="1" t="s">
        <v>71</v>
      </c>
      <c r="CB61" s="1" t="s">
        <v>18</v>
      </c>
      <c r="CC61" s="1" t="s">
        <v>308</v>
      </c>
      <c r="CE61" s="139" t="str">
        <f>SH[[#This Row],[Part Type]]</f>
        <v>Safety Head</v>
      </c>
      <c r="CF61" s="139" t="str">
        <f>SH[[#This Row],[Part Number]]</f>
        <v>60-61HF4</v>
      </c>
      <c r="CG61" s="128" t="str">
        <f>SH[[#This Row],[UID]]</f>
        <v>SH-25</v>
      </c>
      <c r="CK61" s="8" t="str">
        <f>IF(SH[[#This Row],[Status]]=0,"",SH[[#This Row],[Status]])</f>
        <v>Active</v>
      </c>
    </row>
    <row r="62" spans="1:89">
      <c r="A62" s="18" t="s">
        <v>120</v>
      </c>
      <c r="B62" s="18" t="s">
        <v>894</v>
      </c>
      <c r="C62" s="18" t="s">
        <v>1399</v>
      </c>
      <c r="D62" s="17">
        <v>220930</v>
      </c>
      <c r="E62" s="56">
        <v>313.80099999999999</v>
      </c>
      <c r="F62" s="18" t="s">
        <v>173</v>
      </c>
      <c r="G62" s="18" t="s">
        <v>1368</v>
      </c>
      <c r="H62" s="18" t="s">
        <v>1382</v>
      </c>
      <c r="I62" s="18">
        <v>403</v>
      </c>
      <c r="J62" s="18">
        <v>130</v>
      </c>
      <c r="K62" s="18">
        <v>60000</v>
      </c>
      <c r="L62" s="18" t="s">
        <v>243</v>
      </c>
      <c r="M62" s="18" t="s">
        <v>1366</v>
      </c>
      <c r="N62" s="18" t="s">
        <v>129</v>
      </c>
      <c r="O62" s="18">
        <v>2.875</v>
      </c>
      <c r="P62" s="11" t="s">
        <v>129</v>
      </c>
      <c r="Q62" s="11" t="s">
        <v>129</v>
      </c>
      <c r="R62" s="18" t="s">
        <v>161</v>
      </c>
      <c r="S62" s="18" t="s">
        <v>1367</v>
      </c>
      <c r="T62" s="18" t="s">
        <v>959</v>
      </c>
      <c r="U62" s="12">
        <v>40107</v>
      </c>
      <c r="V62" s="20" t="s">
        <v>307</v>
      </c>
      <c r="Z62" s="18"/>
      <c r="AA62" s="18"/>
      <c r="AB62" s="18"/>
      <c r="AC62" s="18"/>
      <c r="AD62" s="18"/>
      <c r="AE62" s="18"/>
      <c r="AF62" s="18"/>
      <c r="AG62" s="18"/>
      <c r="AH62" s="24"/>
      <c r="AI62" s="8"/>
      <c r="AJ62" s="8"/>
      <c r="AK62" s="8"/>
      <c r="AL62" s="8"/>
      <c r="AM62" s="8"/>
      <c r="AN62" s="8"/>
      <c r="CA62" s="1" t="s">
        <v>71</v>
      </c>
      <c r="CB62" s="1" t="s">
        <v>18</v>
      </c>
      <c r="CC62" s="1" t="s">
        <v>308</v>
      </c>
      <c r="CE62" s="139" t="str">
        <f>SH[[#This Row],[Part Type]]</f>
        <v>Safety Head</v>
      </c>
      <c r="CF62" s="139" t="str">
        <f>SH[[#This Row],[Part Number]]</f>
        <v>60-61HF4</v>
      </c>
      <c r="CG62" s="128" t="str">
        <f>SH[[#This Row],[UID]]</f>
        <v>SH-26</v>
      </c>
      <c r="CK62" s="8" t="str">
        <f>IF(SH[[#This Row],[Status]]=0,"",SH[[#This Row],[Status]])</f>
        <v>Active</v>
      </c>
    </row>
    <row r="63" spans="1:89">
      <c r="A63" s="18" t="s">
        <v>120</v>
      </c>
      <c r="B63" s="18" t="s">
        <v>894</v>
      </c>
      <c r="C63" s="18" t="s">
        <v>1400</v>
      </c>
      <c r="D63" s="17">
        <v>220930</v>
      </c>
      <c r="E63" s="56">
        <v>313.59100000000001</v>
      </c>
      <c r="F63" s="18" t="s">
        <v>173</v>
      </c>
      <c r="G63" s="18" t="s">
        <v>1368</v>
      </c>
      <c r="H63" s="18" t="s">
        <v>1382</v>
      </c>
      <c r="I63" s="18">
        <v>403</v>
      </c>
      <c r="J63" s="18">
        <v>130</v>
      </c>
      <c r="K63" s="18">
        <v>60000</v>
      </c>
      <c r="L63" s="18" t="s">
        <v>243</v>
      </c>
      <c r="M63" s="18" t="s">
        <v>1366</v>
      </c>
      <c r="N63" s="18" t="s">
        <v>129</v>
      </c>
      <c r="O63" s="18">
        <v>2.875</v>
      </c>
      <c r="P63" s="11" t="s">
        <v>129</v>
      </c>
      <c r="Q63" s="11" t="s">
        <v>129</v>
      </c>
      <c r="R63" s="18" t="s">
        <v>161</v>
      </c>
      <c r="S63" s="18" t="s">
        <v>1367</v>
      </c>
      <c r="T63" s="18" t="s">
        <v>961</v>
      </c>
      <c r="U63" s="12">
        <v>40107</v>
      </c>
      <c r="V63" s="20" t="s">
        <v>307</v>
      </c>
      <c r="Z63" s="18"/>
      <c r="AA63" s="18"/>
      <c r="AB63" s="18"/>
      <c r="AC63" s="18"/>
      <c r="AD63" s="18"/>
      <c r="AE63" s="18"/>
      <c r="AF63" s="18"/>
      <c r="AG63" s="18"/>
      <c r="AH63" s="18"/>
      <c r="AI63" s="8"/>
      <c r="AJ63" s="8"/>
      <c r="AK63" s="8"/>
      <c r="AL63" s="8"/>
      <c r="AM63" s="8"/>
      <c r="AN63" s="8"/>
      <c r="CA63" s="1" t="s">
        <v>71</v>
      </c>
      <c r="CB63" s="1" t="s">
        <v>18</v>
      </c>
      <c r="CC63" s="1" t="s">
        <v>308</v>
      </c>
      <c r="CE63" s="139" t="str">
        <f>SH[[#This Row],[Part Type]]</f>
        <v>Safety Head</v>
      </c>
      <c r="CF63" s="139" t="str">
        <f>SH[[#This Row],[Part Number]]</f>
        <v>60-61HF4</v>
      </c>
      <c r="CG63" s="128" t="str">
        <f>SH[[#This Row],[UID]]</f>
        <v>SH-27</v>
      </c>
      <c r="CK63" s="8" t="str">
        <f>IF(SH[[#This Row],[Status]]=0,"",SH[[#This Row],[Status]])</f>
        <v>Active</v>
      </c>
    </row>
    <row r="64" spans="1:89">
      <c r="A64" s="18" t="s">
        <v>120</v>
      </c>
      <c r="B64" s="18" t="s">
        <v>894</v>
      </c>
      <c r="C64" s="18" t="s">
        <v>1401</v>
      </c>
      <c r="D64" s="17">
        <v>220930</v>
      </c>
      <c r="E64" s="56">
        <v>293.928</v>
      </c>
      <c r="F64" s="18" t="s">
        <v>173</v>
      </c>
      <c r="G64" s="18" t="s">
        <v>1368</v>
      </c>
      <c r="H64" s="18" t="s">
        <v>1371</v>
      </c>
      <c r="I64" s="18">
        <v>356</v>
      </c>
      <c r="J64" s="18">
        <v>130</v>
      </c>
      <c r="K64" s="18">
        <v>60000</v>
      </c>
      <c r="L64" s="18" t="s">
        <v>243</v>
      </c>
      <c r="M64" s="18" t="s">
        <v>1366</v>
      </c>
      <c r="N64" s="18" t="s">
        <v>129</v>
      </c>
      <c r="O64" s="18">
        <v>2.875</v>
      </c>
      <c r="P64" s="11" t="s">
        <v>129</v>
      </c>
      <c r="Q64" s="11" t="s">
        <v>129</v>
      </c>
      <c r="R64" s="18" t="s">
        <v>161</v>
      </c>
      <c r="S64" s="18" t="s">
        <v>1367</v>
      </c>
      <c r="T64" s="18" t="s">
        <v>1402</v>
      </c>
      <c r="U64" s="12">
        <v>40107</v>
      </c>
      <c r="V64" s="20" t="s">
        <v>307</v>
      </c>
      <c r="Z64" s="18"/>
      <c r="AA64" s="18"/>
      <c r="AB64" s="18"/>
      <c r="AC64" s="18"/>
      <c r="AD64" s="18"/>
      <c r="AE64" s="18"/>
      <c r="AF64" s="18"/>
      <c r="AG64" s="18"/>
      <c r="AH64" s="18"/>
      <c r="AI64" s="8"/>
      <c r="AJ64" s="8"/>
      <c r="AK64" s="8"/>
      <c r="AL64" s="8"/>
      <c r="AM64" s="8"/>
      <c r="AN64" s="8"/>
      <c r="CA64" s="1" t="s">
        <v>71</v>
      </c>
      <c r="CB64" s="1" t="s">
        <v>18</v>
      </c>
      <c r="CC64" s="1" t="s">
        <v>308</v>
      </c>
      <c r="CE64" s="139" t="str">
        <f>SH[[#This Row],[Part Type]]</f>
        <v>Safety Head</v>
      </c>
      <c r="CF64" s="139" t="str">
        <f>SH[[#This Row],[Part Number]]</f>
        <v>60-61HF4</v>
      </c>
      <c r="CG64" s="128" t="str">
        <f>SH[[#This Row],[UID]]</f>
        <v>SH-28</v>
      </c>
      <c r="CK64" s="8" t="str">
        <f>IF(SH[[#This Row],[Status]]=0,"",SH[[#This Row],[Status]])</f>
        <v>Active</v>
      </c>
    </row>
    <row r="65" spans="1:89">
      <c r="A65" s="18" t="s">
        <v>140</v>
      </c>
      <c r="B65" s="18" t="s">
        <v>894</v>
      </c>
      <c r="C65" s="18" t="s">
        <v>1403</v>
      </c>
      <c r="D65" s="17">
        <v>220930</v>
      </c>
      <c r="E65" s="56">
        <v>311.43099999999998</v>
      </c>
      <c r="F65" s="18" t="s">
        <v>173</v>
      </c>
      <c r="G65" s="18" t="s">
        <v>1368</v>
      </c>
      <c r="H65" s="18" t="s">
        <v>129</v>
      </c>
      <c r="I65" s="18" t="s">
        <v>129</v>
      </c>
      <c r="J65" s="18" t="s">
        <v>129</v>
      </c>
      <c r="K65" s="18">
        <v>60000</v>
      </c>
      <c r="L65" s="18" t="s">
        <v>243</v>
      </c>
      <c r="M65" s="18" t="s">
        <v>1366</v>
      </c>
      <c r="N65" s="18" t="s">
        <v>129</v>
      </c>
      <c r="O65" s="18">
        <v>2.875</v>
      </c>
      <c r="P65" s="11" t="s">
        <v>129</v>
      </c>
      <c r="Q65" s="11" t="s">
        <v>129</v>
      </c>
      <c r="R65" s="18" t="s">
        <v>161</v>
      </c>
      <c r="S65" s="18" t="s">
        <v>1367</v>
      </c>
      <c r="T65" s="18" t="s">
        <v>129</v>
      </c>
      <c r="U65" s="18" t="s">
        <v>129</v>
      </c>
      <c r="V65" s="20" t="s">
        <v>307</v>
      </c>
      <c r="Z65" s="18"/>
      <c r="AA65" s="18"/>
      <c r="AB65" s="18"/>
      <c r="AC65" s="18"/>
      <c r="AD65" s="18"/>
      <c r="AE65" s="18"/>
      <c r="AF65" s="18"/>
      <c r="AG65" s="18"/>
      <c r="AH65" s="24"/>
      <c r="AI65" s="8"/>
      <c r="AJ65" s="8"/>
      <c r="AK65" s="8"/>
      <c r="AL65" s="8"/>
      <c r="AM65" s="8"/>
      <c r="AN65" s="8"/>
      <c r="CA65" s="1" t="s">
        <v>71</v>
      </c>
      <c r="CB65" s="1" t="s">
        <v>18</v>
      </c>
      <c r="CC65" s="1" t="s">
        <v>308</v>
      </c>
      <c r="CE65" s="139" t="str">
        <f>SH[[#This Row],[Part Type]]</f>
        <v>Safety Head</v>
      </c>
      <c r="CF65" s="139" t="str">
        <f>SH[[#This Row],[Part Number]]</f>
        <v>60-61HF4</v>
      </c>
      <c r="CG65" s="128" t="str">
        <f>SH[[#This Row],[UID]]</f>
        <v>SH-29</v>
      </c>
      <c r="CK65" s="8" t="str">
        <f>IF(SH[[#This Row],[Status]]=0,"",SH[[#This Row],[Status]])</f>
        <v>New</v>
      </c>
    </row>
    <row r="66" spans="1:89">
      <c r="A66" s="18" t="s">
        <v>140</v>
      </c>
      <c r="B66" s="18" t="s">
        <v>894</v>
      </c>
      <c r="C66" s="18" t="s">
        <v>1404</v>
      </c>
      <c r="D66" s="17">
        <v>220930</v>
      </c>
      <c r="E66" s="56">
        <v>311.37900000000002</v>
      </c>
      <c r="F66" s="18" t="s">
        <v>173</v>
      </c>
      <c r="G66" s="18" t="s">
        <v>1368</v>
      </c>
      <c r="H66" s="18" t="s">
        <v>129</v>
      </c>
      <c r="I66" s="18" t="s">
        <v>129</v>
      </c>
      <c r="J66" s="18" t="s">
        <v>129</v>
      </c>
      <c r="K66" s="18">
        <v>60000</v>
      </c>
      <c r="L66" s="18" t="s">
        <v>243</v>
      </c>
      <c r="M66" s="18" t="s">
        <v>1366</v>
      </c>
      <c r="N66" s="18" t="s">
        <v>129</v>
      </c>
      <c r="O66" s="18">
        <v>2.875</v>
      </c>
      <c r="P66" s="11" t="s">
        <v>129</v>
      </c>
      <c r="Q66" s="11" t="s">
        <v>129</v>
      </c>
      <c r="R66" s="18" t="s">
        <v>161</v>
      </c>
      <c r="S66" s="18" t="s">
        <v>1367</v>
      </c>
      <c r="T66" s="18" t="s">
        <v>129</v>
      </c>
      <c r="U66" s="18" t="s">
        <v>129</v>
      </c>
      <c r="V66" s="20" t="s">
        <v>307</v>
      </c>
      <c r="Z66" s="18"/>
      <c r="AA66" s="18"/>
      <c r="AB66" s="18"/>
      <c r="AC66" s="18"/>
      <c r="AD66" s="18"/>
      <c r="AE66" s="18"/>
      <c r="AF66" s="18"/>
      <c r="AG66" s="18"/>
      <c r="AH66" s="24"/>
      <c r="AI66" s="8"/>
      <c r="AJ66" s="8"/>
      <c r="AK66" s="8"/>
      <c r="AL66" s="8"/>
      <c r="AM66" s="8"/>
      <c r="AN66" s="8"/>
      <c r="CA66" s="1" t="s">
        <v>71</v>
      </c>
      <c r="CB66" s="1" t="s">
        <v>18</v>
      </c>
      <c r="CC66" s="1" t="s">
        <v>308</v>
      </c>
      <c r="CE66" s="139" t="str">
        <f>SH[[#This Row],[Part Type]]</f>
        <v>Safety Head</v>
      </c>
      <c r="CF66" s="139" t="str">
        <f>SH[[#This Row],[Part Number]]</f>
        <v>60-61HF4</v>
      </c>
      <c r="CG66" s="128" t="str">
        <f>SH[[#This Row],[UID]]</f>
        <v>SH-30</v>
      </c>
      <c r="CK66" s="8" t="str">
        <f>IF(SH[[#This Row],[Status]]=0,"",SH[[#This Row],[Status]])</f>
        <v>New</v>
      </c>
    </row>
    <row r="67" spans="1:89">
      <c r="A67" s="18" t="s">
        <v>140</v>
      </c>
      <c r="B67" s="18" t="s">
        <v>894</v>
      </c>
      <c r="C67" s="18" t="s">
        <v>1405</v>
      </c>
      <c r="D67" s="17">
        <v>220930</v>
      </c>
      <c r="E67" s="56">
        <v>311.48500000000001</v>
      </c>
      <c r="F67" s="18" t="s">
        <v>173</v>
      </c>
      <c r="G67" s="18" t="s">
        <v>1368</v>
      </c>
      <c r="H67" s="18" t="s">
        <v>129</v>
      </c>
      <c r="I67" s="18" t="s">
        <v>129</v>
      </c>
      <c r="J67" s="18" t="s">
        <v>129</v>
      </c>
      <c r="K67" s="18">
        <v>60000</v>
      </c>
      <c r="L67" s="18" t="s">
        <v>243</v>
      </c>
      <c r="M67" s="18" t="s">
        <v>1366</v>
      </c>
      <c r="N67" s="18" t="s">
        <v>129</v>
      </c>
      <c r="O67" s="18">
        <v>2.875</v>
      </c>
      <c r="P67" s="11" t="s">
        <v>129</v>
      </c>
      <c r="Q67" s="11" t="s">
        <v>129</v>
      </c>
      <c r="R67" s="18" t="s">
        <v>161</v>
      </c>
      <c r="S67" s="18" t="s">
        <v>1367</v>
      </c>
      <c r="T67" s="18" t="s">
        <v>129</v>
      </c>
      <c r="U67" s="18" t="s">
        <v>129</v>
      </c>
      <c r="V67" s="20" t="s">
        <v>307</v>
      </c>
      <c r="Z67" s="18"/>
      <c r="AA67" s="18"/>
      <c r="AB67" s="18"/>
      <c r="AC67" s="18"/>
      <c r="AD67" s="18"/>
      <c r="AE67" s="18"/>
      <c r="AF67" s="18"/>
      <c r="AG67" s="18"/>
      <c r="AH67" s="24"/>
      <c r="AI67" s="8"/>
      <c r="AJ67" s="8"/>
      <c r="AK67" s="8"/>
      <c r="AL67" s="8"/>
      <c r="AM67" s="8"/>
      <c r="AN67" s="8"/>
      <c r="CA67" s="1" t="s">
        <v>71</v>
      </c>
      <c r="CB67" s="1" t="s">
        <v>18</v>
      </c>
      <c r="CC67" s="1" t="s">
        <v>308</v>
      </c>
      <c r="CE67" s="139" t="str">
        <f>SH[[#This Row],[Part Type]]</f>
        <v>Safety Head</v>
      </c>
      <c r="CF67" s="139" t="str">
        <f>SH[[#This Row],[Part Number]]</f>
        <v>60-61HF4</v>
      </c>
      <c r="CG67" s="128" t="str">
        <f>SH[[#This Row],[UID]]</f>
        <v>SH-31</v>
      </c>
      <c r="CK67" s="8" t="str">
        <f>IF(SH[[#This Row],[Status]]=0,"",SH[[#This Row],[Status]])</f>
        <v>New</v>
      </c>
    </row>
    <row r="68" spans="1:89">
      <c r="A68" s="18" t="s">
        <v>120</v>
      </c>
      <c r="B68" s="18" t="s">
        <v>894</v>
      </c>
      <c r="C68" s="18" t="s">
        <v>1406</v>
      </c>
      <c r="D68" s="11">
        <v>221003</v>
      </c>
      <c r="E68" s="56">
        <v>732.96500000000003</v>
      </c>
      <c r="F68" s="18" t="s">
        <v>173</v>
      </c>
      <c r="G68" s="18" t="s">
        <v>1376</v>
      </c>
      <c r="H68" s="18" t="s">
        <v>1377</v>
      </c>
      <c r="I68" s="18">
        <v>482</v>
      </c>
      <c r="J68" s="18">
        <v>200</v>
      </c>
      <c r="K68" s="18">
        <v>100000</v>
      </c>
      <c r="L68" s="18" t="s">
        <v>243</v>
      </c>
      <c r="M68" s="18" t="s">
        <v>1366</v>
      </c>
      <c r="N68" s="18" t="s">
        <v>129</v>
      </c>
      <c r="O68" s="11">
        <v>3.625</v>
      </c>
      <c r="P68" s="11" t="s">
        <v>129</v>
      </c>
      <c r="Q68" s="11" t="s">
        <v>129</v>
      </c>
      <c r="R68" s="18" t="s">
        <v>161</v>
      </c>
      <c r="S68" s="18" t="s">
        <v>1367</v>
      </c>
      <c r="T68" s="18" t="s">
        <v>940</v>
      </c>
      <c r="U68" s="12">
        <v>40107</v>
      </c>
      <c r="V68" s="24" t="s">
        <v>307</v>
      </c>
      <c r="Z68" s="18"/>
      <c r="AA68" s="18"/>
      <c r="AB68" s="18"/>
      <c r="AC68" s="18"/>
      <c r="AD68" s="18"/>
      <c r="AE68" s="18"/>
      <c r="AF68" s="18"/>
      <c r="AG68" s="18"/>
      <c r="AH68" s="24"/>
      <c r="AI68" s="8"/>
      <c r="AJ68" s="8"/>
      <c r="AK68" s="8"/>
      <c r="AL68" s="8"/>
      <c r="AM68" s="8"/>
      <c r="AN68" s="8"/>
      <c r="CA68" s="1" t="s">
        <v>71</v>
      </c>
      <c r="CB68" s="1" t="s">
        <v>18</v>
      </c>
      <c r="CC68" s="1" t="s">
        <v>308</v>
      </c>
      <c r="CE68" s="139" t="str">
        <f>SH[[#This Row],[Part Type]]</f>
        <v>Safety Head</v>
      </c>
      <c r="CF68" s="139" t="str">
        <f>SH[[#This Row],[Part Number]]</f>
        <v>100-61XF4</v>
      </c>
      <c r="CG68" s="128" t="str">
        <f>SH[[#This Row],[UID]]</f>
        <v>SH-32</v>
      </c>
      <c r="CK68" s="8" t="str">
        <f>IF(SH[[#This Row],[Status]]=0,"",SH[[#This Row],[Status]])</f>
        <v>Active</v>
      </c>
    </row>
    <row r="69" spans="1:89">
      <c r="A69" s="18" t="s">
        <v>120</v>
      </c>
      <c r="B69" s="18" t="s">
        <v>894</v>
      </c>
      <c r="C69" s="18" t="s">
        <v>1407</v>
      </c>
      <c r="D69" s="11">
        <v>221003</v>
      </c>
      <c r="E69" s="56">
        <v>733.51</v>
      </c>
      <c r="F69" s="18" t="s">
        <v>173</v>
      </c>
      <c r="G69" s="18" t="s">
        <v>1376</v>
      </c>
      <c r="H69" s="18" t="s">
        <v>1377</v>
      </c>
      <c r="I69" s="18">
        <v>482</v>
      </c>
      <c r="J69" s="18">
        <v>200</v>
      </c>
      <c r="K69" s="18">
        <v>100000</v>
      </c>
      <c r="L69" s="18" t="s">
        <v>243</v>
      </c>
      <c r="M69" s="18" t="s">
        <v>1366</v>
      </c>
      <c r="N69" s="18" t="s">
        <v>129</v>
      </c>
      <c r="O69" s="11">
        <v>3.625</v>
      </c>
      <c r="P69" s="11" t="s">
        <v>129</v>
      </c>
      <c r="Q69" s="11" t="s">
        <v>129</v>
      </c>
      <c r="R69" s="18" t="s">
        <v>161</v>
      </c>
      <c r="S69" s="18" t="s">
        <v>1367</v>
      </c>
      <c r="T69" s="18" t="s">
        <v>942</v>
      </c>
      <c r="U69" s="12">
        <v>40107</v>
      </c>
      <c r="V69" s="24" t="s">
        <v>307</v>
      </c>
      <c r="Z69" s="18"/>
      <c r="AA69" s="18"/>
      <c r="AB69" s="18"/>
      <c r="AC69" s="18"/>
      <c r="AD69" s="18"/>
      <c r="AE69" s="18"/>
      <c r="AF69" s="18"/>
      <c r="AG69" s="18"/>
      <c r="AH69" s="24"/>
      <c r="AI69" s="8"/>
      <c r="AJ69" s="8"/>
      <c r="AK69" s="8"/>
      <c r="AL69" s="8"/>
      <c r="AM69" s="8"/>
      <c r="AN69" s="8"/>
      <c r="CA69" s="1" t="s">
        <v>71</v>
      </c>
      <c r="CB69" s="1" t="s">
        <v>18</v>
      </c>
      <c r="CC69" s="1" t="s">
        <v>308</v>
      </c>
      <c r="CE69" s="139" t="str">
        <f>SH[[#This Row],[Part Type]]</f>
        <v>Safety Head</v>
      </c>
      <c r="CF69" s="139" t="str">
        <f>SH[[#This Row],[Part Number]]</f>
        <v>100-61XF4</v>
      </c>
      <c r="CG69" s="128" t="str">
        <f>SH[[#This Row],[UID]]</f>
        <v>SH-33</v>
      </c>
      <c r="CK69" s="8" t="str">
        <f>IF(SH[[#This Row],[Status]]=0,"",SH[[#This Row],[Status]])</f>
        <v>Active</v>
      </c>
    </row>
    <row r="70" spans="1:89">
      <c r="A70" s="18" t="s">
        <v>140</v>
      </c>
      <c r="B70" s="18" t="s">
        <v>894</v>
      </c>
      <c r="C70" s="18" t="s">
        <v>1408</v>
      </c>
      <c r="D70" s="11">
        <v>230215</v>
      </c>
      <c r="E70" s="56">
        <v>720.35</v>
      </c>
      <c r="F70" s="18" t="s">
        <v>173</v>
      </c>
      <c r="G70" s="11" t="s">
        <v>1376</v>
      </c>
      <c r="H70" s="11" t="s">
        <v>129</v>
      </c>
      <c r="I70" s="18" t="s">
        <v>129</v>
      </c>
      <c r="J70" s="18" t="s">
        <v>129</v>
      </c>
      <c r="K70" s="11">
        <v>100000</v>
      </c>
      <c r="L70" s="11" t="s">
        <v>243</v>
      </c>
      <c r="M70" s="18" t="s">
        <v>1366</v>
      </c>
      <c r="N70" s="18" t="s">
        <v>129</v>
      </c>
      <c r="O70" s="11">
        <v>3.625</v>
      </c>
      <c r="P70" s="11" t="s">
        <v>129</v>
      </c>
      <c r="Q70" s="11" t="s">
        <v>129</v>
      </c>
      <c r="R70" s="11" t="s">
        <v>161</v>
      </c>
      <c r="S70" s="19" t="s">
        <v>1367</v>
      </c>
      <c r="T70" s="19" t="s">
        <v>129</v>
      </c>
      <c r="U70" s="19" t="s">
        <v>129</v>
      </c>
      <c r="V70" s="24" t="s">
        <v>307</v>
      </c>
      <c r="Z70" s="18"/>
      <c r="AA70" s="18"/>
      <c r="AB70" s="18"/>
      <c r="AC70" s="18"/>
      <c r="AD70" s="18"/>
      <c r="AE70" s="18"/>
      <c r="AF70" s="18"/>
      <c r="AG70" s="18"/>
      <c r="AH70" s="18"/>
      <c r="AI70" s="24"/>
      <c r="AJ70" s="8"/>
      <c r="AK70" s="8"/>
      <c r="AL70" s="8"/>
      <c r="AM70" s="8"/>
      <c r="AN70" s="8"/>
      <c r="CA70" s="1" t="s">
        <v>71</v>
      </c>
      <c r="CB70" s="1" t="s">
        <v>18</v>
      </c>
      <c r="CC70" s="1" t="s">
        <v>308</v>
      </c>
      <c r="CE70" s="139" t="str">
        <f>SH[[#This Row],[Part Type]]</f>
        <v>Safety Head</v>
      </c>
      <c r="CF70" s="139" t="str">
        <f>SH[[#This Row],[Part Number]]</f>
        <v>100-61XF4</v>
      </c>
      <c r="CG70" s="128" t="str">
        <f>SH[[#This Row],[UID]]</f>
        <v>SH-34</v>
      </c>
      <c r="CK70" s="8" t="str">
        <f>IF(SH[[#This Row],[Status]]=0,"",SH[[#This Row],[Status]])</f>
        <v>New</v>
      </c>
    </row>
    <row r="71" spans="1:89">
      <c r="A71" s="18" t="s">
        <v>140</v>
      </c>
      <c r="B71" s="18" t="s">
        <v>894</v>
      </c>
      <c r="C71" s="18" t="s">
        <v>1409</v>
      </c>
      <c r="D71" s="11">
        <v>230215</v>
      </c>
      <c r="E71" s="56">
        <v>717.02499999999998</v>
      </c>
      <c r="F71" s="18" t="s">
        <v>173</v>
      </c>
      <c r="G71" s="11" t="s">
        <v>1376</v>
      </c>
      <c r="H71" s="11" t="s">
        <v>129</v>
      </c>
      <c r="I71" s="18" t="s">
        <v>129</v>
      </c>
      <c r="J71" s="18" t="s">
        <v>129</v>
      </c>
      <c r="K71" s="11">
        <v>100000</v>
      </c>
      <c r="L71" s="11" t="s">
        <v>243</v>
      </c>
      <c r="M71" s="18" t="s">
        <v>1366</v>
      </c>
      <c r="N71" s="18" t="s">
        <v>129</v>
      </c>
      <c r="O71" s="11">
        <v>3.625</v>
      </c>
      <c r="P71" s="11" t="s">
        <v>129</v>
      </c>
      <c r="Q71" s="11" t="s">
        <v>129</v>
      </c>
      <c r="R71" s="11" t="s">
        <v>161</v>
      </c>
      <c r="S71" s="19" t="s">
        <v>1367</v>
      </c>
      <c r="T71" s="19" t="s">
        <v>129</v>
      </c>
      <c r="U71" s="19" t="s">
        <v>129</v>
      </c>
      <c r="V71" s="24" t="s">
        <v>307</v>
      </c>
      <c r="Z71" s="18"/>
      <c r="AA71" s="18"/>
      <c r="AB71" s="18"/>
      <c r="AC71" s="18"/>
      <c r="AD71" s="18"/>
      <c r="AE71" s="18"/>
      <c r="AF71" s="18"/>
      <c r="AG71" s="18"/>
      <c r="AH71" s="18"/>
      <c r="AI71" s="24"/>
      <c r="AJ71" s="8"/>
      <c r="AK71" s="8"/>
      <c r="AL71" s="8"/>
      <c r="AM71" s="8"/>
      <c r="AN71" s="8"/>
      <c r="CA71" s="1" t="s">
        <v>71</v>
      </c>
      <c r="CB71" s="1" t="s">
        <v>18</v>
      </c>
      <c r="CC71" s="1" t="s">
        <v>308</v>
      </c>
      <c r="CE71" s="139" t="str">
        <f>SH[[#This Row],[Part Type]]</f>
        <v>Safety Head</v>
      </c>
      <c r="CF71" s="139" t="str">
        <f>SH[[#This Row],[Part Number]]</f>
        <v>100-61XF4</v>
      </c>
      <c r="CG71" s="128" t="str">
        <f>SH[[#This Row],[UID]]</f>
        <v>SH-35</v>
      </c>
      <c r="CK71" s="8" t="str">
        <f>IF(SH[[#This Row],[Status]]=0,"",SH[[#This Row],[Status]])</f>
        <v>New</v>
      </c>
    </row>
    <row r="72" spans="1:89">
      <c r="A72" s="18" t="s">
        <v>140</v>
      </c>
      <c r="B72" s="18" t="s">
        <v>894</v>
      </c>
      <c r="C72" s="18" t="s">
        <v>1410</v>
      </c>
      <c r="D72" s="11">
        <v>230215</v>
      </c>
      <c r="E72" s="56">
        <v>726.91800000000001</v>
      </c>
      <c r="F72" s="18" t="s">
        <v>173</v>
      </c>
      <c r="G72" s="11" t="s">
        <v>1376</v>
      </c>
      <c r="H72" s="11" t="s">
        <v>129</v>
      </c>
      <c r="I72" s="18" t="s">
        <v>129</v>
      </c>
      <c r="J72" s="18" t="s">
        <v>129</v>
      </c>
      <c r="K72" s="11">
        <v>100000</v>
      </c>
      <c r="L72" s="11" t="s">
        <v>243</v>
      </c>
      <c r="M72" s="18" t="s">
        <v>1366</v>
      </c>
      <c r="N72" s="18" t="s">
        <v>129</v>
      </c>
      <c r="O72" s="11">
        <v>3.625</v>
      </c>
      <c r="P72" s="11" t="s">
        <v>129</v>
      </c>
      <c r="Q72" s="11" t="s">
        <v>129</v>
      </c>
      <c r="R72" s="11" t="s">
        <v>161</v>
      </c>
      <c r="S72" s="19" t="s">
        <v>1367</v>
      </c>
      <c r="T72" s="19" t="s">
        <v>129</v>
      </c>
      <c r="U72" s="19" t="s">
        <v>129</v>
      </c>
      <c r="V72" s="24" t="s">
        <v>307</v>
      </c>
      <c r="Z72" s="18"/>
      <c r="AA72" s="18"/>
      <c r="AB72" s="18"/>
      <c r="AC72" s="18"/>
      <c r="AD72" s="18"/>
      <c r="AE72" s="18"/>
      <c r="AF72" s="18"/>
      <c r="AG72" s="18"/>
      <c r="AH72" s="18"/>
      <c r="AI72" s="24"/>
      <c r="AJ72" s="8"/>
      <c r="AK72" s="8"/>
      <c r="AL72" s="8"/>
      <c r="AM72" s="8"/>
      <c r="AN72" s="8"/>
      <c r="CA72" s="1" t="s">
        <v>71</v>
      </c>
      <c r="CB72" s="1" t="s">
        <v>18</v>
      </c>
      <c r="CC72" s="1" t="s">
        <v>308</v>
      </c>
      <c r="CE72" s="139" t="str">
        <f>SH[[#This Row],[Part Type]]</f>
        <v>Safety Head</v>
      </c>
      <c r="CF72" s="139" t="str">
        <f>SH[[#This Row],[Part Number]]</f>
        <v>100-61XF4</v>
      </c>
      <c r="CG72" s="128" t="str">
        <f>SH[[#This Row],[UID]]</f>
        <v>SH-36</v>
      </c>
      <c r="CK72" s="8" t="str">
        <f>IF(SH[[#This Row],[Status]]=0,"",SH[[#This Row],[Status]])</f>
        <v>New</v>
      </c>
    </row>
    <row r="73" spans="1:89">
      <c r="A73" s="18" t="s">
        <v>140</v>
      </c>
      <c r="B73" s="18" t="s">
        <v>894</v>
      </c>
      <c r="C73" s="18" t="s">
        <v>1411</v>
      </c>
      <c r="D73" s="11">
        <v>230215</v>
      </c>
      <c r="E73" s="56">
        <v>722.31799999999998</v>
      </c>
      <c r="F73" s="18" t="s">
        <v>173</v>
      </c>
      <c r="G73" s="11" t="s">
        <v>1376</v>
      </c>
      <c r="H73" s="11" t="s">
        <v>129</v>
      </c>
      <c r="I73" s="18" t="s">
        <v>129</v>
      </c>
      <c r="J73" s="18" t="s">
        <v>129</v>
      </c>
      <c r="K73" s="11">
        <v>100000</v>
      </c>
      <c r="L73" s="11" t="s">
        <v>243</v>
      </c>
      <c r="M73" s="18" t="s">
        <v>1366</v>
      </c>
      <c r="N73" s="18" t="s">
        <v>129</v>
      </c>
      <c r="O73" s="11">
        <v>3.625</v>
      </c>
      <c r="P73" s="11" t="s">
        <v>129</v>
      </c>
      <c r="Q73" s="11" t="s">
        <v>129</v>
      </c>
      <c r="R73" s="11" t="s">
        <v>161</v>
      </c>
      <c r="S73" s="19" t="s">
        <v>1367</v>
      </c>
      <c r="T73" s="19" t="s">
        <v>129</v>
      </c>
      <c r="U73" s="19" t="s">
        <v>129</v>
      </c>
      <c r="V73" s="24" t="s">
        <v>307</v>
      </c>
      <c r="Z73" s="18"/>
      <c r="AA73" s="18"/>
      <c r="AB73" s="18"/>
      <c r="AC73" s="18"/>
      <c r="AD73" s="18"/>
      <c r="AE73" s="18"/>
      <c r="AF73" s="18"/>
      <c r="AG73" s="18"/>
      <c r="AH73" s="18"/>
      <c r="AI73" s="24"/>
      <c r="AJ73" s="8"/>
      <c r="AK73" s="8"/>
      <c r="AL73" s="8"/>
      <c r="AM73" s="8"/>
      <c r="AN73" s="8"/>
      <c r="CA73" s="1" t="s">
        <v>71</v>
      </c>
      <c r="CB73" s="1" t="s">
        <v>18</v>
      </c>
      <c r="CC73" s="1" t="s">
        <v>308</v>
      </c>
      <c r="CE73" s="139" t="str">
        <f>SH[[#This Row],[Part Type]]</f>
        <v>Safety Head</v>
      </c>
      <c r="CF73" s="139" t="str">
        <f>SH[[#This Row],[Part Number]]</f>
        <v>100-61XF4</v>
      </c>
      <c r="CG73" s="128" t="str">
        <f>SH[[#This Row],[UID]]</f>
        <v>SH-37</v>
      </c>
      <c r="CK73" s="8" t="str">
        <f>IF(SH[[#This Row],[Status]]=0,"",SH[[#This Row],[Status]])</f>
        <v>New</v>
      </c>
    </row>
    <row r="74" spans="1:89">
      <c r="A74" s="18" t="s">
        <v>140</v>
      </c>
      <c r="B74" s="18" t="s">
        <v>894</v>
      </c>
      <c r="C74" s="18" t="s">
        <v>1412</v>
      </c>
      <c r="D74" s="11">
        <v>230215</v>
      </c>
      <c r="E74" s="56">
        <v>259.63900000000001</v>
      </c>
      <c r="F74" s="18" t="s">
        <v>173</v>
      </c>
      <c r="G74" s="11" t="s">
        <v>1413</v>
      </c>
      <c r="H74" s="11" t="s">
        <v>129</v>
      </c>
      <c r="I74" s="18" t="s">
        <v>129</v>
      </c>
      <c r="J74" s="18" t="s">
        <v>129</v>
      </c>
      <c r="K74" s="11">
        <v>60000</v>
      </c>
      <c r="L74" s="11" t="s">
        <v>1414</v>
      </c>
      <c r="M74" s="18" t="s">
        <v>1366</v>
      </c>
      <c r="N74" s="18" t="s">
        <v>129</v>
      </c>
      <c r="O74" s="11">
        <v>3.4375</v>
      </c>
      <c r="P74" s="11" t="s">
        <v>129</v>
      </c>
      <c r="Q74" s="11" t="s">
        <v>129</v>
      </c>
      <c r="R74" s="11" t="s">
        <v>161</v>
      </c>
      <c r="S74" s="19" t="s">
        <v>1367</v>
      </c>
      <c r="T74" s="19" t="s">
        <v>129</v>
      </c>
      <c r="U74" s="19" t="s">
        <v>129</v>
      </c>
      <c r="V74" s="20" t="s">
        <v>307</v>
      </c>
      <c r="Z74" s="18"/>
      <c r="AA74" s="18"/>
      <c r="AB74" s="18"/>
      <c r="AC74" s="18"/>
      <c r="AD74" s="18"/>
      <c r="AE74" s="18"/>
      <c r="AF74" s="18"/>
      <c r="AG74" s="18"/>
      <c r="AH74" s="18"/>
      <c r="AI74" s="24"/>
      <c r="AJ74" s="8"/>
      <c r="AK74" s="8"/>
      <c r="AL74" s="8"/>
      <c r="AM74" s="8"/>
      <c r="AN74" s="8"/>
      <c r="CA74" s="1" t="s">
        <v>71</v>
      </c>
      <c r="CB74" s="1" t="s">
        <v>18</v>
      </c>
      <c r="CC74" s="1" t="s">
        <v>308</v>
      </c>
      <c r="CE74" s="139" t="str">
        <f>SH[[#This Row],[Part Type]]</f>
        <v>Safety Head</v>
      </c>
      <c r="CF74" s="139" t="str">
        <f>SH[[#This Row],[Part Number]]</f>
        <v>60-61HM6</v>
      </c>
      <c r="CG74" s="128" t="str">
        <f>SH[[#This Row],[UID]]</f>
        <v>SH-38</v>
      </c>
      <c r="CK74" s="8" t="str">
        <f>IF(SH[[#This Row],[Status]]=0,"",SH[[#This Row],[Status]])</f>
        <v>New</v>
      </c>
    </row>
    <row r="75" spans="1:89">
      <c r="A75" s="18" t="s">
        <v>140</v>
      </c>
      <c r="B75" s="18" t="s">
        <v>894</v>
      </c>
      <c r="C75" s="18" t="s">
        <v>1415</v>
      </c>
      <c r="D75" s="11">
        <v>230215</v>
      </c>
      <c r="E75" s="56">
        <v>259.39100000000002</v>
      </c>
      <c r="F75" s="18" t="s">
        <v>173</v>
      </c>
      <c r="G75" s="11" t="s">
        <v>1413</v>
      </c>
      <c r="H75" s="11" t="s">
        <v>129</v>
      </c>
      <c r="I75" s="18" t="s">
        <v>129</v>
      </c>
      <c r="J75" s="18" t="s">
        <v>129</v>
      </c>
      <c r="K75" s="11">
        <v>60000</v>
      </c>
      <c r="L75" s="11" t="s">
        <v>1414</v>
      </c>
      <c r="M75" s="18" t="s">
        <v>1366</v>
      </c>
      <c r="N75" s="18" t="s">
        <v>129</v>
      </c>
      <c r="O75" s="11">
        <v>3.4375</v>
      </c>
      <c r="P75" s="11" t="s">
        <v>129</v>
      </c>
      <c r="Q75" s="11" t="s">
        <v>129</v>
      </c>
      <c r="R75" s="11" t="s">
        <v>161</v>
      </c>
      <c r="S75" s="19" t="s">
        <v>1367</v>
      </c>
      <c r="T75" s="19" t="s">
        <v>129</v>
      </c>
      <c r="U75" s="19" t="s">
        <v>129</v>
      </c>
      <c r="V75" s="20" t="s">
        <v>307</v>
      </c>
      <c r="Z75" s="18"/>
      <c r="AA75" s="18"/>
      <c r="AB75" s="18"/>
      <c r="AC75" s="18"/>
      <c r="AD75" s="18"/>
      <c r="AE75" s="18"/>
      <c r="AF75" s="18"/>
      <c r="AG75" s="18"/>
      <c r="AH75" s="18"/>
      <c r="AI75" s="24"/>
      <c r="AJ75" s="18"/>
      <c r="AL75" s="8"/>
      <c r="AM75" s="8"/>
      <c r="AN75" s="8"/>
      <c r="CA75" s="1" t="s">
        <v>71</v>
      </c>
      <c r="CB75" s="1" t="s">
        <v>18</v>
      </c>
      <c r="CC75" s="1" t="s">
        <v>308</v>
      </c>
      <c r="CE75" s="139" t="str">
        <f>SH[[#This Row],[Part Type]]</f>
        <v>Safety Head</v>
      </c>
      <c r="CF75" s="139" t="str">
        <f>SH[[#This Row],[Part Number]]</f>
        <v>60-61HM6</v>
      </c>
      <c r="CG75" s="128" t="str">
        <f>SH[[#This Row],[UID]]</f>
        <v>SH-39</v>
      </c>
      <c r="CK75" s="8" t="str">
        <f>IF(SH[[#This Row],[Status]]=0,"",SH[[#This Row],[Status]])</f>
        <v>New</v>
      </c>
    </row>
    <row r="76" spans="1:89">
      <c r="A76" s="111" t="s">
        <v>140</v>
      </c>
      <c r="B76" s="18" t="s">
        <v>894</v>
      </c>
      <c r="C76" s="18" t="s">
        <v>1416</v>
      </c>
      <c r="D76" s="11">
        <v>230215</v>
      </c>
      <c r="E76" s="19">
        <v>245.12799999999999</v>
      </c>
      <c r="F76" s="18" t="s">
        <v>173</v>
      </c>
      <c r="G76" s="18" t="s">
        <v>390</v>
      </c>
      <c r="H76" s="11" t="s">
        <v>129</v>
      </c>
      <c r="I76" s="18" t="s">
        <v>129</v>
      </c>
      <c r="J76" s="18" t="s">
        <v>129</v>
      </c>
      <c r="K76" s="18">
        <v>60000</v>
      </c>
      <c r="L76" s="18" t="s">
        <v>243</v>
      </c>
      <c r="M76" s="11" t="s">
        <v>243</v>
      </c>
      <c r="N76" s="18" t="s">
        <v>1366</v>
      </c>
      <c r="O76" s="53">
        <v>1.625</v>
      </c>
      <c r="P76" s="53">
        <v>1.5</v>
      </c>
      <c r="Q76" s="53">
        <v>2.625</v>
      </c>
      <c r="R76" s="11" t="s">
        <v>161</v>
      </c>
      <c r="S76" s="18" t="s">
        <v>66</v>
      </c>
      <c r="T76" s="18" t="s">
        <v>129</v>
      </c>
      <c r="U76" s="19" t="s">
        <v>129</v>
      </c>
      <c r="V76" s="20" t="s">
        <v>307</v>
      </c>
      <c r="Z76" s="18"/>
      <c r="AA76" s="18"/>
      <c r="AC76" s="19"/>
      <c r="AD76" s="19"/>
      <c r="AK76" s="22"/>
      <c r="AL76" s="22"/>
      <c r="AO76" s="18"/>
      <c r="AP76" s="18"/>
      <c r="CA76" s="1" t="s">
        <v>71</v>
      </c>
      <c r="CB76" s="1" t="s">
        <v>18</v>
      </c>
      <c r="CC76" s="1" t="s">
        <v>308</v>
      </c>
      <c r="CE76" s="139" t="str">
        <f>SH[[#This Row],[Part Type]]</f>
        <v>Safety Head</v>
      </c>
      <c r="CF76" s="139" t="str">
        <f>SH[[#This Row],[Part Number]]</f>
        <v>60-63HF4</v>
      </c>
      <c r="CG76" s="128" t="str">
        <f>SH[[#This Row],[UID]]</f>
        <v>SH-40</v>
      </c>
      <c r="CK76" s="8" t="str">
        <f>IF(SH[[#This Row],[Status]]=0,"",SH[[#This Row],[Status]])</f>
        <v>New</v>
      </c>
    </row>
    <row r="77" spans="1:89">
      <c r="A77" s="111"/>
      <c r="D77" s="19"/>
      <c r="E77" s="19"/>
      <c r="G77" s="19"/>
      <c r="H77" s="11"/>
      <c r="M77" s="11"/>
      <c r="O77" s="11"/>
      <c r="P77" s="11"/>
      <c r="Q77" s="11"/>
      <c r="T77" s="18"/>
      <c r="U77" s="19"/>
      <c r="CA77" s="1" t="s">
        <v>71</v>
      </c>
      <c r="CB77" s="1" t="s">
        <v>18</v>
      </c>
      <c r="CC77" s="1" t="s">
        <v>308</v>
      </c>
      <c r="CE77" s="139">
        <f>SH[[#This Row],[Part Type]]</f>
        <v>0</v>
      </c>
      <c r="CF77" s="139">
        <f>SH[[#This Row],[Part Number]]</f>
        <v>0</v>
      </c>
      <c r="CG77" s="128">
        <f>SH[[#This Row],[UID]]</f>
        <v>0</v>
      </c>
      <c r="CK77" s="8" t="str">
        <f>IF(SH[[#This Row],[Status]]=0,"",SH[[#This Row],[Status]])</f>
        <v/>
      </c>
    </row>
    <row r="78" spans="1:89">
      <c r="A78" s="111"/>
      <c r="B78" s="19"/>
      <c r="C78" s="19"/>
      <c r="D78" s="19"/>
      <c r="E78" s="19"/>
      <c r="F78" s="19"/>
      <c r="G78" s="19"/>
      <c r="H78" s="56"/>
      <c r="I78" s="22"/>
      <c r="J78" s="22"/>
      <c r="K78" s="22"/>
      <c r="L78" s="22"/>
      <c r="M78" s="137"/>
      <c r="N78" s="22"/>
      <c r="O78" s="11"/>
      <c r="P78" s="11"/>
      <c r="Q78" s="137"/>
      <c r="R78" s="22"/>
      <c r="S78" s="22"/>
      <c r="T78" s="18"/>
      <c r="U78" s="19"/>
      <c r="Z78" s="18"/>
      <c r="AA78" s="8"/>
      <c r="AB78" s="8"/>
      <c r="AC78" s="8"/>
      <c r="AD78" s="8"/>
      <c r="AE78" s="8"/>
      <c r="AF78" s="8"/>
      <c r="AG78" s="8"/>
      <c r="AH78" s="8"/>
      <c r="AI78" s="8"/>
      <c r="AJ78" s="8"/>
      <c r="AK78" s="8"/>
      <c r="AL78" s="8"/>
      <c r="AM78" s="8"/>
      <c r="AN78" s="8"/>
      <c r="CA78" s="1" t="s">
        <v>71</v>
      </c>
      <c r="CB78" s="1" t="s">
        <v>18</v>
      </c>
      <c r="CC78" s="1" t="s">
        <v>308</v>
      </c>
      <c r="CE78" s="139">
        <f>SH[[#This Row],[Part Type]]</f>
        <v>0</v>
      </c>
      <c r="CF78" s="139">
        <f>SH[[#This Row],[Part Number]]</f>
        <v>0</v>
      </c>
      <c r="CG78" s="128">
        <f>SH[[#This Row],[UID]]</f>
        <v>0</v>
      </c>
      <c r="CK78" s="8" t="str">
        <f>IF(SH[[#This Row],[Status]]=0,"",SH[[#This Row],[Status]])</f>
        <v/>
      </c>
    </row>
    <row r="79" spans="1:89">
      <c r="A79" s="111"/>
      <c r="D79" s="19"/>
      <c r="E79" s="19"/>
      <c r="G79" s="19"/>
      <c r="H79" s="11"/>
      <c r="M79" s="11"/>
      <c r="O79" s="11"/>
      <c r="P79" s="11"/>
      <c r="Q79" s="11"/>
      <c r="T79" s="18"/>
      <c r="U79" s="19"/>
      <c r="CA79" s="1" t="s">
        <v>71</v>
      </c>
      <c r="CB79" s="1" t="s">
        <v>18</v>
      </c>
      <c r="CC79" s="1" t="s">
        <v>308</v>
      </c>
      <c r="CE79" s="139">
        <f>SH[[#This Row],[Part Type]]</f>
        <v>0</v>
      </c>
      <c r="CF79" s="139">
        <f>SH[[#This Row],[Part Number]]</f>
        <v>0</v>
      </c>
      <c r="CG79" s="128">
        <f>SH[[#This Row],[UID]]</f>
        <v>0</v>
      </c>
      <c r="CK79" s="8" t="str">
        <f>IF(SH[[#This Row],[Status]]=0,"",SH[[#This Row],[Status]])</f>
        <v/>
      </c>
    </row>
    <row r="80" spans="1:89">
      <c r="A80" s="111"/>
      <c r="D80" s="19"/>
      <c r="E80" s="19"/>
      <c r="G80" s="19"/>
      <c r="H80" s="11"/>
      <c r="M80" s="11"/>
      <c r="O80" s="11"/>
      <c r="P80" s="11"/>
      <c r="Q80" s="11"/>
      <c r="T80" s="18"/>
      <c r="U80" s="19"/>
      <c r="CA80" s="1" t="s">
        <v>71</v>
      </c>
      <c r="CB80" s="1" t="s">
        <v>18</v>
      </c>
      <c r="CC80" s="1" t="s">
        <v>308</v>
      </c>
      <c r="CE80" s="139">
        <f>SH[[#This Row],[Part Type]]</f>
        <v>0</v>
      </c>
      <c r="CF80" s="139">
        <f>SH[[#This Row],[Part Number]]</f>
        <v>0</v>
      </c>
      <c r="CG80" s="128">
        <f>SH[[#This Row],[UID]]</f>
        <v>0</v>
      </c>
      <c r="CK80" s="8" t="str">
        <f>IF(SH[[#This Row],[Status]]=0,"",SH[[#This Row],[Status]])</f>
        <v/>
      </c>
    </row>
    <row r="81" spans="1:89">
      <c r="A81" s="111"/>
      <c r="D81" s="19"/>
      <c r="E81" s="19"/>
      <c r="G81" s="19"/>
      <c r="H81" s="11"/>
      <c r="M81" s="11"/>
      <c r="O81" s="11"/>
      <c r="P81" s="11"/>
      <c r="Q81" s="11"/>
      <c r="T81" s="18"/>
      <c r="U81" s="19"/>
      <c r="CA81" s="1" t="s">
        <v>71</v>
      </c>
      <c r="CB81" s="1" t="s">
        <v>18</v>
      </c>
      <c r="CC81" s="1" t="s">
        <v>308</v>
      </c>
      <c r="CE81" s="139">
        <f>SH[[#This Row],[Part Type]]</f>
        <v>0</v>
      </c>
      <c r="CF81" s="139">
        <f>SH[[#This Row],[Part Number]]</f>
        <v>0</v>
      </c>
      <c r="CG81" s="128">
        <f>SH[[#This Row],[UID]]</f>
        <v>0</v>
      </c>
      <c r="CK81" s="8" t="str">
        <f>IF(SH[[#This Row],[Status]]=0,"",SH[[#This Row],[Status]])</f>
        <v/>
      </c>
    </row>
    <row r="82" spans="1:89">
      <c r="A82" s="111"/>
      <c r="D82" s="19"/>
      <c r="E82" s="19"/>
      <c r="G82" s="19"/>
      <c r="H82" s="11"/>
      <c r="M82" s="11"/>
      <c r="O82" s="11"/>
      <c r="P82" s="11"/>
      <c r="Q82" s="11"/>
      <c r="T82" s="18"/>
      <c r="U82" s="19"/>
      <c r="CA82" s="1" t="s">
        <v>71</v>
      </c>
      <c r="CB82" s="1" t="s">
        <v>18</v>
      </c>
      <c r="CC82" s="1" t="s">
        <v>308</v>
      </c>
      <c r="CE82" s="139">
        <f>SH[[#This Row],[Part Type]]</f>
        <v>0</v>
      </c>
      <c r="CF82" s="139">
        <f>SH[[#This Row],[Part Number]]</f>
        <v>0</v>
      </c>
      <c r="CG82" s="128">
        <f>SH[[#This Row],[UID]]</f>
        <v>0</v>
      </c>
      <c r="CK82" s="8" t="str">
        <f>IF(SH[[#This Row],[Status]]=0,"",SH[[#This Row],[Status]])</f>
        <v/>
      </c>
    </row>
    <row r="83" spans="1:89">
      <c r="A83" s="111"/>
      <c r="D83" s="19"/>
      <c r="E83" s="19"/>
      <c r="G83" s="19"/>
      <c r="H83" s="11"/>
      <c r="M83" s="11"/>
      <c r="O83" s="11"/>
      <c r="P83" s="11"/>
      <c r="Q83" s="11"/>
      <c r="T83" s="18"/>
      <c r="U83" s="19"/>
      <c r="CA83" s="1" t="s">
        <v>71</v>
      </c>
      <c r="CB83" s="1" t="s">
        <v>18</v>
      </c>
      <c r="CC83" s="1" t="s">
        <v>308</v>
      </c>
      <c r="CE83" s="139">
        <f>SH[[#This Row],[Part Type]]</f>
        <v>0</v>
      </c>
      <c r="CF83" s="139">
        <f>SH[[#This Row],[Part Number]]</f>
        <v>0</v>
      </c>
      <c r="CG83" s="128">
        <f>SH[[#This Row],[UID]]</f>
        <v>0</v>
      </c>
      <c r="CK83" s="8" t="str">
        <f>IF(SH[[#This Row],[Status]]=0,"",SH[[#This Row],[Status]])</f>
        <v/>
      </c>
    </row>
    <row r="84" spans="1:89">
      <c r="A84" s="111"/>
      <c r="D84" s="19"/>
      <c r="E84" s="19"/>
      <c r="G84" s="19"/>
      <c r="H84" s="11"/>
      <c r="M84" s="11"/>
      <c r="O84" s="11"/>
      <c r="P84" s="11"/>
      <c r="Q84" s="11"/>
      <c r="T84" s="18"/>
      <c r="U84" s="19"/>
      <c r="CA84" s="1" t="s">
        <v>71</v>
      </c>
      <c r="CB84" s="1" t="s">
        <v>18</v>
      </c>
      <c r="CC84" s="1" t="s">
        <v>308</v>
      </c>
      <c r="CE84" s="139">
        <f>SH[[#This Row],[Part Type]]</f>
        <v>0</v>
      </c>
      <c r="CF84" s="139">
        <f>SH[[#This Row],[Part Number]]</f>
        <v>0</v>
      </c>
      <c r="CG84" s="128">
        <f>SH[[#This Row],[UID]]</f>
        <v>0</v>
      </c>
      <c r="CK84" s="8" t="str">
        <f>IF(SH[[#This Row],[Status]]=0,"",SH[[#This Row],[Status]])</f>
        <v/>
      </c>
    </row>
    <row r="85" spans="1:89">
      <c r="A85" s="111"/>
      <c r="D85" s="19"/>
      <c r="E85" s="19"/>
      <c r="G85" s="19"/>
      <c r="H85" s="11"/>
      <c r="M85" s="11"/>
      <c r="O85" s="11"/>
      <c r="P85" s="11"/>
      <c r="Q85" s="11"/>
      <c r="T85" s="18"/>
      <c r="U85" s="19"/>
      <c r="CA85" s="1" t="s">
        <v>71</v>
      </c>
      <c r="CB85" s="1" t="s">
        <v>18</v>
      </c>
      <c r="CC85" s="1" t="s">
        <v>308</v>
      </c>
      <c r="CE85" s="139">
        <f>SH[[#This Row],[Part Type]]</f>
        <v>0</v>
      </c>
      <c r="CF85" s="139">
        <f>SH[[#This Row],[Part Number]]</f>
        <v>0</v>
      </c>
      <c r="CG85" s="128">
        <f>SH[[#This Row],[UID]]</f>
        <v>0</v>
      </c>
      <c r="CK85" s="8" t="str">
        <f>IF(SH[[#This Row],[Status]]=0,"",SH[[#This Row],[Status]])</f>
        <v/>
      </c>
    </row>
    <row r="86" spans="1:89">
      <c r="A86" s="111"/>
      <c r="D86" s="19"/>
      <c r="E86" s="19"/>
      <c r="G86" s="19"/>
      <c r="H86" s="11"/>
      <c r="M86" s="11"/>
      <c r="O86" s="11"/>
      <c r="P86" s="11"/>
      <c r="Q86" s="11"/>
      <c r="T86" s="18"/>
      <c r="U86" s="19"/>
      <c r="CA86" s="1" t="s">
        <v>71</v>
      </c>
      <c r="CB86" s="1" t="s">
        <v>18</v>
      </c>
      <c r="CC86" s="1" t="s">
        <v>308</v>
      </c>
      <c r="CE86" s="139">
        <f>SH[[#This Row],[Part Type]]</f>
        <v>0</v>
      </c>
      <c r="CF86" s="139">
        <f>SH[[#This Row],[Part Number]]</f>
        <v>0</v>
      </c>
      <c r="CG86" s="128">
        <f>SH[[#This Row],[UID]]</f>
        <v>0</v>
      </c>
      <c r="CK86" s="8" t="str">
        <f>IF(SH[[#This Row],[Status]]=0,"",SH[[#This Row],[Status]])</f>
        <v/>
      </c>
    </row>
    <row r="87" spans="1:89">
      <c r="A87" s="111"/>
      <c r="D87" s="19"/>
      <c r="E87" s="19"/>
      <c r="G87" s="19"/>
      <c r="H87" s="11"/>
      <c r="M87" s="11"/>
      <c r="O87" s="11"/>
      <c r="P87" s="11"/>
      <c r="Q87" s="11"/>
      <c r="T87" s="18"/>
      <c r="U87" s="19"/>
      <c r="CA87" s="1" t="s">
        <v>71</v>
      </c>
      <c r="CB87" s="1" t="s">
        <v>18</v>
      </c>
      <c r="CC87" s="1" t="s">
        <v>308</v>
      </c>
      <c r="CE87" s="139">
        <f>SH[[#This Row],[Part Type]]</f>
        <v>0</v>
      </c>
      <c r="CF87" s="139">
        <f>SH[[#This Row],[Part Number]]</f>
        <v>0</v>
      </c>
      <c r="CG87" s="128">
        <f>SH[[#This Row],[UID]]</f>
        <v>0</v>
      </c>
      <c r="CK87" s="8" t="str">
        <f>IF(SH[[#This Row],[Status]]=0,"",SH[[#This Row],[Status]])</f>
        <v/>
      </c>
    </row>
    <row r="88" spans="1:89">
      <c r="A88" s="111"/>
      <c r="D88" s="19"/>
      <c r="E88" s="19"/>
      <c r="G88" s="19"/>
      <c r="H88" s="11"/>
      <c r="M88" s="11"/>
      <c r="O88" s="11"/>
      <c r="P88" s="11"/>
      <c r="Q88" s="11"/>
      <c r="T88" s="18"/>
      <c r="U88" s="19"/>
      <c r="CA88" s="1" t="s">
        <v>71</v>
      </c>
      <c r="CB88" s="1" t="s">
        <v>18</v>
      </c>
      <c r="CC88" s="1" t="s">
        <v>308</v>
      </c>
      <c r="CE88" s="139">
        <f>SH[[#This Row],[Part Type]]</f>
        <v>0</v>
      </c>
      <c r="CF88" s="139">
        <f>SH[[#This Row],[Part Number]]</f>
        <v>0</v>
      </c>
      <c r="CG88" s="128">
        <f>SH[[#This Row],[UID]]</f>
        <v>0</v>
      </c>
      <c r="CK88" s="8" t="str">
        <f>IF(SH[[#This Row],[Status]]=0,"",SH[[#This Row],[Status]])</f>
        <v/>
      </c>
    </row>
    <row r="89" spans="1:89">
      <c r="A89" s="111"/>
      <c r="D89" s="19"/>
      <c r="E89" s="19"/>
      <c r="G89" s="19"/>
      <c r="H89" s="11"/>
      <c r="M89" s="11"/>
      <c r="O89" s="11"/>
      <c r="P89" s="11"/>
      <c r="Q89" s="11"/>
      <c r="T89" s="18"/>
      <c r="U89" s="19"/>
      <c r="CA89" s="1" t="s">
        <v>71</v>
      </c>
      <c r="CB89" s="1" t="s">
        <v>18</v>
      </c>
      <c r="CC89" s="1" t="s">
        <v>308</v>
      </c>
      <c r="CE89" s="139">
        <f>SH[[#This Row],[Part Type]]</f>
        <v>0</v>
      </c>
      <c r="CF89" s="139">
        <f>SH[[#This Row],[Part Number]]</f>
        <v>0</v>
      </c>
      <c r="CG89" s="128">
        <f>SH[[#This Row],[UID]]</f>
        <v>0</v>
      </c>
      <c r="CK89" s="8" t="str">
        <f>IF(SH[[#This Row],[Status]]=0,"",SH[[#This Row],[Status]])</f>
        <v/>
      </c>
    </row>
    <row r="90" spans="1:89">
      <c r="A90" s="111"/>
      <c r="D90" s="19"/>
      <c r="E90" s="19"/>
      <c r="G90" s="19"/>
      <c r="H90" s="11"/>
      <c r="M90" s="11"/>
      <c r="O90" s="11"/>
      <c r="P90" s="11"/>
      <c r="Q90" s="11"/>
      <c r="T90" s="18"/>
      <c r="U90" s="19"/>
      <c r="CA90" s="1" t="s">
        <v>71</v>
      </c>
      <c r="CB90" s="1" t="s">
        <v>18</v>
      </c>
      <c r="CC90" s="1" t="s">
        <v>308</v>
      </c>
      <c r="CE90" s="139">
        <f>SH[[#This Row],[Part Type]]</f>
        <v>0</v>
      </c>
      <c r="CF90" s="139">
        <f>SH[[#This Row],[Part Number]]</f>
        <v>0</v>
      </c>
      <c r="CG90" s="128">
        <f>SH[[#This Row],[UID]]</f>
        <v>0</v>
      </c>
      <c r="CK90" s="8" t="str">
        <f>IF(SH[[#This Row],[Status]]=0,"",SH[[#This Row],[Status]])</f>
        <v/>
      </c>
    </row>
    <row r="91" spans="1:89">
      <c r="A91" s="111"/>
      <c r="D91" s="19"/>
      <c r="E91" s="19"/>
      <c r="G91" s="19"/>
      <c r="H91" s="11"/>
      <c r="M91" s="11"/>
      <c r="O91" s="11"/>
      <c r="P91" s="11"/>
      <c r="Q91" s="11"/>
      <c r="T91" s="18"/>
      <c r="U91" s="19"/>
      <c r="CA91" s="1" t="s">
        <v>71</v>
      </c>
      <c r="CB91" s="1" t="s">
        <v>18</v>
      </c>
      <c r="CC91" s="1" t="s">
        <v>308</v>
      </c>
      <c r="CE91" s="139">
        <f>SH[[#This Row],[Part Type]]</f>
        <v>0</v>
      </c>
      <c r="CF91" s="139">
        <f>SH[[#This Row],[Part Number]]</f>
        <v>0</v>
      </c>
      <c r="CG91" s="128">
        <f>SH[[#This Row],[UID]]</f>
        <v>0</v>
      </c>
      <c r="CK91" s="8" t="str">
        <f>IF(SH[[#This Row],[Status]]=0,"",SH[[#This Row],[Status]])</f>
        <v/>
      </c>
    </row>
    <row r="92" spans="1:89">
      <c r="A92" s="111"/>
      <c r="D92" s="19"/>
      <c r="E92" s="19"/>
      <c r="G92" s="19"/>
      <c r="H92" s="11"/>
      <c r="M92" s="11"/>
      <c r="O92" s="11"/>
      <c r="P92" s="11"/>
      <c r="Q92" s="11"/>
      <c r="T92" s="18"/>
      <c r="U92" s="19"/>
      <c r="CA92" s="1" t="s">
        <v>71</v>
      </c>
      <c r="CB92" s="1" t="s">
        <v>18</v>
      </c>
      <c r="CC92" s="1" t="s">
        <v>308</v>
      </c>
      <c r="CE92" s="139">
        <f>SH[[#This Row],[Part Type]]</f>
        <v>0</v>
      </c>
      <c r="CF92" s="139">
        <f>SH[[#This Row],[Part Number]]</f>
        <v>0</v>
      </c>
      <c r="CG92" s="128">
        <f>SH[[#This Row],[UID]]</f>
        <v>0</v>
      </c>
      <c r="CK92" s="8" t="str">
        <f>IF(SH[[#This Row],[Status]]=0,"",SH[[#This Row],[Status]])</f>
        <v/>
      </c>
    </row>
    <row r="93" spans="1:89">
      <c r="A93" s="111"/>
      <c r="D93" s="19"/>
      <c r="E93" s="19"/>
      <c r="G93" s="19"/>
      <c r="H93" s="11"/>
      <c r="M93" s="11"/>
      <c r="O93" s="11"/>
      <c r="P93" s="11"/>
      <c r="Q93" s="11"/>
      <c r="T93" s="18"/>
      <c r="U93" s="19"/>
      <c r="CA93" s="1" t="s">
        <v>71</v>
      </c>
      <c r="CB93" s="1" t="s">
        <v>18</v>
      </c>
      <c r="CC93" s="1" t="s">
        <v>308</v>
      </c>
      <c r="CE93" s="139">
        <f>SH[[#This Row],[Part Type]]</f>
        <v>0</v>
      </c>
      <c r="CF93" s="139">
        <f>SH[[#This Row],[Part Number]]</f>
        <v>0</v>
      </c>
      <c r="CG93" s="128">
        <f>SH[[#This Row],[UID]]</f>
        <v>0</v>
      </c>
      <c r="CK93" s="8" t="str">
        <f>IF(SH[[#This Row],[Status]]=0,"",SH[[#This Row],[Status]])</f>
        <v/>
      </c>
    </row>
    <row r="94" spans="1:89">
      <c r="A94" s="111"/>
      <c r="D94" s="19"/>
      <c r="E94" s="19"/>
      <c r="G94" s="19"/>
      <c r="H94" s="11"/>
      <c r="M94" s="11"/>
      <c r="O94" s="11"/>
      <c r="P94" s="11"/>
      <c r="Q94" s="11"/>
      <c r="T94" s="18"/>
      <c r="U94" s="19"/>
      <c r="CA94" s="1" t="s">
        <v>71</v>
      </c>
      <c r="CB94" s="1" t="s">
        <v>18</v>
      </c>
      <c r="CC94" s="1" t="s">
        <v>308</v>
      </c>
      <c r="CE94" s="139">
        <f>SH[[#This Row],[Part Type]]</f>
        <v>0</v>
      </c>
      <c r="CF94" s="139">
        <f>SH[[#This Row],[Part Number]]</f>
        <v>0</v>
      </c>
      <c r="CG94" s="128">
        <f>SH[[#This Row],[UID]]</f>
        <v>0</v>
      </c>
      <c r="CK94" s="8" t="str">
        <f>IF(SH[[#This Row],[Status]]=0,"",SH[[#This Row],[Status]])</f>
        <v/>
      </c>
    </row>
    <row r="95" spans="1:89">
      <c r="A95" s="111"/>
      <c r="D95" s="19"/>
      <c r="E95" s="19"/>
      <c r="G95" s="19"/>
      <c r="H95" s="11"/>
      <c r="M95" s="11"/>
      <c r="O95" s="11"/>
      <c r="P95" s="11"/>
      <c r="Q95" s="11"/>
      <c r="T95" s="18"/>
      <c r="U95" s="19"/>
      <c r="CA95" s="1" t="s">
        <v>71</v>
      </c>
      <c r="CB95" s="1" t="s">
        <v>18</v>
      </c>
      <c r="CC95" s="1" t="s">
        <v>308</v>
      </c>
      <c r="CE95" s="139">
        <f>SH[[#This Row],[Part Type]]</f>
        <v>0</v>
      </c>
      <c r="CF95" s="139">
        <f>SH[[#This Row],[Part Number]]</f>
        <v>0</v>
      </c>
      <c r="CG95" s="128">
        <f>SH[[#This Row],[UID]]</f>
        <v>0</v>
      </c>
      <c r="CK95" s="8" t="str">
        <f>IF(SH[[#This Row],[Status]]=0,"",SH[[#This Row],[Status]])</f>
        <v/>
      </c>
    </row>
    <row r="96" spans="1:89">
      <c r="A96" s="111"/>
      <c r="D96" s="19"/>
      <c r="E96" s="19"/>
      <c r="G96" s="19"/>
      <c r="H96" s="11"/>
      <c r="M96" s="11"/>
      <c r="O96" s="11"/>
      <c r="P96" s="11"/>
      <c r="Q96" s="11"/>
      <c r="T96" s="18"/>
      <c r="U96" s="19"/>
      <c r="CA96" s="1" t="s">
        <v>71</v>
      </c>
      <c r="CB96" s="1" t="s">
        <v>18</v>
      </c>
      <c r="CC96" s="1" t="s">
        <v>308</v>
      </c>
      <c r="CE96" s="139">
        <f>SH[[#This Row],[Part Type]]</f>
        <v>0</v>
      </c>
      <c r="CF96" s="139">
        <f>SH[[#This Row],[Part Number]]</f>
        <v>0</v>
      </c>
      <c r="CG96" s="128">
        <f>SH[[#This Row],[UID]]</f>
        <v>0</v>
      </c>
      <c r="CK96" s="8" t="str">
        <f>IF(SH[[#This Row],[Status]]=0,"",SH[[#This Row],[Status]])</f>
        <v/>
      </c>
    </row>
    <row r="97" spans="1:89">
      <c r="A97" s="111"/>
      <c r="D97" s="19"/>
      <c r="E97" s="19"/>
      <c r="G97" s="19"/>
      <c r="H97" s="11"/>
      <c r="M97" s="11"/>
      <c r="O97" s="11"/>
      <c r="P97" s="11"/>
      <c r="Q97" s="11"/>
      <c r="T97" s="18"/>
      <c r="U97" s="19"/>
      <c r="CA97" s="1" t="s">
        <v>71</v>
      </c>
      <c r="CB97" s="1" t="s">
        <v>18</v>
      </c>
      <c r="CC97" s="1" t="s">
        <v>308</v>
      </c>
      <c r="CE97" s="139">
        <f>SH[[#This Row],[Part Type]]</f>
        <v>0</v>
      </c>
      <c r="CF97" s="139">
        <f>SH[[#This Row],[Part Number]]</f>
        <v>0</v>
      </c>
      <c r="CG97" s="128">
        <f>SH[[#This Row],[UID]]</f>
        <v>0</v>
      </c>
      <c r="CK97" s="8" t="str">
        <f>IF(SH[[#This Row],[Status]]=0,"",SH[[#This Row],[Status]])</f>
        <v/>
      </c>
    </row>
    <row r="98" spans="1:89">
      <c r="A98" s="111"/>
      <c r="D98" s="19"/>
      <c r="E98" s="19"/>
      <c r="G98" s="19"/>
      <c r="H98" s="11"/>
      <c r="M98" s="11"/>
      <c r="O98" s="11"/>
      <c r="P98" s="11"/>
      <c r="Q98" s="11"/>
      <c r="T98" s="18"/>
      <c r="U98" s="19"/>
      <c r="CA98" s="1" t="s">
        <v>71</v>
      </c>
      <c r="CB98" s="1" t="s">
        <v>18</v>
      </c>
      <c r="CC98" s="1" t="s">
        <v>308</v>
      </c>
      <c r="CE98" s="139">
        <f>SH[[#This Row],[Part Type]]</f>
        <v>0</v>
      </c>
      <c r="CF98" s="139">
        <f>SH[[#This Row],[Part Number]]</f>
        <v>0</v>
      </c>
      <c r="CG98" s="128">
        <f>SH[[#This Row],[UID]]</f>
        <v>0</v>
      </c>
      <c r="CK98" s="8" t="str">
        <f>IF(SH[[#This Row],[Status]]=0,"",SH[[#This Row],[Status]])</f>
        <v/>
      </c>
    </row>
    <row r="99" spans="1:89">
      <c r="A99" s="111"/>
      <c r="D99" s="19"/>
      <c r="E99" s="19"/>
      <c r="G99" s="19"/>
      <c r="H99" s="11"/>
      <c r="M99" s="11"/>
      <c r="O99" s="11"/>
      <c r="P99" s="11"/>
      <c r="Q99" s="11"/>
      <c r="T99" s="18"/>
      <c r="U99" s="19"/>
      <c r="CA99" s="1" t="s">
        <v>71</v>
      </c>
      <c r="CB99" s="1" t="s">
        <v>18</v>
      </c>
      <c r="CC99" s="1" t="s">
        <v>308</v>
      </c>
      <c r="CE99" s="139">
        <f>SH[[#This Row],[Part Type]]</f>
        <v>0</v>
      </c>
      <c r="CF99" s="139">
        <f>SH[[#This Row],[Part Number]]</f>
        <v>0</v>
      </c>
      <c r="CG99" s="128">
        <f>SH[[#This Row],[UID]]</f>
        <v>0</v>
      </c>
      <c r="CK99" s="8" t="str">
        <f>IF(SH[[#This Row],[Status]]=0,"",SH[[#This Row],[Status]])</f>
        <v/>
      </c>
    </row>
    <row r="100" spans="1:89">
      <c r="A100" s="111"/>
      <c r="D100" s="19"/>
      <c r="E100" s="19"/>
      <c r="G100" s="19"/>
      <c r="H100" s="11"/>
      <c r="M100" s="11"/>
      <c r="O100" s="11"/>
      <c r="P100" s="11"/>
      <c r="Q100" s="11"/>
      <c r="T100" s="18"/>
      <c r="U100" s="19"/>
      <c r="CA100" s="1" t="s">
        <v>71</v>
      </c>
      <c r="CB100" s="1" t="s">
        <v>18</v>
      </c>
      <c r="CC100" s="1" t="s">
        <v>308</v>
      </c>
      <c r="CE100" s="139">
        <f>SH[[#This Row],[Part Type]]</f>
        <v>0</v>
      </c>
      <c r="CF100" s="139">
        <f>SH[[#This Row],[Part Number]]</f>
        <v>0</v>
      </c>
      <c r="CG100" s="128">
        <f>SH[[#This Row],[UID]]</f>
        <v>0</v>
      </c>
      <c r="CK100" s="8" t="str">
        <f>IF(SH[[#This Row],[Status]]=0,"",SH[[#This Row],[Status]])</f>
        <v/>
      </c>
    </row>
    <row r="101" spans="1:89">
      <c r="A101" s="111"/>
      <c r="D101" s="19"/>
      <c r="E101" s="19"/>
      <c r="G101" s="19"/>
      <c r="H101" s="11"/>
      <c r="M101" s="11"/>
      <c r="O101" s="11"/>
      <c r="P101" s="11"/>
      <c r="Q101" s="11"/>
      <c r="T101" s="18"/>
      <c r="U101" s="19"/>
      <c r="CA101" s="1" t="s">
        <v>71</v>
      </c>
      <c r="CB101" s="1" t="s">
        <v>18</v>
      </c>
      <c r="CC101" s="1" t="s">
        <v>308</v>
      </c>
      <c r="CE101" s="139">
        <f>SH[[#This Row],[Part Type]]</f>
        <v>0</v>
      </c>
      <c r="CF101" s="139">
        <f>SH[[#This Row],[Part Number]]</f>
        <v>0</v>
      </c>
      <c r="CG101" s="128">
        <f>SH[[#This Row],[UID]]</f>
        <v>0</v>
      </c>
      <c r="CK101" s="8" t="str">
        <f>IF(SH[[#This Row],[Status]]=0,"",SH[[#This Row],[Status]])</f>
        <v/>
      </c>
    </row>
    <row r="102" spans="1:89">
      <c r="A102" s="111"/>
      <c r="D102" s="19"/>
      <c r="E102" s="19"/>
      <c r="G102" s="19"/>
      <c r="H102" s="11"/>
      <c r="M102" s="11"/>
      <c r="O102" s="11"/>
      <c r="P102" s="11"/>
      <c r="Q102" s="11"/>
      <c r="T102" s="18"/>
      <c r="U102" s="19"/>
      <c r="CA102" s="1" t="s">
        <v>71</v>
      </c>
      <c r="CB102" s="1" t="s">
        <v>18</v>
      </c>
      <c r="CC102" s="1" t="s">
        <v>308</v>
      </c>
      <c r="CE102" s="139">
        <f>SH[[#This Row],[Part Type]]</f>
        <v>0</v>
      </c>
      <c r="CF102" s="139">
        <f>SH[[#This Row],[Part Number]]</f>
        <v>0</v>
      </c>
      <c r="CG102" s="128">
        <f>SH[[#This Row],[UID]]</f>
        <v>0</v>
      </c>
      <c r="CK102" s="8" t="str">
        <f>IF(SH[[#This Row],[Status]]=0,"",SH[[#This Row],[Status]])</f>
        <v/>
      </c>
    </row>
    <row r="103" spans="1:89">
      <c r="A103" s="111"/>
      <c r="D103" s="19"/>
      <c r="E103" s="19"/>
      <c r="G103" s="19"/>
      <c r="H103" s="11"/>
      <c r="M103" s="11"/>
      <c r="O103" s="11"/>
      <c r="P103" s="11"/>
      <c r="Q103" s="11"/>
      <c r="T103" s="18"/>
      <c r="U103" s="19"/>
      <c r="CA103" s="1" t="s">
        <v>71</v>
      </c>
      <c r="CB103" s="1" t="s">
        <v>18</v>
      </c>
      <c r="CC103" s="1" t="s">
        <v>308</v>
      </c>
      <c r="CE103" s="139">
        <f>SH[[#This Row],[Part Type]]</f>
        <v>0</v>
      </c>
      <c r="CF103" s="139">
        <f>SH[[#This Row],[Part Number]]</f>
        <v>0</v>
      </c>
      <c r="CG103" s="128">
        <f>SH[[#This Row],[UID]]</f>
        <v>0</v>
      </c>
      <c r="CK103" s="8" t="str">
        <f>IF(SH[[#This Row],[Status]]=0,"",SH[[#This Row],[Status]])</f>
        <v/>
      </c>
    </row>
    <row r="104" spans="1:89">
      <c r="A104" s="111"/>
      <c r="D104" s="19"/>
      <c r="E104" s="19"/>
      <c r="G104" s="19"/>
      <c r="H104" s="11"/>
      <c r="M104" s="11"/>
      <c r="O104" s="11"/>
      <c r="P104" s="11"/>
      <c r="Q104" s="11"/>
      <c r="T104" s="18"/>
      <c r="U104" s="19"/>
      <c r="CA104" s="1" t="s">
        <v>71</v>
      </c>
      <c r="CB104" s="1" t="s">
        <v>18</v>
      </c>
      <c r="CC104" s="1" t="s">
        <v>308</v>
      </c>
      <c r="CE104" s="139">
        <f>SH[[#This Row],[Part Type]]</f>
        <v>0</v>
      </c>
      <c r="CF104" s="139">
        <f>SH[[#This Row],[Part Number]]</f>
        <v>0</v>
      </c>
      <c r="CG104" s="128">
        <f>SH[[#This Row],[UID]]</f>
        <v>0</v>
      </c>
      <c r="CK104" s="8" t="str">
        <f>IF(SH[[#This Row],[Status]]=0,"",SH[[#This Row],[Status]])</f>
        <v/>
      </c>
    </row>
    <row r="105" spans="1:89">
      <c r="A105" s="111"/>
      <c r="D105" s="19"/>
      <c r="E105" s="19"/>
      <c r="G105" s="19"/>
      <c r="H105" s="11"/>
      <c r="M105" s="11"/>
      <c r="O105" s="11"/>
      <c r="P105" s="11"/>
      <c r="Q105" s="11"/>
      <c r="T105" s="18"/>
      <c r="U105" s="19"/>
      <c r="CA105" s="1" t="s">
        <v>71</v>
      </c>
      <c r="CB105" s="1" t="s">
        <v>18</v>
      </c>
      <c r="CC105" s="1" t="s">
        <v>308</v>
      </c>
      <c r="CE105" s="139">
        <f>SH[[#This Row],[Part Type]]</f>
        <v>0</v>
      </c>
      <c r="CF105" s="139">
        <f>SH[[#This Row],[Part Number]]</f>
        <v>0</v>
      </c>
      <c r="CG105" s="128">
        <f>SH[[#This Row],[UID]]</f>
        <v>0</v>
      </c>
      <c r="CK105" s="8" t="str">
        <f>IF(SH[[#This Row],[Status]]=0,"",SH[[#This Row],[Status]])</f>
        <v/>
      </c>
    </row>
    <row r="106" spans="1:89">
      <c r="A106" s="111"/>
      <c r="D106" s="19"/>
      <c r="E106" s="19"/>
      <c r="G106" s="19"/>
      <c r="H106" s="11"/>
      <c r="M106" s="11"/>
      <c r="O106" s="11"/>
      <c r="P106" s="11"/>
      <c r="Q106" s="11"/>
      <c r="T106" s="18"/>
      <c r="U106" s="19"/>
      <c r="CA106" s="1" t="s">
        <v>71</v>
      </c>
      <c r="CB106" s="1" t="s">
        <v>18</v>
      </c>
      <c r="CC106" s="1" t="s">
        <v>308</v>
      </c>
      <c r="CE106" s="139">
        <f>SH[[#This Row],[Part Type]]</f>
        <v>0</v>
      </c>
      <c r="CF106" s="139">
        <f>SH[[#This Row],[Part Number]]</f>
        <v>0</v>
      </c>
      <c r="CG106" s="128">
        <f>SH[[#This Row],[UID]]</f>
        <v>0</v>
      </c>
      <c r="CK106" s="8" t="str">
        <f>IF(SH[[#This Row],[Status]]=0,"",SH[[#This Row],[Status]])</f>
        <v/>
      </c>
    </row>
    <row r="107" spans="1:89">
      <c r="A107" s="111"/>
      <c r="D107" s="19"/>
      <c r="E107" s="19"/>
      <c r="G107" s="19"/>
      <c r="H107" s="11"/>
      <c r="M107" s="11"/>
      <c r="O107" s="11"/>
      <c r="P107" s="11"/>
      <c r="Q107" s="11"/>
      <c r="T107" s="18"/>
      <c r="U107" s="19"/>
      <c r="CA107" s="1" t="s">
        <v>71</v>
      </c>
      <c r="CB107" s="1" t="s">
        <v>18</v>
      </c>
      <c r="CC107" s="1" t="s">
        <v>308</v>
      </c>
      <c r="CE107" s="139">
        <f>SH[[#This Row],[Part Type]]</f>
        <v>0</v>
      </c>
      <c r="CF107" s="139">
        <f>SH[[#This Row],[Part Number]]</f>
        <v>0</v>
      </c>
      <c r="CG107" s="128">
        <f>SH[[#This Row],[UID]]</f>
        <v>0</v>
      </c>
      <c r="CK107" s="8" t="str">
        <f>IF(SH[[#This Row],[Status]]=0,"",SH[[#This Row],[Status]])</f>
        <v/>
      </c>
    </row>
    <row r="108" spans="1:89">
      <c r="A108" s="111"/>
      <c r="D108" s="19"/>
      <c r="E108" s="19"/>
      <c r="G108" s="19"/>
      <c r="H108" s="11"/>
      <c r="M108" s="11"/>
      <c r="O108" s="11"/>
      <c r="P108" s="11"/>
      <c r="Q108" s="11"/>
      <c r="T108" s="18"/>
      <c r="U108" s="19"/>
      <c r="CA108" s="1" t="s">
        <v>71</v>
      </c>
      <c r="CB108" s="1" t="s">
        <v>18</v>
      </c>
      <c r="CC108" s="1" t="s">
        <v>308</v>
      </c>
      <c r="CE108" s="139">
        <f>SH[[#This Row],[Part Type]]</f>
        <v>0</v>
      </c>
      <c r="CF108" s="139">
        <f>SH[[#This Row],[Part Number]]</f>
        <v>0</v>
      </c>
      <c r="CG108" s="128">
        <f>SH[[#This Row],[UID]]</f>
        <v>0</v>
      </c>
      <c r="CK108" s="8" t="str">
        <f>IF(SH[[#This Row],[Status]]=0,"",SH[[#This Row],[Status]])</f>
        <v/>
      </c>
    </row>
    <row r="109" spans="1:89">
      <c r="A109" s="111"/>
      <c r="D109" s="19"/>
      <c r="E109" s="19"/>
      <c r="G109" s="19"/>
      <c r="H109" s="11"/>
      <c r="M109" s="11"/>
      <c r="O109" s="11"/>
      <c r="P109" s="11"/>
      <c r="Q109" s="11"/>
      <c r="T109" s="18"/>
      <c r="U109" s="19"/>
      <c r="CA109" s="1" t="s">
        <v>71</v>
      </c>
      <c r="CB109" s="1" t="s">
        <v>18</v>
      </c>
      <c r="CC109" s="1" t="s">
        <v>308</v>
      </c>
      <c r="CE109" s="139">
        <f>SH[[#This Row],[Part Type]]</f>
        <v>0</v>
      </c>
      <c r="CF109" s="139">
        <f>SH[[#This Row],[Part Number]]</f>
        <v>0</v>
      </c>
      <c r="CG109" s="128">
        <f>SH[[#This Row],[UID]]</f>
        <v>0</v>
      </c>
      <c r="CK109" s="8" t="str">
        <f>IF(SH[[#This Row],[Status]]=0,"",SH[[#This Row],[Status]])</f>
        <v/>
      </c>
    </row>
    <row r="110" spans="1:89">
      <c r="A110" s="111"/>
      <c r="D110" s="19"/>
      <c r="E110" s="19"/>
      <c r="G110" s="19"/>
      <c r="H110" s="11"/>
      <c r="M110" s="11"/>
      <c r="O110" s="11"/>
      <c r="P110" s="11"/>
      <c r="Q110" s="11"/>
      <c r="T110" s="18"/>
      <c r="U110" s="19"/>
      <c r="CA110" s="1" t="s">
        <v>71</v>
      </c>
      <c r="CB110" s="1" t="s">
        <v>18</v>
      </c>
      <c r="CC110" s="1" t="s">
        <v>308</v>
      </c>
      <c r="CE110" s="139">
        <f>SH[[#This Row],[Part Type]]</f>
        <v>0</v>
      </c>
      <c r="CF110" s="139">
        <f>SH[[#This Row],[Part Number]]</f>
        <v>0</v>
      </c>
      <c r="CG110" s="128">
        <f>SH[[#This Row],[UID]]</f>
        <v>0</v>
      </c>
      <c r="CK110" s="8" t="str">
        <f>IF(SH[[#This Row],[Status]]=0,"",SH[[#This Row],[Status]])</f>
        <v/>
      </c>
    </row>
    <row r="111" spans="1:89">
      <c r="A111" s="111"/>
      <c r="D111" s="19"/>
      <c r="E111" s="19"/>
      <c r="G111" s="19"/>
      <c r="H111" s="11"/>
      <c r="M111" s="11"/>
      <c r="O111" s="11"/>
      <c r="P111" s="11"/>
      <c r="Q111" s="11"/>
      <c r="T111" s="18"/>
      <c r="U111" s="19"/>
      <c r="CA111" s="1" t="s">
        <v>71</v>
      </c>
      <c r="CB111" s="1" t="s">
        <v>18</v>
      </c>
      <c r="CC111" s="1" t="s">
        <v>308</v>
      </c>
      <c r="CE111" s="139">
        <f>SH[[#This Row],[Part Type]]</f>
        <v>0</v>
      </c>
      <c r="CF111" s="139">
        <f>SH[[#This Row],[Part Number]]</f>
        <v>0</v>
      </c>
      <c r="CG111" s="128">
        <f>SH[[#This Row],[UID]]</f>
        <v>0</v>
      </c>
      <c r="CK111" s="8" t="str">
        <f>IF(SH[[#This Row],[Status]]=0,"",SH[[#This Row],[Status]])</f>
        <v/>
      </c>
    </row>
    <row r="112" spans="1:89">
      <c r="A112" s="111"/>
      <c r="D112" s="19"/>
      <c r="E112" s="19"/>
      <c r="G112" s="19"/>
      <c r="H112" s="11"/>
      <c r="M112" s="11"/>
      <c r="O112" s="11"/>
      <c r="P112" s="11"/>
      <c r="Q112" s="11"/>
      <c r="T112" s="18"/>
      <c r="U112" s="19"/>
      <c r="CA112" s="1" t="s">
        <v>71</v>
      </c>
      <c r="CB112" s="1" t="s">
        <v>18</v>
      </c>
      <c r="CC112" s="1" t="s">
        <v>308</v>
      </c>
      <c r="CE112" s="139">
        <f>SH[[#This Row],[Part Type]]</f>
        <v>0</v>
      </c>
      <c r="CF112" s="139">
        <f>SH[[#This Row],[Part Number]]</f>
        <v>0</v>
      </c>
      <c r="CG112" s="128">
        <f>SH[[#This Row],[UID]]</f>
        <v>0</v>
      </c>
      <c r="CK112" s="8" t="str">
        <f>IF(SH[[#This Row],[Status]]=0,"",SH[[#This Row],[Status]])</f>
        <v/>
      </c>
    </row>
    <row r="113" spans="1:89">
      <c r="A113" s="111"/>
      <c r="D113" s="19"/>
      <c r="E113" s="19"/>
      <c r="G113" s="19"/>
      <c r="H113" s="11"/>
      <c r="M113" s="11"/>
      <c r="O113" s="11"/>
      <c r="P113" s="11"/>
      <c r="Q113" s="11"/>
      <c r="T113" s="18"/>
      <c r="U113" s="19"/>
      <c r="CA113" s="1" t="s">
        <v>71</v>
      </c>
      <c r="CB113" s="1" t="s">
        <v>18</v>
      </c>
      <c r="CC113" s="1" t="s">
        <v>308</v>
      </c>
      <c r="CE113" s="139">
        <f>SH[[#This Row],[Part Type]]</f>
        <v>0</v>
      </c>
      <c r="CF113" s="139">
        <f>SH[[#This Row],[Part Number]]</f>
        <v>0</v>
      </c>
      <c r="CG113" s="128">
        <f>SH[[#This Row],[UID]]</f>
        <v>0</v>
      </c>
      <c r="CK113" s="8" t="str">
        <f>IF(SH[[#This Row],[Status]]=0,"",SH[[#This Row],[Status]])</f>
        <v/>
      </c>
    </row>
    <row r="114" spans="1:89">
      <c r="A114" s="111"/>
      <c r="D114" s="19"/>
      <c r="E114" s="19"/>
      <c r="G114" s="19"/>
      <c r="H114" s="11"/>
      <c r="M114" s="11"/>
      <c r="O114" s="11"/>
      <c r="P114" s="11"/>
      <c r="Q114" s="11"/>
      <c r="T114" s="18"/>
      <c r="U114" s="19"/>
      <c r="CA114" s="1" t="s">
        <v>71</v>
      </c>
      <c r="CB114" s="1" t="s">
        <v>18</v>
      </c>
      <c r="CC114" s="1" t="s">
        <v>308</v>
      </c>
      <c r="CE114" s="139">
        <f>SH[[#This Row],[Part Type]]</f>
        <v>0</v>
      </c>
      <c r="CF114" s="139">
        <f>SH[[#This Row],[Part Number]]</f>
        <v>0</v>
      </c>
      <c r="CG114" s="128">
        <f>SH[[#This Row],[UID]]</f>
        <v>0</v>
      </c>
      <c r="CK114" s="8" t="str">
        <f>IF(SH[[#This Row],[Status]]=0,"",SH[[#This Row],[Status]])</f>
        <v/>
      </c>
    </row>
    <row r="115" spans="1:89">
      <c r="A115" s="111"/>
      <c r="D115" s="19"/>
      <c r="E115" s="19"/>
      <c r="G115" s="19"/>
      <c r="H115" s="11"/>
      <c r="M115" s="11"/>
      <c r="O115" s="11"/>
      <c r="P115" s="11"/>
      <c r="Q115" s="11"/>
      <c r="T115" s="18"/>
      <c r="U115" s="19"/>
      <c r="CA115" s="1" t="s">
        <v>71</v>
      </c>
      <c r="CB115" s="1" t="s">
        <v>18</v>
      </c>
      <c r="CC115" s="1" t="s">
        <v>308</v>
      </c>
      <c r="CE115" s="139">
        <f>SH[[#This Row],[Part Type]]</f>
        <v>0</v>
      </c>
      <c r="CF115" s="139">
        <f>SH[[#This Row],[Part Number]]</f>
        <v>0</v>
      </c>
      <c r="CG115" s="128">
        <f>SH[[#This Row],[UID]]</f>
        <v>0</v>
      </c>
      <c r="CK115" s="8" t="str">
        <f>IF(SH[[#This Row],[Status]]=0,"",SH[[#This Row],[Status]])</f>
        <v/>
      </c>
    </row>
    <row r="116" spans="1:89">
      <c r="A116" s="111"/>
      <c r="D116" s="19"/>
      <c r="E116" s="19"/>
      <c r="G116" s="19"/>
      <c r="H116" s="11"/>
      <c r="M116" s="11"/>
      <c r="O116" s="11"/>
      <c r="P116" s="11"/>
      <c r="Q116" s="11"/>
      <c r="T116" s="18"/>
      <c r="U116" s="19"/>
      <c r="CA116" s="1" t="s">
        <v>71</v>
      </c>
      <c r="CB116" s="1" t="s">
        <v>18</v>
      </c>
      <c r="CC116" s="1" t="s">
        <v>308</v>
      </c>
      <c r="CE116" s="139">
        <f>SH[[#This Row],[Part Type]]</f>
        <v>0</v>
      </c>
      <c r="CF116" s="139">
        <f>SH[[#This Row],[Part Number]]</f>
        <v>0</v>
      </c>
      <c r="CG116" s="128">
        <f>SH[[#This Row],[UID]]</f>
        <v>0</v>
      </c>
      <c r="CK116" s="8" t="str">
        <f>IF(SH[[#This Row],[Status]]=0,"",SH[[#This Row],[Status]])</f>
        <v/>
      </c>
    </row>
    <row r="117" spans="1:89">
      <c r="A117" s="111"/>
      <c r="D117" s="19"/>
      <c r="E117" s="19"/>
      <c r="G117" s="19"/>
      <c r="H117" s="11"/>
      <c r="M117" s="11"/>
      <c r="O117" s="11"/>
      <c r="P117" s="11"/>
      <c r="Q117" s="11"/>
      <c r="T117" s="18"/>
      <c r="U117" s="19"/>
      <c r="CA117" s="1" t="s">
        <v>71</v>
      </c>
      <c r="CB117" s="1" t="s">
        <v>18</v>
      </c>
      <c r="CC117" s="1" t="s">
        <v>308</v>
      </c>
      <c r="CE117" s="139">
        <f>SH[[#This Row],[Part Type]]</f>
        <v>0</v>
      </c>
      <c r="CF117" s="139">
        <f>SH[[#This Row],[Part Number]]</f>
        <v>0</v>
      </c>
      <c r="CG117" s="128">
        <f>SH[[#This Row],[UID]]</f>
        <v>0</v>
      </c>
      <c r="CK117" s="8" t="str">
        <f>IF(SH[[#This Row],[Status]]=0,"",SH[[#This Row],[Status]])</f>
        <v/>
      </c>
    </row>
    <row r="118" spans="1:89">
      <c r="A118" s="111"/>
      <c r="D118" s="19"/>
      <c r="E118" s="19"/>
      <c r="G118" s="19"/>
      <c r="H118" s="11"/>
      <c r="M118" s="11"/>
      <c r="O118" s="11"/>
      <c r="P118" s="11"/>
      <c r="Q118" s="11"/>
      <c r="T118" s="18"/>
      <c r="U118" s="19"/>
      <c r="CA118" s="1" t="s">
        <v>71</v>
      </c>
      <c r="CB118" s="1" t="s">
        <v>18</v>
      </c>
      <c r="CC118" s="1" t="s">
        <v>308</v>
      </c>
      <c r="CE118" s="139">
        <f>SH[[#This Row],[Part Type]]</f>
        <v>0</v>
      </c>
      <c r="CF118" s="139">
        <f>SH[[#This Row],[Part Number]]</f>
        <v>0</v>
      </c>
      <c r="CG118" s="128">
        <f>SH[[#This Row],[UID]]</f>
        <v>0</v>
      </c>
      <c r="CK118" s="8" t="str">
        <f>IF(SH[[#This Row],[Status]]=0,"",SH[[#This Row],[Status]])</f>
        <v/>
      </c>
    </row>
    <row r="119" spans="1:89">
      <c r="A119" s="111"/>
      <c r="D119" s="19"/>
      <c r="E119" s="19"/>
      <c r="G119" s="19"/>
      <c r="H119" s="11"/>
      <c r="M119" s="11"/>
      <c r="O119" s="11"/>
      <c r="P119" s="11"/>
      <c r="Q119" s="11"/>
      <c r="T119" s="18"/>
      <c r="U119" s="19"/>
      <c r="CA119" s="1" t="s">
        <v>71</v>
      </c>
      <c r="CB119" s="1" t="s">
        <v>18</v>
      </c>
      <c r="CC119" s="1" t="s">
        <v>308</v>
      </c>
      <c r="CE119" s="139">
        <f>SH[[#This Row],[Part Type]]</f>
        <v>0</v>
      </c>
      <c r="CF119" s="139">
        <f>SH[[#This Row],[Part Number]]</f>
        <v>0</v>
      </c>
      <c r="CG119" s="128">
        <f>SH[[#This Row],[UID]]</f>
        <v>0</v>
      </c>
      <c r="CK119" s="8" t="str">
        <f>IF(SH[[#This Row],[Status]]=0,"",SH[[#This Row],[Status]])</f>
        <v/>
      </c>
    </row>
    <row r="120" spans="1:89">
      <c r="A120" s="111"/>
      <c r="D120" s="19"/>
      <c r="E120" s="19"/>
      <c r="G120" s="19"/>
      <c r="H120" s="11"/>
      <c r="M120" s="11"/>
      <c r="O120" s="11"/>
      <c r="P120" s="11"/>
      <c r="Q120" s="11"/>
      <c r="T120" s="18"/>
      <c r="U120" s="19"/>
      <c r="CA120" s="1" t="s">
        <v>71</v>
      </c>
      <c r="CB120" s="1" t="s">
        <v>18</v>
      </c>
      <c r="CC120" s="1" t="s">
        <v>308</v>
      </c>
      <c r="CE120" s="139">
        <f>SH[[#This Row],[Part Type]]</f>
        <v>0</v>
      </c>
      <c r="CF120" s="139">
        <f>SH[[#This Row],[Part Number]]</f>
        <v>0</v>
      </c>
      <c r="CG120" s="128">
        <f>SH[[#This Row],[UID]]</f>
        <v>0</v>
      </c>
      <c r="CK120" s="8" t="str">
        <f>IF(SH[[#This Row],[Status]]=0,"",SH[[#This Row],[Status]])</f>
        <v/>
      </c>
    </row>
    <row r="121" spans="1:89">
      <c r="A121" s="111"/>
      <c r="D121" s="19"/>
      <c r="E121" s="19"/>
      <c r="G121" s="19"/>
      <c r="H121" s="11"/>
      <c r="M121" s="11"/>
      <c r="O121" s="11"/>
      <c r="P121" s="11"/>
      <c r="Q121" s="11"/>
      <c r="T121" s="18"/>
      <c r="U121" s="19"/>
      <c r="CA121" s="1" t="s">
        <v>71</v>
      </c>
      <c r="CB121" s="1" t="s">
        <v>18</v>
      </c>
      <c r="CC121" s="1" t="s">
        <v>308</v>
      </c>
      <c r="CE121" s="139">
        <f>SH[[#This Row],[Part Type]]</f>
        <v>0</v>
      </c>
      <c r="CF121" s="139">
        <f>SH[[#This Row],[Part Number]]</f>
        <v>0</v>
      </c>
      <c r="CG121" s="128">
        <f>SH[[#This Row],[UID]]</f>
        <v>0</v>
      </c>
      <c r="CK121" s="8" t="str">
        <f>IF(SH[[#This Row],[Status]]=0,"",SH[[#This Row],[Status]])</f>
        <v/>
      </c>
    </row>
    <row r="122" spans="1:89">
      <c r="A122" s="111"/>
      <c r="D122" s="19"/>
      <c r="E122" s="19"/>
      <c r="G122" s="19"/>
      <c r="H122" s="11"/>
      <c r="M122" s="11"/>
      <c r="O122" s="11"/>
      <c r="P122" s="11"/>
      <c r="Q122" s="11"/>
      <c r="T122" s="18"/>
      <c r="U122" s="19"/>
      <c r="CA122" s="1" t="s">
        <v>71</v>
      </c>
      <c r="CB122" s="1" t="s">
        <v>18</v>
      </c>
      <c r="CC122" s="1" t="s">
        <v>308</v>
      </c>
      <c r="CE122" s="139">
        <f>SH[[#This Row],[Part Type]]</f>
        <v>0</v>
      </c>
      <c r="CF122" s="139">
        <f>SH[[#This Row],[Part Number]]</f>
        <v>0</v>
      </c>
      <c r="CG122" s="128">
        <f>SH[[#This Row],[UID]]</f>
        <v>0</v>
      </c>
      <c r="CK122" s="8" t="str">
        <f>IF(SH[[#This Row],[Status]]=0,"",SH[[#This Row],[Status]])</f>
        <v/>
      </c>
    </row>
    <row r="123" spans="1:89">
      <c r="A123" s="111"/>
      <c r="D123" s="19"/>
      <c r="E123" s="19"/>
      <c r="G123" s="19"/>
      <c r="H123" s="11"/>
      <c r="M123" s="11"/>
      <c r="O123" s="11"/>
      <c r="P123" s="11"/>
      <c r="Q123" s="11"/>
      <c r="T123" s="18"/>
      <c r="U123" s="19"/>
      <c r="CA123" s="1" t="s">
        <v>71</v>
      </c>
      <c r="CB123" s="1" t="s">
        <v>18</v>
      </c>
      <c r="CC123" s="1" t="s">
        <v>308</v>
      </c>
      <c r="CE123" s="139">
        <f>SH[[#This Row],[Part Type]]</f>
        <v>0</v>
      </c>
      <c r="CF123" s="139">
        <f>SH[[#This Row],[Part Number]]</f>
        <v>0</v>
      </c>
      <c r="CG123" s="128">
        <f>SH[[#This Row],[UID]]</f>
        <v>0</v>
      </c>
      <c r="CK123" s="8" t="str">
        <f>IF(SH[[#This Row],[Status]]=0,"",SH[[#This Row],[Status]])</f>
        <v/>
      </c>
    </row>
    <row r="124" spans="1:89">
      <c r="A124" s="111"/>
      <c r="D124" s="19"/>
      <c r="E124" s="19"/>
      <c r="G124" s="19"/>
      <c r="H124" s="11"/>
      <c r="M124" s="11"/>
      <c r="O124" s="11"/>
      <c r="P124" s="11"/>
      <c r="Q124" s="11"/>
      <c r="T124" s="18"/>
      <c r="U124" s="19"/>
      <c r="CA124" s="1" t="s">
        <v>71</v>
      </c>
      <c r="CB124" s="1" t="s">
        <v>18</v>
      </c>
      <c r="CC124" s="1" t="s">
        <v>308</v>
      </c>
      <c r="CE124" s="139">
        <f>SH[[#This Row],[Part Type]]</f>
        <v>0</v>
      </c>
      <c r="CF124" s="139">
        <f>SH[[#This Row],[Part Number]]</f>
        <v>0</v>
      </c>
      <c r="CG124" s="128">
        <f>SH[[#This Row],[UID]]</f>
        <v>0</v>
      </c>
      <c r="CK124" s="8" t="str">
        <f>IF(SH[[#This Row],[Status]]=0,"",SH[[#This Row],[Status]])</f>
        <v/>
      </c>
    </row>
    <row r="125" spans="1:89">
      <c r="A125" s="111"/>
      <c r="D125" s="19"/>
      <c r="E125" s="19"/>
      <c r="G125" s="19"/>
      <c r="H125" s="11"/>
      <c r="M125" s="11"/>
      <c r="O125" s="11"/>
      <c r="P125" s="11"/>
      <c r="Q125" s="11"/>
      <c r="T125" s="18"/>
      <c r="U125" s="19"/>
      <c r="CA125" s="1" t="s">
        <v>71</v>
      </c>
      <c r="CB125" s="1" t="s">
        <v>18</v>
      </c>
      <c r="CC125" s="1" t="s">
        <v>308</v>
      </c>
      <c r="CE125" s="139">
        <f>SH[[#This Row],[Part Type]]</f>
        <v>0</v>
      </c>
      <c r="CF125" s="139">
        <f>SH[[#This Row],[Part Number]]</f>
        <v>0</v>
      </c>
      <c r="CG125" s="128">
        <f>SH[[#This Row],[UID]]</f>
        <v>0</v>
      </c>
      <c r="CK125" s="8" t="str">
        <f>IF(SH[[#This Row],[Status]]=0,"",SH[[#This Row],[Status]])</f>
        <v/>
      </c>
    </row>
    <row r="126" spans="1:89">
      <c r="A126" s="111"/>
      <c r="D126" s="19"/>
      <c r="E126" s="19"/>
      <c r="G126" s="19"/>
      <c r="H126" s="11"/>
      <c r="M126" s="11"/>
      <c r="O126" s="11"/>
      <c r="P126" s="11"/>
      <c r="Q126" s="11"/>
      <c r="T126" s="18"/>
      <c r="U126" s="19"/>
      <c r="CA126" s="1" t="s">
        <v>71</v>
      </c>
      <c r="CB126" s="1" t="s">
        <v>18</v>
      </c>
      <c r="CC126" s="1" t="s">
        <v>308</v>
      </c>
      <c r="CE126" s="139">
        <f>SH[[#This Row],[Part Type]]</f>
        <v>0</v>
      </c>
      <c r="CF126" s="139">
        <f>SH[[#This Row],[Part Number]]</f>
        <v>0</v>
      </c>
      <c r="CG126" s="128">
        <f>SH[[#This Row],[UID]]</f>
        <v>0</v>
      </c>
      <c r="CK126" s="8" t="str">
        <f>IF(SH[[#This Row],[Status]]=0,"",SH[[#This Row],[Status]])</f>
        <v/>
      </c>
    </row>
    <row r="127" spans="1:89">
      <c r="A127" s="111"/>
      <c r="D127" s="19"/>
      <c r="E127" s="19"/>
      <c r="G127" s="19"/>
      <c r="H127" s="11"/>
      <c r="M127" s="11"/>
      <c r="O127" s="11"/>
      <c r="P127" s="11"/>
      <c r="Q127" s="11"/>
      <c r="T127" s="18"/>
      <c r="U127" s="19"/>
      <c r="CA127" s="1" t="s">
        <v>71</v>
      </c>
      <c r="CB127" s="1" t="s">
        <v>18</v>
      </c>
      <c r="CC127" s="1" t="s">
        <v>308</v>
      </c>
      <c r="CE127" s="139">
        <f>SH[[#This Row],[Part Type]]</f>
        <v>0</v>
      </c>
      <c r="CF127" s="139">
        <f>SH[[#This Row],[Part Number]]</f>
        <v>0</v>
      </c>
      <c r="CG127" s="128">
        <f>SH[[#This Row],[UID]]</f>
        <v>0</v>
      </c>
      <c r="CK127" s="8" t="str">
        <f>IF(SH[[#This Row],[Status]]=0,"",SH[[#This Row],[Status]])</f>
        <v/>
      </c>
    </row>
    <row r="128" spans="1:89">
      <c r="A128" s="111"/>
      <c r="D128" s="19"/>
      <c r="E128" s="19"/>
      <c r="G128" s="19"/>
      <c r="H128" s="11"/>
      <c r="M128" s="11"/>
      <c r="O128" s="11"/>
      <c r="P128" s="11"/>
      <c r="Q128" s="11"/>
      <c r="T128" s="18"/>
      <c r="U128" s="19"/>
      <c r="CA128" s="1" t="s">
        <v>71</v>
      </c>
      <c r="CB128" s="1" t="s">
        <v>18</v>
      </c>
      <c r="CC128" s="1" t="s">
        <v>308</v>
      </c>
      <c r="CE128" s="139">
        <f>SH[[#This Row],[Part Type]]</f>
        <v>0</v>
      </c>
      <c r="CF128" s="139">
        <f>SH[[#This Row],[Part Number]]</f>
        <v>0</v>
      </c>
      <c r="CG128" s="128">
        <f>SH[[#This Row],[UID]]</f>
        <v>0</v>
      </c>
      <c r="CK128" s="8" t="str">
        <f>IF(SH[[#This Row],[Status]]=0,"",SH[[#This Row],[Status]])</f>
        <v/>
      </c>
    </row>
    <row r="129" spans="1:89">
      <c r="A129" s="111"/>
      <c r="D129" s="19"/>
      <c r="E129" s="19"/>
      <c r="G129" s="19"/>
      <c r="H129" s="11"/>
      <c r="M129" s="11"/>
      <c r="O129" s="11"/>
      <c r="P129" s="11"/>
      <c r="Q129" s="11"/>
      <c r="T129" s="18"/>
      <c r="U129" s="19"/>
      <c r="CA129" s="1" t="s">
        <v>71</v>
      </c>
      <c r="CB129" s="1" t="s">
        <v>18</v>
      </c>
      <c r="CC129" s="1" t="s">
        <v>308</v>
      </c>
      <c r="CE129" s="139">
        <f>SH[[#This Row],[Part Type]]</f>
        <v>0</v>
      </c>
      <c r="CF129" s="139">
        <f>SH[[#This Row],[Part Number]]</f>
        <v>0</v>
      </c>
      <c r="CG129" s="128">
        <f>SH[[#This Row],[UID]]</f>
        <v>0</v>
      </c>
      <c r="CK129" s="8" t="str">
        <f>IF(SH[[#This Row],[Status]]=0,"",SH[[#This Row],[Status]])</f>
        <v/>
      </c>
    </row>
    <row r="130" spans="1:89">
      <c r="A130" s="111"/>
      <c r="D130" s="19"/>
      <c r="E130" s="19"/>
      <c r="G130" s="19"/>
      <c r="H130" s="11"/>
      <c r="M130" s="11"/>
      <c r="O130" s="11"/>
      <c r="P130" s="11"/>
      <c r="Q130" s="11"/>
      <c r="T130" s="18"/>
      <c r="U130" s="19"/>
      <c r="CA130" s="1" t="s">
        <v>71</v>
      </c>
      <c r="CB130" s="1" t="s">
        <v>18</v>
      </c>
      <c r="CC130" s="1" t="s">
        <v>308</v>
      </c>
      <c r="CE130" s="139">
        <f>SH[[#This Row],[Part Type]]</f>
        <v>0</v>
      </c>
      <c r="CF130" s="139">
        <f>SH[[#This Row],[Part Number]]</f>
        <v>0</v>
      </c>
      <c r="CG130" s="128">
        <f>SH[[#This Row],[UID]]</f>
        <v>0</v>
      </c>
      <c r="CK130" s="8" t="str">
        <f>IF(SH[[#This Row],[Status]]=0,"",SH[[#This Row],[Status]])</f>
        <v/>
      </c>
    </row>
    <row r="131" spans="1:89">
      <c r="A131" s="111"/>
      <c r="D131" s="19"/>
      <c r="E131" s="19"/>
      <c r="G131" s="19"/>
      <c r="H131" s="11"/>
      <c r="M131" s="11"/>
      <c r="O131" s="11"/>
      <c r="P131" s="11"/>
      <c r="Q131" s="11"/>
      <c r="T131" s="18"/>
      <c r="U131" s="19"/>
      <c r="CA131" s="1" t="s">
        <v>71</v>
      </c>
      <c r="CB131" s="1" t="s">
        <v>18</v>
      </c>
      <c r="CC131" s="1" t="s">
        <v>308</v>
      </c>
      <c r="CE131" s="139">
        <f>SH[[#This Row],[Part Type]]</f>
        <v>0</v>
      </c>
      <c r="CF131" s="139">
        <f>SH[[#This Row],[Part Number]]</f>
        <v>0</v>
      </c>
      <c r="CG131" s="128">
        <f>SH[[#This Row],[UID]]</f>
        <v>0</v>
      </c>
      <c r="CK131" s="8" t="str">
        <f>IF(SH[[#This Row],[Status]]=0,"",SH[[#This Row],[Status]])</f>
        <v/>
      </c>
    </row>
    <row r="132" spans="1:89">
      <c r="A132" s="111"/>
      <c r="D132" s="19"/>
      <c r="E132" s="19"/>
      <c r="G132" s="19"/>
      <c r="H132" s="11"/>
      <c r="M132" s="11"/>
      <c r="O132" s="11"/>
      <c r="P132" s="11"/>
      <c r="Q132" s="11"/>
      <c r="T132" s="18"/>
      <c r="U132" s="19"/>
      <c r="CA132" s="1" t="s">
        <v>71</v>
      </c>
      <c r="CB132" s="1" t="s">
        <v>18</v>
      </c>
      <c r="CC132" s="1" t="s">
        <v>308</v>
      </c>
      <c r="CE132" s="139">
        <f>SH[[#This Row],[Part Type]]</f>
        <v>0</v>
      </c>
      <c r="CF132" s="139">
        <f>SH[[#This Row],[Part Number]]</f>
        <v>0</v>
      </c>
      <c r="CG132" s="128">
        <f>SH[[#This Row],[UID]]</f>
        <v>0</v>
      </c>
      <c r="CK132" s="8" t="str">
        <f>IF(SH[[#This Row],[Status]]=0,"",SH[[#This Row],[Status]])</f>
        <v/>
      </c>
    </row>
    <row r="133" spans="1:89">
      <c r="A133" s="111"/>
      <c r="D133" s="19"/>
      <c r="E133" s="19"/>
      <c r="G133" s="19"/>
      <c r="H133" s="11"/>
      <c r="M133" s="11"/>
      <c r="O133" s="11"/>
      <c r="P133" s="11"/>
      <c r="Q133" s="11"/>
      <c r="T133" s="18"/>
      <c r="U133" s="19"/>
      <c r="CA133" s="1" t="s">
        <v>71</v>
      </c>
      <c r="CB133" s="1" t="s">
        <v>18</v>
      </c>
      <c r="CC133" s="1" t="s">
        <v>308</v>
      </c>
      <c r="CE133" s="139">
        <f>SH[[#This Row],[Part Type]]</f>
        <v>0</v>
      </c>
      <c r="CF133" s="139">
        <f>SH[[#This Row],[Part Number]]</f>
        <v>0</v>
      </c>
      <c r="CG133" s="128">
        <f>SH[[#This Row],[UID]]</f>
        <v>0</v>
      </c>
      <c r="CK133" s="8" t="str">
        <f>IF(SH[[#This Row],[Status]]=0,"",SH[[#This Row],[Status]])</f>
        <v/>
      </c>
    </row>
    <row r="134" spans="1:89">
      <c r="A134" s="111"/>
      <c r="D134" s="19"/>
      <c r="E134" s="19"/>
      <c r="G134" s="19"/>
      <c r="H134" s="11"/>
      <c r="M134" s="11"/>
      <c r="O134" s="11"/>
      <c r="P134" s="11"/>
      <c r="Q134" s="11"/>
      <c r="T134" s="18"/>
      <c r="U134" s="19"/>
      <c r="CA134" s="1" t="s">
        <v>71</v>
      </c>
      <c r="CB134" s="1" t="s">
        <v>18</v>
      </c>
      <c r="CC134" s="1" t="s">
        <v>308</v>
      </c>
      <c r="CE134" s="139">
        <f>SH[[#This Row],[Part Type]]</f>
        <v>0</v>
      </c>
      <c r="CF134" s="139">
        <f>SH[[#This Row],[Part Number]]</f>
        <v>0</v>
      </c>
      <c r="CG134" s="128">
        <f>SH[[#This Row],[UID]]</f>
        <v>0</v>
      </c>
      <c r="CK134" s="8" t="str">
        <f>IF(SH[[#This Row],[Status]]=0,"",SH[[#This Row],[Status]])</f>
        <v/>
      </c>
    </row>
    <row r="135" spans="1:89">
      <c r="A135" s="111"/>
      <c r="D135" s="19"/>
      <c r="E135" s="19"/>
      <c r="G135" s="19"/>
      <c r="H135" s="11"/>
      <c r="M135" s="11"/>
      <c r="O135" s="11"/>
      <c r="P135" s="11"/>
      <c r="Q135" s="11"/>
      <c r="T135" s="18"/>
      <c r="U135" s="19"/>
      <c r="CA135" s="1" t="s">
        <v>71</v>
      </c>
      <c r="CB135" s="1" t="s">
        <v>18</v>
      </c>
      <c r="CC135" s="1" t="s">
        <v>308</v>
      </c>
      <c r="CE135" s="139">
        <f>SH[[#This Row],[Part Type]]</f>
        <v>0</v>
      </c>
      <c r="CF135" s="139">
        <f>SH[[#This Row],[Part Number]]</f>
        <v>0</v>
      </c>
      <c r="CG135" s="128">
        <f>SH[[#This Row],[UID]]</f>
        <v>0</v>
      </c>
      <c r="CK135" s="8" t="str">
        <f>IF(SH[[#This Row],[Status]]=0,"",SH[[#This Row],[Status]])</f>
        <v/>
      </c>
    </row>
    <row r="136" spans="1:89">
      <c r="A136" s="111"/>
      <c r="D136" s="19"/>
      <c r="E136" s="19"/>
      <c r="G136" s="19"/>
      <c r="H136" s="11"/>
      <c r="M136" s="11"/>
      <c r="O136" s="11"/>
      <c r="P136" s="11"/>
      <c r="Q136" s="11"/>
      <c r="T136" s="18"/>
      <c r="U136" s="19"/>
      <c r="CA136" s="1" t="s">
        <v>71</v>
      </c>
      <c r="CB136" s="1" t="s">
        <v>18</v>
      </c>
      <c r="CC136" s="1" t="s">
        <v>308</v>
      </c>
      <c r="CE136" s="139">
        <f>SH[[#This Row],[Part Type]]</f>
        <v>0</v>
      </c>
      <c r="CF136" s="139">
        <f>SH[[#This Row],[Part Number]]</f>
        <v>0</v>
      </c>
      <c r="CG136" s="128">
        <f>SH[[#This Row],[UID]]</f>
        <v>0</v>
      </c>
      <c r="CK136" s="8" t="str">
        <f>IF(SH[[#This Row],[Status]]=0,"",SH[[#This Row],[Status]])</f>
        <v/>
      </c>
    </row>
    <row r="137" spans="1:89">
      <c r="A137" s="111"/>
      <c r="D137" s="19"/>
      <c r="E137" s="19"/>
      <c r="G137" s="19"/>
      <c r="H137" s="11"/>
      <c r="M137" s="11"/>
      <c r="O137" s="11"/>
      <c r="P137" s="11"/>
      <c r="Q137" s="11"/>
      <c r="T137" s="18"/>
      <c r="U137" s="19"/>
      <c r="CA137" s="1" t="s">
        <v>71</v>
      </c>
      <c r="CB137" s="1" t="s">
        <v>18</v>
      </c>
      <c r="CC137" s="1" t="s">
        <v>308</v>
      </c>
      <c r="CE137" s="139">
        <f>SH[[#This Row],[Part Type]]</f>
        <v>0</v>
      </c>
      <c r="CF137" s="139">
        <f>SH[[#This Row],[Part Number]]</f>
        <v>0</v>
      </c>
      <c r="CG137" s="128">
        <f>SH[[#This Row],[UID]]</f>
        <v>0</v>
      </c>
      <c r="CK137" s="8" t="str">
        <f>IF(SH[[#This Row],[Status]]=0,"",SH[[#This Row],[Status]])</f>
        <v/>
      </c>
    </row>
    <row r="138" spans="1:89">
      <c r="A138" s="111"/>
      <c r="D138" s="19"/>
      <c r="E138" s="19"/>
      <c r="G138" s="19"/>
      <c r="H138" s="11"/>
      <c r="M138" s="11"/>
      <c r="O138" s="11"/>
      <c r="P138" s="11"/>
      <c r="Q138" s="11"/>
      <c r="T138" s="18"/>
      <c r="U138" s="19"/>
      <c r="CA138" s="1" t="s">
        <v>71</v>
      </c>
      <c r="CB138" s="1" t="s">
        <v>18</v>
      </c>
      <c r="CC138" s="1" t="s">
        <v>308</v>
      </c>
      <c r="CE138" s="139">
        <f>SH[[#This Row],[Part Type]]</f>
        <v>0</v>
      </c>
      <c r="CF138" s="139">
        <f>SH[[#This Row],[Part Number]]</f>
        <v>0</v>
      </c>
      <c r="CG138" s="128">
        <f>SH[[#This Row],[UID]]</f>
        <v>0</v>
      </c>
      <c r="CK138" s="8" t="str">
        <f>IF(SH[[#This Row],[Status]]=0,"",SH[[#This Row],[Status]])</f>
        <v/>
      </c>
    </row>
    <row r="139" spans="1:89">
      <c r="A139" s="111"/>
      <c r="D139" s="19"/>
      <c r="E139" s="19"/>
      <c r="G139" s="19"/>
      <c r="H139" s="11"/>
      <c r="M139" s="11"/>
      <c r="O139" s="11"/>
      <c r="P139" s="11"/>
      <c r="Q139" s="11"/>
      <c r="T139" s="18"/>
      <c r="U139" s="19"/>
      <c r="CA139" s="1" t="s">
        <v>71</v>
      </c>
      <c r="CB139" s="1" t="s">
        <v>18</v>
      </c>
      <c r="CC139" s="1" t="s">
        <v>308</v>
      </c>
      <c r="CE139" s="139">
        <f>SH[[#This Row],[Part Type]]</f>
        <v>0</v>
      </c>
      <c r="CF139" s="139">
        <f>SH[[#This Row],[Part Number]]</f>
        <v>0</v>
      </c>
      <c r="CG139" s="128">
        <f>SH[[#This Row],[UID]]</f>
        <v>0</v>
      </c>
      <c r="CK139" s="8" t="str">
        <f>IF(SH[[#This Row],[Status]]=0,"",SH[[#This Row],[Status]])</f>
        <v/>
      </c>
    </row>
    <row r="140" spans="1:89">
      <c r="A140" s="111"/>
      <c r="D140" s="19"/>
      <c r="E140" s="19"/>
      <c r="G140" s="19"/>
      <c r="H140" s="11"/>
      <c r="M140" s="11"/>
      <c r="O140" s="11"/>
      <c r="P140" s="11"/>
      <c r="Q140" s="11"/>
      <c r="T140" s="18"/>
      <c r="U140" s="19"/>
      <c r="CA140" s="1" t="s">
        <v>71</v>
      </c>
      <c r="CB140" s="1" t="s">
        <v>18</v>
      </c>
      <c r="CC140" s="1" t="s">
        <v>308</v>
      </c>
      <c r="CE140" s="139">
        <f>SH[[#This Row],[Part Type]]</f>
        <v>0</v>
      </c>
      <c r="CF140" s="139">
        <f>SH[[#This Row],[Part Number]]</f>
        <v>0</v>
      </c>
      <c r="CG140" s="128">
        <f>SH[[#This Row],[UID]]</f>
        <v>0</v>
      </c>
      <c r="CK140" s="8" t="str">
        <f>IF(SH[[#This Row],[Status]]=0,"",SH[[#This Row],[Status]])</f>
        <v/>
      </c>
    </row>
    <row r="141" spans="1:89">
      <c r="A141" s="111"/>
      <c r="D141" s="19"/>
      <c r="E141" s="19"/>
      <c r="G141" s="19"/>
      <c r="H141" s="11"/>
      <c r="M141" s="11"/>
      <c r="O141" s="11"/>
      <c r="P141" s="11"/>
      <c r="Q141" s="11"/>
      <c r="T141" s="18"/>
      <c r="U141" s="19"/>
      <c r="CA141" s="1" t="s">
        <v>71</v>
      </c>
      <c r="CB141" s="1" t="s">
        <v>18</v>
      </c>
      <c r="CC141" s="1" t="s">
        <v>308</v>
      </c>
      <c r="CE141" s="139">
        <f>SH[[#This Row],[Part Type]]</f>
        <v>0</v>
      </c>
      <c r="CF141" s="139">
        <f>SH[[#This Row],[Part Number]]</f>
        <v>0</v>
      </c>
      <c r="CG141" s="128">
        <f>SH[[#This Row],[UID]]</f>
        <v>0</v>
      </c>
      <c r="CK141" s="8" t="str">
        <f>IF(SH[[#This Row],[Status]]=0,"",SH[[#This Row],[Status]])</f>
        <v/>
      </c>
    </row>
    <row r="142" spans="1:89">
      <c r="A142" s="111"/>
      <c r="D142" s="19"/>
      <c r="E142" s="19"/>
      <c r="G142" s="19"/>
      <c r="H142" s="11"/>
      <c r="M142" s="11"/>
      <c r="O142" s="11"/>
      <c r="P142" s="11"/>
      <c r="Q142" s="11"/>
      <c r="T142" s="18"/>
      <c r="U142" s="19"/>
      <c r="CA142" s="1" t="s">
        <v>71</v>
      </c>
      <c r="CB142" s="1" t="s">
        <v>18</v>
      </c>
      <c r="CC142" s="1" t="s">
        <v>308</v>
      </c>
      <c r="CE142" s="139">
        <f>SH[[#This Row],[Part Type]]</f>
        <v>0</v>
      </c>
      <c r="CF142" s="139">
        <f>SH[[#This Row],[Part Number]]</f>
        <v>0</v>
      </c>
      <c r="CG142" s="128">
        <f>SH[[#This Row],[UID]]</f>
        <v>0</v>
      </c>
      <c r="CK142" s="8" t="str">
        <f>IF(SH[[#This Row],[Status]]=0,"",SH[[#This Row],[Status]])</f>
        <v/>
      </c>
    </row>
    <row r="143" spans="1:89">
      <c r="A143" s="111"/>
      <c r="D143" s="19"/>
      <c r="E143" s="19"/>
      <c r="G143" s="19"/>
      <c r="H143" s="11"/>
      <c r="M143" s="11"/>
      <c r="O143" s="11"/>
      <c r="P143" s="11"/>
      <c r="Q143" s="11"/>
      <c r="T143" s="18"/>
      <c r="U143" s="19"/>
      <c r="CA143" s="1" t="s">
        <v>71</v>
      </c>
      <c r="CB143" s="1" t="s">
        <v>18</v>
      </c>
      <c r="CC143" s="1" t="s">
        <v>308</v>
      </c>
      <c r="CE143" s="139">
        <f>SH[[#This Row],[Part Type]]</f>
        <v>0</v>
      </c>
      <c r="CF143" s="139">
        <f>SH[[#This Row],[Part Number]]</f>
        <v>0</v>
      </c>
      <c r="CG143" s="128">
        <f>SH[[#This Row],[UID]]</f>
        <v>0</v>
      </c>
      <c r="CK143" s="8" t="str">
        <f>IF(SH[[#This Row],[Status]]=0,"",SH[[#This Row],[Status]])</f>
        <v/>
      </c>
    </row>
    <row r="144" spans="1:89">
      <c r="A144" s="111"/>
      <c r="D144" s="19"/>
      <c r="E144" s="19"/>
      <c r="G144" s="19"/>
      <c r="H144" s="11"/>
      <c r="M144" s="11"/>
      <c r="O144" s="11"/>
      <c r="P144" s="11"/>
      <c r="Q144" s="11"/>
      <c r="T144" s="18"/>
      <c r="U144" s="19"/>
      <c r="CA144" s="1" t="s">
        <v>71</v>
      </c>
      <c r="CB144" s="1" t="s">
        <v>18</v>
      </c>
      <c r="CC144" s="1" t="s">
        <v>308</v>
      </c>
      <c r="CE144" s="139">
        <f>SH[[#This Row],[Part Type]]</f>
        <v>0</v>
      </c>
      <c r="CF144" s="139">
        <f>SH[[#This Row],[Part Number]]</f>
        <v>0</v>
      </c>
      <c r="CG144" s="128">
        <f>SH[[#This Row],[UID]]</f>
        <v>0</v>
      </c>
      <c r="CK144" s="8" t="str">
        <f>IF(SH[[#This Row],[Status]]=0,"",SH[[#This Row],[Status]])</f>
        <v/>
      </c>
    </row>
    <row r="145" spans="1:89">
      <c r="A145" s="111"/>
      <c r="D145" s="19"/>
      <c r="E145" s="19"/>
      <c r="G145" s="19"/>
      <c r="H145" s="11"/>
      <c r="M145" s="11"/>
      <c r="O145" s="11"/>
      <c r="P145" s="11"/>
      <c r="Q145" s="11"/>
      <c r="T145" s="18"/>
      <c r="U145" s="19"/>
      <c r="CA145" s="1" t="s">
        <v>71</v>
      </c>
      <c r="CB145" s="1" t="s">
        <v>18</v>
      </c>
      <c r="CC145" s="1" t="s">
        <v>308</v>
      </c>
      <c r="CE145" s="139">
        <f>SH[[#This Row],[Part Type]]</f>
        <v>0</v>
      </c>
      <c r="CF145" s="139">
        <f>SH[[#This Row],[Part Number]]</f>
        <v>0</v>
      </c>
      <c r="CG145" s="128">
        <f>SH[[#This Row],[UID]]</f>
        <v>0</v>
      </c>
      <c r="CK145" s="8" t="str">
        <f>IF(SH[[#This Row],[Status]]=0,"",SH[[#This Row],[Status]])</f>
        <v/>
      </c>
    </row>
    <row r="146" spans="1:89">
      <c r="A146" s="111"/>
      <c r="D146" s="19"/>
      <c r="E146" s="19"/>
      <c r="G146" s="19"/>
      <c r="H146" s="11"/>
      <c r="M146" s="11"/>
      <c r="O146" s="11"/>
      <c r="P146" s="11"/>
      <c r="Q146" s="11"/>
      <c r="T146" s="18"/>
      <c r="U146" s="19"/>
      <c r="CA146" s="1" t="s">
        <v>71</v>
      </c>
      <c r="CB146" s="1" t="s">
        <v>18</v>
      </c>
      <c r="CC146" s="1" t="s">
        <v>308</v>
      </c>
      <c r="CE146" s="139">
        <f>SH[[#This Row],[Part Type]]</f>
        <v>0</v>
      </c>
      <c r="CF146" s="139">
        <f>SH[[#This Row],[Part Number]]</f>
        <v>0</v>
      </c>
      <c r="CG146" s="128">
        <f>SH[[#This Row],[UID]]</f>
        <v>0</v>
      </c>
      <c r="CK146" s="8" t="str">
        <f>IF(SH[[#This Row],[Status]]=0,"",SH[[#This Row],[Status]])</f>
        <v/>
      </c>
    </row>
    <row r="147" spans="1:89">
      <c r="A147" s="111"/>
      <c r="D147" s="19"/>
      <c r="E147" s="19"/>
      <c r="G147" s="19"/>
      <c r="H147" s="11"/>
      <c r="M147" s="11"/>
      <c r="O147" s="11"/>
      <c r="P147" s="11"/>
      <c r="Q147" s="11"/>
      <c r="T147" s="18"/>
      <c r="U147" s="19"/>
      <c r="CA147" s="1" t="s">
        <v>71</v>
      </c>
      <c r="CB147" s="1" t="s">
        <v>18</v>
      </c>
      <c r="CC147" s="1" t="s">
        <v>308</v>
      </c>
      <c r="CE147" s="139">
        <f>SH[[#This Row],[Part Type]]</f>
        <v>0</v>
      </c>
      <c r="CF147" s="139">
        <f>SH[[#This Row],[Part Number]]</f>
        <v>0</v>
      </c>
      <c r="CG147" s="128">
        <f>SH[[#This Row],[UID]]</f>
        <v>0</v>
      </c>
      <c r="CK147" s="8" t="str">
        <f>IF(SH[[#This Row],[Status]]=0,"",SH[[#This Row],[Status]])</f>
        <v/>
      </c>
    </row>
    <row r="148" spans="1:89">
      <c r="A148" s="111"/>
      <c r="D148" s="19"/>
      <c r="E148" s="19"/>
      <c r="G148" s="19"/>
      <c r="H148" s="11"/>
      <c r="M148" s="11"/>
      <c r="O148" s="11"/>
      <c r="P148" s="11"/>
      <c r="Q148" s="11"/>
      <c r="T148" s="18"/>
      <c r="U148" s="19"/>
      <c r="CA148" s="1" t="s">
        <v>71</v>
      </c>
      <c r="CB148" s="1" t="s">
        <v>18</v>
      </c>
      <c r="CC148" s="1" t="s">
        <v>308</v>
      </c>
      <c r="CE148" s="139">
        <f>SH[[#This Row],[Part Type]]</f>
        <v>0</v>
      </c>
      <c r="CF148" s="139">
        <f>SH[[#This Row],[Part Number]]</f>
        <v>0</v>
      </c>
      <c r="CG148" s="128">
        <f>SH[[#This Row],[UID]]</f>
        <v>0</v>
      </c>
      <c r="CK148" s="8" t="str">
        <f>IF(SH[[#This Row],[Status]]=0,"",SH[[#This Row],[Status]])</f>
        <v/>
      </c>
    </row>
    <row r="149" spans="1:89">
      <c r="A149" s="111"/>
      <c r="D149" s="19"/>
      <c r="E149" s="19"/>
      <c r="G149" s="19"/>
      <c r="H149" s="11"/>
      <c r="M149" s="11"/>
      <c r="O149" s="11"/>
      <c r="P149" s="11"/>
      <c r="Q149" s="11"/>
      <c r="T149" s="18"/>
      <c r="U149" s="19"/>
      <c r="CA149" s="1" t="s">
        <v>71</v>
      </c>
      <c r="CB149" s="1" t="s">
        <v>18</v>
      </c>
      <c r="CC149" s="1" t="s">
        <v>308</v>
      </c>
      <c r="CE149" s="139">
        <f>SH[[#This Row],[Part Type]]</f>
        <v>0</v>
      </c>
      <c r="CF149" s="139">
        <f>SH[[#This Row],[Part Number]]</f>
        <v>0</v>
      </c>
      <c r="CG149" s="128">
        <f>SH[[#This Row],[UID]]</f>
        <v>0</v>
      </c>
      <c r="CK149" s="8" t="str">
        <f>IF(SH[[#This Row],[Status]]=0,"",SH[[#This Row],[Status]])</f>
        <v/>
      </c>
    </row>
    <row r="150" spans="1:89">
      <c r="A150" s="111"/>
      <c r="D150" s="19"/>
      <c r="E150" s="19"/>
      <c r="G150" s="19"/>
      <c r="H150" s="11"/>
      <c r="M150" s="11"/>
      <c r="O150" s="11"/>
      <c r="P150" s="11"/>
      <c r="Q150" s="11"/>
      <c r="T150" s="18"/>
      <c r="U150" s="19"/>
      <c r="CA150" s="1" t="s">
        <v>71</v>
      </c>
      <c r="CB150" s="1" t="s">
        <v>18</v>
      </c>
      <c r="CC150" s="1" t="s">
        <v>308</v>
      </c>
      <c r="CE150" s="139">
        <f>SH[[#This Row],[Part Type]]</f>
        <v>0</v>
      </c>
      <c r="CF150" s="139">
        <f>SH[[#This Row],[Part Number]]</f>
        <v>0</v>
      </c>
      <c r="CG150" s="128">
        <f>SH[[#This Row],[UID]]</f>
        <v>0</v>
      </c>
      <c r="CK150" s="8" t="str">
        <f>IF(SH[[#This Row],[Status]]=0,"",SH[[#This Row],[Status]])</f>
        <v/>
      </c>
    </row>
    <row r="151" spans="1:89">
      <c r="A151" s="111"/>
      <c r="D151" s="19"/>
      <c r="E151" s="19"/>
      <c r="G151" s="19"/>
      <c r="H151" s="11"/>
      <c r="M151" s="11"/>
      <c r="O151" s="11"/>
      <c r="P151" s="11"/>
      <c r="Q151" s="11"/>
      <c r="T151" s="18"/>
      <c r="U151" s="19"/>
      <c r="CA151" s="1" t="s">
        <v>71</v>
      </c>
      <c r="CB151" s="1" t="s">
        <v>18</v>
      </c>
      <c r="CC151" s="1" t="s">
        <v>308</v>
      </c>
      <c r="CE151" s="139">
        <f>SH[[#This Row],[Part Type]]</f>
        <v>0</v>
      </c>
      <c r="CF151" s="139">
        <f>SH[[#This Row],[Part Number]]</f>
        <v>0</v>
      </c>
      <c r="CG151" s="128">
        <f>SH[[#This Row],[UID]]</f>
        <v>0</v>
      </c>
      <c r="CK151" s="8" t="str">
        <f>IF(SH[[#This Row],[Status]]=0,"",SH[[#This Row],[Status]])</f>
        <v/>
      </c>
    </row>
  </sheetData>
  <phoneticPr fontId="5" type="noConversion"/>
  <hyperlinks>
    <hyperlink ref="V37" r:id="rId1" xr:uid="{5E2A1A19-1A74-8D49-AAB9-1B68DFB8C146}"/>
    <hyperlink ref="V38:V67" r:id="rId2" display="https://www.highpressure.com/pdfs/section/HighPressure.pdf " xr:uid="{7FE72ED7-62EB-144F-B87C-290A735B0EE9}"/>
    <hyperlink ref="V74:V75" r:id="rId3" display="https://www.highpressure.com/pdfs/section/HighPressure.pdf " xr:uid="{DCDBEEF6-FEDA-1F40-82D9-E1EFECC3F283}"/>
    <hyperlink ref="V23" r:id="rId4" xr:uid="{39C714AD-37D9-1E43-BBD0-71AD400ED38B}"/>
    <hyperlink ref="V24" r:id="rId5" xr:uid="{463982CC-CC3E-2B46-9E35-755BD8EFF19F}"/>
    <hyperlink ref="V68" r:id="rId6" xr:uid="{EA61E324-0955-B648-8563-CD670A074436}"/>
    <hyperlink ref="V69" r:id="rId7" xr:uid="{EC1CEAC0-FA5B-994D-B689-8048FB3FD87A}"/>
    <hyperlink ref="V70" r:id="rId8" xr:uid="{6A06BBEC-9007-0E4D-A208-6DFC608A82B3}"/>
    <hyperlink ref="V73" r:id="rId9" xr:uid="{8C980449-64DF-3F4E-AEA3-117F25680E9D}"/>
    <hyperlink ref="V72" r:id="rId10" xr:uid="{40FF38F3-A8DB-B543-AC3F-5F7C95B70412}"/>
    <hyperlink ref="V71" r:id="rId11" xr:uid="{F88B87D0-78F7-7C43-94E2-93B7EF7E112F}"/>
    <hyperlink ref="V25:V36" r:id="rId12" display="https://www.highpressure.com/pdfs/section/HighPressure.pdf " xr:uid="{74FB4FDE-F8F4-214D-B7D7-7D339F29DCA5}"/>
    <hyperlink ref="V9:V22" r:id="rId13" display="https://www.highpressure.com/pdfs/section/HighPressure.pdf " xr:uid="{E4B80B37-9EF4-F942-9DEC-25D10FE7AB1E}"/>
    <hyperlink ref="V4:V7" r:id="rId14" display="https://www.highpressure.com/pdfs/section/HighPressure.pdf " xr:uid="{53A6D724-9984-6145-BA36-A771AF0F07DA}"/>
    <hyperlink ref="V2" r:id="rId15" xr:uid="{1765C399-9A10-2548-B406-44F4FA723CD2}"/>
    <hyperlink ref="V3" r:id="rId16" xr:uid="{CAAB7082-1849-8A48-83E4-2B482FD4CC13}"/>
    <hyperlink ref="V8" r:id="rId17" xr:uid="{ABA4B2AF-4BCA-AA40-9C83-59572F9C3913}"/>
    <hyperlink ref="V76" r:id="rId18" xr:uid="{CE576B1F-2578-5445-807E-3DA2865FAA09}"/>
  </hyperlinks>
  <pageMargins left="0.7" right="0.7" top="0.75" bottom="0.75" header="0.3" footer="0.3"/>
  <tableParts count="2">
    <tablePart r:id="rId19"/>
    <tablePart r:id="rId20"/>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6B60D-F9B9-CF47-9620-D9B430CF0387}">
  <sheetPr codeName="Sheet8"/>
  <dimension ref="A1:CK101"/>
  <sheetViews>
    <sheetView workbookViewId="0">
      <pane xSplit="3" ySplit="1" topLeftCell="I2" activePane="bottomRight" state="frozen"/>
      <selection pane="bottomRight" activeCell="C1" sqref="C1"/>
      <selection pane="bottomLeft" activeCell="A2" sqref="A2"/>
      <selection pane="topRight" activeCell="D1" sqref="D1"/>
    </sheetView>
  </sheetViews>
  <sheetFormatPr defaultColWidth="11" defaultRowHeight="15.95"/>
  <cols>
    <col min="1" max="1" width="10.5" bestFit="1" customWidth="1"/>
    <col min="2" max="3" width="10.5" customWidth="1"/>
    <col min="4" max="4" width="12.875" bestFit="1" customWidth="1"/>
    <col min="5" max="5" width="12" bestFit="1" customWidth="1"/>
    <col min="6" max="6" width="14.125" bestFit="1" customWidth="1"/>
    <col min="7" max="7" width="12" bestFit="1" customWidth="1"/>
    <col min="8" max="8" width="11.875" bestFit="1" customWidth="1"/>
    <col min="9" max="9" width="24.5" bestFit="1" customWidth="1"/>
    <col min="10" max="10" width="103.375" bestFit="1" customWidth="1"/>
    <col min="79" max="79" width="15.5" customWidth="1"/>
    <col min="80" max="80" width="19.125" customWidth="1"/>
    <col min="81" max="81" width="20.375" customWidth="1"/>
    <col min="84" max="84" width="13.625" customWidth="1"/>
    <col min="85" max="85" width="12.625" customWidth="1"/>
    <col min="86" max="86" width="16.5" customWidth="1"/>
    <col min="88" max="88" width="14.625" customWidth="1"/>
  </cols>
  <sheetData>
    <row r="1" spans="1:89">
      <c r="A1" s="33" t="s">
        <v>12</v>
      </c>
      <c r="B1" s="33" t="s">
        <v>95</v>
      </c>
      <c r="C1" s="184" t="s">
        <v>94</v>
      </c>
      <c r="D1" s="33" t="s">
        <v>1417</v>
      </c>
      <c r="E1" s="33" t="s">
        <v>234</v>
      </c>
      <c r="F1" s="33" t="s">
        <v>760</v>
      </c>
      <c r="G1" s="34" t="s">
        <v>401</v>
      </c>
      <c r="H1" s="34" t="s">
        <v>1418</v>
      </c>
      <c r="I1" s="33" t="s">
        <v>236</v>
      </c>
      <c r="J1" s="33" t="s">
        <v>118</v>
      </c>
      <c r="BZ1" t="s">
        <v>119</v>
      </c>
      <c r="CA1" s="117" t="s">
        <v>2</v>
      </c>
      <c r="CB1" s="118" t="s">
        <v>3</v>
      </c>
      <c r="CC1" s="118" t="s">
        <v>4</v>
      </c>
      <c r="CD1" s="118" t="s">
        <v>5</v>
      </c>
      <c r="CE1" s="118" t="s">
        <v>6</v>
      </c>
      <c r="CF1" s="119" t="s">
        <v>7</v>
      </c>
      <c r="CG1" s="118" t="s">
        <v>8</v>
      </c>
      <c r="CH1" s="118" t="s">
        <v>9</v>
      </c>
      <c r="CI1" s="118" t="s">
        <v>10</v>
      </c>
      <c r="CJ1" s="118" t="s">
        <v>11</v>
      </c>
      <c r="CK1" s="120" t="s">
        <v>12</v>
      </c>
    </row>
    <row r="2" spans="1:89">
      <c r="A2" s="11" t="s">
        <v>120</v>
      </c>
      <c r="B2" s="11" t="s">
        <v>65</v>
      </c>
      <c r="C2" s="11" t="s">
        <v>1419</v>
      </c>
      <c r="D2" s="11" t="s">
        <v>122</v>
      </c>
      <c r="E2" s="11" t="s">
        <v>124</v>
      </c>
      <c r="F2" s="12">
        <v>39083</v>
      </c>
      <c r="G2" s="11">
        <f>6+12+6+12</f>
        <v>36</v>
      </c>
      <c r="H2" s="11" t="s">
        <v>120</v>
      </c>
      <c r="I2" s="16" t="s">
        <v>129</v>
      </c>
      <c r="J2" s="65" t="s">
        <v>1420</v>
      </c>
      <c r="BZ2" t="s">
        <v>131</v>
      </c>
      <c r="CA2" s="1" t="s">
        <v>71</v>
      </c>
      <c r="CB2" s="1" t="s">
        <v>18</v>
      </c>
      <c r="CC2" s="1" t="s">
        <v>132</v>
      </c>
      <c r="CD2" s="1"/>
      <c r="CE2" s="135" t="str">
        <f>SSC[[#This Row],[Part Type]]</f>
        <v>Set Screw</v>
      </c>
      <c r="CF2" s="135" t="str">
        <f>SSC[[#This Row],[Material]]</f>
        <v>Rene 41</v>
      </c>
      <c r="CG2" s="135" t="str">
        <f>SSC[[#This Row],[UID]]</f>
        <v>SSC-1</v>
      </c>
      <c r="CH2" s="1"/>
      <c r="CI2" s="1"/>
      <c r="CJ2" s="1"/>
      <c r="CK2" s="1" t="str">
        <f>IF(SSC[[#This Row],[Status]]=0,"",SSC[[#This Row],[Status]])</f>
        <v>Active</v>
      </c>
    </row>
    <row r="3" spans="1:89">
      <c r="A3" s="11" t="s">
        <v>120</v>
      </c>
      <c r="B3" s="11" t="s">
        <v>65</v>
      </c>
      <c r="C3" s="11" t="s">
        <v>1421</v>
      </c>
      <c r="D3" s="11" t="s">
        <v>122</v>
      </c>
      <c r="E3" s="11" t="s">
        <v>124</v>
      </c>
      <c r="F3" s="12">
        <v>39083</v>
      </c>
      <c r="G3" s="11">
        <f>17+4</f>
        <v>21</v>
      </c>
      <c r="H3" s="11" t="s">
        <v>140</v>
      </c>
      <c r="I3" s="16" t="s">
        <v>129</v>
      </c>
      <c r="J3" s="65" t="s">
        <v>1420</v>
      </c>
      <c r="CA3" s="1" t="s">
        <v>71</v>
      </c>
      <c r="CB3" s="1" t="s">
        <v>18</v>
      </c>
      <c r="CC3" s="1" t="s">
        <v>132</v>
      </c>
      <c r="CE3" s="52" t="str">
        <f>SSC[[#This Row],[Part Type]]</f>
        <v>Set Screw</v>
      </c>
      <c r="CF3" s="29" t="str">
        <f>SSC[[#This Row],[Material]]</f>
        <v>Rene 41</v>
      </c>
      <c r="CG3" s="52" t="str">
        <f>SSC[[#This Row],[UID]]</f>
        <v>SSC-2</v>
      </c>
      <c r="CK3" t="str">
        <f>IF(SSC[[#This Row],[Status]]=0,"",SSC[[#This Row],[Status]])</f>
        <v>Active</v>
      </c>
    </row>
    <row r="4" spans="1:89">
      <c r="A4" s="11" t="s">
        <v>120</v>
      </c>
      <c r="B4" s="11" t="s">
        <v>65</v>
      </c>
      <c r="C4" s="11" t="s">
        <v>1422</v>
      </c>
      <c r="D4" s="11" t="s">
        <v>122</v>
      </c>
      <c r="E4" s="11" t="s">
        <v>164</v>
      </c>
      <c r="F4" s="12">
        <v>39083</v>
      </c>
      <c r="G4" s="11">
        <f>6+16</f>
        <v>22</v>
      </c>
      <c r="H4" s="11" t="s">
        <v>140</v>
      </c>
      <c r="I4" s="16" t="s">
        <v>129</v>
      </c>
      <c r="J4" s="65" t="s">
        <v>1420</v>
      </c>
      <c r="CA4" s="1" t="s">
        <v>71</v>
      </c>
      <c r="CB4" s="1" t="s">
        <v>18</v>
      </c>
      <c r="CC4" s="1" t="s">
        <v>132</v>
      </c>
      <c r="CE4" s="52" t="str">
        <f>SSC[[#This Row],[Part Type]]</f>
        <v>Set Screw</v>
      </c>
      <c r="CF4" s="29" t="str">
        <f>SSC[[#This Row],[Material]]</f>
        <v>Inconel 625</v>
      </c>
      <c r="CG4" s="52" t="str">
        <f>SSC[[#This Row],[UID]]</f>
        <v>SSC-3</v>
      </c>
      <c r="CK4" t="str">
        <f>IF(SSC[[#This Row],[Status]]=0,"",SSC[[#This Row],[Status]])</f>
        <v>Active</v>
      </c>
    </row>
    <row r="5" spans="1:89">
      <c r="A5" s="11" t="s">
        <v>120</v>
      </c>
      <c r="B5" s="11" t="s">
        <v>65</v>
      </c>
      <c r="C5" s="11" t="s">
        <v>1423</v>
      </c>
      <c r="D5" s="11" t="s">
        <v>122</v>
      </c>
      <c r="E5" s="11" t="s">
        <v>1424</v>
      </c>
      <c r="F5" s="12">
        <v>39083</v>
      </c>
      <c r="G5" s="11">
        <v>11</v>
      </c>
      <c r="H5" s="11" t="s">
        <v>140</v>
      </c>
      <c r="I5" s="16" t="s">
        <v>129</v>
      </c>
      <c r="J5" s="65" t="s">
        <v>1420</v>
      </c>
      <c r="CA5" s="1" t="s">
        <v>71</v>
      </c>
      <c r="CB5" s="1" t="s">
        <v>18</v>
      </c>
      <c r="CC5" s="1" t="s">
        <v>132</v>
      </c>
      <c r="CE5" s="52" t="str">
        <f>SSC[[#This Row],[Part Type]]</f>
        <v>Set Screw</v>
      </c>
      <c r="CF5" s="29" t="str">
        <f>SSC[[#This Row],[Material]]</f>
        <v>unknown</v>
      </c>
      <c r="CG5" s="52" t="str">
        <f>SSC[[#This Row],[UID]]</f>
        <v>SSC-4</v>
      </c>
      <c r="CK5" t="str">
        <f>IF(SSC[[#This Row],[Status]]=0,"",SSC[[#This Row],[Status]])</f>
        <v>Active</v>
      </c>
    </row>
    <row r="6" spans="1:89">
      <c r="A6" s="11" t="s">
        <v>120</v>
      </c>
      <c r="B6" s="11" t="s">
        <v>65</v>
      </c>
      <c r="C6" s="11" t="s">
        <v>1425</v>
      </c>
      <c r="D6" s="11" t="s">
        <v>182</v>
      </c>
      <c r="E6" s="11" t="s">
        <v>124</v>
      </c>
      <c r="F6" s="12">
        <v>39876</v>
      </c>
      <c r="G6" s="11">
        <f>39+12+6</f>
        <v>57</v>
      </c>
      <c r="H6" s="11" t="s">
        <v>120</v>
      </c>
      <c r="I6" s="16" t="s">
        <v>129</v>
      </c>
      <c r="J6" s="65" t="s">
        <v>1426</v>
      </c>
      <c r="CA6" s="1" t="s">
        <v>71</v>
      </c>
      <c r="CB6" s="1" t="s">
        <v>18</v>
      </c>
      <c r="CC6" s="1" t="s">
        <v>132</v>
      </c>
      <c r="CE6" s="52" t="str">
        <f>SSC[[#This Row],[Part Type]]</f>
        <v>Set Screw</v>
      </c>
      <c r="CF6" s="29" t="str">
        <f>SSC[[#This Row],[Material]]</f>
        <v>Rene 41</v>
      </c>
      <c r="CG6" s="52" t="str">
        <f>SSC[[#This Row],[UID]]</f>
        <v>SSC-5</v>
      </c>
      <c r="CK6" t="str">
        <f>IF(SSC[[#This Row],[Status]]=0,"",SSC[[#This Row],[Status]])</f>
        <v>Active</v>
      </c>
    </row>
    <row r="7" spans="1:89">
      <c r="A7" s="11" t="s">
        <v>120</v>
      </c>
      <c r="B7" s="11" t="s">
        <v>65</v>
      </c>
      <c r="C7" s="11" t="s">
        <v>1427</v>
      </c>
      <c r="D7" s="11" t="s">
        <v>182</v>
      </c>
      <c r="E7" s="11" t="s">
        <v>124</v>
      </c>
      <c r="F7" s="12">
        <v>39876</v>
      </c>
      <c r="G7" s="11">
        <v>37</v>
      </c>
      <c r="H7" s="11" t="s">
        <v>140</v>
      </c>
      <c r="I7" s="16" t="s">
        <v>129</v>
      </c>
      <c r="J7" s="65" t="s">
        <v>1426</v>
      </c>
      <c r="BZ7" s="18"/>
      <c r="CA7" s="1" t="s">
        <v>71</v>
      </c>
      <c r="CB7" s="1" t="s">
        <v>18</v>
      </c>
      <c r="CC7" s="1" t="s">
        <v>132</v>
      </c>
      <c r="CD7" s="18"/>
      <c r="CE7" s="36" t="str">
        <f>SSC[[#This Row],[Part Type]]</f>
        <v>Set Screw</v>
      </c>
      <c r="CF7" s="28" t="str">
        <f>SSC[[#This Row],[Material]]</f>
        <v>Rene 41</v>
      </c>
      <c r="CG7" s="36" t="str">
        <f>SSC[[#This Row],[UID]]</f>
        <v>SSC-6</v>
      </c>
      <c r="CH7" s="18"/>
      <c r="CI7" s="18"/>
      <c r="CJ7" s="18"/>
      <c r="CK7" s="18" t="str">
        <f>IF(SSC[[#This Row],[Status]]=0,"",SSC[[#This Row],[Status]])</f>
        <v>Active</v>
      </c>
    </row>
    <row r="8" spans="1:89">
      <c r="A8" s="11" t="s">
        <v>120</v>
      </c>
      <c r="B8" s="11" t="s">
        <v>65</v>
      </c>
      <c r="C8" s="11" t="s">
        <v>1428</v>
      </c>
      <c r="D8" s="11" t="s">
        <v>182</v>
      </c>
      <c r="E8" s="11" t="s">
        <v>124</v>
      </c>
      <c r="F8" s="12">
        <v>39876</v>
      </c>
      <c r="G8" s="11">
        <v>2</v>
      </c>
      <c r="H8" s="11" t="s">
        <v>140</v>
      </c>
      <c r="I8" s="11" t="s">
        <v>1429</v>
      </c>
      <c r="J8" s="65" t="s">
        <v>1426</v>
      </c>
      <c r="BZ8" s="18"/>
      <c r="CA8" s="1" t="s">
        <v>71</v>
      </c>
      <c r="CB8" s="1" t="s">
        <v>18</v>
      </c>
      <c r="CC8" s="1" t="s">
        <v>132</v>
      </c>
      <c r="CD8" s="18"/>
      <c r="CE8" s="36" t="str">
        <f>SSC[[#This Row],[Part Type]]</f>
        <v>Set Screw</v>
      </c>
      <c r="CF8" s="28" t="str">
        <f>SSC[[#This Row],[Material]]</f>
        <v>Rene 41</v>
      </c>
      <c r="CG8" s="36" t="str">
        <f>SSC[[#This Row],[UID]]</f>
        <v>SSC-7</v>
      </c>
      <c r="CH8" s="18"/>
      <c r="CI8" s="18"/>
      <c r="CJ8" s="18"/>
      <c r="CK8" s="18" t="str">
        <f>IF(SSC[[#This Row],[Status]]=0,"",SSC[[#This Row],[Status]])</f>
        <v>Active</v>
      </c>
    </row>
    <row r="9" spans="1:89">
      <c r="A9" s="11" t="s">
        <v>120</v>
      </c>
      <c r="B9" s="11" t="s">
        <v>65</v>
      </c>
      <c r="C9" s="11" t="s">
        <v>1430</v>
      </c>
      <c r="D9" s="11" t="s">
        <v>122</v>
      </c>
      <c r="E9" s="11" t="s">
        <v>294</v>
      </c>
      <c r="F9" s="12">
        <v>39083</v>
      </c>
      <c r="G9" s="11">
        <v>7</v>
      </c>
      <c r="H9" s="11" t="s">
        <v>1431</v>
      </c>
      <c r="I9" s="16" t="s">
        <v>129</v>
      </c>
      <c r="J9" s="65" t="s">
        <v>1420</v>
      </c>
      <c r="BZ9" s="18"/>
      <c r="CA9" s="1" t="s">
        <v>71</v>
      </c>
      <c r="CB9" s="1" t="s">
        <v>18</v>
      </c>
      <c r="CC9" s="1" t="s">
        <v>132</v>
      </c>
      <c r="CD9" s="18"/>
      <c r="CE9" s="36" t="str">
        <f>SSC[[#This Row],[Part Type]]</f>
        <v>Set Screw</v>
      </c>
      <c r="CF9" s="28" t="str">
        <f>SSC[[#This Row],[Material]]</f>
        <v>Inconel 718</v>
      </c>
      <c r="CG9" s="36" t="str">
        <f>SSC[[#This Row],[UID]]</f>
        <v>SSC-8</v>
      </c>
      <c r="CH9" s="18"/>
      <c r="CI9" s="18"/>
      <c r="CJ9" s="18"/>
      <c r="CK9" s="18" t="str">
        <f>IF(SSC[[#This Row],[Status]]=0,"",SSC[[#This Row],[Status]])</f>
        <v>Active</v>
      </c>
    </row>
    <row r="10" spans="1:89">
      <c r="A10" s="11" t="s">
        <v>120</v>
      </c>
      <c r="B10" s="11" t="s">
        <v>65</v>
      </c>
      <c r="C10" s="11" t="s">
        <v>1432</v>
      </c>
      <c r="D10" s="11" t="s">
        <v>122</v>
      </c>
      <c r="E10" s="11" t="s">
        <v>124</v>
      </c>
      <c r="F10" s="12">
        <v>39083</v>
      </c>
      <c r="G10" s="11">
        <v>3</v>
      </c>
      <c r="H10" s="11" t="s">
        <v>1431</v>
      </c>
      <c r="I10" s="16" t="s">
        <v>129</v>
      </c>
      <c r="J10" s="65" t="s">
        <v>1420</v>
      </c>
      <c r="BZ10" s="18"/>
      <c r="CA10" s="1" t="s">
        <v>71</v>
      </c>
      <c r="CB10" s="1" t="s">
        <v>18</v>
      </c>
      <c r="CC10" s="1" t="s">
        <v>132</v>
      </c>
      <c r="CD10" s="18"/>
      <c r="CE10" s="36" t="str">
        <f>SSC[[#This Row],[Part Type]]</f>
        <v>Set Screw</v>
      </c>
      <c r="CF10" s="28" t="str">
        <f>SSC[[#This Row],[Material]]</f>
        <v>Rene 41</v>
      </c>
      <c r="CG10" s="36" t="str">
        <f>SSC[[#This Row],[UID]]</f>
        <v>SSC-9</v>
      </c>
      <c r="CH10" s="18"/>
      <c r="CI10" s="18"/>
      <c r="CJ10" s="18"/>
      <c r="CK10" s="18" t="str">
        <f>IF(SSC[[#This Row],[Status]]=0,"",SSC[[#This Row],[Status]])</f>
        <v>Active</v>
      </c>
    </row>
    <row r="11" spans="1:89" ht="17.100000000000001">
      <c r="A11" s="11" t="s">
        <v>120</v>
      </c>
      <c r="B11" s="11" t="s">
        <v>65</v>
      </c>
      <c r="C11" s="11" t="s">
        <v>1433</v>
      </c>
      <c r="D11" s="11" t="s">
        <v>1434</v>
      </c>
      <c r="E11" s="11" t="s">
        <v>136</v>
      </c>
      <c r="F11" s="14">
        <v>45005</v>
      </c>
      <c r="G11" s="150">
        <v>18</v>
      </c>
      <c r="H11" s="11" t="s">
        <v>120</v>
      </c>
      <c r="I11" s="11" t="s">
        <v>1435</v>
      </c>
      <c r="J11" s="11"/>
      <c r="BZ11" s="57"/>
      <c r="CA11" s="1" t="s">
        <v>71</v>
      </c>
      <c r="CB11" s="1" t="s">
        <v>18</v>
      </c>
      <c r="CC11" s="1" t="s">
        <v>132</v>
      </c>
      <c r="CD11" s="57"/>
      <c r="CE11" s="138" t="str">
        <f>SSC[[#This Row],[Part Type]]</f>
        <v>Set Screw</v>
      </c>
      <c r="CF11" s="138" t="str">
        <f>SSC[[#This Row],[Material]]</f>
        <v>TZM</v>
      </c>
      <c r="CG11" s="140" t="str">
        <f>SSC[[#This Row],[UID]]</f>
        <v>SSC-10</v>
      </c>
      <c r="CH11" s="57"/>
      <c r="CI11" s="57"/>
      <c r="CJ11" s="57"/>
      <c r="CK11" s="57" t="str">
        <f>IF(SSC[[#This Row],[Status]]=0,"",SSC[[#This Row],[Status]])</f>
        <v>Active</v>
      </c>
    </row>
    <row r="12" spans="1:89">
      <c r="A12" s="11" t="s">
        <v>120</v>
      </c>
      <c r="B12" s="11" t="s">
        <v>65</v>
      </c>
      <c r="C12" s="11" t="s">
        <v>1436</v>
      </c>
      <c r="D12" s="11" t="s">
        <v>1434</v>
      </c>
      <c r="E12" s="11" t="s">
        <v>136</v>
      </c>
      <c r="F12" s="14">
        <v>45063</v>
      </c>
      <c r="G12" s="150">
        <v>38</v>
      </c>
      <c r="H12" s="11" t="s">
        <v>120</v>
      </c>
      <c r="I12" s="11" t="s">
        <v>1437</v>
      </c>
      <c r="J12" s="11"/>
      <c r="CA12" s="1" t="s">
        <v>71</v>
      </c>
      <c r="CB12" s="1" t="s">
        <v>18</v>
      </c>
      <c r="CC12" s="1" t="s">
        <v>132</v>
      </c>
      <c r="CE12" s="29" t="str">
        <f>SSC[[#This Row],[Part Type]]</f>
        <v>Set Screw</v>
      </c>
      <c r="CF12" s="29" t="str">
        <f>SSC[[#This Row],[Material]]</f>
        <v>TZM</v>
      </c>
      <c r="CG12" s="29" t="str">
        <f>SSC[[#This Row],[UID]]</f>
        <v>SSC-11</v>
      </c>
      <c r="CK12" t="str">
        <f>IF(SSC[[#This Row],[Status]]=0,"",SSC[[#This Row],[Status]])</f>
        <v>Active</v>
      </c>
    </row>
    <row r="13" spans="1:89">
      <c r="A13" s="11" t="s">
        <v>120</v>
      </c>
      <c r="B13" s="11" t="s">
        <v>65</v>
      </c>
      <c r="C13" s="11" t="s">
        <v>1438</v>
      </c>
      <c r="D13" s="11" t="s">
        <v>1434</v>
      </c>
      <c r="E13" s="11" t="s">
        <v>136</v>
      </c>
      <c r="F13" s="14">
        <v>45063</v>
      </c>
      <c r="G13" s="150">
        <v>72</v>
      </c>
      <c r="H13" s="11" t="s">
        <v>120</v>
      </c>
      <c r="I13" s="11" t="s">
        <v>1439</v>
      </c>
      <c r="J13" s="11"/>
      <c r="CA13" s="1" t="s">
        <v>71</v>
      </c>
      <c r="CB13" s="1" t="s">
        <v>18</v>
      </c>
      <c r="CC13" s="1" t="s">
        <v>132</v>
      </c>
      <c r="CE13" s="29" t="str">
        <f>SSC[[#This Row],[Part Type]]</f>
        <v>Set Screw</v>
      </c>
      <c r="CF13" s="29" t="str">
        <f>SSC[[#This Row],[Material]]</f>
        <v>TZM</v>
      </c>
      <c r="CG13" s="29" t="str">
        <f>SSC[[#This Row],[UID]]</f>
        <v>SSC-12</v>
      </c>
      <c r="CK13" t="str">
        <f>IF(SSC[[#This Row],[Status]]=0,"",SSC[[#This Row],[Status]])</f>
        <v>Active</v>
      </c>
    </row>
    <row r="14" spans="1:89">
      <c r="A14" s="11" t="s">
        <v>133</v>
      </c>
      <c r="B14" s="11" t="s">
        <v>65</v>
      </c>
      <c r="C14" s="10" t="s">
        <v>1440</v>
      </c>
      <c r="D14" s="11" t="s">
        <v>1441</v>
      </c>
      <c r="E14" s="11" t="s">
        <v>136</v>
      </c>
      <c r="F14" s="14">
        <v>45699</v>
      </c>
      <c r="G14" s="11">
        <v>12</v>
      </c>
      <c r="H14" s="11" t="s">
        <v>140</v>
      </c>
      <c r="I14" s="11" t="s">
        <v>1439</v>
      </c>
      <c r="J14" s="11"/>
      <c r="CA14" s="1" t="s">
        <v>71</v>
      </c>
      <c r="CB14" s="1" t="s">
        <v>18</v>
      </c>
      <c r="CC14" s="1" t="s">
        <v>132</v>
      </c>
      <c r="CE14" s="29" t="str">
        <f>SSC[[#This Row],[Part Type]]</f>
        <v>Set Screw</v>
      </c>
      <c r="CF14" s="29" t="str">
        <f>SSC[[#This Row],[Material]]</f>
        <v>TZM</v>
      </c>
      <c r="CG14" s="29" t="str">
        <f>SSC[[#This Row],[UID]]</f>
        <v>SSC-13</v>
      </c>
      <c r="CK14" t="str">
        <f>IF(SSC[[#This Row],[Status]]=0,"",SSC[[#This Row],[Status]])</f>
        <v>Design</v>
      </c>
    </row>
    <row r="15" spans="1:89">
      <c r="A15" s="11"/>
      <c r="B15" s="11"/>
      <c r="C15" s="10"/>
      <c r="D15" s="11"/>
      <c r="E15" s="11"/>
      <c r="F15" s="11"/>
      <c r="G15" s="11"/>
      <c r="H15" s="11"/>
      <c r="I15" s="11"/>
      <c r="J15" s="11"/>
      <c r="CA15" s="1" t="s">
        <v>71</v>
      </c>
      <c r="CB15" s="1" t="s">
        <v>18</v>
      </c>
      <c r="CC15" s="1" t="s">
        <v>132</v>
      </c>
      <c r="CE15" s="29">
        <f>SSC[[#This Row],[Part Type]]</f>
        <v>0</v>
      </c>
      <c r="CF15" s="29">
        <f>SSC[[#This Row],[Material]]</f>
        <v>0</v>
      </c>
      <c r="CG15" s="29">
        <f>SSC[[#This Row],[UID]]</f>
        <v>0</v>
      </c>
      <c r="CK15" t="str">
        <f>IF(SSC[[#This Row],[Status]]=0,"",SSC[[#This Row],[Status]])</f>
        <v/>
      </c>
    </row>
    <row r="16" spans="1:89">
      <c r="A16" s="11"/>
      <c r="B16" s="11"/>
      <c r="C16" s="10"/>
      <c r="D16" s="11"/>
      <c r="E16" s="11"/>
      <c r="F16" s="11"/>
      <c r="G16" s="11"/>
      <c r="H16" s="11"/>
      <c r="I16" s="11"/>
      <c r="J16" s="11"/>
      <c r="CA16" s="1" t="s">
        <v>71</v>
      </c>
      <c r="CB16" s="1" t="s">
        <v>18</v>
      </c>
      <c r="CC16" s="1" t="s">
        <v>132</v>
      </c>
      <c r="CE16" s="29">
        <f>SSC[[#This Row],[Part Type]]</f>
        <v>0</v>
      </c>
      <c r="CF16" s="29">
        <f>SSC[[#This Row],[Material]]</f>
        <v>0</v>
      </c>
      <c r="CG16" s="29">
        <f>SSC[[#This Row],[UID]]</f>
        <v>0</v>
      </c>
      <c r="CK16" t="str">
        <f>IF(SSC[[#This Row],[Status]]=0,"",SSC[[#This Row],[Status]])</f>
        <v/>
      </c>
    </row>
    <row r="17" spans="1:89">
      <c r="A17" s="11"/>
      <c r="B17" s="11"/>
      <c r="C17" s="10"/>
      <c r="D17" s="11"/>
      <c r="E17" s="11"/>
      <c r="F17" s="11"/>
      <c r="G17" s="11"/>
      <c r="H17" s="11"/>
      <c r="I17" s="11"/>
      <c r="J17" s="11"/>
      <c r="CA17" s="1" t="s">
        <v>71</v>
      </c>
      <c r="CB17" s="1" t="s">
        <v>18</v>
      </c>
      <c r="CC17" s="1" t="s">
        <v>132</v>
      </c>
      <c r="CE17" s="29">
        <f>SSC[[#This Row],[Part Type]]</f>
        <v>0</v>
      </c>
      <c r="CF17" s="29">
        <f>SSC[[#This Row],[Material]]</f>
        <v>0</v>
      </c>
      <c r="CG17" s="29">
        <f>SSC[[#This Row],[UID]]</f>
        <v>0</v>
      </c>
      <c r="CK17" t="str">
        <f>IF(SSC[[#This Row],[Status]]=0,"",SSC[[#This Row],[Status]])</f>
        <v/>
      </c>
    </row>
    <row r="18" spans="1:89">
      <c r="A18" s="11"/>
      <c r="B18" s="11"/>
      <c r="C18" s="10"/>
      <c r="D18" s="11"/>
      <c r="E18" s="11"/>
      <c r="F18" s="11"/>
      <c r="G18" s="11"/>
      <c r="H18" s="11"/>
      <c r="I18" s="11"/>
      <c r="J18" s="11"/>
      <c r="CA18" s="1" t="s">
        <v>71</v>
      </c>
      <c r="CB18" s="1" t="s">
        <v>18</v>
      </c>
      <c r="CC18" s="1" t="s">
        <v>132</v>
      </c>
      <c r="CE18" s="29">
        <f>SSC[[#This Row],[Part Type]]</f>
        <v>0</v>
      </c>
      <c r="CF18" s="29">
        <f>SSC[[#This Row],[Material]]</f>
        <v>0</v>
      </c>
      <c r="CG18" s="29">
        <f>SSC[[#This Row],[UID]]</f>
        <v>0</v>
      </c>
      <c r="CK18" t="str">
        <f>IF(SSC[[#This Row],[Status]]=0,"",SSC[[#This Row],[Status]])</f>
        <v/>
      </c>
    </row>
    <row r="19" spans="1:89">
      <c r="A19" s="11"/>
      <c r="B19" s="11"/>
      <c r="C19" s="10"/>
      <c r="D19" s="11"/>
      <c r="E19" s="11"/>
      <c r="F19" s="11"/>
      <c r="G19" s="11"/>
      <c r="H19" s="11"/>
      <c r="I19" s="11"/>
      <c r="J19" s="11"/>
      <c r="CA19" s="1" t="s">
        <v>71</v>
      </c>
      <c r="CB19" s="1" t="s">
        <v>18</v>
      </c>
      <c r="CC19" s="1" t="s">
        <v>132</v>
      </c>
      <c r="CE19" s="29">
        <f>SSC[[#This Row],[Part Type]]</f>
        <v>0</v>
      </c>
      <c r="CF19" s="29">
        <f>SSC[[#This Row],[Material]]</f>
        <v>0</v>
      </c>
      <c r="CG19" s="29">
        <f>SSC[[#This Row],[UID]]</f>
        <v>0</v>
      </c>
      <c r="CK19" t="str">
        <f>IF(SSC[[#This Row],[Status]]=0,"",SSC[[#This Row],[Status]])</f>
        <v/>
      </c>
    </row>
    <row r="20" spans="1:89">
      <c r="A20" s="11"/>
      <c r="B20" s="11"/>
      <c r="C20" s="10"/>
      <c r="D20" s="11"/>
      <c r="E20" s="11"/>
      <c r="F20" s="11"/>
      <c r="G20" s="11"/>
      <c r="H20" s="11"/>
      <c r="I20" s="11"/>
      <c r="J20" s="11"/>
      <c r="CA20" s="1" t="s">
        <v>71</v>
      </c>
      <c r="CB20" s="1" t="s">
        <v>18</v>
      </c>
      <c r="CC20" s="1" t="s">
        <v>132</v>
      </c>
      <c r="CE20" s="29">
        <f>SSC[[#This Row],[Part Type]]</f>
        <v>0</v>
      </c>
      <c r="CF20" s="29">
        <f>SSC[[#This Row],[Material]]</f>
        <v>0</v>
      </c>
      <c r="CG20" s="29">
        <f>SSC[[#This Row],[UID]]</f>
        <v>0</v>
      </c>
      <c r="CK20" t="str">
        <f>IF(SSC[[#This Row],[Status]]=0,"",SSC[[#This Row],[Status]])</f>
        <v/>
      </c>
    </row>
    <row r="21" spans="1:89">
      <c r="A21" s="11"/>
      <c r="B21" s="11"/>
      <c r="C21" s="10"/>
      <c r="D21" s="11"/>
      <c r="E21" s="11"/>
      <c r="F21" s="11"/>
      <c r="G21" s="11"/>
      <c r="H21" s="11"/>
      <c r="I21" s="11"/>
      <c r="J21" s="11"/>
      <c r="CA21" s="1" t="s">
        <v>71</v>
      </c>
      <c r="CB21" s="1" t="s">
        <v>18</v>
      </c>
      <c r="CC21" s="1" t="s">
        <v>132</v>
      </c>
      <c r="CE21" s="29">
        <f>SSC[[#This Row],[Part Type]]</f>
        <v>0</v>
      </c>
      <c r="CF21" s="29">
        <f>SSC[[#This Row],[Material]]</f>
        <v>0</v>
      </c>
      <c r="CG21" s="29">
        <f>SSC[[#This Row],[UID]]</f>
        <v>0</v>
      </c>
      <c r="CK21" t="str">
        <f>IF(SSC[[#This Row],[Status]]=0,"",SSC[[#This Row],[Status]])</f>
        <v/>
      </c>
    </row>
    <row r="22" spans="1:89">
      <c r="A22" s="11"/>
      <c r="B22" s="11"/>
      <c r="C22" s="10"/>
      <c r="D22" s="11"/>
      <c r="E22" s="11"/>
      <c r="F22" s="11"/>
      <c r="G22" s="11"/>
      <c r="H22" s="11"/>
      <c r="I22" s="11"/>
      <c r="J22" s="11"/>
      <c r="CA22" s="1" t="s">
        <v>71</v>
      </c>
      <c r="CB22" s="1" t="s">
        <v>18</v>
      </c>
      <c r="CC22" s="1" t="s">
        <v>132</v>
      </c>
      <c r="CE22" s="29">
        <f>SSC[[#This Row],[Part Type]]</f>
        <v>0</v>
      </c>
      <c r="CF22" s="29">
        <f>SSC[[#This Row],[Material]]</f>
        <v>0</v>
      </c>
      <c r="CG22" s="29">
        <f>SSC[[#This Row],[UID]]</f>
        <v>0</v>
      </c>
      <c r="CK22" t="str">
        <f>IF(SSC[[#This Row],[Status]]=0,"",SSC[[#This Row],[Status]])</f>
        <v/>
      </c>
    </row>
    <row r="23" spans="1:89">
      <c r="A23" s="11"/>
      <c r="B23" s="11"/>
      <c r="C23" s="10"/>
      <c r="D23" s="11"/>
      <c r="E23" s="11"/>
      <c r="F23" s="11"/>
      <c r="G23" s="11"/>
      <c r="H23" s="11"/>
      <c r="I23" s="11"/>
      <c r="J23" s="11"/>
      <c r="CA23" s="1" t="s">
        <v>71</v>
      </c>
      <c r="CB23" s="1" t="s">
        <v>18</v>
      </c>
      <c r="CC23" s="1" t="s">
        <v>132</v>
      </c>
      <c r="CE23" s="29">
        <f>SSC[[#This Row],[Part Type]]</f>
        <v>0</v>
      </c>
      <c r="CF23" s="29">
        <f>SSC[[#This Row],[Material]]</f>
        <v>0</v>
      </c>
      <c r="CG23" s="29">
        <f>SSC[[#This Row],[UID]]</f>
        <v>0</v>
      </c>
      <c r="CK23" t="str">
        <f>IF(SSC[[#This Row],[Status]]=0,"",SSC[[#This Row],[Status]])</f>
        <v/>
      </c>
    </row>
    <row r="24" spans="1:89">
      <c r="A24" s="11"/>
      <c r="B24" s="11"/>
      <c r="C24" s="10"/>
      <c r="D24" s="11"/>
      <c r="E24" s="11"/>
      <c r="F24" s="11"/>
      <c r="G24" s="11"/>
      <c r="H24" s="11"/>
      <c r="I24" s="11"/>
      <c r="J24" s="11"/>
      <c r="CA24" s="1" t="s">
        <v>71</v>
      </c>
      <c r="CB24" s="1" t="s">
        <v>18</v>
      </c>
      <c r="CC24" s="1" t="s">
        <v>132</v>
      </c>
      <c r="CE24" s="29">
        <f>SSC[[#This Row],[Part Type]]</f>
        <v>0</v>
      </c>
      <c r="CF24" s="29">
        <f>SSC[[#This Row],[Material]]</f>
        <v>0</v>
      </c>
      <c r="CG24" s="29">
        <f>SSC[[#This Row],[UID]]</f>
        <v>0</v>
      </c>
      <c r="CK24" t="str">
        <f>IF(SSC[[#This Row],[Status]]=0,"",SSC[[#This Row],[Status]])</f>
        <v/>
      </c>
    </row>
    <row r="25" spans="1:89">
      <c r="A25" s="11"/>
      <c r="B25" s="11"/>
      <c r="C25" s="10"/>
      <c r="D25" s="11"/>
      <c r="E25" s="11"/>
      <c r="F25" s="11"/>
      <c r="G25" s="11"/>
      <c r="H25" s="11"/>
      <c r="I25" s="11"/>
      <c r="J25" s="11"/>
      <c r="CA25" s="1" t="s">
        <v>71</v>
      </c>
      <c r="CB25" s="1" t="s">
        <v>18</v>
      </c>
      <c r="CC25" s="1" t="s">
        <v>132</v>
      </c>
      <c r="CE25" s="29">
        <f>SSC[[#This Row],[Part Type]]</f>
        <v>0</v>
      </c>
      <c r="CF25" s="29">
        <f>SSC[[#This Row],[Material]]</f>
        <v>0</v>
      </c>
      <c r="CG25" s="29">
        <f>SSC[[#This Row],[UID]]</f>
        <v>0</v>
      </c>
      <c r="CK25" t="str">
        <f>IF(SSC[[#This Row],[Status]]=0,"",SSC[[#This Row],[Status]])</f>
        <v/>
      </c>
    </row>
    <row r="26" spans="1:89">
      <c r="A26" s="11"/>
      <c r="B26" s="11"/>
      <c r="C26" s="10"/>
      <c r="D26" s="11"/>
      <c r="E26" s="11"/>
      <c r="F26" s="11"/>
      <c r="G26" s="11"/>
      <c r="H26" s="11"/>
      <c r="I26" s="11"/>
      <c r="J26" s="11"/>
      <c r="CA26" s="1" t="s">
        <v>71</v>
      </c>
      <c r="CB26" s="1" t="s">
        <v>18</v>
      </c>
      <c r="CC26" s="1" t="s">
        <v>132</v>
      </c>
      <c r="CE26" s="29">
        <f>SSC[[#This Row],[Part Type]]</f>
        <v>0</v>
      </c>
      <c r="CF26" s="29">
        <f>SSC[[#This Row],[Material]]</f>
        <v>0</v>
      </c>
      <c r="CG26" s="29">
        <f>SSC[[#This Row],[UID]]</f>
        <v>0</v>
      </c>
      <c r="CK26" t="str">
        <f>IF(SSC[[#This Row],[Status]]=0,"",SSC[[#This Row],[Status]])</f>
        <v/>
      </c>
    </row>
    <row r="27" spans="1:89">
      <c r="A27" s="11"/>
      <c r="B27" s="11"/>
      <c r="C27" s="10"/>
      <c r="D27" s="11"/>
      <c r="E27" s="11"/>
      <c r="F27" s="11"/>
      <c r="G27" s="11"/>
      <c r="H27" s="11"/>
      <c r="I27" s="11"/>
      <c r="J27" s="11"/>
      <c r="CA27" s="1" t="s">
        <v>71</v>
      </c>
      <c r="CB27" s="1" t="s">
        <v>18</v>
      </c>
      <c r="CC27" s="1" t="s">
        <v>132</v>
      </c>
      <c r="CE27" s="29">
        <f>SSC[[#This Row],[Part Type]]</f>
        <v>0</v>
      </c>
      <c r="CF27" s="29">
        <f>SSC[[#This Row],[Material]]</f>
        <v>0</v>
      </c>
      <c r="CG27" s="29">
        <f>SSC[[#This Row],[UID]]</f>
        <v>0</v>
      </c>
      <c r="CK27" t="str">
        <f>IF(SSC[[#This Row],[Status]]=0,"",SSC[[#This Row],[Status]])</f>
        <v/>
      </c>
    </row>
    <row r="28" spans="1:89">
      <c r="A28" s="11"/>
      <c r="B28" s="11"/>
      <c r="C28" s="10"/>
      <c r="D28" s="11"/>
      <c r="E28" s="11"/>
      <c r="F28" s="11"/>
      <c r="G28" s="11"/>
      <c r="H28" s="11"/>
      <c r="I28" s="11"/>
      <c r="J28" s="11"/>
      <c r="CA28" s="1" t="s">
        <v>71</v>
      </c>
      <c r="CB28" s="1" t="s">
        <v>18</v>
      </c>
      <c r="CC28" s="1" t="s">
        <v>132</v>
      </c>
      <c r="CE28" s="29">
        <f>SSC[[#This Row],[Part Type]]</f>
        <v>0</v>
      </c>
      <c r="CF28" s="29">
        <f>SSC[[#This Row],[Material]]</f>
        <v>0</v>
      </c>
      <c r="CG28" s="29">
        <f>SSC[[#This Row],[UID]]</f>
        <v>0</v>
      </c>
      <c r="CK28" t="str">
        <f>IF(SSC[[#This Row],[Status]]=0,"",SSC[[#This Row],[Status]])</f>
        <v/>
      </c>
    </row>
    <row r="29" spans="1:89">
      <c r="A29" s="11"/>
      <c r="B29" s="11"/>
      <c r="C29" s="10"/>
      <c r="D29" s="11"/>
      <c r="E29" s="11"/>
      <c r="F29" s="11"/>
      <c r="G29" s="11"/>
      <c r="H29" s="11"/>
      <c r="I29" s="11"/>
      <c r="J29" s="11"/>
      <c r="CA29" s="1" t="s">
        <v>71</v>
      </c>
      <c r="CB29" s="1" t="s">
        <v>18</v>
      </c>
      <c r="CC29" s="1" t="s">
        <v>132</v>
      </c>
      <c r="CE29" s="29">
        <f>SSC[[#This Row],[Part Type]]</f>
        <v>0</v>
      </c>
      <c r="CF29" s="29">
        <f>SSC[[#This Row],[Material]]</f>
        <v>0</v>
      </c>
      <c r="CG29" s="29">
        <f>SSC[[#This Row],[UID]]</f>
        <v>0</v>
      </c>
      <c r="CK29" t="str">
        <f>IF(SSC[[#This Row],[Status]]=0,"",SSC[[#This Row],[Status]])</f>
        <v/>
      </c>
    </row>
    <row r="30" spans="1:89">
      <c r="A30" s="11"/>
      <c r="B30" s="11"/>
      <c r="C30" s="10"/>
      <c r="D30" s="11"/>
      <c r="E30" s="11"/>
      <c r="F30" s="11"/>
      <c r="G30" s="11"/>
      <c r="H30" s="11"/>
      <c r="I30" s="11"/>
      <c r="J30" s="11"/>
      <c r="CA30" s="1" t="s">
        <v>71</v>
      </c>
      <c r="CB30" s="1" t="s">
        <v>18</v>
      </c>
      <c r="CC30" s="1" t="s">
        <v>132</v>
      </c>
      <c r="CE30" s="29">
        <f>SSC[[#This Row],[Part Type]]</f>
        <v>0</v>
      </c>
      <c r="CF30" s="29">
        <f>SSC[[#This Row],[Material]]</f>
        <v>0</v>
      </c>
      <c r="CG30" s="29">
        <f>SSC[[#This Row],[UID]]</f>
        <v>0</v>
      </c>
      <c r="CK30" t="str">
        <f>IF(SSC[[#This Row],[Status]]=0,"",SSC[[#This Row],[Status]])</f>
        <v/>
      </c>
    </row>
    <row r="31" spans="1:89">
      <c r="A31" s="11"/>
      <c r="B31" s="11"/>
      <c r="C31" s="10"/>
      <c r="D31" s="11"/>
      <c r="E31" s="11"/>
      <c r="F31" s="11"/>
      <c r="G31" s="11"/>
      <c r="H31" s="11"/>
      <c r="I31" s="11"/>
      <c r="J31" s="11"/>
      <c r="CA31" s="1" t="s">
        <v>71</v>
      </c>
      <c r="CB31" s="1" t="s">
        <v>18</v>
      </c>
      <c r="CC31" s="1" t="s">
        <v>132</v>
      </c>
      <c r="CE31" s="29">
        <f>SSC[[#This Row],[Part Type]]</f>
        <v>0</v>
      </c>
      <c r="CF31" s="29">
        <f>SSC[[#This Row],[Material]]</f>
        <v>0</v>
      </c>
      <c r="CG31" s="29">
        <f>SSC[[#This Row],[UID]]</f>
        <v>0</v>
      </c>
      <c r="CK31" t="str">
        <f>IF(SSC[[#This Row],[Status]]=0,"",SSC[[#This Row],[Status]])</f>
        <v/>
      </c>
    </row>
    <row r="32" spans="1:89">
      <c r="A32" s="11"/>
      <c r="B32" s="11"/>
      <c r="C32" s="10"/>
      <c r="D32" s="11"/>
      <c r="E32" s="11"/>
      <c r="F32" s="11"/>
      <c r="G32" s="11"/>
      <c r="H32" s="11"/>
      <c r="I32" s="11"/>
      <c r="J32" s="11"/>
      <c r="CA32" s="1" t="s">
        <v>71</v>
      </c>
      <c r="CB32" s="1" t="s">
        <v>18</v>
      </c>
      <c r="CC32" s="1" t="s">
        <v>132</v>
      </c>
      <c r="CE32" s="29">
        <f>SSC[[#This Row],[Part Type]]</f>
        <v>0</v>
      </c>
      <c r="CF32" s="29">
        <f>SSC[[#This Row],[Material]]</f>
        <v>0</v>
      </c>
      <c r="CG32" s="29">
        <f>SSC[[#This Row],[UID]]</f>
        <v>0</v>
      </c>
      <c r="CK32" t="str">
        <f>IF(SSC[[#This Row],[Status]]=0,"",SSC[[#This Row],[Status]])</f>
        <v/>
      </c>
    </row>
    <row r="33" spans="1:89">
      <c r="A33" s="11"/>
      <c r="B33" s="11"/>
      <c r="C33" s="10"/>
      <c r="D33" s="11"/>
      <c r="E33" s="11"/>
      <c r="F33" s="11"/>
      <c r="G33" s="11"/>
      <c r="H33" s="11"/>
      <c r="I33" s="11"/>
      <c r="J33" s="11"/>
      <c r="CA33" s="1" t="s">
        <v>71</v>
      </c>
      <c r="CB33" s="1" t="s">
        <v>18</v>
      </c>
      <c r="CC33" s="1" t="s">
        <v>132</v>
      </c>
      <c r="CE33" s="29">
        <f>SSC[[#This Row],[Part Type]]</f>
        <v>0</v>
      </c>
      <c r="CF33" s="29">
        <f>SSC[[#This Row],[Material]]</f>
        <v>0</v>
      </c>
      <c r="CG33" s="29">
        <f>SSC[[#This Row],[UID]]</f>
        <v>0</v>
      </c>
      <c r="CK33" t="str">
        <f>IF(SSC[[#This Row],[Status]]=0,"",SSC[[#This Row],[Status]])</f>
        <v/>
      </c>
    </row>
    <row r="34" spans="1:89">
      <c r="A34" s="11"/>
      <c r="B34" s="11"/>
      <c r="C34" s="10"/>
      <c r="D34" s="11"/>
      <c r="E34" s="11"/>
      <c r="F34" s="11"/>
      <c r="G34" s="11"/>
      <c r="H34" s="11"/>
      <c r="I34" s="11"/>
      <c r="J34" s="11"/>
      <c r="CA34" s="1" t="s">
        <v>71</v>
      </c>
      <c r="CB34" s="1" t="s">
        <v>18</v>
      </c>
      <c r="CC34" s="1" t="s">
        <v>132</v>
      </c>
      <c r="CE34" s="29">
        <f>SSC[[#This Row],[Part Type]]</f>
        <v>0</v>
      </c>
      <c r="CF34" s="29">
        <f>SSC[[#This Row],[Material]]</f>
        <v>0</v>
      </c>
      <c r="CG34" s="29">
        <f>SSC[[#This Row],[UID]]</f>
        <v>0</v>
      </c>
      <c r="CK34" t="str">
        <f>IF(SSC[[#This Row],[Status]]=0,"",SSC[[#This Row],[Status]])</f>
        <v/>
      </c>
    </row>
    <row r="35" spans="1:89">
      <c r="A35" s="11"/>
      <c r="B35" s="11"/>
      <c r="C35" s="10"/>
      <c r="D35" s="11"/>
      <c r="E35" s="11"/>
      <c r="F35" s="11"/>
      <c r="G35" s="11"/>
      <c r="H35" s="11"/>
      <c r="I35" s="11"/>
      <c r="J35" s="11"/>
      <c r="CA35" s="1" t="s">
        <v>71</v>
      </c>
      <c r="CB35" s="1" t="s">
        <v>18</v>
      </c>
      <c r="CC35" s="1" t="s">
        <v>132</v>
      </c>
      <c r="CE35" s="29">
        <f>SSC[[#This Row],[Part Type]]</f>
        <v>0</v>
      </c>
      <c r="CF35" s="29">
        <f>SSC[[#This Row],[Material]]</f>
        <v>0</v>
      </c>
      <c r="CG35" s="29">
        <f>SSC[[#This Row],[UID]]</f>
        <v>0</v>
      </c>
      <c r="CK35" t="str">
        <f>IF(SSC[[#This Row],[Status]]=0,"",SSC[[#This Row],[Status]])</f>
        <v/>
      </c>
    </row>
    <row r="36" spans="1:89">
      <c r="A36" s="11"/>
      <c r="B36" s="11"/>
      <c r="C36" s="10"/>
      <c r="D36" s="11"/>
      <c r="E36" s="11"/>
      <c r="F36" s="11"/>
      <c r="G36" s="11"/>
      <c r="H36" s="11"/>
      <c r="I36" s="11"/>
      <c r="J36" s="11"/>
      <c r="CA36" s="1" t="s">
        <v>71</v>
      </c>
      <c r="CB36" s="1" t="s">
        <v>18</v>
      </c>
      <c r="CC36" s="1" t="s">
        <v>132</v>
      </c>
      <c r="CE36" s="29">
        <f>SSC[[#This Row],[Part Type]]</f>
        <v>0</v>
      </c>
      <c r="CF36" s="29">
        <f>SSC[[#This Row],[Material]]</f>
        <v>0</v>
      </c>
      <c r="CG36" s="29">
        <f>SSC[[#This Row],[UID]]</f>
        <v>0</v>
      </c>
      <c r="CK36" t="str">
        <f>IF(SSC[[#This Row],[Status]]=0,"",SSC[[#This Row],[Status]])</f>
        <v/>
      </c>
    </row>
    <row r="37" spans="1:89">
      <c r="A37" s="11"/>
      <c r="B37" s="11"/>
      <c r="C37" s="10"/>
      <c r="D37" s="11"/>
      <c r="E37" s="11"/>
      <c r="F37" s="11"/>
      <c r="G37" s="11"/>
      <c r="H37" s="11"/>
      <c r="I37" s="11"/>
      <c r="J37" s="11"/>
      <c r="CA37" s="1" t="s">
        <v>71</v>
      </c>
      <c r="CB37" s="1" t="s">
        <v>18</v>
      </c>
      <c r="CC37" s="1" t="s">
        <v>132</v>
      </c>
      <c r="CE37" s="29">
        <f>SSC[[#This Row],[Part Type]]</f>
        <v>0</v>
      </c>
      <c r="CF37" s="29">
        <f>SSC[[#This Row],[Material]]</f>
        <v>0</v>
      </c>
      <c r="CG37" s="29">
        <f>SSC[[#This Row],[UID]]</f>
        <v>0</v>
      </c>
      <c r="CK37" t="str">
        <f>IF(SSC[[#This Row],[Status]]=0,"",SSC[[#This Row],[Status]])</f>
        <v/>
      </c>
    </row>
    <row r="38" spans="1:89">
      <c r="A38" s="11"/>
      <c r="B38" s="11"/>
      <c r="C38" s="10"/>
      <c r="D38" s="11"/>
      <c r="E38" s="11"/>
      <c r="F38" s="11"/>
      <c r="G38" s="11"/>
      <c r="H38" s="11"/>
      <c r="I38" s="11"/>
      <c r="J38" s="11"/>
      <c r="CA38" s="1" t="s">
        <v>71</v>
      </c>
      <c r="CB38" s="1" t="s">
        <v>18</v>
      </c>
      <c r="CC38" s="1" t="s">
        <v>132</v>
      </c>
      <c r="CE38" s="29">
        <f>SSC[[#This Row],[Part Type]]</f>
        <v>0</v>
      </c>
      <c r="CF38" s="29">
        <f>SSC[[#This Row],[Material]]</f>
        <v>0</v>
      </c>
      <c r="CG38" s="29">
        <f>SSC[[#This Row],[UID]]</f>
        <v>0</v>
      </c>
      <c r="CK38" t="str">
        <f>IF(SSC[[#This Row],[Status]]=0,"",SSC[[#This Row],[Status]])</f>
        <v/>
      </c>
    </row>
    <row r="39" spans="1:89">
      <c r="A39" s="11"/>
      <c r="B39" s="11"/>
      <c r="C39" s="10"/>
      <c r="D39" s="11"/>
      <c r="E39" s="11"/>
      <c r="F39" s="11"/>
      <c r="G39" s="11"/>
      <c r="H39" s="11"/>
      <c r="I39" s="11"/>
      <c r="J39" s="11"/>
      <c r="CA39" s="1" t="s">
        <v>71</v>
      </c>
      <c r="CB39" s="1" t="s">
        <v>18</v>
      </c>
      <c r="CC39" s="1" t="s">
        <v>132</v>
      </c>
      <c r="CE39" s="29">
        <f>SSC[[#This Row],[Part Type]]</f>
        <v>0</v>
      </c>
      <c r="CF39" s="29">
        <f>SSC[[#This Row],[Material]]</f>
        <v>0</v>
      </c>
      <c r="CG39" s="29">
        <f>SSC[[#This Row],[UID]]</f>
        <v>0</v>
      </c>
      <c r="CK39" t="str">
        <f>IF(SSC[[#This Row],[Status]]=0,"",SSC[[#This Row],[Status]])</f>
        <v/>
      </c>
    </row>
    <row r="40" spans="1:89">
      <c r="A40" s="11"/>
      <c r="B40" s="11"/>
      <c r="C40" s="10"/>
      <c r="D40" s="11"/>
      <c r="E40" s="11"/>
      <c r="F40" s="11"/>
      <c r="G40" s="11"/>
      <c r="H40" s="11"/>
      <c r="I40" s="11"/>
      <c r="J40" s="11"/>
      <c r="CA40" s="1" t="s">
        <v>71</v>
      </c>
      <c r="CB40" s="1" t="s">
        <v>18</v>
      </c>
      <c r="CC40" s="1" t="s">
        <v>132</v>
      </c>
      <c r="CE40" s="29">
        <f>SSC[[#This Row],[Part Type]]</f>
        <v>0</v>
      </c>
      <c r="CF40" s="29">
        <f>SSC[[#This Row],[Material]]</f>
        <v>0</v>
      </c>
      <c r="CG40" s="29">
        <f>SSC[[#This Row],[UID]]</f>
        <v>0</v>
      </c>
      <c r="CK40" t="str">
        <f>IF(SSC[[#This Row],[Status]]=0,"",SSC[[#This Row],[Status]])</f>
        <v/>
      </c>
    </row>
    <row r="41" spans="1:89">
      <c r="A41" s="11"/>
      <c r="B41" s="11"/>
      <c r="C41" s="10"/>
      <c r="D41" s="11"/>
      <c r="E41" s="11"/>
      <c r="F41" s="11"/>
      <c r="G41" s="11"/>
      <c r="H41" s="11"/>
      <c r="I41" s="11"/>
      <c r="J41" s="11"/>
      <c r="CA41" s="1" t="s">
        <v>71</v>
      </c>
      <c r="CB41" s="1" t="s">
        <v>18</v>
      </c>
      <c r="CC41" s="1" t="s">
        <v>132</v>
      </c>
      <c r="CE41" s="29">
        <f>SSC[[#This Row],[Part Type]]</f>
        <v>0</v>
      </c>
      <c r="CF41" s="29">
        <f>SSC[[#This Row],[Material]]</f>
        <v>0</v>
      </c>
      <c r="CG41" s="29">
        <f>SSC[[#This Row],[UID]]</f>
        <v>0</v>
      </c>
      <c r="CK41" t="str">
        <f>IF(SSC[[#This Row],[Status]]=0,"",SSC[[#This Row],[Status]])</f>
        <v/>
      </c>
    </row>
    <row r="42" spans="1:89">
      <c r="A42" s="11"/>
      <c r="B42" s="11"/>
      <c r="C42" s="10"/>
      <c r="D42" s="11"/>
      <c r="E42" s="11"/>
      <c r="F42" s="11"/>
      <c r="G42" s="11"/>
      <c r="H42" s="11"/>
      <c r="I42" s="11"/>
      <c r="J42" s="11"/>
      <c r="CA42" s="1" t="s">
        <v>71</v>
      </c>
      <c r="CB42" s="1" t="s">
        <v>18</v>
      </c>
      <c r="CC42" s="1" t="s">
        <v>132</v>
      </c>
      <c r="CE42" s="29">
        <f>SSC[[#This Row],[Part Type]]</f>
        <v>0</v>
      </c>
      <c r="CF42" s="29">
        <f>SSC[[#This Row],[Material]]</f>
        <v>0</v>
      </c>
      <c r="CG42" s="29">
        <f>SSC[[#This Row],[UID]]</f>
        <v>0</v>
      </c>
      <c r="CK42" t="str">
        <f>IF(SSC[[#This Row],[Status]]=0,"",SSC[[#This Row],[Status]])</f>
        <v/>
      </c>
    </row>
    <row r="43" spans="1:89">
      <c r="A43" s="11"/>
      <c r="B43" s="11"/>
      <c r="C43" s="10"/>
      <c r="D43" s="11"/>
      <c r="E43" s="11"/>
      <c r="F43" s="11"/>
      <c r="G43" s="11"/>
      <c r="H43" s="11"/>
      <c r="I43" s="11"/>
      <c r="J43" s="11"/>
      <c r="CA43" s="1" t="s">
        <v>71</v>
      </c>
      <c r="CB43" s="1" t="s">
        <v>18</v>
      </c>
      <c r="CC43" s="1" t="s">
        <v>132</v>
      </c>
      <c r="CE43" s="29">
        <f>SSC[[#This Row],[Part Type]]</f>
        <v>0</v>
      </c>
      <c r="CF43" s="29">
        <f>SSC[[#This Row],[Material]]</f>
        <v>0</v>
      </c>
      <c r="CG43" s="29">
        <f>SSC[[#This Row],[UID]]</f>
        <v>0</v>
      </c>
      <c r="CK43" t="str">
        <f>IF(SSC[[#This Row],[Status]]=0,"",SSC[[#This Row],[Status]])</f>
        <v/>
      </c>
    </row>
    <row r="44" spans="1:89">
      <c r="A44" s="11"/>
      <c r="B44" s="11"/>
      <c r="C44" s="10"/>
      <c r="D44" s="11"/>
      <c r="E44" s="11"/>
      <c r="F44" s="11"/>
      <c r="G44" s="11"/>
      <c r="H44" s="11"/>
      <c r="I44" s="11"/>
      <c r="J44" s="11"/>
      <c r="CA44" s="1" t="s">
        <v>71</v>
      </c>
      <c r="CB44" s="1" t="s">
        <v>18</v>
      </c>
      <c r="CC44" s="1" t="s">
        <v>132</v>
      </c>
      <c r="CE44" s="29">
        <f>SSC[[#This Row],[Part Type]]</f>
        <v>0</v>
      </c>
      <c r="CF44" s="29">
        <f>SSC[[#This Row],[Material]]</f>
        <v>0</v>
      </c>
      <c r="CG44" s="29">
        <f>SSC[[#This Row],[UID]]</f>
        <v>0</v>
      </c>
      <c r="CK44" t="str">
        <f>IF(SSC[[#This Row],[Status]]=0,"",SSC[[#This Row],[Status]])</f>
        <v/>
      </c>
    </row>
    <row r="45" spans="1:89">
      <c r="A45" s="11"/>
      <c r="B45" s="11"/>
      <c r="C45" s="10"/>
      <c r="D45" s="11"/>
      <c r="E45" s="11"/>
      <c r="F45" s="11"/>
      <c r="G45" s="11"/>
      <c r="H45" s="11"/>
      <c r="I45" s="11"/>
      <c r="J45" s="11"/>
      <c r="CA45" s="1" t="s">
        <v>71</v>
      </c>
      <c r="CB45" s="1" t="s">
        <v>18</v>
      </c>
      <c r="CC45" s="1" t="s">
        <v>132</v>
      </c>
      <c r="CE45" s="29">
        <f>SSC[[#This Row],[Part Type]]</f>
        <v>0</v>
      </c>
      <c r="CF45" s="29">
        <f>SSC[[#This Row],[Material]]</f>
        <v>0</v>
      </c>
      <c r="CG45" s="29">
        <f>SSC[[#This Row],[UID]]</f>
        <v>0</v>
      </c>
      <c r="CK45" t="str">
        <f>IF(SSC[[#This Row],[Status]]=0,"",SSC[[#This Row],[Status]])</f>
        <v/>
      </c>
    </row>
    <row r="46" spans="1:89">
      <c r="A46" s="11"/>
      <c r="B46" s="11"/>
      <c r="C46" s="10"/>
      <c r="D46" s="11"/>
      <c r="E46" s="11"/>
      <c r="F46" s="11"/>
      <c r="G46" s="11"/>
      <c r="H46" s="11"/>
      <c r="I46" s="11"/>
      <c r="J46" s="11"/>
      <c r="CA46" s="1" t="s">
        <v>71</v>
      </c>
      <c r="CB46" s="1" t="s">
        <v>18</v>
      </c>
      <c r="CC46" s="1" t="s">
        <v>132</v>
      </c>
      <c r="CE46" s="29">
        <f>SSC[[#This Row],[Part Type]]</f>
        <v>0</v>
      </c>
      <c r="CF46" s="29">
        <f>SSC[[#This Row],[Material]]</f>
        <v>0</v>
      </c>
      <c r="CG46" s="29">
        <f>SSC[[#This Row],[UID]]</f>
        <v>0</v>
      </c>
      <c r="CK46" t="str">
        <f>IF(SSC[[#This Row],[Status]]=0,"",SSC[[#This Row],[Status]])</f>
        <v/>
      </c>
    </row>
    <row r="47" spans="1:89">
      <c r="A47" s="11"/>
      <c r="B47" s="11"/>
      <c r="C47" s="10"/>
      <c r="D47" s="11"/>
      <c r="E47" s="11"/>
      <c r="F47" s="11"/>
      <c r="G47" s="11"/>
      <c r="H47" s="11"/>
      <c r="I47" s="11"/>
      <c r="J47" s="11"/>
      <c r="CA47" s="1" t="s">
        <v>71</v>
      </c>
      <c r="CB47" s="1" t="s">
        <v>18</v>
      </c>
      <c r="CC47" s="1" t="s">
        <v>132</v>
      </c>
      <c r="CE47" s="29">
        <f>SSC[[#This Row],[Part Type]]</f>
        <v>0</v>
      </c>
      <c r="CF47" s="29">
        <f>SSC[[#This Row],[Material]]</f>
        <v>0</v>
      </c>
      <c r="CG47" s="29">
        <f>SSC[[#This Row],[UID]]</f>
        <v>0</v>
      </c>
      <c r="CK47" t="str">
        <f>IF(SSC[[#This Row],[Status]]=0,"",SSC[[#This Row],[Status]])</f>
        <v/>
      </c>
    </row>
    <row r="48" spans="1:89">
      <c r="A48" s="11"/>
      <c r="B48" s="11"/>
      <c r="C48" s="10"/>
      <c r="D48" s="11"/>
      <c r="E48" s="11"/>
      <c r="F48" s="11"/>
      <c r="G48" s="11"/>
      <c r="H48" s="11"/>
      <c r="I48" s="11"/>
      <c r="J48" s="11"/>
      <c r="CA48" s="1" t="s">
        <v>71</v>
      </c>
      <c r="CB48" s="1" t="s">
        <v>18</v>
      </c>
      <c r="CC48" s="1" t="s">
        <v>132</v>
      </c>
      <c r="CE48" s="29">
        <f>SSC[[#This Row],[Part Type]]</f>
        <v>0</v>
      </c>
      <c r="CF48" s="29">
        <f>SSC[[#This Row],[Material]]</f>
        <v>0</v>
      </c>
      <c r="CG48" s="29">
        <f>SSC[[#This Row],[UID]]</f>
        <v>0</v>
      </c>
      <c r="CK48" t="str">
        <f>IF(SSC[[#This Row],[Status]]=0,"",SSC[[#This Row],[Status]])</f>
        <v/>
      </c>
    </row>
    <row r="49" spans="1:89">
      <c r="A49" s="11"/>
      <c r="B49" s="11"/>
      <c r="C49" s="10"/>
      <c r="D49" s="11"/>
      <c r="E49" s="11"/>
      <c r="F49" s="11"/>
      <c r="G49" s="11"/>
      <c r="H49" s="11"/>
      <c r="I49" s="11"/>
      <c r="J49" s="11"/>
      <c r="CA49" s="1" t="s">
        <v>71</v>
      </c>
      <c r="CB49" s="1" t="s">
        <v>18</v>
      </c>
      <c r="CC49" s="1" t="s">
        <v>132</v>
      </c>
      <c r="CE49" s="29">
        <f>SSC[[#This Row],[Part Type]]</f>
        <v>0</v>
      </c>
      <c r="CF49" s="29">
        <f>SSC[[#This Row],[Material]]</f>
        <v>0</v>
      </c>
      <c r="CG49" s="29">
        <f>SSC[[#This Row],[UID]]</f>
        <v>0</v>
      </c>
      <c r="CK49" t="str">
        <f>IF(SSC[[#This Row],[Status]]=0,"",SSC[[#This Row],[Status]])</f>
        <v/>
      </c>
    </row>
    <row r="50" spans="1:89">
      <c r="A50" s="11"/>
      <c r="B50" s="11"/>
      <c r="C50" s="10"/>
      <c r="D50" s="11"/>
      <c r="E50" s="11"/>
      <c r="F50" s="11"/>
      <c r="G50" s="11"/>
      <c r="H50" s="11"/>
      <c r="I50" s="11"/>
      <c r="J50" s="11"/>
      <c r="CA50" s="1" t="s">
        <v>71</v>
      </c>
      <c r="CB50" s="1" t="s">
        <v>18</v>
      </c>
      <c r="CC50" s="1" t="s">
        <v>132</v>
      </c>
      <c r="CE50" s="29">
        <f>SSC[[#This Row],[Part Type]]</f>
        <v>0</v>
      </c>
      <c r="CF50" s="29">
        <f>SSC[[#This Row],[Material]]</f>
        <v>0</v>
      </c>
      <c r="CG50" s="29">
        <f>SSC[[#This Row],[UID]]</f>
        <v>0</v>
      </c>
      <c r="CK50" t="str">
        <f>IF(SSC[[#This Row],[Status]]=0,"",SSC[[#This Row],[Status]])</f>
        <v/>
      </c>
    </row>
    <row r="51" spans="1:89">
      <c r="A51" s="11"/>
      <c r="B51" s="11"/>
      <c r="C51" s="10"/>
      <c r="D51" s="11"/>
      <c r="E51" s="11"/>
      <c r="F51" s="11"/>
      <c r="G51" s="11"/>
      <c r="H51" s="11"/>
      <c r="I51" s="11"/>
      <c r="J51" s="11"/>
      <c r="CA51" s="1" t="s">
        <v>71</v>
      </c>
      <c r="CB51" s="1" t="s">
        <v>18</v>
      </c>
      <c r="CC51" s="1" t="s">
        <v>132</v>
      </c>
      <c r="CE51" s="29">
        <f>SSC[[#This Row],[Part Type]]</f>
        <v>0</v>
      </c>
      <c r="CF51" s="29">
        <f>SSC[[#This Row],[Material]]</f>
        <v>0</v>
      </c>
      <c r="CG51" s="29">
        <f>SSC[[#This Row],[UID]]</f>
        <v>0</v>
      </c>
      <c r="CK51" t="str">
        <f>IF(SSC[[#This Row],[Status]]=0,"",SSC[[#This Row],[Status]])</f>
        <v/>
      </c>
    </row>
    <row r="52" spans="1:89">
      <c r="A52" s="11"/>
      <c r="B52" s="11"/>
      <c r="C52" s="10"/>
      <c r="D52" s="11"/>
      <c r="E52" s="11"/>
      <c r="F52" s="11"/>
      <c r="G52" s="11"/>
      <c r="H52" s="11"/>
      <c r="I52" s="11"/>
      <c r="J52" s="11"/>
      <c r="CA52" s="1" t="s">
        <v>71</v>
      </c>
      <c r="CB52" s="1" t="s">
        <v>18</v>
      </c>
      <c r="CC52" s="1" t="s">
        <v>132</v>
      </c>
      <c r="CE52" s="29">
        <f>SSC[[#This Row],[Part Type]]</f>
        <v>0</v>
      </c>
      <c r="CF52" s="29">
        <f>SSC[[#This Row],[Material]]</f>
        <v>0</v>
      </c>
      <c r="CG52" s="29">
        <f>SSC[[#This Row],[UID]]</f>
        <v>0</v>
      </c>
      <c r="CK52" t="str">
        <f>IF(SSC[[#This Row],[Status]]=0,"",SSC[[#This Row],[Status]])</f>
        <v/>
      </c>
    </row>
    <row r="53" spans="1:89">
      <c r="A53" s="11"/>
      <c r="B53" s="11"/>
      <c r="C53" s="10"/>
      <c r="D53" s="11"/>
      <c r="E53" s="11"/>
      <c r="F53" s="11"/>
      <c r="G53" s="11"/>
      <c r="H53" s="11"/>
      <c r="I53" s="11"/>
      <c r="J53" s="11"/>
      <c r="CA53" s="1" t="s">
        <v>71</v>
      </c>
      <c r="CB53" s="1" t="s">
        <v>18</v>
      </c>
      <c r="CC53" s="1" t="s">
        <v>132</v>
      </c>
      <c r="CE53" s="29">
        <f>SSC[[#This Row],[Part Type]]</f>
        <v>0</v>
      </c>
      <c r="CF53" s="29">
        <f>SSC[[#This Row],[Material]]</f>
        <v>0</v>
      </c>
      <c r="CG53" s="29">
        <f>SSC[[#This Row],[UID]]</f>
        <v>0</v>
      </c>
      <c r="CK53" t="str">
        <f>IF(SSC[[#This Row],[Status]]=0,"",SSC[[#This Row],[Status]])</f>
        <v/>
      </c>
    </row>
    <row r="54" spans="1:89">
      <c r="A54" s="11"/>
      <c r="B54" s="11"/>
      <c r="C54" s="10"/>
      <c r="D54" s="11"/>
      <c r="E54" s="11"/>
      <c r="F54" s="11"/>
      <c r="G54" s="11"/>
      <c r="H54" s="11"/>
      <c r="I54" s="11"/>
      <c r="J54" s="11"/>
      <c r="CA54" s="1" t="s">
        <v>71</v>
      </c>
      <c r="CB54" s="1" t="s">
        <v>18</v>
      </c>
      <c r="CC54" s="1" t="s">
        <v>132</v>
      </c>
      <c r="CE54" s="29">
        <f>SSC[[#This Row],[Part Type]]</f>
        <v>0</v>
      </c>
      <c r="CF54" s="29">
        <f>SSC[[#This Row],[Material]]</f>
        <v>0</v>
      </c>
      <c r="CG54" s="29">
        <f>SSC[[#This Row],[UID]]</f>
        <v>0</v>
      </c>
      <c r="CK54" t="str">
        <f>IF(SSC[[#This Row],[Status]]=0,"",SSC[[#This Row],[Status]])</f>
        <v/>
      </c>
    </row>
    <row r="55" spans="1:89">
      <c r="A55" s="11"/>
      <c r="B55" s="11"/>
      <c r="C55" s="10"/>
      <c r="D55" s="11"/>
      <c r="E55" s="11"/>
      <c r="F55" s="11"/>
      <c r="G55" s="11"/>
      <c r="H55" s="11"/>
      <c r="I55" s="11"/>
      <c r="J55" s="11"/>
      <c r="CA55" s="1" t="s">
        <v>71</v>
      </c>
      <c r="CB55" s="1" t="s">
        <v>18</v>
      </c>
      <c r="CC55" s="1" t="s">
        <v>132</v>
      </c>
      <c r="CE55" s="29">
        <f>SSC[[#This Row],[Part Type]]</f>
        <v>0</v>
      </c>
      <c r="CF55" s="29">
        <f>SSC[[#This Row],[Material]]</f>
        <v>0</v>
      </c>
      <c r="CG55" s="29">
        <f>SSC[[#This Row],[UID]]</f>
        <v>0</v>
      </c>
      <c r="CK55" t="str">
        <f>IF(SSC[[#This Row],[Status]]=0,"",SSC[[#This Row],[Status]])</f>
        <v/>
      </c>
    </row>
    <row r="56" spans="1:89">
      <c r="A56" s="11"/>
      <c r="B56" s="11"/>
      <c r="C56" s="10"/>
      <c r="D56" s="11"/>
      <c r="E56" s="11"/>
      <c r="F56" s="11"/>
      <c r="G56" s="11"/>
      <c r="H56" s="11"/>
      <c r="I56" s="11"/>
      <c r="J56" s="11"/>
      <c r="CA56" s="1" t="s">
        <v>71</v>
      </c>
      <c r="CB56" s="1" t="s">
        <v>18</v>
      </c>
      <c r="CC56" s="1" t="s">
        <v>132</v>
      </c>
      <c r="CE56" s="29">
        <f>SSC[[#This Row],[Part Type]]</f>
        <v>0</v>
      </c>
      <c r="CF56" s="29">
        <f>SSC[[#This Row],[Material]]</f>
        <v>0</v>
      </c>
      <c r="CG56" s="29">
        <f>SSC[[#This Row],[UID]]</f>
        <v>0</v>
      </c>
      <c r="CK56" t="str">
        <f>IF(SSC[[#This Row],[Status]]=0,"",SSC[[#This Row],[Status]])</f>
        <v/>
      </c>
    </row>
    <row r="57" spans="1:89">
      <c r="A57" s="11"/>
      <c r="B57" s="11"/>
      <c r="C57" s="10"/>
      <c r="D57" s="11"/>
      <c r="E57" s="11"/>
      <c r="F57" s="11"/>
      <c r="G57" s="11"/>
      <c r="H57" s="11"/>
      <c r="I57" s="11"/>
      <c r="J57" s="11"/>
      <c r="CA57" s="1" t="s">
        <v>71</v>
      </c>
      <c r="CB57" s="1" t="s">
        <v>18</v>
      </c>
      <c r="CC57" s="1" t="s">
        <v>132</v>
      </c>
      <c r="CE57" s="29">
        <f>SSC[[#This Row],[Part Type]]</f>
        <v>0</v>
      </c>
      <c r="CF57" s="29">
        <f>SSC[[#This Row],[Material]]</f>
        <v>0</v>
      </c>
      <c r="CG57" s="29">
        <f>SSC[[#This Row],[UID]]</f>
        <v>0</v>
      </c>
      <c r="CK57" t="str">
        <f>IF(SSC[[#This Row],[Status]]=0,"",SSC[[#This Row],[Status]])</f>
        <v/>
      </c>
    </row>
    <row r="58" spans="1:89">
      <c r="A58" s="11"/>
      <c r="B58" s="11"/>
      <c r="C58" s="10"/>
      <c r="D58" s="11"/>
      <c r="E58" s="11"/>
      <c r="F58" s="11"/>
      <c r="G58" s="11"/>
      <c r="H58" s="11"/>
      <c r="I58" s="11"/>
      <c r="J58" s="11"/>
      <c r="CA58" s="1" t="s">
        <v>71</v>
      </c>
      <c r="CB58" s="1" t="s">
        <v>18</v>
      </c>
      <c r="CC58" s="1" t="s">
        <v>132</v>
      </c>
      <c r="CE58" s="29">
        <f>SSC[[#This Row],[Part Type]]</f>
        <v>0</v>
      </c>
      <c r="CF58" s="29">
        <f>SSC[[#This Row],[Material]]</f>
        <v>0</v>
      </c>
      <c r="CG58" s="29">
        <f>SSC[[#This Row],[UID]]</f>
        <v>0</v>
      </c>
      <c r="CK58" t="str">
        <f>IF(SSC[[#This Row],[Status]]=0,"",SSC[[#This Row],[Status]])</f>
        <v/>
      </c>
    </row>
    <row r="59" spans="1:89">
      <c r="A59" s="11"/>
      <c r="B59" s="11"/>
      <c r="C59" s="10"/>
      <c r="D59" s="11"/>
      <c r="E59" s="11"/>
      <c r="F59" s="11"/>
      <c r="G59" s="11"/>
      <c r="H59" s="11"/>
      <c r="I59" s="11"/>
      <c r="J59" s="11"/>
      <c r="CA59" s="1" t="s">
        <v>71</v>
      </c>
      <c r="CB59" s="1" t="s">
        <v>18</v>
      </c>
      <c r="CC59" s="1" t="s">
        <v>132</v>
      </c>
      <c r="CE59" s="29">
        <f>SSC[[#This Row],[Part Type]]</f>
        <v>0</v>
      </c>
      <c r="CF59" s="29">
        <f>SSC[[#This Row],[Material]]</f>
        <v>0</v>
      </c>
      <c r="CG59" s="29">
        <f>SSC[[#This Row],[UID]]</f>
        <v>0</v>
      </c>
      <c r="CK59" t="str">
        <f>IF(SSC[[#This Row],[Status]]=0,"",SSC[[#This Row],[Status]])</f>
        <v/>
      </c>
    </row>
    <row r="60" spans="1:89">
      <c r="A60" s="11"/>
      <c r="B60" s="11"/>
      <c r="C60" s="10"/>
      <c r="D60" s="11"/>
      <c r="E60" s="11"/>
      <c r="F60" s="11"/>
      <c r="G60" s="11"/>
      <c r="H60" s="11"/>
      <c r="I60" s="11"/>
      <c r="J60" s="11"/>
      <c r="CA60" s="1" t="s">
        <v>71</v>
      </c>
      <c r="CB60" s="1" t="s">
        <v>18</v>
      </c>
      <c r="CC60" s="1" t="s">
        <v>132</v>
      </c>
      <c r="CE60" s="29">
        <f>SSC[[#This Row],[Part Type]]</f>
        <v>0</v>
      </c>
      <c r="CF60" s="29">
        <f>SSC[[#This Row],[Material]]</f>
        <v>0</v>
      </c>
      <c r="CG60" s="29">
        <f>SSC[[#This Row],[UID]]</f>
        <v>0</v>
      </c>
      <c r="CK60" t="str">
        <f>IF(SSC[[#This Row],[Status]]=0,"",SSC[[#This Row],[Status]])</f>
        <v/>
      </c>
    </row>
    <row r="61" spans="1:89">
      <c r="A61" s="11"/>
      <c r="B61" s="11"/>
      <c r="C61" s="10"/>
      <c r="D61" s="11"/>
      <c r="E61" s="11"/>
      <c r="F61" s="11"/>
      <c r="G61" s="11"/>
      <c r="H61" s="11"/>
      <c r="I61" s="11"/>
      <c r="J61" s="11"/>
      <c r="CA61" s="1" t="s">
        <v>71</v>
      </c>
      <c r="CB61" s="1" t="s">
        <v>18</v>
      </c>
      <c r="CC61" s="1" t="s">
        <v>132</v>
      </c>
      <c r="CE61" s="29">
        <f>SSC[[#This Row],[Part Type]]</f>
        <v>0</v>
      </c>
      <c r="CF61" s="29">
        <f>SSC[[#This Row],[Material]]</f>
        <v>0</v>
      </c>
      <c r="CG61" s="29">
        <f>SSC[[#This Row],[UID]]</f>
        <v>0</v>
      </c>
      <c r="CK61" t="str">
        <f>IF(SSC[[#This Row],[Status]]=0,"",SSC[[#This Row],[Status]])</f>
        <v/>
      </c>
    </row>
    <row r="62" spans="1:89">
      <c r="A62" s="11"/>
      <c r="B62" s="11"/>
      <c r="C62" s="10"/>
      <c r="D62" s="11"/>
      <c r="E62" s="11"/>
      <c r="F62" s="11"/>
      <c r="G62" s="11"/>
      <c r="H62" s="11"/>
      <c r="I62" s="11"/>
      <c r="J62" s="11"/>
      <c r="CA62" s="1" t="s">
        <v>71</v>
      </c>
      <c r="CB62" s="1" t="s">
        <v>18</v>
      </c>
      <c r="CC62" s="1" t="s">
        <v>132</v>
      </c>
      <c r="CE62" s="29">
        <f>SSC[[#This Row],[Part Type]]</f>
        <v>0</v>
      </c>
      <c r="CF62" s="29">
        <f>SSC[[#This Row],[Material]]</f>
        <v>0</v>
      </c>
      <c r="CG62" s="29">
        <f>SSC[[#This Row],[UID]]</f>
        <v>0</v>
      </c>
      <c r="CK62" t="str">
        <f>IF(SSC[[#This Row],[Status]]=0,"",SSC[[#This Row],[Status]])</f>
        <v/>
      </c>
    </row>
    <row r="63" spans="1:89">
      <c r="A63" s="11"/>
      <c r="B63" s="11"/>
      <c r="C63" s="10"/>
      <c r="D63" s="11"/>
      <c r="E63" s="11"/>
      <c r="F63" s="11"/>
      <c r="G63" s="11"/>
      <c r="H63" s="11"/>
      <c r="I63" s="11"/>
      <c r="J63" s="11"/>
      <c r="CA63" s="1" t="s">
        <v>71</v>
      </c>
      <c r="CB63" s="1" t="s">
        <v>18</v>
      </c>
      <c r="CC63" s="1" t="s">
        <v>132</v>
      </c>
      <c r="CE63" s="29">
        <f>SSC[[#This Row],[Part Type]]</f>
        <v>0</v>
      </c>
      <c r="CF63" s="29">
        <f>SSC[[#This Row],[Material]]</f>
        <v>0</v>
      </c>
      <c r="CG63" s="29">
        <f>SSC[[#This Row],[UID]]</f>
        <v>0</v>
      </c>
      <c r="CK63" t="str">
        <f>IF(SSC[[#This Row],[Status]]=0,"",SSC[[#This Row],[Status]])</f>
        <v/>
      </c>
    </row>
    <row r="64" spans="1:89">
      <c r="A64" s="11"/>
      <c r="B64" s="11"/>
      <c r="C64" s="10"/>
      <c r="D64" s="11"/>
      <c r="E64" s="11"/>
      <c r="F64" s="11"/>
      <c r="G64" s="11"/>
      <c r="H64" s="11"/>
      <c r="I64" s="11"/>
      <c r="J64" s="11"/>
      <c r="CA64" s="1" t="s">
        <v>71</v>
      </c>
      <c r="CB64" s="1" t="s">
        <v>18</v>
      </c>
      <c r="CC64" s="1" t="s">
        <v>132</v>
      </c>
      <c r="CE64" s="29">
        <f>SSC[[#This Row],[Part Type]]</f>
        <v>0</v>
      </c>
      <c r="CF64" s="29">
        <f>SSC[[#This Row],[Material]]</f>
        <v>0</v>
      </c>
      <c r="CG64" s="29">
        <f>SSC[[#This Row],[UID]]</f>
        <v>0</v>
      </c>
      <c r="CK64" t="str">
        <f>IF(SSC[[#This Row],[Status]]=0,"",SSC[[#This Row],[Status]])</f>
        <v/>
      </c>
    </row>
    <row r="65" spans="1:89">
      <c r="A65" s="11"/>
      <c r="B65" s="11"/>
      <c r="C65" s="10"/>
      <c r="D65" s="11"/>
      <c r="E65" s="11"/>
      <c r="F65" s="11"/>
      <c r="G65" s="11"/>
      <c r="H65" s="11"/>
      <c r="I65" s="11"/>
      <c r="J65" s="11"/>
      <c r="CA65" s="1" t="s">
        <v>71</v>
      </c>
      <c r="CB65" s="1" t="s">
        <v>18</v>
      </c>
      <c r="CC65" s="1" t="s">
        <v>132</v>
      </c>
      <c r="CE65" s="29">
        <f>SSC[[#This Row],[Part Type]]</f>
        <v>0</v>
      </c>
      <c r="CF65" s="29">
        <f>SSC[[#This Row],[Material]]</f>
        <v>0</v>
      </c>
      <c r="CG65" s="29">
        <f>SSC[[#This Row],[UID]]</f>
        <v>0</v>
      </c>
      <c r="CK65" t="str">
        <f>IF(SSC[[#This Row],[Status]]=0,"",SSC[[#This Row],[Status]])</f>
        <v/>
      </c>
    </row>
    <row r="66" spans="1:89">
      <c r="A66" s="11"/>
      <c r="B66" s="11"/>
      <c r="C66" s="10"/>
      <c r="D66" s="11"/>
      <c r="E66" s="11"/>
      <c r="F66" s="11"/>
      <c r="G66" s="11"/>
      <c r="H66" s="11"/>
      <c r="I66" s="11"/>
      <c r="J66" s="11"/>
      <c r="CA66" s="1" t="s">
        <v>71</v>
      </c>
      <c r="CB66" s="1" t="s">
        <v>18</v>
      </c>
      <c r="CC66" s="1" t="s">
        <v>132</v>
      </c>
      <c r="CE66" s="29">
        <f>SSC[[#This Row],[Part Type]]</f>
        <v>0</v>
      </c>
      <c r="CF66" s="29">
        <f>SSC[[#This Row],[Material]]</f>
        <v>0</v>
      </c>
      <c r="CG66" s="29">
        <f>SSC[[#This Row],[UID]]</f>
        <v>0</v>
      </c>
      <c r="CK66" t="str">
        <f>IF(SSC[[#This Row],[Status]]=0,"",SSC[[#This Row],[Status]])</f>
        <v/>
      </c>
    </row>
    <row r="67" spans="1:89">
      <c r="A67" s="11"/>
      <c r="B67" s="11"/>
      <c r="C67" s="10"/>
      <c r="D67" s="11"/>
      <c r="E67" s="11"/>
      <c r="F67" s="11"/>
      <c r="G67" s="11"/>
      <c r="H67" s="11"/>
      <c r="I67" s="11"/>
      <c r="J67" s="11"/>
      <c r="CA67" s="1" t="s">
        <v>71</v>
      </c>
      <c r="CB67" s="1" t="s">
        <v>18</v>
      </c>
      <c r="CC67" s="1" t="s">
        <v>132</v>
      </c>
      <c r="CE67" s="29">
        <f>SSC[[#This Row],[Part Type]]</f>
        <v>0</v>
      </c>
      <c r="CF67" s="29">
        <f>SSC[[#This Row],[Material]]</f>
        <v>0</v>
      </c>
      <c r="CG67" s="29">
        <f>SSC[[#This Row],[UID]]</f>
        <v>0</v>
      </c>
      <c r="CK67" t="str">
        <f>IF(SSC[[#This Row],[Status]]=0,"",SSC[[#This Row],[Status]])</f>
        <v/>
      </c>
    </row>
    <row r="68" spans="1:89">
      <c r="A68" s="11"/>
      <c r="B68" s="11"/>
      <c r="C68" s="10"/>
      <c r="D68" s="11"/>
      <c r="E68" s="11"/>
      <c r="F68" s="11"/>
      <c r="G68" s="11"/>
      <c r="H68" s="11"/>
      <c r="I68" s="11"/>
      <c r="J68" s="11"/>
      <c r="CA68" s="1" t="s">
        <v>71</v>
      </c>
      <c r="CB68" s="1" t="s">
        <v>18</v>
      </c>
      <c r="CC68" s="1" t="s">
        <v>132</v>
      </c>
      <c r="CE68" s="29">
        <f>SSC[[#This Row],[Part Type]]</f>
        <v>0</v>
      </c>
      <c r="CF68" s="29">
        <f>SSC[[#This Row],[Material]]</f>
        <v>0</v>
      </c>
      <c r="CG68" s="29">
        <f>SSC[[#This Row],[UID]]</f>
        <v>0</v>
      </c>
      <c r="CK68" t="str">
        <f>IF(SSC[[#This Row],[Status]]=0,"",SSC[[#This Row],[Status]])</f>
        <v/>
      </c>
    </row>
    <row r="69" spans="1:89">
      <c r="A69" s="11"/>
      <c r="B69" s="11"/>
      <c r="C69" s="10"/>
      <c r="D69" s="11"/>
      <c r="E69" s="11"/>
      <c r="F69" s="11"/>
      <c r="G69" s="11"/>
      <c r="H69" s="11"/>
      <c r="I69" s="11"/>
      <c r="J69" s="11"/>
      <c r="CA69" s="1" t="s">
        <v>71</v>
      </c>
      <c r="CB69" s="1" t="s">
        <v>18</v>
      </c>
      <c r="CC69" s="1" t="s">
        <v>132</v>
      </c>
      <c r="CE69" s="29">
        <f>SSC[[#This Row],[Part Type]]</f>
        <v>0</v>
      </c>
      <c r="CF69" s="29">
        <f>SSC[[#This Row],[Material]]</f>
        <v>0</v>
      </c>
      <c r="CG69" s="29">
        <f>SSC[[#This Row],[UID]]</f>
        <v>0</v>
      </c>
      <c r="CK69" t="str">
        <f>IF(SSC[[#This Row],[Status]]=0,"",SSC[[#This Row],[Status]])</f>
        <v/>
      </c>
    </row>
    <row r="70" spans="1:89">
      <c r="A70" s="11"/>
      <c r="B70" s="11"/>
      <c r="C70" s="10"/>
      <c r="D70" s="11"/>
      <c r="E70" s="11"/>
      <c r="F70" s="11"/>
      <c r="G70" s="11"/>
      <c r="H70" s="11"/>
      <c r="I70" s="11"/>
      <c r="J70" s="11"/>
      <c r="CA70" s="1" t="s">
        <v>71</v>
      </c>
      <c r="CB70" s="1" t="s">
        <v>18</v>
      </c>
      <c r="CC70" s="1" t="s">
        <v>132</v>
      </c>
      <c r="CE70" s="29">
        <f>SSC[[#This Row],[Part Type]]</f>
        <v>0</v>
      </c>
      <c r="CF70" s="29">
        <f>SSC[[#This Row],[Material]]</f>
        <v>0</v>
      </c>
      <c r="CG70" s="29">
        <f>SSC[[#This Row],[UID]]</f>
        <v>0</v>
      </c>
      <c r="CK70" t="str">
        <f>IF(SSC[[#This Row],[Status]]=0,"",SSC[[#This Row],[Status]])</f>
        <v/>
      </c>
    </row>
    <row r="71" spans="1:89">
      <c r="A71" s="11"/>
      <c r="B71" s="11"/>
      <c r="C71" s="10"/>
      <c r="D71" s="11"/>
      <c r="E71" s="11"/>
      <c r="F71" s="11"/>
      <c r="G71" s="11"/>
      <c r="H71" s="11"/>
      <c r="I71" s="11"/>
      <c r="J71" s="11"/>
      <c r="CA71" s="1" t="s">
        <v>71</v>
      </c>
      <c r="CB71" s="1" t="s">
        <v>18</v>
      </c>
      <c r="CC71" s="1" t="s">
        <v>132</v>
      </c>
      <c r="CE71" s="29">
        <f>SSC[[#This Row],[Part Type]]</f>
        <v>0</v>
      </c>
      <c r="CF71" s="29">
        <f>SSC[[#This Row],[Material]]</f>
        <v>0</v>
      </c>
      <c r="CG71" s="29">
        <f>SSC[[#This Row],[UID]]</f>
        <v>0</v>
      </c>
      <c r="CK71" t="str">
        <f>IF(SSC[[#This Row],[Status]]=0,"",SSC[[#This Row],[Status]])</f>
        <v/>
      </c>
    </row>
    <row r="72" spans="1:89">
      <c r="A72" s="11"/>
      <c r="B72" s="11"/>
      <c r="C72" s="10"/>
      <c r="D72" s="11"/>
      <c r="E72" s="11"/>
      <c r="F72" s="11"/>
      <c r="G72" s="11"/>
      <c r="H72" s="11"/>
      <c r="I72" s="11"/>
      <c r="J72" s="11"/>
      <c r="CA72" s="1" t="s">
        <v>71</v>
      </c>
      <c r="CB72" s="1" t="s">
        <v>18</v>
      </c>
      <c r="CC72" s="1" t="s">
        <v>132</v>
      </c>
      <c r="CE72" s="29">
        <f>SSC[[#This Row],[Part Type]]</f>
        <v>0</v>
      </c>
      <c r="CF72" s="29">
        <f>SSC[[#This Row],[Material]]</f>
        <v>0</v>
      </c>
      <c r="CG72" s="29">
        <f>SSC[[#This Row],[UID]]</f>
        <v>0</v>
      </c>
      <c r="CK72" t="str">
        <f>IF(SSC[[#This Row],[Status]]=0,"",SSC[[#This Row],[Status]])</f>
        <v/>
      </c>
    </row>
    <row r="73" spans="1:89">
      <c r="A73" s="11"/>
      <c r="B73" s="11"/>
      <c r="C73" s="10"/>
      <c r="D73" s="11"/>
      <c r="E73" s="11"/>
      <c r="F73" s="11"/>
      <c r="G73" s="11"/>
      <c r="H73" s="11"/>
      <c r="I73" s="11"/>
      <c r="J73" s="11"/>
      <c r="CA73" s="1" t="s">
        <v>71</v>
      </c>
      <c r="CB73" s="1" t="s">
        <v>18</v>
      </c>
      <c r="CC73" s="1" t="s">
        <v>132</v>
      </c>
      <c r="CE73" s="29">
        <f>SSC[[#This Row],[Part Type]]</f>
        <v>0</v>
      </c>
      <c r="CF73" s="29">
        <f>SSC[[#This Row],[Material]]</f>
        <v>0</v>
      </c>
      <c r="CG73" s="29">
        <f>SSC[[#This Row],[UID]]</f>
        <v>0</v>
      </c>
      <c r="CK73" t="str">
        <f>IF(SSC[[#This Row],[Status]]=0,"",SSC[[#This Row],[Status]])</f>
        <v/>
      </c>
    </row>
    <row r="74" spans="1:89">
      <c r="A74" s="11"/>
      <c r="B74" s="11"/>
      <c r="C74" s="10"/>
      <c r="D74" s="11"/>
      <c r="E74" s="11"/>
      <c r="F74" s="11"/>
      <c r="G74" s="11"/>
      <c r="H74" s="11"/>
      <c r="I74" s="11"/>
      <c r="J74" s="11"/>
      <c r="CA74" s="1" t="s">
        <v>71</v>
      </c>
      <c r="CB74" s="1" t="s">
        <v>18</v>
      </c>
      <c r="CC74" s="1" t="s">
        <v>132</v>
      </c>
      <c r="CE74" s="29">
        <f>SSC[[#This Row],[Part Type]]</f>
        <v>0</v>
      </c>
      <c r="CF74" s="29">
        <f>SSC[[#This Row],[Material]]</f>
        <v>0</v>
      </c>
      <c r="CG74" s="29">
        <f>SSC[[#This Row],[UID]]</f>
        <v>0</v>
      </c>
      <c r="CK74" t="str">
        <f>IF(SSC[[#This Row],[Status]]=0,"",SSC[[#This Row],[Status]])</f>
        <v/>
      </c>
    </row>
    <row r="75" spans="1:89">
      <c r="A75" s="11"/>
      <c r="B75" s="11"/>
      <c r="C75" s="10"/>
      <c r="D75" s="11"/>
      <c r="E75" s="11"/>
      <c r="F75" s="11"/>
      <c r="G75" s="11"/>
      <c r="H75" s="11"/>
      <c r="I75" s="11"/>
      <c r="J75" s="11"/>
      <c r="CA75" s="1" t="s">
        <v>71</v>
      </c>
      <c r="CB75" s="1" t="s">
        <v>18</v>
      </c>
      <c r="CC75" s="1" t="s">
        <v>132</v>
      </c>
      <c r="CE75" s="29">
        <f>SSC[[#This Row],[Part Type]]</f>
        <v>0</v>
      </c>
      <c r="CF75" s="29">
        <f>SSC[[#This Row],[Material]]</f>
        <v>0</v>
      </c>
      <c r="CG75" s="29">
        <f>SSC[[#This Row],[UID]]</f>
        <v>0</v>
      </c>
      <c r="CK75" t="str">
        <f>IF(SSC[[#This Row],[Status]]=0,"",SSC[[#This Row],[Status]])</f>
        <v/>
      </c>
    </row>
    <row r="76" spans="1:89">
      <c r="A76" s="11"/>
      <c r="B76" s="11"/>
      <c r="C76" s="10"/>
      <c r="D76" s="11"/>
      <c r="E76" s="11"/>
      <c r="F76" s="11"/>
      <c r="G76" s="11"/>
      <c r="H76" s="11"/>
      <c r="I76" s="11"/>
      <c r="J76" s="11"/>
      <c r="CA76" s="1" t="s">
        <v>71</v>
      </c>
      <c r="CB76" s="1" t="s">
        <v>18</v>
      </c>
      <c r="CC76" s="1" t="s">
        <v>132</v>
      </c>
      <c r="CE76" s="29">
        <f>SSC[[#This Row],[Part Type]]</f>
        <v>0</v>
      </c>
      <c r="CF76" s="29">
        <f>SSC[[#This Row],[Material]]</f>
        <v>0</v>
      </c>
      <c r="CG76" s="29">
        <f>SSC[[#This Row],[UID]]</f>
        <v>0</v>
      </c>
      <c r="CK76" t="str">
        <f>IF(SSC[[#This Row],[Status]]=0,"",SSC[[#This Row],[Status]])</f>
        <v/>
      </c>
    </row>
    <row r="77" spans="1:89">
      <c r="A77" s="11"/>
      <c r="B77" s="11"/>
      <c r="C77" s="10"/>
      <c r="D77" s="11"/>
      <c r="E77" s="11"/>
      <c r="F77" s="11"/>
      <c r="G77" s="11"/>
      <c r="H77" s="11"/>
      <c r="I77" s="11"/>
      <c r="J77" s="11"/>
      <c r="CA77" s="1" t="s">
        <v>71</v>
      </c>
      <c r="CB77" s="1" t="s">
        <v>18</v>
      </c>
      <c r="CC77" s="1" t="s">
        <v>132</v>
      </c>
      <c r="CE77" s="29">
        <f>SSC[[#This Row],[Part Type]]</f>
        <v>0</v>
      </c>
      <c r="CF77" s="29">
        <f>SSC[[#This Row],[Material]]</f>
        <v>0</v>
      </c>
      <c r="CG77" s="29">
        <f>SSC[[#This Row],[UID]]</f>
        <v>0</v>
      </c>
      <c r="CK77" t="str">
        <f>IF(SSC[[#This Row],[Status]]=0,"",SSC[[#This Row],[Status]])</f>
        <v/>
      </c>
    </row>
    <row r="78" spans="1:89">
      <c r="A78" s="11"/>
      <c r="B78" s="11"/>
      <c r="C78" s="10"/>
      <c r="D78" s="11"/>
      <c r="E78" s="11"/>
      <c r="F78" s="11"/>
      <c r="G78" s="11"/>
      <c r="H78" s="11"/>
      <c r="I78" s="11"/>
      <c r="J78" s="11"/>
      <c r="CA78" s="1" t="s">
        <v>71</v>
      </c>
      <c r="CB78" s="1" t="s">
        <v>18</v>
      </c>
      <c r="CC78" s="1" t="s">
        <v>132</v>
      </c>
      <c r="CE78" s="29">
        <f>SSC[[#This Row],[Part Type]]</f>
        <v>0</v>
      </c>
      <c r="CF78" s="29">
        <f>SSC[[#This Row],[Material]]</f>
        <v>0</v>
      </c>
      <c r="CG78" s="29">
        <f>SSC[[#This Row],[UID]]</f>
        <v>0</v>
      </c>
      <c r="CK78" t="str">
        <f>IF(SSC[[#This Row],[Status]]=0,"",SSC[[#This Row],[Status]])</f>
        <v/>
      </c>
    </row>
    <row r="79" spans="1:89">
      <c r="A79" s="11"/>
      <c r="B79" s="11"/>
      <c r="C79" s="10"/>
      <c r="D79" s="11"/>
      <c r="E79" s="11"/>
      <c r="F79" s="11"/>
      <c r="G79" s="11"/>
      <c r="H79" s="11"/>
      <c r="I79" s="11"/>
      <c r="J79" s="11"/>
      <c r="CA79" s="1" t="s">
        <v>71</v>
      </c>
      <c r="CB79" s="1" t="s">
        <v>18</v>
      </c>
      <c r="CC79" s="1" t="s">
        <v>132</v>
      </c>
      <c r="CE79" s="29">
        <f>SSC[[#This Row],[Part Type]]</f>
        <v>0</v>
      </c>
      <c r="CF79" s="29">
        <f>SSC[[#This Row],[Material]]</f>
        <v>0</v>
      </c>
      <c r="CG79" s="29">
        <f>SSC[[#This Row],[UID]]</f>
        <v>0</v>
      </c>
      <c r="CK79" t="str">
        <f>IF(SSC[[#This Row],[Status]]=0,"",SSC[[#This Row],[Status]])</f>
        <v/>
      </c>
    </row>
    <row r="80" spans="1:89">
      <c r="A80" s="11"/>
      <c r="B80" s="11"/>
      <c r="C80" s="10"/>
      <c r="D80" s="11"/>
      <c r="E80" s="11"/>
      <c r="F80" s="11"/>
      <c r="G80" s="11"/>
      <c r="H80" s="11"/>
      <c r="I80" s="11"/>
      <c r="J80" s="11"/>
      <c r="CA80" s="1" t="s">
        <v>71</v>
      </c>
      <c r="CB80" s="1" t="s">
        <v>18</v>
      </c>
      <c r="CC80" s="1" t="s">
        <v>132</v>
      </c>
      <c r="CE80" s="29">
        <f>SSC[[#This Row],[Part Type]]</f>
        <v>0</v>
      </c>
      <c r="CF80" s="29">
        <f>SSC[[#This Row],[Material]]</f>
        <v>0</v>
      </c>
      <c r="CG80" s="29">
        <f>SSC[[#This Row],[UID]]</f>
        <v>0</v>
      </c>
      <c r="CK80" t="str">
        <f>IF(SSC[[#This Row],[Status]]=0,"",SSC[[#This Row],[Status]])</f>
        <v/>
      </c>
    </row>
    <row r="81" spans="1:89">
      <c r="A81" s="11"/>
      <c r="B81" s="11"/>
      <c r="C81" s="10"/>
      <c r="D81" s="11"/>
      <c r="E81" s="11"/>
      <c r="F81" s="11"/>
      <c r="G81" s="11"/>
      <c r="H81" s="11"/>
      <c r="I81" s="11"/>
      <c r="J81" s="11"/>
      <c r="CA81" s="1" t="s">
        <v>71</v>
      </c>
      <c r="CB81" s="1" t="s">
        <v>18</v>
      </c>
      <c r="CC81" s="1" t="s">
        <v>132</v>
      </c>
      <c r="CE81" s="29">
        <f>SSC[[#This Row],[Part Type]]</f>
        <v>0</v>
      </c>
      <c r="CF81" s="29">
        <f>SSC[[#This Row],[Material]]</f>
        <v>0</v>
      </c>
      <c r="CG81" s="29">
        <f>SSC[[#This Row],[UID]]</f>
        <v>0</v>
      </c>
      <c r="CK81" t="str">
        <f>IF(SSC[[#This Row],[Status]]=0,"",SSC[[#This Row],[Status]])</f>
        <v/>
      </c>
    </row>
    <row r="82" spans="1:89">
      <c r="A82" s="11"/>
      <c r="B82" s="11"/>
      <c r="C82" s="10"/>
      <c r="D82" s="11"/>
      <c r="E82" s="11"/>
      <c r="F82" s="11"/>
      <c r="G82" s="11"/>
      <c r="H82" s="11"/>
      <c r="I82" s="11"/>
      <c r="J82" s="11"/>
      <c r="CA82" s="1" t="s">
        <v>71</v>
      </c>
      <c r="CB82" s="1" t="s">
        <v>18</v>
      </c>
      <c r="CC82" s="1" t="s">
        <v>132</v>
      </c>
      <c r="CE82" s="29">
        <f>SSC[[#This Row],[Part Type]]</f>
        <v>0</v>
      </c>
      <c r="CF82" s="29">
        <f>SSC[[#This Row],[Material]]</f>
        <v>0</v>
      </c>
      <c r="CG82" s="29">
        <f>SSC[[#This Row],[UID]]</f>
        <v>0</v>
      </c>
      <c r="CK82" t="str">
        <f>IF(SSC[[#This Row],[Status]]=0,"",SSC[[#This Row],[Status]])</f>
        <v/>
      </c>
    </row>
    <row r="83" spans="1:89">
      <c r="A83" s="11"/>
      <c r="B83" s="11"/>
      <c r="C83" s="10"/>
      <c r="D83" s="11"/>
      <c r="E83" s="11"/>
      <c r="F83" s="11"/>
      <c r="G83" s="11"/>
      <c r="H83" s="11"/>
      <c r="I83" s="11"/>
      <c r="J83" s="11"/>
      <c r="CA83" s="1" t="s">
        <v>71</v>
      </c>
      <c r="CB83" s="1" t="s">
        <v>18</v>
      </c>
      <c r="CC83" s="1" t="s">
        <v>132</v>
      </c>
      <c r="CE83" s="29">
        <f>SSC[[#This Row],[Part Type]]</f>
        <v>0</v>
      </c>
      <c r="CF83" s="29">
        <f>SSC[[#This Row],[Material]]</f>
        <v>0</v>
      </c>
      <c r="CG83" s="29">
        <f>SSC[[#This Row],[UID]]</f>
        <v>0</v>
      </c>
      <c r="CK83" t="str">
        <f>IF(SSC[[#This Row],[Status]]=0,"",SSC[[#This Row],[Status]])</f>
        <v/>
      </c>
    </row>
    <row r="84" spans="1:89">
      <c r="A84" s="11"/>
      <c r="B84" s="11"/>
      <c r="C84" s="11"/>
      <c r="D84" s="11"/>
      <c r="E84" s="11"/>
      <c r="F84" s="11"/>
      <c r="G84" s="11"/>
      <c r="H84" s="11"/>
      <c r="I84" s="11"/>
      <c r="J84" s="11"/>
      <c r="CA84" s="1" t="s">
        <v>71</v>
      </c>
      <c r="CB84" s="1" t="s">
        <v>18</v>
      </c>
      <c r="CC84" s="1" t="s">
        <v>132</v>
      </c>
      <c r="CE84" s="29">
        <f>SSC[[#This Row],[Part Type]]</f>
        <v>0</v>
      </c>
      <c r="CF84" s="29">
        <f>SSC[[#This Row],[Material]]</f>
        <v>0</v>
      </c>
      <c r="CG84" s="29">
        <f>SSC[[#This Row],[UID]]</f>
        <v>0</v>
      </c>
      <c r="CK84" t="str">
        <f>IF(SSC[[#This Row],[Status]]=0,"",SSC[[#This Row],[Status]])</f>
        <v/>
      </c>
    </row>
    <row r="85" spans="1:89">
      <c r="A85" s="11"/>
      <c r="B85" s="11"/>
      <c r="C85" s="11"/>
      <c r="D85" s="11"/>
      <c r="E85" s="11"/>
      <c r="F85" s="11"/>
      <c r="G85" s="11"/>
      <c r="H85" s="11"/>
      <c r="I85" s="11"/>
      <c r="J85" s="11"/>
      <c r="CA85" s="1" t="s">
        <v>71</v>
      </c>
      <c r="CB85" s="1" t="s">
        <v>18</v>
      </c>
      <c r="CC85" s="1" t="s">
        <v>132</v>
      </c>
      <c r="CE85" s="29">
        <f>SSC[[#This Row],[Part Type]]</f>
        <v>0</v>
      </c>
      <c r="CF85" s="29">
        <f>SSC[[#This Row],[Material]]</f>
        <v>0</v>
      </c>
      <c r="CG85" s="29">
        <f>SSC[[#This Row],[UID]]</f>
        <v>0</v>
      </c>
      <c r="CK85" t="str">
        <f>IF(SSC[[#This Row],[Status]]=0,"",SSC[[#This Row],[Status]])</f>
        <v/>
      </c>
    </row>
    <row r="86" spans="1:89">
      <c r="A86" s="11"/>
      <c r="B86" s="11"/>
      <c r="C86" s="11"/>
      <c r="D86" s="11"/>
      <c r="E86" s="11"/>
      <c r="F86" s="11"/>
      <c r="G86" s="11"/>
      <c r="H86" s="11"/>
      <c r="I86" s="11"/>
      <c r="J86" s="11"/>
      <c r="CA86" s="1" t="s">
        <v>71</v>
      </c>
      <c r="CB86" s="1" t="s">
        <v>18</v>
      </c>
      <c r="CC86" s="1" t="s">
        <v>132</v>
      </c>
      <c r="CE86" s="29">
        <f>SSC[[#This Row],[Part Type]]</f>
        <v>0</v>
      </c>
      <c r="CF86" s="29">
        <f>SSC[[#This Row],[Material]]</f>
        <v>0</v>
      </c>
      <c r="CG86" s="29">
        <f>SSC[[#This Row],[UID]]</f>
        <v>0</v>
      </c>
      <c r="CK86" t="str">
        <f>IF(SSC[[#This Row],[Status]]=0,"",SSC[[#This Row],[Status]])</f>
        <v/>
      </c>
    </row>
    <row r="87" spans="1:89">
      <c r="A87" s="11"/>
      <c r="B87" s="11"/>
      <c r="C87" s="11"/>
      <c r="D87" s="11"/>
      <c r="E87" s="11"/>
      <c r="F87" s="11"/>
      <c r="G87" s="11"/>
      <c r="H87" s="11"/>
      <c r="I87" s="11"/>
      <c r="J87" s="11"/>
      <c r="CA87" s="1" t="s">
        <v>71</v>
      </c>
      <c r="CB87" s="1" t="s">
        <v>18</v>
      </c>
      <c r="CC87" s="1" t="s">
        <v>132</v>
      </c>
      <c r="CE87" s="29">
        <f>SSC[[#This Row],[Part Type]]</f>
        <v>0</v>
      </c>
      <c r="CF87" s="29">
        <f>SSC[[#This Row],[Material]]</f>
        <v>0</v>
      </c>
      <c r="CG87" s="29">
        <f>SSC[[#This Row],[UID]]</f>
        <v>0</v>
      </c>
      <c r="CK87" t="str">
        <f>IF(SSC[[#This Row],[Status]]=0,"",SSC[[#This Row],[Status]])</f>
        <v/>
      </c>
    </row>
    <row r="88" spans="1:89">
      <c r="A88" s="11"/>
      <c r="B88" s="11"/>
      <c r="C88" s="11"/>
      <c r="D88" s="11"/>
      <c r="E88" s="11"/>
      <c r="F88" s="11"/>
      <c r="G88" s="11"/>
      <c r="H88" s="11"/>
      <c r="I88" s="11"/>
      <c r="J88" s="11"/>
      <c r="CA88" s="1" t="s">
        <v>71</v>
      </c>
      <c r="CB88" s="1" t="s">
        <v>18</v>
      </c>
      <c r="CC88" s="1" t="s">
        <v>132</v>
      </c>
      <c r="CE88" s="29">
        <f>SSC[[#This Row],[Part Type]]</f>
        <v>0</v>
      </c>
      <c r="CF88" s="29">
        <f>SSC[[#This Row],[Material]]</f>
        <v>0</v>
      </c>
      <c r="CG88" s="29">
        <f>SSC[[#This Row],[UID]]</f>
        <v>0</v>
      </c>
      <c r="CK88" t="str">
        <f>IF(SSC[[#This Row],[Status]]=0,"",SSC[[#This Row],[Status]])</f>
        <v/>
      </c>
    </row>
    <row r="89" spans="1:89">
      <c r="A89" s="11"/>
      <c r="B89" s="11"/>
      <c r="C89" s="11"/>
      <c r="D89" s="11"/>
      <c r="E89" s="11"/>
      <c r="F89" s="11"/>
      <c r="G89" s="11"/>
      <c r="H89" s="11"/>
      <c r="I89" s="11"/>
      <c r="J89" s="11"/>
      <c r="CA89" s="1" t="s">
        <v>71</v>
      </c>
      <c r="CB89" s="1" t="s">
        <v>18</v>
      </c>
      <c r="CC89" s="1" t="s">
        <v>132</v>
      </c>
      <c r="CE89" s="29">
        <f>SSC[[#This Row],[Part Type]]</f>
        <v>0</v>
      </c>
      <c r="CF89" s="29">
        <f>SSC[[#This Row],[Material]]</f>
        <v>0</v>
      </c>
      <c r="CG89" s="29">
        <f>SSC[[#This Row],[UID]]</f>
        <v>0</v>
      </c>
      <c r="CK89" t="str">
        <f>IF(SSC[[#This Row],[Status]]=0,"",SSC[[#This Row],[Status]])</f>
        <v/>
      </c>
    </row>
    <row r="90" spans="1:89">
      <c r="A90" s="11"/>
      <c r="B90" s="11"/>
      <c r="C90" s="11"/>
      <c r="D90" s="11"/>
      <c r="E90" s="11"/>
      <c r="F90" s="11"/>
      <c r="G90" s="11"/>
      <c r="H90" s="11"/>
      <c r="I90" s="11"/>
      <c r="J90" s="11"/>
      <c r="CA90" s="1" t="s">
        <v>71</v>
      </c>
      <c r="CB90" s="1" t="s">
        <v>18</v>
      </c>
      <c r="CC90" s="1" t="s">
        <v>132</v>
      </c>
      <c r="CE90" s="29">
        <f>SSC[[#This Row],[Part Type]]</f>
        <v>0</v>
      </c>
      <c r="CF90" s="29">
        <f>SSC[[#This Row],[Material]]</f>
        <v>0</v>
      </c>
      <c r="CG90" s="29">
        <f>SSC[[#This Row],[UID]]</f>
        <v>0</v>
      </c>
      <c r="CK90" t="str">
        <f>IF(SSC[[#This Row],[Status]]=0,"",SSC[[#This Row],[Status]])</f>
        <v/>
      </c>
    </row>
    <row r="91" spans="1:89">
      <c r="A91" s="11"/>
      <c r="B91" s="11"/>
      <c r="C91" s="11"/>
      <c r="D91" s="11"/>
      <c r="E91" s="11"/>
      <c r="F91" s="11"/>
      <c r="G91" s="11"/>
      <c r="H91" s="11"/>
      <c r="I91" s="11"/>
      <c r="J91" s="11"/>
      <c r="CA91" s="1" t="s">
        <v>71</v>
      </c>
      <c r="CB91" s="1" t="s">
        <v>18</v>
      </c>
      <c r="CC91" s="1" t="s">
        <v>132</v>
      </c>
      <c r="CE91" s="29">
        <f>SSC[[#This Row],[Part Type]]</f>
        <v>0</v>
      </c>
      <c r="CF91" s="29">
        <f>SSC[[#This Row],[Material]]</f>
        <v>0</v>
      </c>
      <c r="CG91" s="29">
        <f>SSC[[#This Row],[UID]]</f>
        <v>0</v>
      </c>
      <c r="CK91" t="str">
        <f>IF(SSC[[#This Row],[Status]]=0,"",SSC[[#This Row],[Status]])</f>
        <v/>
      </c>
    </row>
    <row r="92" spans="1:89">
      <c r="A92" s="11"/>
      <c r="B92" s="11"/>
      <c r="C92" s="11"/>
      <c r="D92" s="11"/>
      <c r="E92" s="11"/>
      <c r="F92" s="11"/>
      <c r="G92" s="11"/>
      <c r="H92" s="11"/>
      <c r="I92" s="11"/>
      <c r="J92" s="11"/>
      <c r="CA92" s="1" t="s">
        <v>71</v>
      </c>
      <c r="CB92" s="1" t="s">
        <v>18</v>
      </c>
      <c r="CC92" s="1" t="s">
        <v>132</v>
      </c>
      <c r="CE92" s="29">
        <f>SSC[[#This Row],[Part Type]]</f>
        <v>0</v>
      </c>
      <c r="CF92" s="29">
        <f>SSC[[#This Row],[Material]]</f>
        <v>0</v>
      </c>
      <c r="CG92" s="29">
        <f>SSC[[#This Row],[UID]]</f>
        <v>0</v>
      </c>
      <c r="CK92" t="str">
        <f>IF(SSC[[#This Row],[Status]]=0,"",SSC[[#This Row],[Status]])</f>
        <v/>
      </c>
    </row>
    <row r="93" spans="1:89">
      <c r="A93" s="11"/>
      <c r="B93" s="11"/>
      <c r="C93" s="11"/>
      <c r="D93" s="11"/>
      <c r="E93" s="11"/>
      <c r="F93" s="11"/>
      <c r="G93" s="11"/>
      <c r="H93" s="11"/>
      <c r="I93" s="11"/>
      <c r="J93" s="11"/>
      <c r="CA93" s="1" t="s">
        <v>71</v>
      </c>
      <c r="CB93" s="1" t="s">
        <v>18</v>
      </c>
      <c r="CC93" s="1" t="s">
        <v>132</v>
      </c>
      <c r="CE93" s="29">
        <f>SSC[[#This Row],[Part Type]]</f>
        <v>0</v>
      </c>
      <c r="CF93" s="29">
        <f>SSC[[#This Row],[Material]]</f>
        <v>0</v>
      </c>
      <c r="CG93" s="29">
        <f>SSC[[#This Row],[UID]]</f>
        <v>0</v>
      </c>
      <c r="CK93" t="str">
        <f>IF(SSC[[#This Row],[Status]]=0,"",SSC[[#This Row],[Status]])</f>
        <v/>
      </c>
    </row>
    <row r="94" spans="1:89">
      <c r="A94" s="11"/>
      <c r="B94" s="11"/>
      <c r="C94" s="11"/>
      <c r="D94" s="11"/>
      <c r="E94" s="11"/>
      <c r="F94" s="11"/>
      <c r="G94" s="11"/>
      <c r="H94" s="11"/>
      <c r="I94" s="11"/>
      <c r="J94" s="11"/>
      <c r="CA94" s="1" t="s">
        <v>71</v>
      </c>
      <c r="CB94" s="1" t="s">
        <v>18</v>
      </c>
      <c r="CC94" s="1" t="s">
        <v>132</v>
      </c>
      <c r="CE94" s="29">
        <f>SSC[[#This Row],[Part Type]]</f>
        <v>0</v>
      </c>
      <c r="CF94" s="29">
        <f>SSC[[#This Row],[Material]]</f>
        <v>0</v>
      </c>
      <c r="CG94" s="29">
        <f>SSC[[#This Row],[UID]]</f>
        <v>0</v>
      </c>
      <c r="CK94" t="str">
        <f>IF(SSC[[#This Row],[Status]]=0,"",SSC[[#This Row],[Status]])</f>
        <v/>
      </c>
    </row>
    <row r="95" spans="1:89">
      <c r="A95" s="11"/>
      <c r="B95" s="11"/>
      <c r="C95" s="11"/>
      <c r="D95" s="11"/>
      <c r="E95" s="11"/>
      <c r="F95" s="11"/>
      <c r="G95" s="11"/>
      <c r="H95" s="11"/>
      <c r="I95" s="11"/>
      <c r="J95" s="11"/>
      <c r="CA95" s="1" t="s">
        <v>71</v>
      </c>
      <c r="CB95" s="1" t="s">
        <v>18</v>
      </c>
      <c r="CC95" s="1" t="s">
        <v>132</v>
      </c>
      <c r="CE95" s="29">
        <f>SSC[[#This Row],[Part Type]]</f>
        <v>0</v>
      </c>
      <c r="CF95" s="29">
        <f>SSC[[#This Row],[Material]]</f>
        <v>0</v>
      </c>
      <c r="CG95" s="29">
        <f>SSC[[#This Row],[UID]]</f>
        <v>0</v>
      </c>
      <c r="CK95" t="str">
        <f>IF(SSC[[#This Row],[Status]]=0,"",SSC[[#This Row],[Status]])</f>
        <v/>
      </c>
    </row>
    <row r="96" spans="1:89">
      <c r="A96" s="11"/>
      <c r="B96" s="11"/>
      <c r="C96" s="11"/>
      <c r="D96" s="11"/>
      <c r="E96" s="11"/>
      <c r="F96" s="11"/>
      <c r="G96" s="11"/>
      <c r="H96" s="11"/>
      <c r="I96" s="11"/>
      <c r="J96" s="11"/>
      <c r="CA96" s="1" t="s">
        <v>71</v>
      </c>
      <c r="CB96" s="1" t="s">
        <v>18</v>
      </c>
      <c r="CC96" s="1" t="s">
        <v>132</v>
      </c>
      <c r="CE96" s="29">
        <f>SSC[[#This Row],[Part Type]]</f>
        <v>0</v>
      </c>
      <c r="CF96" s="29">
        <f>SSC[[#This Row],[Material]]</f>
        <v>0</v>
      </c>
      <c r="CG96" s="29">
        <f>SSC[[#This Row],[UID]]</f>
        <v>0</v>
      </c>
      <c r="CK96" t="str">
        <f>IF(SSC[[#This Row],[Status]]=0,"",SSC[[#This Row],[Status]])</f>
        <v/>
      </c>
    </row>
    <row r="97" spans="1:89">
      <c r="A97" s="11"/>
      <c r="B97" s="11"/>
      <c r="C97" s="11"/>
      <c r="D97" s="11"/>
      <c r="E97" s="11"/>
      <c r="F97" s="11"/>
      <c r="G97" s="11"/>
      <c r="H97" s="11"/>
      <c r="I97" s="11"/>
      <c r="J97" s="11"/>
      <c r="CA97" s="1" t="s">
        <v>71</v>
      </c>
      <c r="CB97" s="1" t="s">
        <v>18</v>
      </c>
      <c r="CC97" s="1" t="s">
        <v>132</v>
      </c>
      <c r="CE97" s="29">
        <f>SSC[[#This Row],[Part Type]]</f>
        <v>0</v>
      </c>
      <c r="CF97" s="29">
        <f>SSC[[#This Row],[Material]]</f>
        <v>0</v>
      </c>
      <c r="CG97" s="29">
        <f>SSC[[#This Row],[UID]]</f>
        <v>0</v>
      </c>
      <c r="CK97" t="str">
        <f>IF(SSC[[#This Row],[Status]]=0,"",SSC[[#This Row],[Status]])</f>
        <v/>
      </c>
    </row>
    <row r="98" spans="1:89">
      <c r="A98" s="11"/>
      <c r="B98" s="11"/>
      <c r="C98" s="11"/>
      <c r="D98" s="11"/>
      <c r="E98" s="11"/>
      <c r="F98" s="11"/>
      <c r="G98" s="11"/>
      <c r="H98" s="11"/>
      <c r="I98" s="11"/>
      <c r="J98" s="11"/>
      <c r="CA98" s="1" t="s">
        <v>71</v>
      </c>
      <c r="CB98" s="1" t="s">
        <v>18</v>
      </c>
      <c r="CC98" s="1" t="s">
        <v>132</v>
      </c>
      <c r="CE98" s="29">
        <f>SSC[[#This Row],[Part Type]]</f>
        <v>0</v>
      </c>
      <c r="CF98" s="29">
        <f>SSC[[#This Row],[Material]]</f>
        <v>0</v>
      </c>
      <c r="CG98" s="29">
        <f>SSC[[#This Row],[UID]]</f>
        <v>0</v>
      </c>
      <c r="CK98" t="str">
        <f>IF(SSC[[#This Row],[Status]]=0,"",SSC[[#This Row],[Status]])</f>
        <v/>
      </c>
    </row>
    <row r="99" spans="1:89">
      <c r="A99" s="11"/>
      <c r="B99" s="11"/>
      <c r="C99" s="11"/>
      <c r="D99" s="11"/>
      <c r="E99" s="11"/>
      <c r="F99" s="11"/>
      <c r="G99" s="11"/>
      <c r="H99" s="11"/>
      <c r="I99" s="11"/>
      <c r="J99" s="11"/>
      <c r="CA99" s="1" t="s">
        <v>71</v>
      </c>
      <c r="CB99" s="1" t="s">
        <v>18</v>
      </c>
      <c r="CC99" s="1" t="s">
        <v>132</v>
      </c>
      <c r="CE99" s="29">
        <f>SSC[[#This Row],[Part Type]]</f>
        <v>0</v>
      </c>
      <c r="CF99" s="29">
        <f>SSC[[#This Row],[Material]]</f>
        <v>0</v>
      </c>
      <c r="CG99" s="29">
        <f>SSC[[#This Row],[UID]]</f>
        <v>0</v>
      </c>
      <c r="CK99" t="str">
        <f>IF(SSC[[#This Row],[Status]]=0,"",SSC[[#This Row],[Status]])</f>
        <v/>
      </c>
    </row>
    <row r="100" spans="1:89">
      <c r="A100" s="11"/>
      <c r="B100" s="11"/>
      <c r="C100" s="11"/>
      <c r="D100" s="11"/>
      <c r="E100" s="11"/>
      <c r="F100" s="11"/>
      <c r="G100" s="11"/>
      <c r="H100" s="11"/>
      <c r="I100" s="11"/>
      <c r="J100" s="11"/>
      <c r="CA100" s="1" t="s">
        <v>71</v>
      </c>
      <c r="CB100" s="1" t="s">
        <v>18</v>
      </c>
      <c r="CC100" s="1" t="s">
        <v>132</v>
      </c>
      <c r="CE100" s="29">
        <f>SSC[[#This Row],[Part Type]]</f>
        <v>0</v>
      </c>
      <c r="CF100" s="29">
        <f>SSC[[#This Row],[Material]]</f>
        <v>0</v>
      </c>
      <c r="CG100" s="29">
        <f>SSC[[#This Row],[UID]]</f>
        <v>0</v>
      </c>
      <c r="CK100" t="str">
        <f>IF(SSC[[#This Row],[Status]]=0,"",SSC[[#This Row],[Status]])</f>
        <v/>
      </c>
    </row>
    <row r="101" spans="1:89">
      <c r="A101" s="11"/>
      <c r="B101" s="11"/>
      <c r="C101" s="11"/>
      <c r="D101" s="11"/>
      <c r="E101" s="11"/>
      <c r="F101" s="150"/>
      <c r="G101" s="11"/>
      <c r="H101" s="11"/>
      <c r="I101" s="11"/>
      <c r="J101" s="11"/>
      <c r="CA101" s="1" t="s">
        <v>71</v>
      </c>
      <c r="CB101" s="1" t="s">
        <v>18</v>
      </c>
      <c r="CC101" s="1" t="s">
        <v>132</v>
      </c>
      <c r="CE101" s="29">
        <f>SSC[[#This Row],[Part Type]]</f>
        <v>0</v>
      </c>
      <c r="CF101" s="29">
        <f>SSC[[#This Row],[Material]]</f>
        <v>0</v>
      </c>
      <c r="CG101" s="29">
        <f>SSC[[#This Row],[UID]]</f>
        <v>0</v>
      </c>
      <c r="CK101" t="str">
        <f>IF(SSC[[#This Row],[Status]]=0,"",SSC[[#This Row],[Status]])</f>
        <v/>
      </c>
    </row>
  </sheetData>
  <phoneticPr fontId="5" type="noConversion"/>
  <hyperlinks>
    <hyperlink ref="J2" r:id="rId1" xr:uid="{B03F0594-ACE7-6240-9778-3A88247CA994}"/>
    <hyperlink ref="J3:J5" r:id="rId2" display="https://drive.google.com/open?id=17DU5pIcmhjILjDzQtVQuLTbzpRt1a026&amp;authuser=jrd419%40lehigh.edu&amp;usp=drive_fs " xr:uid="{E9C144C1-AE32-2E41-AEB4-0A13A9BB1768}"/>
    <hyperlink ref="J9:J10" r:id="rId3" display="https://drive.google.com/open?id=17DU5pIcmhjILjDzQtVQuLTbzpRt1a026&amp;authuser=jrd419%40lehigh.edu&amp;usp=drive_fs " xr:uid="{8D94A411-27E6-0D41-B38D-E0F555D82D66}"/>
    <hyperlink ref="J6" r:id="rId4" xr:uid="{7DE41D32-1425-1D49-8523-538FFEBD003A}"/>
    <hyperlink ref="J7" r:id="rId5" xr:uid="{13480A32-436F-A748-BFF4-D9DFA06388DB}"/>
    <hyperlink ref="J8" r:id="rId6" xr:uid="{B2B963A7-DCAF-BB49-BAAB-5F503C547564}"/>
  </hyperlinks>
  <pageMargins left="0.7" right="0.7" top="0.75" bottom="0.75" header="0.3" footer="0.3"/>
  <tableParts count="2">
    <tablePart r:id="rId7"/>
    <tablePart r:id="rId8"/>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F390D-AA86-D74C-9DD0-3FA978BA8564}">
  <sheetPr codeName="Sheet20"/>
  <dimension ref="A1:CK51"/>
  <sheetViews>
    <sheetView topLeftCell="N1" zoomScale="91" zoomScaleNormal="91" workbookViewId="0">
      <selection activeCell="C1" sqref="C1"/>
    </sheetView>
  </sheetViews>
  <sheetFormatPr defaultColWidth="10.875" defaultRowHeight="15.95"/>
  <cols>
    <col min="1" max="1" width="11.875" style="18" bestFit="1" customWidth="1"/>
    <col min="2" max="2" width="20.625" style="18" bestFit="1" customWidth="1"/>
    <col min="3" max="3" width="12.625" style="18" bestFit="1" customWidth="1"/>
    <col min="4" max="4" width="24.625" style="18" bestFit="1" customWidth="1"/>
    <col min="5" max="5" width="11.5" style="18" bestFit="1" customWidth="1"/>
    <col min="6" max="6" width="26.875" style="18" bestFit="1" customWidth="1"/>
    <col min="7" max="7" width="26" style="18" bestFit="1" customWidth="1"/>
    <col min="8" max="10" width="12.375" style="18" bestFit="1" customWidth="1"/>
    <col min="11" max="11" width="17.625" style="18" bestFit="1" customWidth="1"/>
    <col min="12" max="13" width="17.125" style="18" bestFit="1" customWidth="1"/>
    <col min="14" max="14" width="13.625" style="18" bestFit="1" customWidth="1"/>
    <col min="15" max="15" width="10.875" style="18" bestFit="1" customWidth="1"/>
    <col min="16" max="16" width="14.125" style="18" bestFit="1" customWidth="1"/>
    <col min="17" max="17" width="16.875" style="18" bestFit="1" customWidth="1"/>
    <col min="19" max="19" width="26.625" style="18" bestFit="1" customWidth="1"/>
    <col min="20" max="20" width="9.125" style="18" bestFit="1" customWidth="1"/>
    <col min="21" max="21" width="13.125" style="18" bestFit="1" customWidth="1"/>
    <col min="22" max="22" width="59.375" style="18" bestFit="1" customWidth="1"/>
    <col min="23" max="78" width="10.875" style="18"/>
    <col min="79" max="79" width="16.125" style="18" customWidth="1"/>
    <col min="80" max="80" width="19.875" style="18" customWidth="1"/>
    <col min="81" max="81" width="20.5" style="18" customWidth="1"/>
    <col min="82" max="83" width="10.875" style="18"/>
    <col min="84" max="84" width="13.625" style="18" customWidth="1"/>
    <col min="85" max="85" width="12.5" style="18" customWidth="1"/>
    <col min="86" max="86" width="17" style="18" customWidth="1"/>
    <col min="87" max="87" width="10.875" style="18"/>
    <col min="88" max="88" width="15.125" style="18" customWidth="1"/>
    <col min="89" max="16384" width="10.875" style="18"/>
  </cols>
  <sheetData>
    <row r="1" spans="1:89">
      <c r="A1" s="18" t="s">
        <v>12</v>
      </c>
      <c r="B1" s="18" t="s">
        <v>95</v>
      </c>
      <c r="C1" s="178" t="s">
        <v>94</v>
      </c>
      <c r="D1" s="18" t="s">
        <v>225</v>
      </c>
      <c r="E1" s="18" t="s">
        <v>226</v>
      </c>
      <c r="F1" s="18" t="s">
        <v>227</v>
      </c>
      <c r="G1" s="18" t="s">
        <v>228</v>
      </c>
      <c r="H1" s="18" t="s">
        <v>229</v>
      </c>
      <c r="I1" s="18" t="s">
        <v>230</v>
      </c>
      <c r="J1" s="18" t="s">
        <v>300</v>
      </c>
      <c r="K1" s="19" t="s">
        <v>231</v>
      </c>
      <c r="L1" s="19" t="s">
        <v>302</v>
      </c>
      <c r="M1" s="19" t="s">
        <v>303</v>
      </c>
      <c r="N1" s="53" t="s">
        <v>232</v>
      </c>
      <c r="O1" s="19" t="s">
        <v>233</v>
      </c>
      <c r="P1" s="18" t="s">
        <v>234</v>
      </c>
      <c r="Q1" s="18" t="s">
        <v>235</v>
      </c>
      <c r="R1" s="18" t="s">
        <v>236</v>
      </c>
      <c r="S1" s="18" t="s">
        <v>117</v>
      </c>
      <c r="T1" s="18" t="s">
        <v>237</v>
      </c>
      <c r="U1" s="18" t="s">
        <v>238</v>
      </c>
      <c r="BZ1" t="s">
        <v>119</v>
      </c>
      <c r="CA1" s="117" t="s">
        <v>2</v>
      </c>
      <c r="CB1" s="118" t="s">
        <v>3</v>
      </c>
      <c r="CC1" s="118" t="s">
        <v>4</v>
      </c>
      <c r="CD1" s="118" t="s">
        <v>5</v>
      </c>
      <c r="CE1" s="118" t="s">
        <v>6</v>
      </c>
      <c r="CF1" s="119" t="s">
        <v>7</v>
      </c>
      <c r="CG1" s="118" t="s">
        <v>8</v>
      </c>
      <c r="CH1" s="118" t="s">
        <v>9</v>
      </c>
      <c r="CI1" s="118" t="s">
        <v>10</v>
      </c>
      <c r="CJ1" s="118" t="s">
        <v>11</v>
      </c>
      <c r="CK1" s="120" t="s">
        <v>12</v>
      </c>
    </row>
    <row r="2" spans="1:89">
      <c r="A2" s="18" t="s">
        <v>120</v>
      </c>
      <c r="B2" s="18" t="s">
        <v>66</v>
      </c>
      <c r="C2" s="18" t="s">
        <v>1442</v>
      </c>
      <c r="D2" s="28">
        <v>100000</v>
      </c>
      <c r="E2" s="18" t="s">
        <v>1443</v>
      </c>
      <c r="F2" s="18">
        <v>221003</v>
      </c>
      <c r="G2" s="19">
        <v>500.005</v>
      </c>
      <c r="H2" s="18" t="s">
        <v>243</v>
      </c>
      <c r="I2" s="18" t="s">
        <v>243</v>
      </c>
      <c r="J2" s="18" t="s">
        <v>243</v>
      </c>
      <c r="K2" s="53">
        <v>2.5</v>
      </c>
      <c r="L2" s="53">
        <v>1.75</v>
      </c>
      <c r="M2" s="53">
        <v>1</v>
      </c>
      <c r="N2" s="53">
        <v>6.25E-2</v>
      </c>
      <c r="O2" s="18" t="s">
        <v>66</v>
      </c>
      <c r="P2" s="18" t="s">
        <v>161</v>
      </c>
      <c r="Q2" s="18" t="s">
        <v>129</v>
      </c>
      <c r="R2" s="18" t="s">
        <v>129</v>
      </c>
      <c r="S2" s="18" t="s">
        <v>128</v>
      </c>
      <c r="T2" s="18" t="s">
        <v>173</v>
      </c>
      <c r="U2" s="20" t="s">
        <v>332</v>
      </c>
      <c r="BZ2" t="s">
        <v>131</v>
      </c>
      <c r="CA2" s="1" t="s">
        <v>71</v>
      </c>
      <c r="CB2" s="1" t="s">
        <v>18</v>
      </c>
      <c r="CC2" s="1" t="s">
        <v>132</v>
      </c>
      <c r="CD2" s="1"/>
      <c r="CE2" s="135" t="str">
        <f>TE[[#This Row],[Part Type]]</f>
        <v>Tee</v>
      </c>
      <c r="CF2" s="135" t="str">
        <f>TE[[#This Row],[Part Nr.]]</f>
        <v>100-23XF4</v>
      </c>
      <c r="CG2" s="135" t="str">
        <f>TE[[#This Row],[UID]]</f>
        <v>TE-1</v>
      </c>
      <c r="CH2" s="1"/>
      <c r="CI2" s="1"/>
      <c r="CJ2" s="1"/>
      <c r="CK2" s="1" t="str">
        <f>IF(TE[[#This Row],[Status]]=0,"",TE[[#This Row],[Status]])</f>
        <v>Active</v>
      </c>
    </row>
    <row r="3" spans="1:89">
      <c r="A3" s="18" t="s">
        <v>120</v>
      </c>
      <c r="B3" s="18" t="s">
        <v>66</v>
      </c>
      <c r="C3" s="18" t="s">
        <v>1444</v>
      </c>
      <c r="D3" s="28">
        <v>100000</v>
      </c>
      <c r="E3" s="18" t="s">
        <v>1443</v>
      </c>
      <c r="F3" s="18">
        <v>221003</v>
      </c>
      <c r="G3" s="19">
        <v>500.93099999999998</v>
      </c>
      <c r="H3" s="18" t="s">
        <v>243</v>
      </c>
      <c r="I3" s="18" t="s">
        <v>243</v>
      </c>
      <c r="J3" s="18" t="s">
        <v>243</v>
      </c>
      <c r="K3" s="53">
        <v>2.5</v>
      </c>
      <c r="L3" s="53">
        <v>1.75</v>
      </c>
      <c r="M3" s="53">
        <v>1</v>
      </c>
      <c r="N3" s="53">
        <v>6.25E-2</v>
      </c>
      <c r="O3" s="18" t="s">
        <v>66</v>
      </c>
      <c r="P3" s="18" t="s">
        <v>161</v>
      </c>
      <c r="Q3" s="18" t="s">
        <v>129</v>
      </c>
      <c r="R3" s="18" t="s">
        <v>129</v>
      </c>
      <c r="S3" s="18" t="s">
        <v>128</v>
      </c>
      <c r="T3" s="18" t="s">
        <v>173</v>
      </c>
      <c r="U3" s="20" t="s">
        <v>332</v>
      </c>
      <c r="BZ3"/>
      <c r="CA3" s="1" t="s">
        <v>71</v>
      </c>
      <c r="CB3" s="1" t="s">
        <v>18</v>
      </c>
      <c r="CC3" s="1" t="s">
        <v>132</v>
      </c>
      <c r="CD3"/>
      <c r="CE3" s="52" t="str">
        <f>TE[[#This Row],[Part Type]]</f>
        <v>Tee</v>
      </c>
      <c r="CF3" s="29" t="str">
        <f>TE[[#This Row],[Part Nr.]]</f>
        <v>100-23XF4</v>
      </c>
      <c r="CG3" s="52" t="str">
        <f>TE[[#This Row],[UID]]</f>
        <v>TE-2</v>
      </c>
      <c r="CH3"/>
      <c r="CI3"/>
      <c r="CJ3"/>
      <c r="CK3" t="str">
        <f>IF(TE[[#This Row],[Status]]=0,"",TE[[#This Row],[Status]])</f>
        <v>Active</v>
      </c>
    </row>
    <row r="4" spans="1:89">
      <c r="A4" s="18" t="s">
        <v>120</v>
      </c>
      <c r="B4" s="18" t="s">
        <v>66</v>
      </c>
      <c r="C4" s="18" t="s">
        <v>1445</v>
      </c>
      <c r="D4" s="28">
        <v>60000</v>
      </c>
      <c r="E4" s="18" t="s">
        <v>1446</v>
      </c>
      <c r="F4" s="11">
        <v>230215</v>
      </c>
      <c r="G4" s="19">
        <v>301.65100000000001</v>
      </c>
      <c r="H4" s="18" t="s">
        <v>242</v>
      </c>
      <c r="I4" s="18" t="s">
        <v>242</v>
      </c>
      <c r="J4" s="18" t="s">
        <v>242</v>
      </c>
      <c r="K4" s="53">
        <v>2</v>
      </c>
      <c r="L4" s="53">
        <v>1.5625</v>
      </c>
      <c r="M4" s="53">
        <v>1</v>
      </c>
      <c r="N4" s="53">
        <v>6.25E-2</v>
      </c>
      <c r="O4" s="18" t="s">
        <v>66</v>
      </c>
      <c r="P4" s="18" t="s">
        <v>161</v>
      </c>
      <c r="Q4" s="18" t="s">
        <v>129</v>
      </c>
      <c r="R4" s="18" t="s">
        <v>129</v>
      </c>
      <c r="S4" s="18" t="s">
        <v>128</v>
      </c>
      <c r="T4" s="18" t="s">
        <v>173</v>
      </c>
      <c r="U4" s="20" t="s">
        <v>307</v>
      </c>
      <c r="BZ4"/>
      <c r="CA4" s="1" t="s">
        <v>71</v>
      </c>
      <c r="CB4" s="1" t="s">
        <v>18</v>
      </c>
      <c r="CC4" s="1" t="s">
        <v>132</v>
      </c>
      <c r="CD4"/>
      <c r="CE4" s="52" t="str">
        <f>TE[[#This Row],[Part Type]]</f>
        <v>Tee</v>
      </c>
      <c r="CF4" s="29" t="str">
        <f>TE[[#This Row],[Part Nr.]]</f>
        <v>60-23HF6</v>
      </c>
      <c r="CG4" s="52" t="str">
        <f>TE[[#This Row],[UID]]</f>
        <v>TE-3</v>
      </c>
      <c r="CH4"/>
      <c r="CI4"/>
      <c r="CJ4"/>
      <c r="CK4" t="str">
        <f>IF(TE[[#This Row],[Status]]=0,"",TE[[#This Row],[Status]])</f>
        <v>Active</v>
      </c>
    </row>
    <row r="5" spans="1:89">
      <c r="D5" s="28"/>
      <c r="G5" s="19"/>
      <c r="K5" s="53"/>
      <c r="L5" s="53"/>
      <c r="M5" s="53"/>
      <c r="N5" s="53"/>
      <c r="O5" s="19"/>
      <c r="R5" s="18"/>
      <c r="BZ5"/>
      <c r="CA5" s="1" t="s">
        <v>71</v>
      </c>
      <c r="CB5" s="1" t="s">
        <v>18</v>
      </c>
      <c r="CC5" s="1" t="s">
        <v>132</v>
      </c>
      <c r="CD5"/>
      <c r="CE5" s="52">
        <f>TE[[#This Row],[Part Type]]</f>
        <v>0</v>
      </c>
      <c r="CF5" s="29">
        <f>TE[[#This Row],[Part Nr.]]</f>
        <v>0</v>
      </c>
      <c r="CG5" s="52">
        <f>TE[[#This Row],[UID]]</f>
        <v>0</v>
      </c>
      <c r="CH5"/>
      <c r="CI5"/>
      <c r="CJ5"/>
      <c r="CK5" t="str">
        <f>IF(TE[[#This Row],[Status]]=0,"",TE[[#This Row],[Status]])</f>
        <v/>
      </c>
    </row>
    <row r="6" spans="1:89">
      <c r="D6" s="28"/>
      <c r="G6" s="19"/>
      <c r="K6" s="53"/>
      <c r="L6" s="53"/>
      <c r="M6" s="53"/>
      <c r="N6" s="53"/>
      <c r="O6" s="19"/>
      <c r="R6" s="18"/>
      <c r="BZ6"/>
      <c r="CA6" s="1" t="s">
        <v>71</v>
      </c>
      <c r="CB6" s="1" t="s">
        <v>18</v>
      </c>
      <c r="CC6" s="1" t="s">
        <v>132</v>
      </c>
      <c r="CD6"/>
      <c r="CE6" s="52">
        <f>TE[[#This Row],[Part Type]]</f>
        <v>0</v>
      </c>
      <c r="CF6" s="29">
        <f>TE[[#This Row],[Part Nr.]]</f>
        <v>0</v>
      </c>
      <c r="CG6" s="52">
        <f>TE[[#This Row],[UID]]</f>
        <v>0</v>
      </c>
      <c r="CH6"/>
      <c r="CI6"/>
      <c r="CJ6"/>
      <c r="CK6" t="str">
        <f>IF(TE[[#This Row],[Status]]=0,"",TE[[#This Row],[Status]])</f>
        <v/>
      </c>
    </row>
    <row r="7" spans="1:89">
      <c r="D7" s="28"/>
      <c r="G7" s="19"/>
      <c r="K7" s="53"/>
      <c r="L7" s="53"/>
      <c r="M7" s="53"/>
      <c r="N7" s="53"/>
      <c r="O7" s="19"/>
      <c r="R7" s="18"/>
      <c r="CA7" s="1" t="s">
        <v>71</v>
      </c>
      <c r="CB7" s="1" t="s">
        <v>18</v>
      </c>
      <c r="CC7" s="1" t="s">
        <v>132</v>
      </c>
      <c r="CE7" s="36">
        <f>TE[[#This Row],[Part Type]]</f>
        <v>0</v>
      </c>
      <c r="CF7" s="28">
        <f>TE[[#This Row],[Part Nr.]]</f>
        <v>0</v>
      </c>
      <c r="CG7" s="36">
        <f>TE[[#This Row],[UID]]</f>
        <v>0</v>
      </c>
      <c r="CK7" s="18" t="str">
        <f>IF(TE[[#This Row],[Status]]=0,"",TE[[#This Row],[Status]])</f>
        <v/>
      </c>
    </row>
    <row r="8" spans="1:89">
      <c r="D8" s="28"/>
      <c r="G8" s="19"/>
      <c r="K8" s="53"/>
      <c r="L8" s="53"/>
      <c r="M8" s="53"/>
      <c r="N8" s="53"/>
      <c r="O8" s="19"/>
      <c r="R8" s="18"/>
      <c r="CA8" s="1" t="s">
        <v>71</v>
      </c>
      <c r="CB8" s="1" t="s">
        <v>18</v>
      </c>
      <c r="CC8" s="1" t="s">
        <v>132</v>
      </c>
      <c r="CE8" s="36">
        <f>TE[[#This Row],[Part Type]]</f>
        <v>0</v>
      </c>
      <c r="CF8" s="28">
        <f>TE[[#This Row],[Part Nr.]]</f>
        <v>0</v>
      </c>
      <c r="CG8" s="36">
        <f>TE[[#This Row],[UID]]</f>
        <v>0</v>
      </c>
      <c r="CK8" s="18" t="str">
        <f>IF(TE[[#This Row],[Status]]=0,"",TE[[#This Row],[Status]])</f>
        <v/>
      </c>
    </row>
    <row r="9" spans="1:89">
      <c r="D9" s="28"/>
      <c r="G9" s="19"/>
      <c r="K9" s="53"/>
      <c r="L9" s="53"/>
      <c r="M9" s="53"/>
      <c r="N9" s="53"/>
      <c r="O9" s="19"/>
      <c r="R9" s="18"/>
      <c r="CA9" s="1" t="s">
        <v>71</v>
      </c>
      <c r="CB9" s="1" t="s">
        <v>18</v>
      </c>
      <c r="CC9" s="1" t="s">
        <v>132</v>
      </c>
      <c r="CE9" s="36">
        <f>TE[[#This Row],[Part Type]]</f>
        <v>0</v>
      </c>
      <c r="CF9" s="28">
        <f>TE[[#This Row],[Part Nr.]]</f>
        <v>0</v>
      </c>
      <c r="CG9" s="36">
        <f>TE[[#This Row],[UID]]</f>
        <v>0</v>
      </c>
      <c r="CK9" s="18" t="str">
        <f>IF(TE[[#This Row],[Status]]=0,"",TE[[#This Row],[Status]])</f>
        <v/>
      </c>
    </row>
    <row r="10" spans="1:89">
      <c r="D10" s="28"/>
      <c r="G10" s="19"/>
      <c r="K10" s="53"/>
      <c r="L10" s="53"/>
      <c r="M10" s="53"/>
      <c r="N10" s="53"/>
      <c r="O10" s="19"/>
      <c r="R10" s="18"/>
      <c r="CA10" s="1" t="s">
        <v>71</v>
      </c>
      <c r="CB10" s="1" t="s">
        <v>18</v>
      </c>
      <c r="CC10" s="1" t="s">
        <v>132</v>
      </c>
      <c r="CE10" s="36">
        <f>TE[[#This Row],[Part Type]]</f>
        <v>0</v>
      </c>
      <c r="CF10" s="28">
        <f>TE[[#This Row],[Part Nr.]]</f>
        <v>0</v>
      </c>
      <c r="CG10" s="36">
        <f>TE[[#This Row],[UID]]</f>
        <v>0</v>
      </c>
      <c r="CK10" s="18" t="str">
        <f>IF(TE[[#This Row],[Status]]=0,"",TE[[#This Row],[Status]])</f>
        <v/>
      </c>
    </row>
    <row r="11" spans="1:89" ht="17.100000000000001">
      <c r="D11" s="28"/>
      <c r="G11" s="19"/>
      <c r="K11" s="53"/>
      <c r="L11" s="53"/>
      <c r="M11" s="53"/>
      <c r="N11" s="53"/>
      <c r="O11" s="19"/>
      <c r="R11" s="18"/>
      <c r="BZ11" s="57"/>
      <c r="CA11" s="1" t="s">
        <v>71</v>
      </c>
      <c r="CB11" s="1" t="s">
        <v>18</v>
      </c>
      <c r="CC11" s="1" t="s">
        <v>132</v>
      </c>
      <c r="CD11" s="57"/>
      <c r="CE11" s="138">
        <f>TE[[#This Row],[Part Type]]</f>
        <v>0</v>
      </c>
      <c r="CF11" s="138">
        <f>TE[[#This Row],[Part Nr.]]</f>
        <v>0</v>
      </c>
      <c r="CG11" s="140">
        <f>TE[[#This Row],[UID]]</f>
        <v>0</v>
      </c>
      <c r="CH11" s="57"/>
      <c r="CI11" s="57"/>
      <c r="CJ11" s="57"/>
      <c r="CK11" s="57" t="str">
        <f>IF(TE[[#This Row],[Status]]=0,"",TE[[#This Row],[Status]])</f>
        <v/>
      </c>
    </row>
    <row r="12" spans="1:89">
      <c r="D12" s="28"/>
      <c r="G12" s="19"/>
      <c r="K12" s="53"/>
      <c r="L12" s="53"/>
      <c r="M12" s="53"/>
      <c r="N12" s="53"/>
      <c r="O12" s="19"/>
      <c r="R12" s="18"/>
      <c r="BZ12"/>
      <c r="CA12" s="1" t="s">
        <v>71</v>
      </c>
      <c r="CB12" s="1" t="s">
        <v>18</v>
      </c>
      <c r="CC12" s="1" t="s">
        <v>132</v>
      </c>
      <c r="CD12"/>
      <c r="CE12" s="29">
        <f>TE[[#This Row],[Part Type]]</f>
        <v>0</v>
      </c>
      <c r="CF12" s="29">
        <f>TE[[#This Row],[Part Nr.]]</f>
        <v>0</v>
      </c>
      <c r="CG12" s="29">
        <f>TE[[#This Row],[UID]]</f>
        <v>0</v>
      </c>
      <c r="CH12"/>
      <c r="CI12"/>
      <c r="CJ12"/>
      <c r="CK12" t="str">
        <f>IF(TE[[#This Row],[Status]]=0,"",TE[[#This Row],[Status]])</f>
        <v/>
      </c>
    </row>
    <row r="13" spans="1:89">
      <c r="D13" s="28"/>
      <c r="G13" s="19"/>
      <c r="K13" s="53"/>
      <c r="L13" s="53"/>
      <c r="M13" s="53"/>
      <c r="N13" s="53"/>
      <c r="O13" s="19"/>
      <c r="R13" s="18"/>
      <c r="BZ13"/>
      <c r="CA13" s="1" t="s">
        <v>71</v>
      </c>
      <c r="CB13" s="1" t="s">
        <v>18</v>
      </c>
      <c r="CC13" s="1" t="s">
        <v>132</v>
      </c>
      <c r="CD13"/>
      <c r="CE13" s="29">
        <f>TE[[#This Row],[Part Type]]</f>
        <v>0</v>
      </c>
      <c r="CF13" s="29">
        <f>TE[[#This Row],[Part Nr.]]</f>
        <v>0</v>
      </c>
      <c r="CG13" s="29">
        <f>TE[[#This Row],[UID]]</f>
        <v>0</v>
      </c>
      <c r="CH13"/>
      <c r="CI13"/>
      <c r="CJ13"/>
      <c r="CK13" t="str">
        <f>IF(TE[[#This Row],[Status]]=0,"",TE[[#This Row],[Status]])</f>
        <v/>
      </c>
    </row>
    <row r="14" spans="1:89">
      <c r="D14" s="28"/>
      <c r="G14" s="19"/>
      <c r="K14" s="53"/>
      <c r="L14" s="53"/>
      <c r="M14" s="53"/>
      <c r="N14" s="53"/>
      <c r="O14" s="19"/>
      <c r="R14" s="18"/>
      <c r="BZ14"/>
      <c r="CA14" s="1" t="s">
        <v>71</v>
      </c>
      <c r="CB14" s="1" t="s">
        <v>18</v>
      </c>
      <c r="CC14" s="1" t="s">
        <v>132</v>
      </c>
      <c r="CD14"/>
      <c r="CE14" s="29">
        <f>TE[[#This Row],[Part Type]]</f>
        <v>0</v>
      </c>
      <c r="CF14" s="29">
        <f>TE[[#This Row],[Part Nr.]]</f>
        <v>0</v>
      </c>
      <c r="CG14" s="29">
        <f>TE[[#This Row],[UID]]</f>
        <v>0</v>
      </c>
      <c r="CH14"/>
      <c r="CI14"/>
      <c r="CJ14"/>
      <c r="CK14" t="str">
        <f>IF(TE[[#This Row],[Status]]=0,"",TE[[#This Row],[Status]])</f>
        <v/>
      </c>
    </row>
    <row r="15" spans="1:89">
      <c r="D15" s="28"/>
      <c r="G15" s="19"/>
      <c r="K15" s="53"/>
      <c r="L15" s="53"/>
      <c r="M15" s="53"/>
      <c r="N15" s="53"/>
      <c r="O15" s="19"/>
      <c r="R15" s="18"/>
      <c r="BZ15"/>
      <c r="CA15" s="1" t="s">
        <v>71</v>
      </c>
      <c r="CB15" s="1" t="s">
        <v>18</v>
      </c>
      <c r="CC15" s="1" t="s">
        <v>132</v>
      </c>
      <c r="CD15"/>
      <c r="CE15" s="29">
        <f>TE[[#This Row],[Part Type]]</f>
        <v>0</v>
      </c>
      <c r="CF15" s="29">
        <f>TE[[#This Row],[Part Nr.]]</f>
        <v>0</v>
      </c>
      <c r="CG15" s="29">
        <f>TE[[#This Row],[UID]]</f>
        <v>0</v>
      </c>
      <c r="CH15"/>
      <c r="CI15"/>
      <c r="CJ15"/>
      <c r="CK15" t="str">
        <f>IF(TE[[#This Row],[Status]]=0,"",TE[[#This Row],[Status]])</f>
        <v/>
      </c>
    </row>
    <row r="16" spans="1:89">
      <c r="D16" s="28"/>
      <c r="G16" s="19"/>
      <c r="K16" s="53"/>
      <c r="L16" s="53"/>
      <c r="M16" s="53"/>
      <c r="N16" s="53"/>
      <c r="O16" s="19"/>
      <c r="R16" s="18"/>
      <c r="BZ16"/>
      <c r="CA16" s="1" t="s">
        <v>71</v>
      </c>
      <c r="CB16" s="1" t="s">
        <v>18</v>
      </c>
      <c r="CC16" s="1" t="s">
        <v>132</v>
      </c>
      <c r="CD16"/>
      <c r="CE16" s="29">
        <f>TE[[#This Row],[Part Type]]</f>
        <v>0</v>
      </c>
      <c r="CF16" s="29">
        <f>TE[[#This Row],[Part Nr.]]</f>
        <v>0</v>
      </c>
      <c r="CG16" s="29">
        <f>TE[[#This Row],[UID]]</f>
        <v>0</v>
      </c>
      <c r="CH16"/>
      <c r="CI16"/>
      <c r="CJ16"/>
      <c r="CK16" t="str">
        <f>IF(TE[[#This Row],[Status]]=0,"",TE[[#This Row],[Status]])</f>
        <v/>
      </c>
    </row>
    <row r="17" spans="4:89">
      <c r="D17" s="28"/>
      <c r="G17" s="19"/>
      <c r="K17" s="53"/>
      <c r="L17" s="53"/>
      <c r="M17" s="53"/>
      <c r="N17" s="53"/>
      <c r="O17" s="19"/>
      <c r="R17" s="18"/>
      <c r="BZ17"/>
      <c r="CA17" s="1" t="s">
        <v>71</v>
      </c>
      <c r="CB17" s="1" t="s">
        <v>18</v>
      </c>
      <c r="CC17" s="1" t="s">
        <v>132</v>
      </c>
      <c r="CD17"/>
      <c r="CE17" s="29">
        <f>TE[[#This Row],[Part Type]]</f>
        <v>0</v>
      </c>
      <c r="CF17" s="29">
        <f>TE[[#This Row],[Part Nr.]]</f>
        <v>0</v>
      </c>
      <c r="CG17" s="29">
        <f>TE[[#This Row],[UID]]</f>
        <v>0</v>
      </c>
      <c r="CH17"/>
      <c r="CI17"/>
      <c r="CJ17"/>
      <c r="CK17" t="str">
        <f>IF(TE[[#This Row],[Status]]=0,"",TE[[#This Row],[Status]])</f>
        <v/>
      </c>
    </row>
    <row r="18" spans="4:89">
      <c r="D18" s="28"/>
      <c r="G18" s="19"/>
      <c r="K18" s="53"/>
      <c r="L18" s="53"/>
      <c r="M18" s="53"/>
      <c r="N18" s="53"/>
      <c r="O18" s="19"/>
      <c r="R18" s="18"/>
      <c r="CA18" s="1" t="s">
        <v>71</v>
      </c>
      <c r="CB18" s="1" t="s">
        <v>18</v>
      </c>
      <c r="CC18" s="1" t="s">
        <v>132</v>
      </c>
      <c r="CE18" s="28">
        <f>TE[[#This Row],[Part Type]]</f>
        <v>0</v>
      </c>
      <c r="CF18" s="28">
        <f>TE[[#This Row],[Part Nr.]]</f>
        <v>0</v>
      </c>
      <c r="CG18" s="28">
        <f>TE[[#This Row],[UID]]</f>
        <v>0</v>
      </c>
      <c r="CK18" s="18" t="str">
        <f>IF(TE[[#This Row],[Status]]=0,"",TE[[#This Row],[Status]])</f>
        <v/>
      </c>
    </row>
    <row r="19" spans="4:89">
      <c r="D19" s="28"/>
      <c r="G19" s="19"/>
      <c r="K19" s="53"/>
      <c r="L19" s="53"/>
      <c r="M19" s="53"/>
      <c r="N19" s="53"/>
      <c r="O19" s="19"/>
      <c r="R19" s="18"/>
      <c r="CA19" s="1" t="s">
        <v>71</v>
      </c>
      <c r="CB19" s="1" t="s">
        <v>18</v>
      </c>
      <c r="CC19" s="1" t="s">
        <v>132</v>
      </c>
      <c r="CE19" s="28">
        <f>TE[[#This Row],[Part Type]]</f>
        <v>0</v>
      </c>
      <c r="CF19" s="28">
        <f>TE[[#This Row],[Part Nr.]]</f>
        <v>0</v>
      </c>
      <c r="CG19" s="28">
        <f>TE[[#This Row],[UID]]</f>
        <v>0</v>
      </c>
      <c r="CK19" s="18" t="str">
        <f>IF(TE[[#This Row],[Status]]=0,"",TE[[#This Row],[Status]])</f>
        <v/>
      </c>
    </row>
    <row r="20" spans="4:89">
      <c r="D20" s="28"/>
      <c r="G20" s="19"/>
      <c r="K20" s="53"/>
      <c r="L20" s="53"/>
      <c r="M20" s="53"/>
      <c r="N20" s="53"/>
      <c r="O20" s="19"/>
      <c r="R20" s="18"/>
      <c r="CA20" s="1" t="s">
        <v>71</v>
      </c>
      <c r="CB20" s="1" t="s">
        <v>18</v>
      </c>
      <c r="CC20" s="1" t="s">
        <v>132</v>
      </c>
      <c r="CE20" s="28">
        <f>TE[[#This Row],[Part Type]]</f>
        <v>0</v>
      </c>
      <c r="CF20" s="28">
        <f>TE[[#This Row],[Part Nr.]]</f>
        <v>0</v>
      </c>
      <c r="CG20" s="28">
        <f>TE[[#This Row],[UID]]</f>
        <v>0</v>
      </c>
      <c r="CK20" s="18" t="str">
        <f>IF(TE[[#This Row],[Status]]=0,"",TE[[#This Row],[Status]])</f>
        <v/>
      </c>
    </row>
    <row r="21" spans="4:89">
      <c r="D21" s="28"/>
      <c r="G21" s="19"/>
      <c r="K21" s="53"/>
      <c r="L21" s="53"/>
      <c r="M21" s="53"/>
      <c r="N21" s="53"/>
      <c r="O21" s="19"/>
      <c r="R21" s="18"/>
      <c r="CA21" s="1" t="s">
        <v>71</v>
      </c>
      <c r="CB21" s="1" t="s">
        <v>18</v>
      </c>
      <c r="CC21" s="1" t="s">
        <v>132</v>
      </c>
      <c r="CE21" s="28">
        <f>TE[[#This Row],[Part Type]]</f>
        <v>0</v>
      </c>
      <c r="CF21" s="28">
        <f>TE[[#This Row],[Part Nr.]]</f>
        <v>0</v>
      </c>
      <c r="CG21" s="28">
        <f>TE[[#This Row],[UID]]</f>
        <v>0</v>
      </c>
      <c r="CK21" s="18" t="str">
        <f>IF(TE[[#This Row],[Status]]=0,"",TE[[#This Row],[Status]])</f>
        <v/>
      </c>
    </row>
    <row r="22" spans="4:89">
      <c r="D22" s="28"/>
      <c r="G22" s="19"/>
      <c r="K22" s="53"/>
      <c r="L22" s="53"/>
      <c r="M22" s="53"/>
      <c r="N22" s="53"/>
      <c r="O22" s="19"/>
      <c r="R22" s="18"/>
      <c r="CA22" s="1" t="s">
        <v>71</v>
      </c>
      <c r="CB22" s="1" t="s">
        <v>18</v>
      </c>
      <c r="CC22" s="1" t="s">
        <v>132</v>
      </c>
      <c r="CE22" s="28">
        <f>TE[[#This Row],[Part Type]]</f>
        <v>0</v>
      </c>
      <c r="CF22" s="28">
        <f>TE[[#This Row],[Part Nr.]]</f>
        <v>0</v>
      </c>
      <c r="CG22" s="28">
        <f>TE[[#This Row],[UID]]</f>
        <v>0</v>
      </c>
      <c r="CK22" s="18" t="str">
        <f>IF(TE[[#This Row],[Status]]=0,"",TE[[#This Row],[Status]])</f>
        <v/>
      </c>
    </row>
    <row r="23" spans="4:89">
      <c r="D23" s="28"/>
      <c r="G23" s="19"/>
      <c r="K23" s="53"/>
      <c r="L23" s="53"/>
      <c r="M23" s="53"/>
      <c r="N23" s="53"/>
      <c r="O23" s="19"/>
      <c r="R23" s="18"/>
      <c r="CA23" s="1" t="s">
        <v>71</v>
      </c>
      <c r="CB23" s="1" t="s">
        <v>18</v>
      </c>
      <c r="CC23" s="1" t="s">
        <v>132</v>
      </c>
      <c r="CE23" s="28">
        <f>TE[[#This Row],[Part Type]]</f>
        <v>0</v>
      </c>
      <c r="CF23" s="28">
        <f>TE[[#This Row],[Part Nr.]]</f>
        <v>0</v>
      </c>
      <c r="CG23" s="28">
        <f>TE[[#This Row],[UID]]</f>
        <v>0</v>
      </c>
      <c r="CK23" s="18" t="str">
        <f>IF(TE[[#This Row],[Status]]=0,"",TE[[#This Row],[Status]])</f>
        <v/>
      </c>
    </row>
    <row r="24" spans="4:89">
      <c r="D24" s="28"/>
      <c r="G24" s="19"/>
      <c r="K24" s="53"/>
      <c r="L24" s="53"/>
      <c r="M24" s="53"/>
      <c r="N24" s="53"/>
      <c r="O24" s="19"/>
      <c r="R24" s="18"/>
      <c r="CA24" s="1" t="s">
        <v>71</v>
      </c>
      <c r="CB24" s="1" t="s">
        <v>18</v>
      </c>
      <c r="CC24" s="1" t="s">
        <v>132</v>
      </c>
      <c r="CE24" s="28">
        <f>TE[[#This Row],[Part Type]]</f>
        <v>0</v>
      </c>
      <c r="CF24" s="28">
        <f>TE[[#This Row],[Part Nr.]]</f>
        <v>0</v>
      </c>
      <c r="CG24" s="28">
        <f>TE[[#This Row],[UID]]</f>
        <v>0</v>
      </c>
      <c r="CK24" s="18" t="str">
        <f>IF(TE[[#This Row],[Status]]=0,"",TE[[#This Row],[Status]])</f>
        <v/>
      </c>
    </row>
    <row r="25" spans="4:89">
      <c r="D25" s="28"/>
      <c r="G25" s="19"/>
      <c r="K25" s="53"/>
      <c r="L25" s="53"/>
      <c r="M25" s="53"/>
      <c r="N25" s="53"/>
      <c r="O25" s="19"/>
      <c r="R25" s="18"/>
      <c r="CA25" s="1" t="s">
        <v>71</v>
      </c>
      <c r="CB25" s="1" t="s">
        <v>18</v>
      </c>
      <c r="CC25" s="1" t="s">
        <v>132</v>
      </c>
      <c r="CE25" s="28">
        <f>TE[[#This Row],[Part Type]]</f>
        <v>0</v>
      </c>
      <c r="CF25" s="28">
        <f>TE[[#This Row],[Part Nr.]]</f>
        <v>0</v>
      </c>
      <c r="CG25" s="28">
        <f>TE[[#This Row],[UID]]</f>
        <v>0</v>
      </c>
      <c r="CK25" s="18" t="str">
        <f>IF(TE[[#This Row],[Status]]=0,"",TE[[#This Row],[Status]])</f>
        <v/>
      </c>
    </row>
    <row r="26" spans="4:89">
      <c r="D26" s="28"/>
      <c r="G26" s="19"/>
      <c r="K26" s="53"/>
      <c r="L26" s="53"/>
      <c r="M26" s="53"/>
      <c r="N26" s="53"/>
      <c r="O26" s="19"/>
      <c r="R26" s="18"/>
      <c r="CA26" s="1" t="s">
        <v>71</v>
      </c>
      <c r="CB26" s="1" t="s">
        <v>18</v>
      </c>
      <c r="CC26" s="1" t="s">
        <v>132</v>
      </c>
      <c r="CE26" s="28">
        <f>TE[[#This Row],[Part Type]]</f>
        <v>0</v>
      </c>
      <c r="CF26" s="28">
        <f>TE[[#This Row],[Part Nr.]]</f>
        <v>0</v>
      </c>
      <c r="CG26" s="28">
        <f>TE[[#This Row],[UID]]</f>
        <v>0</v>
      </c>
      <c r="CK26" s="18" t="str">
        <f>IF(TE[[#This Row],[Status]]=0,"",TE[[#This Row],[Status]])</f>
        <v/>
      </c>
    </row>
    <row r="27" spans="4:89">
      <c r="D27" s="28"/>
      <c r="G27" s="19"/>
      <c r="K27" s="53"/>
      <c r="L27" s="53"/>
      <c r="M27" s="53"/>
      <c r="N27" s="53"/>
      <c r="O27" s="19"/>
      <c r="R27" s="18"/>
      <c r="CA27" s="1" t="s">
        <v>71</v>
      </c>
      <c r="CB27" s="1" t="s">
        <v>18</v>
      </c>
      <c r="CC27" s="1" t="s">
        <v>132</v>
      </c>
      <c r="CE27" s="28">
        <f>TE[[#This Row],[Part Type]]</f>
        <v>0</v>
      </c>
      <c r="CF27" s="28">
        <f>TE[[#This Row],[Part Nr.]]</f>
        <v>0</v>
      </c>
      <c r="CG27" s="28">
        <f>TE[[#This Row],[UID]]</f>
        <v>0</v>
      </c>
      <c r="CK27" s="18" t="str">
        <f>IF(TE[[#This Row],[Status]]=0,"",TE[[#This Row],[Status]])</f>
        <v/>
      </c>
    </row>
    <row r="28" spans="4:89">
      <c r="D28" s="28"/>
      <c r="G28" s="19"/>
      <c r="K28" s="53"/>
      <c r="L28" s="53"/>
      <c r="M28" s="53"/>
      <c r="N28" s="53"/>
      <c r="O28" s="19"/>
      <c r="R28" s="18"/>
      <c r="CA28" s="1" t="s">
        <v>71</v>
      </c>
      <c r="CB28" s="1" t="s">
        <v>18</v>
      </c>
      <c r="CC28" s="1" t="s">
        <v>132</v>
      </c>
      <c r="CE28" s="28">
        <f>TE[[#This Row],[Part Type]]</f>
        <v>0</v>
      </c>
      <c r="CF28" s="28">
        <f>TE[[#This Row],[Part Nr.]]</f>
        <v>0</v>
      </c>
      <c r="CG28" s="28">
        <f>TE[[#This Row],[UID]]</f>
        <v>0</v>
      </c>
      <c r="CK28" s="18" t="str">
        <f>IF(TE[[#This Row],[Status]]=0,"",TE[[#This Row],[Status]])</f>
        <v/>
      </c>
    </row>
    <row r="29" spans="4:89">
      <c r="D29" s="28"/>
      <c r="G29" s="19"/>
      <c r="K29" s="53"/>
      <c r="L29" s="53"/>
      <c r="M29" s="53"/>
      <c r="N29" s="53"/>
      <c r="O29" s="19"/>
      <c r="R29" s="18"/>
      <c r="CA29" s="1" t="s">
        <v>71</v>
      </c>
      <c r="CB29" s="1" t="s">
        <v>18</v>
      </c>
      <c r="CC29" s="1" t="s">
        <v>132</v>
      </c>
      <c r="CE29" s="28">
        <f>TE[[#This Row],[Part Type]]</f>
        <v>0</v>
      </c>
      <c r="CF29" s="28">
        <f>TE[[#This Row],[Part Nr.]]</f>
        <v>0</v>
      </c>
      <c r="CG29" s="28">
        <f>TE[[#This Row],[UID]]</f>
        <v>0</v>
      </c>
      <c r="CK29" s="18" t="str">
        <f>IF(TE[[#This Row],[Status]]=0,"",TE[[#This Row],[Status]])</f>
        <v/>
      </c>
    </row>
    <row r="30" spans="4:89">
      <c r="D30" s="28"/>
      <c r="G30" s="19"/>
      <c r="K30" s="53"/>
      <c r="L30" s="53"/>
      <c r="M30" s="53"/>
      <c r="N30" s="53"/>
      <c r="O30" s="19"/>
      <c r="R30" s="18"/>
      <c r="CA30" s="1" t="s">
        <v>71</v>
      </c>
      <c r="CB30" s="1" t="s">
        <v>18</v>
      </c>
      <c r="CC30" s="1" t="s">
        <v>132</v>
      </c>
      <c r="CE30" s="28">
        <f>TE[[#This Row],[Part Type]]</f>
        <v>0</v>
      </c>
      <c r="CF30" s="28">
        <f>TE[[#This Row],[Part Nr.]]</f>
        <v>0</v>
      </c>
      <c r="CG30" s="28">
        <f>TE[[#This Row],[UID]]</f>
        <v>0</v>
      </c>
      <c r="CK30" s="18" t="str">
        <f>IF(TE[[#This Row],[Status]]=0,"",TE[[#This Row],[Status]])</f>
        <v/>
      </c>
    </row>
    <row r="31" spans="4:89">
      <c r="D31" s="28"/>
      <c r="G31" s="19"/>
      <c r="K31" s="53"/>
      <c r="L31" s="53"/>
      <c r="M31" s="53"/>
      <c r="N31" s="53"/>
      <c r="O31" s="19"/>
      <c r="R31" s="18"/>
      <c r="CA31" s="1" t="s">
        <v>71</v>
      </c>
      <c r="CB31" s="1" t="s">
        <v>18</v>
      </c>
      <c r="CC31" s="1" t="s">
        <v>132</v>
      </c>
      <c r="CE31" s="28">
        <f>TE[[#This Row],[Part Type]]</f>
        <v>0</v>
      </c>
      <c r="CF31" s="28">
        <f>TE[[#This Row],[Part Nr.]]</f>
        <v>0</v>
      </c>
      <c r="CG31" s="28">
        <f>TE[[#This Row],[UID]]</f>
        <v>0</v>
      </c>
      <c r="CK31" s="18" t="str">
        <f>IF(TE[[#This Row],[Status]]=0,"",TE[[#This Row],[Status]])</f>
        <v/>
      </c>
    </row>
    <row r="32" spans="4:89">
      <c r="D32" s="28"/>
      <c r="G32" s="19"/>
      <c r="K32" s="53"/>
      <c r="L32" s="53"/>
      <c r="M32" s="53"/>
      <c r="N32" s="53"/>
      <c r="O32" s="19"/>
      <c r="R32" s="18"/>
      <c r="CA32" s="1" t="s">
        <v>71</v>
      </c>
      <c r="CB32" s="1" t="s">
        <v>18</v>
      </c>
      <c r="CC32" s="1" t="s">
        <v>132</v>
      </c>
      <c r="CE32" s="28">
        <f>TE[[#This Row],[Part Type]]</f>
        <v>0</v>
      </c>
      <c r="CF32" s="28">
        <f>TE[[#This Row],[Part Nr.]]</f>
        <v>0</v>
      </c>
      <c r="CG32" s="28">
        <f>TE[[#This Row],[UID]]</f>
        <v>0</v>
      </c>
      <c r="CK32" s="18" t="str">
        <f>IF(TE[[#This Row],[Status]]=0,"",TE[[#This Row],[Status]])</f>
        <v/>
      </c>
    </row>
    <row r="33" spans="4:89">
      <c r="D33" s="28"/>
      <c r="G33" s="19"/>
      <c r="K33" s="53"/>
      <c r="L33" s="53"/>
      <c r="M33" s="53"/>
      <c r="N33" s="53"/>
      <c r="O33" s="19"/>
      <c r="R33" s="18"/>
      <c r="CA33" s="1" t="s">
        <v>71</v>
      </c>
      <c r="CB33" s="1" t="s">
        <v>18</v>
      </c>
      <c r="CC33" s="1" t="s">
        <v>132</v>
      </c>
      <c r="CE33" s="28">
        <f>TE[[#This Row],[Part Type]]</f>
        <v>0</v>
      </c>
      <c r="CF33" s="28">
        <f>TE[[#This Row],[Part Nr.]]</f>
        <v>0</v>
      </c>
      <c r="CG33" s="28">
        <f>TE[[#This Row],[UID]]</f>
        <v>0</v>
      </c>
      <c r="CK33" s="18" t="str">
        <f>IF(TE[[#This Row],[Status]]=0,"",TE[[#This Row],[Status]])</f>
        <v/>
      </c>
    </row>
    <row r="34" spans="4:89">
      <c r="D34" s="28"/>
      <c r="G34" s="19"/>
      <c r="K34" s="53"/>
      <c r="L34" s="53"/>
      <c r="M34" s="53"/>
      <c r="N34" s="53"/>
      <c r="O34" s="19"/>
      <c r="R34" s="18"/>
      <c r="CA34" s="1" t="s">
        <v>71</v>
      </c>
      <c r="CB34" s="1" t="s">
        <v>18</v>
      </c>
      <c r="CC34" s="1" t="s">
        <v>132</v>
      </c>
      <c r="CE34" s="28">
        <f>TE[[#This Row],[Part Type]]</f>
        <v>0</v>
      </c>
      <c r="CF34" s="28">
        <f>TE[[#This Row],[Part Nr.]]</f>
        <v>0</v>
      </c>
      <c r="CG34" s="28">
        <f>TE[[#This Row],[UID]]</f>
        <v>0</v>
      </c>
      <c r="CK34" s="18" t="str">
        <f>IF(TE[[#This Row],[Status]]=0,"",TE[[#This Row],[Status]])</f>
        <v/>
      </c>
    </row>
    <row r="35" spans="4:89">
      <c r="D35" s="28"/>
      <c r="G35" s="19"/>
      <c r="K35" s="53"/>
      <c r="L35" s="53"/>
      <c r="M35" s="53"/>
      <c r="N35" s="53"/>
      <c r="O35" s="19"/>
      <c r="R35" s="18"/>
      <c r="CA35" s="1" t="s">
        <v>71</v>
      </c>
      <c r="CB35" s="1" t="s">
        <v>18</v>
      </c>
      <c r="CC35" s="1" t="s">
        <v>132</v>
      </c>
      <c r="CE35" s="28">
        <f>TE[[#This Row],[Part Type]]</f>
        <v>0</v>
      </c>
      <c r="CF35" s="28">
        <f>TE[[#This Row],[Part Nr.]]</f>
        <v>0</v>
      </c>
      <c r="CG35" s="28">
        <f>TE[[#This Row],[UID]]</f>
        <v>0</v>
      </c>
      <c r="CK35" s="18" t="str">
        <f>IF(TE[[#This Row],[Status]]=0,"",TE[[#This Row],[Status]])</f>
        <v/>
      </c>
    </row>
    <row r="36" spans="4:89">
      <c r="D36" s="28"/>
      <c r="G36" s="19"/>
      <c r="K36" s="53"/>
      <c r="L36" s="53"/>
      <c r="M36" s="53"/>
      <c r="N36" s="53"/>
      <c r="O36" s="19"/>
      <c r="R36" s="18"/>
      <c r="CA36" s="1" t="s">
        <v>71</v>
      </c>
      <c r="CB36" s="1" t="s">
        <v>18</v>
      </c>
      <c r="CC36" s="1" t="s">
        <v>132</v>
      </c>
      <c r="CE36" s="28">
        <f>TE[[#This Row],[Part Type]]</f>
        <v>0</v>
      </c>
      <c r="CF36" s="28">
        <f>TE[[#This Row],[Part Nr.]]</f>
        <v>0</v>
      </c>
      <c r="CG36" s="28">
        <f>TE[[#This Row],[UID]]</f>
        <v>0</v>
      </c>
      <c r="CK36" s="18" t="str">
        <f>IF(TE[[#This Row],[Status]]=0,"",TE[[#This Row],[Status]])</f>
        <v/>
      </c>
    </row>
    <row r="37" spans="4:89">
      <c r="D37" s="28"/>
      <c r="G37" s="19"/>
      <c r="K37" s="53"/>
      <c r="L37" s="53"/>
      <c r="M37" s="53"/>
      <c r="N37" s="53"/>
      <c r="O37" s="19"/>
      <c r="R37" s="18"/>
      <c r="CA37" s="1" t="s">
        <v>71</v>
      </c>
      <c r="CB37" s="1" t="s">
        <v>18</v>
      </c>
      <c r="CC37" s="1" t="s">
        <v>132</v>
      </c>
      <c r="CE37" s="28">
        <f>TE[[#This Row],[Part Type]]</f>
        <v>0</v>
      </c>
      <c r="CF37" s="28">
        <f>TE[[#This Row],[Part Nr.]]</f>
        <v>0</v>
      </c>
      <c r="CG37" s="28">
        <f>TE[[#This Row],[UID]]</f>
        <v>0</v>
      </c>
      <c r="CK37" s="18" t="str">
        <f>IF(TE[[#This Row],[Status]]=0,"",TE[[#This Row],[Status]])</f>
        <v/>
      </c>
    </row>
    <row r="38" spans="4:89">
      <c r="D38" s="28"/>
      <c r="G38" s="19"/>
      <c r="K38" s="53"/>
      <c r="L38" s="53"/>
      <c r="M38" s="53"/>
      <c r="N38" s="53"/>
      <c r="O38" s="19"/>
      <c r="R38" s="18"/>
      <c r="CA38" s="1" t="s">
        <v>71</v>
      </c>
      <c r="CB38" s="1" t="s">
        <v>18</v>
      </c>
      <c r="CC38" s="1" t="s">
        <v>132</v>
      </c>
      <c r="CE38" s="28">
        <f>TE[[#This Row],[Part Type]]</f>
        <v>0</v>
      </c>
      <c r="CF38" s="28">
        <f>TE[[#This Row],[Part Nr.]]</f>
        <v>0</v>
      </c>
      <c r="CG38" s="28">
        <f>TE[[#This Row],[UID]]</f>
        <v>0</v>
      </c>
      <c r="CK38" s="18" t="str">
        <f>IF(TE[[#This Row],[Status]]=0,"",TE[[#This Row],[Status]])</f>
        <v/>
      </c>
    </row>
    <row r="39" spans="4:89">
      <c r="D39" s="28"/>
      <c r="G39" s="19"/>
      <c r="K39" s="53"/>
      <c r="L39" s="53"/>
      <c r="M39" s="53"/>
      <c r="N39" s="53"/>
      <c r="O39" s="19"/>
      <c r="R39" s="18"/>
      <c r="CA39" s="1" t="s">
        <v>71</v>
      </c>
      <c r="CB39" s="1" t="s">
        <v>18</v>
      </c>
      <c r="CC39" s="1" t="s">
        <v>132</v>
      </c>
      <c r="CE39" s="28">
        <f>TE[[#This Row],[Part Type]]</f>
        <v>0</v>
      </c>
      <c r="CF39" s="28">
        <f>TE[[#This Row],[Part Nr.]]</f>
        <v>0</v>
      </c>
      <c r="CG39" s="28">
        <f>TE[[#This Row],[UID]]</f>
        <v>0</v>
      </c>
      <c r="CK39" s="18" t="str">
        <f>IF(TE[[#This Row],[Status]]=0,"",TE[[#This Row],[Status]])</f>
        <v/>
      </c>
    </row>
    <row r="40" spans="4:89">
      <c r="D40" s="28"/>
      <c r="G40" s="19"/>
      <c r="K40" s="53"/>
      <c r="L40" s="53"/>
      <c r="M40" s="53"/>
      <c r="N40" s="53"/>
      <c r="O40" s="19"/>
      <c r="R40" s="18"/>
      <c r="CA40" s="1" t="s">
        <v>71</v>
      </c>
      <c r="CB40" s="1" t="s">
        <v>18</v>
      </c>
      <c r="CC40" s="1" t="s">
        <v>132</v>
      </c>
      <c r="CE40" s="28">
        <f>TE[[#This Row],[Part Type]]</f>
        <v>0</v>
      </c>
      <c r="CF40" s="28">
        <f>TE[[#This Row],[Part Nr.]]</f>
        <v>0</v>
      </c>
      <c r="CG40" s="28">
        <f>TE[[#This Row],[UID]]</f>
        <v>0</v>
      </c>
      <c r="CK40" s="18" t="str">
        <f>IF(TE[[#This Row],[Status]]=0,"",TE[[#This Row],[Status]])</f>
        <v/>
      </c>
    </row>
    <row r="41" spans="4:89">
      <c r="D41" s="28"/>
      <c r="G41" s="19"/>
      <c r="K41" s="53"/>
      <c r="L41" s="53"/>
      <c r="M41" s="53"/>
      <c r="N41" s="53"/>
      <c r="O41" s="19"/>
      <c r="R41" s="18"/>
      <c r="CA41" s="1" t="s">
        <v>71</v>
      </c>
      <c r="CB41" s="1" t="s">
        <v>18</v>
      </c>
      <c r="CC41" s="1" t="s">
        <v>132</v>
      </c>
      <c r="CE41" s="28">
        <f>TE[[#This Row],[Part Type]]</f>
        <v>0</v>
      </c>
      <c r="CF41" s="28">
        <f>TE[[#This Row],[Part Nr.]]</f>
        <v>0</v>
      </c>
      <c r="CG41" s="28">
        <f>TE[[#This Row],[UID]]</f>
        <v>0</v>
      </c>
      <c r="CK41" s="18" t="str">
        <f>IF(TE[[#This Row],[Status]]=0,"",TE[[#This Row],[Status]])</f>
        <v/>
      </c>
    </row>
    <row r="42" spans="4:89">
      <c r="D42" s="28"/>
      <c r="G42" s="19"/>
      <c r="K42" s="53"/>
      <c r="L42" s="53"/>
      <c r="M42" s="53"/>
      <c r="N42" s="53"/>
      <c r="O42" s="19"/>
      <c r="R42" s="18"/>
      <c r="CA42" s="1" t="s">
        <v>71</v>
      </c>
      <c r="CB42" s="1" t="s">
        <v>18</v>
      </c>
      <c r="CC42" s="1" t="s">
        <v>132</v>
      </c>
      <c r="CE42" s="28">
        <f>TE[[#This Row],[Part Type]]</f>
        <v>0</v>
      </c>
      <c r="CF42" s="28">
        <f>TE[[#This Row],[Part Nr.]]</f>
        <v>0</v>
      </c>
      <c r="CG42" s="28">
        <f>TE[[#This Row],[UID]]</f>
        <v>0</v>
      </c>
      <c r="CK42" s="18" t="str">
        <f>IF(TE[[#This Row],[Status]]=0,"",TE[[#This Row],[Status]])</f>
        <v/>
      </c>
    </row>
    <row r="43" spans="4:89">
      <c r="D43" s="28"/>
      <c r="G43" s="19"/>
      <c r="K43" s="53"/>
      <c r="L43" s="53"/>
      <c r="M43" s="53"/>
      <c r="N43" s="53"/>
      <c r="O43" s="19"/>
      <c r="R43" s="18"/>
      <c r="CA43" s="1" t="s">
        <v>71</v>
      </c>
      <c r="CB43" s="1" t="s">
        <v>18</v>
      </c>
      <c r="CC43" s="1" t="s">
        <v>132</v>
      </c>
      <c r="CE43" s="28">
        <f>TE[[#This Row],[Part Type]]</f>
        <v>0</v>
      </c>
      <c r="CF43" s="28">
        <f>TE[[#This Row],[Part Nr.]]</f>
        <v>0</v>
      </c>
      <c r="CG43" s="28">
        <f>TE[[#This Row],[UID]]</f>
        <v>0</v>
      </c>
      <c r="CK43" s="18" t="str">
        <f>IF(TE[[#This Row],[Status]]=0,"",TE[[#This Row],[Status]])</f>
        <v/>
      </c>
    </row>
    <row r="44" spans="4:89">
      <c r="D44" s="28"/>
      <c r="G44" s="19"/>
      <c r="K44" s="53"/>
      <c r="L44" s="53"/>
      <c r="M44" s="53"/>
      <c r="N44" s="53"/>
      <c r="O44" s="19"/>
      <c r="R44" s="18"/>
      <c r="CA44" s="1" t="s">
        <v>71</v>
      </c>
      <c r="CB44" s="1" t="s">
        <v>18</v>
      </c>
      <c r="CC44" s="1" t="s">
        <v>132</v>
      </c>
      <c r="CE44" s="28">
        <f>TE[[#This Row],[Part Type]]</f>
        <v>0</v>
      </c>
      <c r="CF44" s="28">
        <f>TE[[#This Row],[Part Nr.]]</f>
        <v>0</v>
      </c>
      <c r="CG44" s="28">
        <f>TE[[#This Row],[UID]]</f>
        <v>0</v>
      </c>
      <c r="CK44" s="18" t="str">
        <f>IF(TE[[#This Row],[Status]]=0,"",TE[[#This Row],[Status]])</f>
        <v/>
      </c>
    </row>
    <row r="45" spans="4:89">
      <c r="D45" s="28"/>
      <c r="G45" s="19"/>
      <c r="K45" s="53"/>
      <c r="L45" s="53"/>
      <c r="M45" s="53"/>
      <c r="N45" s="53"/>
      <c r="O45" s="19"/>
      <c r="R45" s="18"/>
      <c r="CA45" s="1" t="s">
        <v>71</v>
      </c>
      <c r="CB45" s="1" t="s">
        <v>18</v>
      </c>
      <c r="CC45" s="1" t="s">
        <v>132</v>
      </c>
      <c r="CE45" s="28">
        <f>TE[[#This Row],[Part Type]]</f>
        <v>0</v>
      </c>
      <c r="CF45" s="28">
        <f>TE[[#This Row],[Part Nr.]]</f>
        <v>0</v>
      </c>
      <c r="CG45" s="28">
        <f>TE[[#This Row],[UID]]</f>
        <v>0</v>
      </c>
      <c r="CK45" s="18" t="str">
        <f>IF(TE[[#This Row],[Status]]=0,"",TE[[#This Row],[Status]])</f>
        <v/>
      </c>
    </row>
    <row r="46" spans="4:89">
      <c r="D46" s="28"/>
      <c r="G46" s="19"/>
      <c r="K46" s="53"/>
      <c r="L46" s="53"/>
      <c r="M46" s="53"/>
      <c r="N46" s="53"/>
      <c r="O46" s="19"/>
      <c r="R46" s="18"/>
      <c r="CA46" s="1" t="s">
        <v>71</v>
      </c>
      <c r="CB46" s="1" t="s">
        <v>18</v>
      </c>
      <c r="CC46" s="1" t="s">
        <v>132</v>
      </c>
      <c r="CE46" s="28">
        <f>TE[[#This Row],[Part Type]]</f>
        <v>0</v>
      </c>
      <c r="CF46" s="28">
        <f>TE[[#This Row],[Part Nr.]]</f>
        <v>0</v>
      </c>
      <c r="CG46" s="28">
        <f>TE[[#This Row],[UID]]</f>
        <v>0</v>
      </c>
      <c r="CK46" s="18" t="str">
        <f>IF(TE[[#This Row],[Status]]=0,"",TE[[#This Row],[Status]])</f>
        <v/>
      </c>
    </row>
    <row r="47" spans="4:89">
      <c r="D47" s="28"/>
      <c r="G47" s="19"/>
      <c r="K47" s="53"/>
      <c r="L47" s="53"/>
      <c r="M47" s="53"/>
      <c r="N47" s="53"/>
      <c r="O47" s="19"/>
      <c r="R47" s="18"/>
      <c r="CA47" s="1" t="s">
        <v>71</v>
      </c>
      <c r="CB47" s="1" t="s">
        <v>18</v>
      </c>
      <c r="CC47" s="1" t="s">
        <v>132</v>
      </c>
      <c r="CE47" s="28">
        <f>TE[[#This Row],[Part Type]]</f>
        <v>0</v>
      </c>
      <c r="CF47" s="28">
        <f>TE[[#This Row],[Part Nr.]]</f>
        <v>0</v>
      </c>
      <c r="CG47" s="28">
        <f>TE[[#This Row],[UID]]</f>
        <v>0</v>
      </c>
      <c r="CK47" s="18" t="str">
        <f>IF(TE[[#This Row],[Status]]=0,"",TE[[#This Row],[Status]])</f>
        <v/>
      </c>
    </row>
    <row r="48" spans="4:89">
      <c r="D48" s="28"/>
      <c r="G48" s="19"/>
      <c r="K48" s="53"/>
      <c r="L48" s="53"/>
      <c r="M48" s="53"/>
      <c r="N48" s="53"/>
      <c r="O48" s="19"/>
      <c r="R48" s="18"/>
      <c r="CA48" s="1" t="s">
        <v>71</v>
      </c>
      <c r="CB48" s="1" t="s">
        <v>18</v>
      </c>
      <c r="CC48" s="1" t="s">
        <v>132</v>
      </c>
      <c r="CE48" s="28">
        <f>TE[[#This Row],[Part Type]]</f>
        <v>0</v>
      </c>
      <c r="CF48" s="28">
        <f>TE[[#This Row],[Part Nr.]]</f>
        <v>0</v>
      </c>
      <c r="CG48" s="28">
        <f>TE[[#This Row],[UID]]</f>
        <v>0</v>
      </c>
      <c r="CK48" s="18" t="str">
        <f>IF(TE[[#This Row],[Status]]=0,"",TE[[#This Row],[Status]])</f>
        <v/>
      </c>
    </row>
    <row r="49" spans="4:89">
      <c r="D49" s="28"/>
      <c r="G49" s="19"/>
      <c r="K49" s="53"/>
      <c r="L49" s="53"/>
      <c r="M49" s="53"/>
      <c r="N49" s="53"/>
      <c r="O49" s="19"/>
      <c r="R49" s="18"/>
      <c r="CA49" s="1" t="s">
        <v>71</v>
      </c>
      <c r="CB49" s="1" t="s">
        <v>18</v>
      </c>
      <c r="CC49" s="1" t="s">
        <v>132</v>
      </c>
      <c r="CE49" s="28">
        <f>TE[[#This Row],[Part Type]]</f>
        <v>0</v>
      </c>
      <c r="CF49" s="28">
        <f>TE[[#This Row],[Part Nr.]]</f>
        <v>0</v>
      </c>
      <c r="CG49" s="28">
        <f>TE[[#This Row],[UID]]</f>
        <v>0</v>
      </c>
      <c r="CK49" s="18" t="str">
        <f>IF(TE[[#This Row],[Status]]=0,"",TE[[#This Row],[Status]])</f>
        <v/>
      </c>
    </row>
    <row r="50" spans="4:89">
      <c r="D50" s="28"/>
      <c r="G50" s="19"/>
      <c r="K50" s="53"/>
      <c r="L50" s="53"/>
      <c r="M50" s="53"/>
      <c r="N50" s="53"/>
      <c r="O50" s="19"/>
      <c r="R50" s="18"/>
      <c r="CA50" s="1" t="s">
        <v>71</v>
      </c>
      <c r="CB50" s="1" t="s">
        <v>18</v>
      </c>
      <c r="CC50" s="1" t="s">
        <v>132</v>
      </c>
      <c r="CE50" s="28">
        <f>TE[[#This Row],[Part Type]]</f>
        <v>0</v>
      </c>
      <c r="CF50" s="28">
        <f>TE[[#This Row],[Part Nr.]]</f>
        <v>0</v>
      </c>
      <c r="CG50" s="28">
        <f>TE[[#This Row],[UID]]</f>
        <v>0</v>
      </c>
      <c r="CK50" s="18" t="str">
        <f>IF(TE[[#This Row],[Status]]=0,"",TE[[#This Row],[Status]])</f>
        <v/>
      </c>
    </row>
    <row r="51" spans="4:89">
      <c r="D51" s="28"/>
      <c r="G51" s="19"/>
      <c r="K51" s="53"/>
      <c r="L51" s="53"/>
      <c r="M51" s="53"/>
      <c r="N51" s="53"/>
      <c r="O51" s="19"/>
      <c r="R51" s="18"/>
      <c r="CA51" s="1" t="s">
        <v>71</v>
      </c>
      <c r="CB51" s="1" t="s">
        <v>18</v>
      </c>
      <c r="CC51" s="1" t="s">
        <v>132</v>
      </c>
      <c r="CE51" s="28">
        <f>TE[[#This Row],[Part Type]]</f>
        <v>0</v>
      </c>
      <c r="CF51" s="28">
        <f>TE[[#This Row],[Part Nr.]]</f>
        <v>0</v>
      </c>
      <c r="CG51" s="28">
        <f>TE[[#This Row],[UID]]</f>
        <v>0</v>
      </c>
      <c r="CK51" s="18" t="str">
        <f>IF(TE[[#This Row],[Status]]=0,"",TE[[#This Row],[Status]])</f>
        <v/>
      </c>
    </row>
  </sheetData>
  <hyperlinks>
    <hyperlink ref="U3" r:id="rId1" xr:uid="{8DB356D9-F555-3B45-9DCC-5B4B0C933F9F}"/>
    <hyperlink ref="U2" r:id="rId2" xr:uid="{15F3F981-19DD-E547-8247-1F4343911DC1}"/>
  </hyperlinks>
  <pageMargins left="0.7" right="0.7" top="0.75" bottom="0.75" header="0.3" footer="0.3"/>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A1386-8E84-BF4E-B06D-759ECF57933A}">
  <sheetPr codeName="Sheet21"/>
  <dimension ref="A1:CK201"/>
  <sheetViews>
    <sheetView topLeftCell="D1" zoomScale="91" zoomScaleNormal="91" workbookViewId="0">
      <selection activeCell="D1" sqref="D1"/>
    </sheetView>
  </sheetViews>
  <sheetFormatPr defaultColWidth="10.875" defaultRowHeight="15.95"/>
  <cols>
    <col min="1" max="1" width="11.875" style="18" bestFit="1" customWidth="1"/>
    <col min="2" max="2" width="20.625" style="18" bestFit="1" customWidth="1"/>
    <col min="3" max="3" width="12.625" style="18" bestFit="1" customWidth="1"/>
    <col min="4" max="4" width="24.625" style="18" bestFit="1" customWidth="1"/>
    <col min="5" max="5" width="13.375" style="18" bestFit="1" customWidth="1"/>
    <col min="6" max="6" width="26.875" style="18" bestFit="1" customWidth="1"/>
    <col min="7" max="7" width="26" style="18" bestFit="1" customWidth="1"/>
    <col min="8" max="9" width="12.375" style="18" bestFit="1" customWidth="1"/>
    <col min="10" max="10" width="17.625" style="18" bestFit="1" customWidth="1"/>
    <col min="11" max="11" width="17.125" style="18" bestFit="1" customWidth="1"/>
    <col min="12" max="12" width="13.625" style="18" bestFit="1" customWidth="1"/>
    <col min="13" max="13" width="14.125" style="18" bestFit="1" customWidth="1"/>
    <col min="14" max="14" width="16.875" style="18" bestFit="1" customWidth="1"/>
    <col min="16" max="16" width="26.625" style="18" bestFit="1" customWidth="1"/>
    <col min="17" max="17" width="9.125" style="18" bestFit="1" customWidth="1"/>
    <col min="18" max="18" width="13.125" style="18" bestFit="1" customWidth="1"/>
    <col min="19" max="19" width="59.375" style="18" bestFit="1" customWidth="1"/>
    <col min="20" max="78" width="10.875" style="18"/>
    <col min="79" max="79" width="16.125" style="18" customWidth="1"/>
    <col min="80" max="80" width="19.875" style="18" customWidth="1"/>
    <col min="81" max="81" width="20.5" style="18" customWidth="1"/>
    <col min="82" max="83" width="10.875" style="18"/>
    <col min="84" max="84" width="13.625" style="18" customWidth="1"/>
    <col min="85" max="85" width="12.5" style="18" customWidth="1"/>
    <col min="86" max="86" width="17" style="18" customWidth="1"/>
    <col min="87" max="87" width="10.875" style="18"/>
    <col min="88" max="88" width="15.125" style="18" customWidth="1"/>
    <col min="89" max="16384" width="10.875" style="18"/>
  </cols>
  <sheetData>
    <row r="1" spans="1:89">
      <c r="A1" s="18" t="s">
        <v>12</v>
      </c>
      <c r="B1" s="18" t="s">
        <v>95</v>
      </c>
      <c r="C1" s="178" t="s">
        <v>94</v>
      </c>
      <c r="D1" s="18" t="s">
        <v>225</v>
      </c>
      <c r="E1" s="18" t="s">
        <v>226</v>
      </c>
      <c r="F1" s="18" t="s">
        <v>227</v>
      </c>
      <c r="G1" s="18" t="s">
        <v>228</v>
      </c>
      <c r="H1" s="18" t="s">
        <v>229</v>
      </c>
      <c r="I1" s="18" t="s">
        <v>230</v>
      </c>
      <c r="J1" s="19" t="s">
        <v>231</v>
      </c>
      <c r="K1" s="19" t="s">
        <v>1069</v>
      </c>
      <c r="L1" s="53" t="s">
        <v>232</v>
      </c>
      <c r="M1" s="18" t="s">
        <v>234</v>
      </c>
      <c r="N1" s="18" t="s">
        <v>235</v>
      </c>
      <c r="O1" s="18" t="s">
        <v>236</v>
      </c>
      <c r="P1" s="18" t="s">
        <v>117</v>
      </c>
      <c r="Q1" s="18" t="s">
        <v>237</v>
      </c>
      <c r="R1" s="18" t="s">
        <v>238</v>
      </c>
      <c r="BZ1" t="s">
        <v>119</v>
      </c>
      <c r="CA1" s="117" t="s">
        <v>2</v>
      </c>
      <c r="CB1" s="118" t="s">
        <v>3</v>
      </c>
      <c r="CC1" s="118" t="s">
        <v>4</v>
      </c>
      <c r="CD1" s="118" t="s">
        <v>5</v>
      </c>
      <c r="CE1" s="118" t="s">
        <v>6</v>
      </c>
      <c r="CF1" s="119" t="s">
        <v>7</v>
      </c>
      <c r="CG1" s="118" t="s">
        <v>8</v>
      </c>
      <c r="CH1" s="118" t="s">
        <v>9</v>
      </c>
      <c r="CI1" s="118" t="s">
        <v>10</v>
      </c>
      <c r="CJ1" s="118" t="s">
        <v>11</v>
      </c>
      <c r="CK1" s="120" t="s">
        <v>12</v>
      </c>
    </row>
    <row r="2" spans="1:89">
      <c r="A2" s="18" t="s">
        <v>120</v>
      </c>
      <c r="B2" s="18" t="s">
        <v>67</v>
      </c>
      <c r="C2" s="54" t="s">
        <v>1014</v>
      </c>
      <c r="D2" s="28">
        <v>60000</v>
      </c>
      <c r="E2" s="54" t="s">
        <v>904</v>
      </c>
      <c r="F2" s="55">
        <v>220929</v>
      </c>
      <c r="G2" s="53">
        <v>13.6653</v>
      </c>
      <c r="H2" s="18" t="s">
        <v>253</v>
      </c>
      <c r="I2" s="18" t="s">
        <v>253</v>
      </c>
      <c r="J2" s="53">
        <v>2.75</v>
      </c>
      <c r="K2" s="53">
        <v>0.25</v>
      </c>
      <c r="L2" s="53">
        <v>8.3000000000000004E-2</v>
      </c>
      <c r="M2" s="18" t="s">
        <v>161</v>
      </c>
      <c r="N2" s="18" t="s">
        <v>129</v>
      </c>
      <c r="O2" s="18" t="s">
        <v>129</v>
      </c>
      <c r="P2" s="18" t="s">
        <v>128</v>
      </c>
      <c r="Q2" s="18" t="s">
        <v>173</v>
      </c>
      <c r="R2" s="20" t="s">
        <v>307</v>
      </c>
      <c r="BZ2" t="s">
        <v>131</v>
      </c>
      <c r="CA2" s="1" t="s">
        <v>71</v>
      </c>
      <c r="CB2" s="1" t="s">
        <v>18</v>
      </c>
      <c r="CC2" s="1" t="s">
        <v>308</v>
      </c>
      <c r="CD2" s="1"/>
      <c r="CE2" s="135" t="str">
        <f>TU[[#This Row],[Part Type]]</f>
        <v>Tube</v>
      </c>
      <c r="CF2" s="135" t="str">
        <f>TU[[#This Row],[Part Nr.]]</f>
        <v>60-HM4-2.75</v>
      </c>
      <c r="CG2" s="135" t="str">
        <f>TU[[#This Row],[UID]]</f>
        <v>TU-1</v>
      </c>
      <c r="CH2" s="1"/>
      <c r="CI2" s="1"/>
      <c r="CJ2" s="1"/>
      <c r="CK2" s="1" t="str">
        <f>IF(TU[[#This Row],[Status]]=0,"",TU[[#This Row],[Status]])</f>
        <v>Active</v>
      </c>
    </row>
    <row r="3" spans="1:89">
      <c r="A3" s="18" t="s">
        <v>120</v>
      </c>
      <c r="B3" s="18" t="s">
        <v>67</v>
      </c>
      <c r="C3" s="54" t="s">
        <v>1447</v>
      </c>
      <c r="D3" s="28">
        <v>60000</v>
      </c>
      <c r="E3" s="54" t="s">
        <v>904</v>
      </c>
      <c r="F3" s="55">
        <v>220929</v>
      </c>
      <c r="G3" s="53">
        <v>13.7219</v>
      </c>
      <c r="H3" s="18" t="s">
        <v>253</v>
      </c>
      <c r="I3" s="18" t="s">
        <v>253</v>
      </c>
      <c r="J3" s="53">
        <v>2.75</v>
      </c>
      <c r="K3" s="53">
        <v>0.25</v>
      </c>
      <c r="L3" s="53">
        <v>8.3000000000000004E-2</v>
      </c>
      <c r="M3" s="18" t="s">
        <v>161</v>
      </c>
      <c r="N3" s="18" t="s">
        <v>129</v>
      </c>
      <c r="O3" s="18" t="s">
        <v>129</v>
      </c>
      <c r="P3" s="18" t="s">
        <v>128</v>
      </c>
      <c r="Q3" s="18" t="s">
        <v>173</v>
      </c>
      <c r="R3" s="20" t="s">
        <v>307</v>
      </c>
      <c r="BZ3"/>
      <c r="CA3" s="1" t="s">
        <v>71</v>
      </c>
      <c r="CB3" s="1" t="s">
        <v>18</v>
      </c>
      <c r="CC3" s="1" t="s">
        <v>308</v>
      </c>
      <c r="CD3"/>
      <c r="CE3" s="52" t="str">
        <f>TU[[#This Row],[Part Type]]</f>
        <v>Tube</v>
      </c>
      <c r="CF3" s="29" t="str">
        <f>TU[[#This Row],[Part Nr.]]</f>
        <v>60-HM4-2.75</v>
      </c>
      <c r="CG3" s="52" t="str">
        <f>TU[[#This Row],[UID]]</f>
        <v>TU-2</v>
      </c>
      <c r="CH3"/>
      <c r="CI3"/>
      <c r="CJ3"/>
      <c r="CK3" t="str">
        <f>IF(TU[[#This Row],[Status]]=0,"",TU[[#This Row],[Status]])</f>
        <v>Active</v>
      </c>
    </row>
    <row r="4" spans="1:89">
      <c r="A4" s="18" t="s">
        <v>120</v>
      </c>
      <c r="B4" s="18" t="s">
        <v>67</v>
      </c>
      <c r="C4" s="54" t="s">
        <v>1448</v>
      </c>
      <c r="D4" s="28">
        <v>60000</v>
      </c>
      <c r="E4" s="54" t="s">
        <v>904</v>
      </c>
      <c r="F4" s="55">
        <v>220929</v>
      </c>
      <c r="G4" s="53">
        <v>13.7369</v>
      </c>
      <c r="H4" s="18" t="s">
        <v>253</v>
      </c>
      <c r="I4" s="18" t="s">
        <v>253</v>
      </c>
      <c r="J4" s="53">
        <v>2.75</v>
      </c>
      <c r="K4" s="53">
        <v>0.25</v>
      </c>
      <c r="L4" s="53">
        <v>8.3000000000000004E-2</v>
      </c>
      <c r="M4" s="18" t="s">
        <v>161</v>
      </c>
      <c r="N4" s="18" t="s">
        <v>129</v>
      </c>
      <c r="O4" s="18" t="s">
        <v>129</v>
      </c>
      <c r="P4" s="18" t="s">
        <v>128</v>
      </c>
      <c r="Q4" s="18" t="s">
        <v>173</v>
      </c>
      <c r="R4" s="20" t="s">
        <v>307</v>
      </c>
      <c r="BZ4"/>
      <c r="CA4" s="1" t="s">
        <v>71</v>
      </c>
      <c r="CB4" s="1" t="s">
        <v>18</v>
      </c>
      <c r="CC4" s="1" t="s">
        <v>308</v>
      </c>
      <c r="CD4"/>
      <c r="CE4" s="52" t="str">
        <f>TU[[#This Row],[Part Type]]</f>
        <v>Tube</v>
      </c>
      <c r="CF4" s="29" t="str">
        <f>TU[[#This Row],[Part Nr.]]</f>
        <v>60-HM4-2.75</v>
      </c>
      <c r="CG4" s="52" t="str">
        <f>TU[[#This Row],[UID]]</f>
        <v>TU-3</v>
      </c>
      <c r="CH4"/>
      <c r="CI4"/>
      <c r="CJ4"/>
      <c r="CK4" t="str">
        <f>IF(TU[[#This Row],[Status]]=0,"",TU[[#This Row],[Status]])</f>
        <v>Active</v>
      </c>
    </row>
    <row r="5" spans="1:89">
      <c r="A5" s="18" t="s">
        <v>120</v>
      </c>
      <c r="B5" s="18" t="s">
        <v>67</v>
      </c>
      <c r="C5" s="54" t="s">
        <v>1449</v>
      </c>
      <c r="D5" s="28">
        <v>60000</v>
      </c>
      <c r="E5" s="54" t="s">
        <v>904</v>
      </c>
      <c r="F5" s="54">
        <v>221003</v>
      </c>
      <c r="G5" s="53">
        <v>13.6873</v>
      </c>
      <c r="H5" s="18" t="s">
        <v>253</v>
      </c>
      <c r="I5" s="18" t="s">
        <v>253</v>
      </c>
      <c r="J5" s="53">
        <v>2.75</v>
      </c>
      <c r="K5" s="53">
        <v>0.25</v>
      </c>
      <c r="L5" s="53">
        <v>8.3000000000000004E-2</v>
      </c>
      <c r="M5" s="18" t="s">
        <v>161</v>
      </c>
      <c r="N5" s="18" t="s">
        <v>129</v>
      </c>
      <c r="O5" s="18" t="s">
        <v>129</v>
      </c>
      <c r="P5" s="18" t="s">
        <v>128</v>
      </c>
      <c r="Q5" s="18" t="s">
        <v>173</v>
      </c>
      <c r="R5" s="20" t="s">
        <v>307</v>
      </c>
      <c r="BZ5"/>
      <c r="CA5" s="1" t="s">
        <v>71</v>
      </c>
      <c r="CB5" s="1" t="s">
        <v>18</v>
      </c>
      <c r="CC5" s="1" t="s">
        <v>308</v>
      </c>
      <c r="CD5"/>
      <c r="CE5" s="52" t="str">
        <f>TU[[#This Row],[Part Type]]</f>
        <v>Tube</v>
      </c>
      <c r="CF5" s="29" t="str">
        <f>TU[[#This Row],[Part Nr.]]</f>
        <v>60-HM4-2.75</v>
      </c>
      <c r="CG5" s="52" t="str">
        <f>TU[[#This Row],[UID]]</f>
        <v>TU-4</v>
      </c>
      <c r="CH5"/>
      <c r="CI5"/>
      <c r="CJ5"/>
      <c r="CK5" t="str">
        <f>IF(TU[[#This Row],[Status]]=0,"",TU[[#This Row],[Status]])</f>
        <v>Active</v>
      </c>
    </row>
    <row r="6" spans="1:89">
      <c r="A6" s="18" t="s">
        <v>120</v>
      </c>
      <c r="B6" s="18" t="s">
        <v>67</v>
      </c>
      <c r="C6" s="54" t="s">
        <v>1450</v>
      </c>
      <c r="D6" s="28">
        <v>60000</v>
      </c>
      <c r="E6" s="54" t="s">
        <v>904</v>
      </c>
      <c r="F6" s="54">
        <v>221003</v>
      </c>
      <c r="G6" s="53">
        <v>13.5716</v>
      </c>
      <c r="H6" s="18" t="s">
        <v>253</v>
      </c>
      <c r="I6" s="18" t="s">
        <v>253</v>
      </c>
      <c r="J6" s="53">
        <v>2.75</v>
      </c>
      <c r="K6" s="53">
        <v>0.25</v>
      </c>
      <c r="L6" s="53">
        <v>8.3000000000000004E-2</v>
      </c>
      <c r="M6" s="18" t="s">
        <v>161</v>
      </c>
      <c r="N6" s="18" t="s">
        <v>129</v>
      </c>
      <c r="O6" s="18" t="s">
        <v>129</v>
      </c>
      <c r="P6" s="18" t="s">
        <v>128</v>
      </c>
      <c r="Q6" s="18" t="s">
        <v>173</v>
      </c>
      <c r="R6" s="20" t="s">
        <v>307</v>
      </c>
      <c r="BZ6"/>
      <c r="CA6" s="1" t="s">
        <v>71</v>
      </c>
      <c r="CB6" s="1" t="s">
        <v>18</v>
      </c>
      <c r="CC6" s="1" t="s">
        <v>308</v>
      </c>
      <c r="CD6"/>
      <c r="CE6" s="52" t="str">
        <f>TU[[#This Row],[Part Type]]</f>
        <v>Tube</v>
      </c>
      <c r="CF6" s="29" t="str">
        <f>TU[[#This Row],[Part Nr.]]</f>
        <v>60-HM4-2.75</v>
      </c>
      <c r="CG6" s="52" t="str">
        <f>TU[[#This Row],[UID]]</f>
        <v>TU-5</v>
      </c>
      <c r="CH6"/>
      <c r="CI6"/>
      <c r="CJ6"/>
      <c r="CK6" t="str">
        <f>IF(TU[[#This Row],[Status]]=0,"",TU[[#This Row],[Status]])</f>
        <v>Active</v>
      </c>
    </row>
    <row r="7" spans="1:89">
      <c r="A7" s="18" t="s">
        <v>120</v>
      </c>
      <c r="B7" s="18" t="s">
        <v>67</v>
      </c>
      <c r="C7" s="54" t="s">
        <v>1451</v>
      </c>
      <c r="D7" s="28">
        <v>60000</v>
      </c>
      <c r="E7" s="54" t="s">
        <v>904</v>
      </c>
      <c r="F7" s="54">
        <v>221003</v>
      </c>
      <c r="G7" s="53">
        <v>13.657500000000001</v>
      </c>
      <c r="H7" s="18" t="s">
        <v>253</v>
      </c>
      <c r="I7" s="18" t="s">
        <v>253</v>
      </c>
      <c r="J7" s="53">
        <v>2.75</v>
      </c>
      <c r="K7" s="53">
        <v>0.25</v>
      </c>
      <c r="L7" s="53">
        <v>8.3000000000000004E-2</v>
      </c>
      <c r="M7" s="18" t="s">
        <v>161</v>
      </c>
      <c r="N7" s="18" t="s">
        <v>129</v>
      </c>
      <c r="O7" s="18" t="s">
        <v>129</v>
      </c>
      <c r="P7" s="18" t="s">
        <v>128</v>
      </c>
      <c r="Q7" s="18" t="s">
        <v>173</v>
      </c>
      <c r="R7" s="20" t="s">
        <v>307</v>
      </c>
      <c r="CA7" s="1" t="s">
        <v>71</v>
      </c>
      <c r="CB7" s="1" t="s">
        <v>18</v>
      </c>
      <c r="CC7" s="1" t="s">
        <v>308</v>
      </c>
      <c r="CE7" s="36" t="str">
        <f>TU[[#This Row],[Part Type]]</f>
        <v>Tube</v>
      </c>
      <c r="CF7" s="28" t="str">
        <f>TU[[#This Row],[Part Nr.]]</f>
        <v>60-HM4-2.75</v>
      </c>
      <c r="CG7" s="36" t="str">
        <f>TU[[#This Row],[UID]]</f>
        <v>TU-6</v>
      </c>
      <c r="CK7" s="18" t="str">
        <f>IF(TU[[#This Row],[Status]]=0,"",TU[[#This Row],[Status]])</f>
        <v>Active</v>
      </c>
    </row>
    <row r="8" spans="1:89">
      <c r="A8" s="18" t="s">
        <v>120</v>
      </c>
      <c r="B8" s="18" t="s">
        <v>67</v>
      </c>
      <c r="C8" s="54" t="s">
        <v>970</v>
      </c>
      <c r="D8" s="28">
        <v>60000</v>
      </c>
      <c r="E8" s="54" t="s">
        <v>904</v>
      </c>
      <c r="F8" s="54">
        <v>221003</v>
      </c>
      <c r="G8" s="53">
        <v>13.537100000000001</v>
      </c>
      <c r="H8" s="18" t="s">
        <v>253</v>
      </c>
      <c r="I8" s="18" t="s">
        <v>253</v>
      </c>
      <c r="J8" s="53">
        <v>2.75</v>
      </c>
      <c r="K8" s="53">
        <v>0.25</v>
      </c>
      <c r="L8" s="53">
        <v>8.3000000000000004E-2</v>
      </c>
      <c r="M8" s="18" t="s">
        <v>161</v>
      </c>
      <c r="N8" s="18" t="s">
        <v>129</v>
      </c>
      <c r="O8" s="18" t="s">
        <v>129</v>
      </c>
      <c r="P8" s="18" t="s">
        <v>128</v>
      </c>
      <c r="Q8" s="18" t="s">
        <v>173</v>
      </c>
      <c r="R8" s="20" t="s">
        <v>307</v>
      </c>
      <c r="CA8" s="1" t="s">
        <v>71</v>
      </c>
      <c r="CB8" s="1" t="s">
        <v>18</v>
      </c>
      <c r="CC8" s="1" t="s">
        <v>308</v>
      </c>
      <c r="CE8" s="36" t="str">
        <f>TU[[#This Row],[Part Type]]</f>
        <v>Tube</v>
      </c>
      <c r="CF8" s="28" t="str">
        <f>TU[[#This Row],[Part Nr.]]</f>
        <v>60-HM4-2.75</v>
      </c>
      <c r="CG8" s="36" t="str">
        <f>TU[[#This Row],[UID]]</f>
        <v>TU-7</v>
      </c>
      <c r="CK8" s="18" t="str">
        <f>IF(TU[[#This Row],[Status]]=0,"",TU[[#This Row],[Status]])</f>
        <v>Active</v>
      </c>
    </row>
    <row r="9" spans="1:89">
      <c r="A9" s="18" t="s">
        <v>120</v>
      </c>
      <c r="B9" s="18" t="s">
        <v>67</v>
      </c>
      <c r="C9" s="54" t="s">
        <v>1452</v>
      </c>
      <c r="D9" s="28">
        <v>60000</v>
      </c>
      <c r="E9" s="54" t="s">
        <v>904</v>
      </c>
      <c r="F9" s="54">
        <v>221003</v>
      </c>
      <c r="G9" s="53">
        <v>13.6404</v>
      </c>
      <c r="H9" s="18" t="s">
        <v>253</v>
      </c>
      <c r="I9" s="18" t="s">
        <v>253</v>
      </c>
      <c r="J9" s="53">
        <v>2.75</v>
      </c>
      <c r="K9" s="53">
        <v>0.25</v>
      </c>
      <c r="L9" s="53">
        <v>8.3000000000000004E-2</v>
      </c>
      <c r="M9" s="18" t="s">
        <v>161</v>
      </c>
      <c r="N9" s="18" t="s">
        <v>129</v>
      </c>
      <c r="O9" s="18" t="s">
        <v>129</v>
      </c>
      <c r="P9" s="18" t="s">
        <v>128</v>
      </c>
      <c r="Q9" s="18" t="s">
        <v>173</v>
      </c>
      <c r="R9" s="20" t="s">
        <v>307</v>
      </c>
      <c r="CA9" s="1" t="s">
        <v>71</v>
      </c>
      <c r="CB9" s="1" t="s">
        <v>18</v>
      </c>
      <c r="CC9" s="1" t="s">
        <v>308</v>
      </c>
      <c r="CE9" s="36" t="str">
        <f>TU[[#This Row],[Part Type]]</f>
        <v>Tube</v>
      </c>
      <c r="CF9" s="28" t="str">
        <f>TU[[#This Row],[Part Nr.]]</f>
        <v>60-HM4-2.75</v>
      </c>
      <c r="CG9" s="36" t="str">
        <f>TU[[#This Row],[UID]]</f>
        <v>TU-8</v>
      </c>
      <c r="CK9" s="18" t="str">
        <f>IF(TU[[#This Row],[Status]]=0,"",TU[[#This Row],[Status]])</f>
        <v>Active</v>
      </c>
    </row>
    <row r="10" spans="1:89">
      <c r="A10" s="18" t="s">
        <v>120</v>
      </c>
      <c r="B10" s="18" t="s">
        <v>67</v>
      </c>
      <c r="C10" s="54" t="s">
        <v>993</v>
      </c>
      <c r="D10" s="28">
        <v>60000</v>
      </c>
      <c r="E10" s="54" t="s">
        <v>904</v>
      </c>
      <c r="F10" s="54">
        <v>221003</v>
      </c>
      <c r="G10" s="53">
        <v>13.576700000000001</v>
      </c>
      <c r="H10" s="18" t="s">
        <v>253</v>
      </c>
      <c r="I10" s="18" t="s">
        <v>253</v>
      </c>
      <c r="J10" s="53">
        <v>2.75</v>
      </c>
      <c r="K10" s="53">
        <v>0.25</v>
      </c>
      <c r="L10" s="53">
        <v>8.3000000000000004E-2</v>
      </c>
      <c r="M10" s="18" t="s">
        <v>161</v>
      </c>
      <c r="N10" s="18" t="s">
        <v>129</v>
      </c>
      <c r="O10" s="18" t="s">
        <v>129</v>
      </c>
      <c r="P10" s="18" t="s">
        <v>128</v>
      </c>
      <c r="Q10" s="18" t="s">
        <v>173</v>
      </c>
      <c r="R10" s="20" t="s">
        <v>307</v>
      </c>
      <c r="CA10" s="1" t="s">
        <v>71</v>
      </c>
      <c r="CB10" s="1" t="s">
        <v>18</v>
      </c>
      <c r="CC10" s="1" t="s">
        <v>308</v>
      </c>
      <c r="CE10" s="36" t="str">
        <f>TU[[#This Row],[Part Type]]</f>
        <v>Tube</v>
      </c>
      <c r="CF10" s="28" t="str">
        <f>TU[[#This Row],[Part Nr.]]</f>
        <v>60-HM4-2.75</v>
      </c>
      <c r="CG10" s="36" t="str">
        <f>TU[[#This Row],[UID]]</f>
        <v>TU-9</v>
      </c>
      <c r="CK10" s="18" t="str">
        <f>IF(TU[[#This Row],[Status]]=0,"",TU[[#This Row],[Status]])</f>
        <v>Active</v>
      </c>
    </row>
    <row r="11" spans="1:89" ht="17.100000000000001">
      <c r="A11" s="18" t="s">
        <v>120</v>
      </c>
      <c r="B11" s="18" t="s">
        <v>67</v>
      </c>
      <c r="C11" s="54" t="s">
        <v>1453</v>
      </c>
      <c r="D11" s="28">
        <v>60000</v>
      </c>
      <c r="E11" s="54" t="s">
        <v>904</v>
      </c>
      <c r="F11" s="54">
        <v>221003</v>
      </c>
      <c r="G11" s="53">
        <v>13.669700000000001</v>
      </c>
      <c r="H11" s="18" t="s">
        <v>253</v>
      </c>
      <c r="I11" s="18" t="s">
        <v>253</v>
      </c>
      <c r="J11" s="53">
        <v>2.75</v>
      </c>
      <c r="K11" s="53">
        <v>0.25</v>
      </c>
      <c r="L11" s="53">
        <v>8.3000000000000004E-2</v>
      </c>
      <c r="M11" s="18" t="s">
        <v>161</v>
      </c>
      <c r="N11" s="18" t="s">
        <v>129</v>
      </c>
      <c r="O11" s="18" t="s">
        <v>129</v>
      </c>
      <c r="P11" s="18" t="s">
        <v>128</v>
      </c>
      <c r="Q11" s="18" t="s">
        <v>173</v>
      </c>
      <c r="R11" s="20" t="s">
        <v>307</v>
      </c>
      <c r="BZ11" s="57"/>
      <c r="CA11" s="1" t="s">
        <v>71</v>
      </c>
      <c r="CB11" s="1" t="s">
        <v>18</v>
      </c>
      <c r="CC11" s="1" t="s">
        <v>308</v>
      </c>
      <c r="CD11" s="57"/>
      <c r="CE11" s="138" t="str">
        <f>TU[[#This Row],[Part Type]]</f>
        <v>Tube</v>
      </c>
      <c r="CF11" s="138" t="str">
        <f>TU[[#This Row],[Part Nr.]]</f>
        <v>60-HM4-2.75</v>
      </c>
      <c r="CG11" s="140" t="str">
        <f>TU[[#This Row],[UID]]</f>
        <v>TU-10</v>
      </c>
      <c r="CH11" s="57"/>
      <c r="CI11" s="57"/>
      <c r="CJ11" s="57"/>
      <c r="CK11" s="57" t="str">
        <f>IF(TU[[#This Row],[Status]]=0,"",TU[[#This Row],[Status]])</f>
        <v>Active</v>
      </c>
    </row>
    <row r="12" spans="1:89">
      <c r="A12" s="18" t="s">
        <v>120</v>
      </c>
      <c r="B12" s="18" t="s">
        <v>67</v>
      </c>
      <c r="C12" s="54" t="s">
        <v>1454</v>
      </c>
      <c r="D12" s="28">
        <v>60000</v>
      </c>
      <c r="E12" s="54" t="s">
        <v>904</v>
      </c>
      <c r="F12" s="54">
        <v>221003</v>
      </c>
      <c r="G12" s="53">
        <v>13.6798</v>
      </c>
      <c r="H12" s="18" t="s">
        <v>253</v>
      </c>
      <c r="I12" s="18" t="s">
        <v>253</v>
      </c>
      <c r="J12" s="53">
        <v>2.75</v>
      </c>
      <c r="K12" s="53">
        <v>0.25</v>
      </c>
      <c r="L12" s="53">
        <v>8.3000000000000004E-2</v>
      </c>
      <c r="M12" s="18" t="s">
        <v>161</v>
      </c>
      <c r="N12" s="18" t="s">
        <v>129</v>
      </c>
      <c r="O12" s="18" t="s">
        <v>129</v>
      </c>
      <c r="P12" s="18" t="s">
        <v>128</v>
      </c>
      <c r="Q12" s="18" t="s">
        <v>173</v>
      </c>
      <c r="R12" s="20" t="s">
        <v>307</v>
      </c>
      <c r="BZ12"/>
      <c r="CA12" s="1" t="s">
        <v>71</v>
      </c>
      <c r="CB12" s="1" t="s">
        <v>18</v>
      </c>
      <c r="CC12" s="1" t="s">
        <v>308</v>
      </c>
      <c r="CD12"/>
      <c r="CE12" s="29" t="str">
        <f>TU[[#This Row],[Part Type]]</f>
        <v>Tube</v>
      </c>
      <c r="CF12" s="29" t="str">
        <f>TU[[#This Row],[Part Nr.]]</f>
        <v>60-HM4-2.75</v>
      </c>
      <c r="CG12" s="29" t="str">
        <f>TU[[#This Row],[UID]]</f>
        <v>TU-11</v>
      </c>
      <c r="CH12"/>
      <c r="CI12"/>
      <c r="CJ12"/>
      <c r="CK12" t="str">
        <f>IF(TU[[#This Row],[Status]]=0,"",TU[[#This Row],[Status]])</f>
        <v>Active</v>
      </c>
    </row>
    <row r="13" spans="1:89">
      <c r="A13" s="18" t="s">
        <v>120</v>
      </c>
      <c r="B13" s="18" t="s">
        <v>67</v>
      </c>
      <c r="C13" s="54" t="s">
        <v>1455</v>
      </c>
      <c r="D13" s="28">
        <v>60000</v>
      </c>
      <c r="E13" s="54" t="s">
        <v>904</v>
      </c>
      <c r="F13" s="54">
        <v>221003</v>
      </c>
      <c r="G13" s="53">
        <v>13.585100000000001</v>
      </c>
      <c r="H13" s="18" t="s">
        <v>253</v>
      </c>
      <c r="I13" s="18" t="s">
        <v>253</v>
      </c>
      <c r="J13" s="53">
        <v>2.75</v>
      </c>
      <c r="K13" s="53">
        <v>0.25</v>
      </c>
      <c r="L13" s="53">
        <v>8.3000000000000004E-2</v>
      </c>
      <c r="M13" s="18" t="s">
        <v>161</v>
      </c>
      <c r="N13" s="18" t="s">
        <v>129</v>
      </c>
      <c r="O13" s="18" t="s">
        <v>129</v>
      </c>
      <c r="P13" s="18" t="s">
        <v>128</v>
      </c>
      <c r="Q13" s="18" t="s">
        <v>173</v>
      </c>
      <c r="R13" s="20" t="s">
        <v>307</v>
      </c>
      <c r="BZ13"/>
      <c r="CA13" s="1" t="s">
        <v>71</v>
      </c>
      <c r="CB13" s="1" t="s">
        <v>18</v>
      </c>
      <c r="CC13" s="1" t="s">
        <v>308</v>
      </c>
      <c r="CD13"/>
      <c r="CE13" s="29" t="str">
        <f>TU[[#This Row],[Part Type]]</f>
        <v>Tube</v>
      </c>
      <c r="CF13" s="29" t="str">
        <f>TU[[#This Row],[Part Nr.]]</f>
        <v>60-HM4-2.75</v>
      </c>
      <c r="CG13" s="29" t="str">
        <f>TU[[#This Row],[UID]]</f>
        <v>TU-12</v>
      </c>
      <c r="CH13"/>
      <c r="CI13"/>
      <c r="CJ13"/>
      <c r="CK13" t="str">
        <f>IF(TU[[#This Row],[Status]]=0,"",TU[[#This Row],[Status]])</f>
        <v>Active</v>
      </c>
    </row>
    <row r="14" spans="1:89">
      <c r="A14" s="18" t="s">
        <v>120</v>
      </c>
      <c r="B14" s="18" t="s">
        <v>67</v>
      </c>
      <c r="C14" s="54" t="s">
        <v>1456</v>
      </c>
      <c r="D14" s="28">
        <v>60000</v>
      </c>
      <c r="E14" s="54" t="s">
        <v>904</v>
      </c>
      <c r="F14" s="54">
        <v>221003</v>
      </c>
      <c r="G14" s="53">
        <v>16.967400000000001</v>
      </c>
      <c r="H14" s="18" t="s">
        <v>253</v>
      </c>
      <c r="I14" s="18" t="s">
        <v>253</v>
      </c>
      <c r="J14" s="53">
        <v>2.75</v>
      </c>
      <c r="K14" s="53">
        <v>0.25</v>
      </c>
      <c r="L14" s="53">
        <v>8.3000000000000004E-2</v>
      </c>
      <c r="M14" s="18" t="s">
        <v>161</v>
      </c>
      <c r="N14" s="18" t="s">
        <v>129</v>
      </c>
      <c r="O14" s="18" t="s">
        <v>129</v>
      </c>
      <c r="P14" s="18" t="s">
        <v>128</v>
      </c>
      <c r="Q14" s="18" t="s">
        <v>173</v>
      </c>
      <c r="R14" s="20" t="s">
        <v>307</v>
      </c>
      <c r="BZ14"/>
      <c r="CA14" s="1" t="s">
        <v>71</v>
      </c>
      <c r="CB14" s="1" t="s">
        <v>18</v>
      </c>
      <c r="CC14" s="1" t="s">
        <v>308</v>
      </c>
      <c r="CD14"/>
      <c r="CE14" s="29" t="str">
        <f>TU[[#This Row],[Part Type]]</f>
        <v>Tube</v>
      </c>
      <c r="CF14" s="29" t="str">
        <f>TU[[#This Row],[Part Nr.]]</f>
        <v>60-HM4-2.75</v>
      </c>
      <c r="CG14" s="29" t="str">
        <f>TU[[#This Row],[UID]]</f>
        <v>TU-13</v>
      </c>
      <c r="CH14"/>
      <c r="CI14"/>
      <c r="CJ14"/>
      <c r="CK14" t="str">
        <f>IF(TU[[#This Row],[Status]]=0,"",TU[[#This Row],[Status]])</f>
        <v>Active</v>
      </c>
    </row>
    <row r="15" spans="1:89">
      <c r="A15" s="18" t="s">
        <v>120</v>
      </c>
      <c r="B15" s="18" t="s">
        <v>67</v>
      </c>
      <c r="C15" s="54" t="s">
        <v>1457</v>
      </c>
      <c r="D15" s="28">
        <v>60000</v>
      </c>
      <c r="E15" s="54" t="s">
        <v>904</v>
      </c>
      <c r="F15" s="54">
        <v>221003</v>
      </c>
      <c r="G15" s="53">
        <v>16.766400000000001</v>
      </c>
      <c r="H15" s="18" t="s">
        <v>253</v>
      </c>
      <c r="I15" s="18" t="s">
        <v>253</v>
      </c>
      <c r="J15" s="53">
        <v>2.75</v>
      </c>
      <c r="K15" s="53">
        <v>0.25</v>
      </c>
      <c r="L15" s="53">
        <v>8.3000000000000004E-2</v>
      </c>
      <c r="M15" s="18" t="s">
        <v>161</v>
      </c>
      <c r="N15" s="18" t="s">
        <v>129</v>
      </c>
      <c r="O15" s="18" t="s">
        <v>129</v>
      </c>
      <c r="P15" s="18" t="s">
        <v>128</v>
      </c>
      <c r="Q15" s="18" t="s">
        <v>173</v>
      </c>
      <c r="R15" s="20" t="s">
        <v>307</v>
      </c>
      <c r="CA15" s="1" t="s">
        <v>71</v>
      </c>
      <c r="CB15" s="1" t="s">
        <v>18</v>
      </c>
      <c r="CC15" s="1" t="s">
        <v>308</v>
      </c>
      <c r="CE15" s="28" t="str">
        <f>TU[[#This Row],[Part Type]]</f>
        <v>Tube</v>
      </c>
      <c r="CF15" s="28" t="str">
        <f>TU[[#This Row],[Part Nr.]]</f>
        <v>60-HM4-2.75</v>
      </c>
      <c r="CG15" s="28" t="str">
        <f>TU[[#This Row],[UID]]</f>
        <v>TU-14</v>
      </c>
      <c r="CK15" s="18" t="str">
        <f>IF(TU[[#This Row],[Status]]=0,"",TU[[#This Row],[Status]])</f>
        <v>Active</v>
      </c>
    </row>
    <row r="16" spans="1:89">
      <c r="A16" s="18" t="s">
        <v>120</v>
      </c>
      <c r="B16" s="18" t="s">
        <v>67</v>
      </c>
      <c r="C16" s="54" t="s">
        <v>1458</v>
      </c>
      <c r="D16" s="28">
        <v>60000</v>
      </c>
      <c r="E16" s="54" t="s">
        <v>904</v>
      </c>
      <c r="F16" s="54">
        <v>221003</v>
      </c>
      <c r="G16" s="53">
        <v>16.871200000000002</v>
      </c>
      <c r="H16" s="18" t="s">
        <v>253</v>
      </c>
      <c r="I16" s="18" t="s">
        <v>253</v>
      </c>
      <c r="J16" s="53">
        <v>2.75</v>
      </c>
      <c r="K16" s="53">
        <v>0.25</v>
      </c>
      <c r="L16" s="53">
        <v>8.3000000000000004E-2</v>
      </c>
      <c r="M16" s="18" t="s">
        <v>161</v>
      </c>
      <c r="N16" s="18" t="s">
        <v>129</v>
      </c>
      <c r="O16" s="18" t="s">
        <v>129</v>
      </c>
      <c r="P16" s="18" t="s">
        <v>128</v>
      </c>
      <c r="Q16" s="18" t="s">
        <v>173</v>
      </c>
      <c r="R16" s="20" t="s">
        <v>307</v>
      </c>
      <c r="CA16" s="1" t="s">
        <v>71</v>
      </c>
      <c r="CB16" s="1" t="s">
        <v>18</v>
      </c>
      <c r="CC16" s="1" t="s">
        <v>308</v>
      </c>
      <c r="CE16" s="28" t="str">
        <f>TU[[#This Row],[Part Type]]</f>
        <v>Tube</v>
      </c>
      <c r="CF16" s="28" t="str">
        <f>TU[[#This Row],[Part Nr.]]</f>
        <v>60-HM4-2.75</v>
      </c>
      <c r="CG16" s="28" t="str">
        <f>TU[[#This Row],[UID]]</f>
        <v>TU-15</v>
      </c>
      <c r="CK16" s="18" t="str">
        <f>IF(TU[[#This Row],[Status]]=0,"",TU[[#This Row],[Status]])</f>
        <v>Active</v>
      </c>
    </row>
    <row r="17" spans="1:89">
      <c r="A17" s="18" t="s">
        <v>120</v>
      </c>
      <c r="B17" s="18" t="s">
        <v>67</v>
      </c>
      <c r="C17" s="54" t="s">
        <v>1459</v>
      </c>
      <c r="D17" s="28">
        <v>60000</v>
      </c>
      <c r="E17" s="54" t="s">
        <v>904</v>
      </c>
      <c r="F17" s="54">
        <v>221003</v>
      </c>
      <c r="G17" s="53">
        <v>16.953700000000001</v>
      </c>
      <c r="H17" s="18" t="s">
        <v>253</v>
      </c>
      <c r="I17" s="18" t="s">
        <v>253</v>
      </c>
      <c r="J17" s="53">
        <v>2.75</v>
      </c>
      <c r="K17" s="53">
        <v>0.25</v>
      </c>
      <c r="L17" s="53">
        <v>8.3000000000000004E-2</v>
      </c>
      <c r="M17" s="18" t="s">
        <v>161</v>
      </c>
      <c r="N17" s="18" t="s">
        <v>129</v>
      </c>
      <c r="O17" s="18" t="s">
        <v>129</v>
      </c>
      <c r="P17" s="18" t="s">
        <v>128</v>
      </c>
      <c r="Q17" s="18" t="s">
        <v>173</v>
      </c>
      <c r="R17" s="20" t="s">
        <v>307</v>
      </c>
      <c r="CA17" s="1" t="s">
        <v>71</v>
      </c>
      <c r="CB17" s="1" t="s">
        <v>18</v>
      </c>
      <c r="CC17" s="1" t="s">
        <v>308</v>
      </c>
      <c r="CE17" s="28" t="str">
        <f>TU[[#This Row],[Part Type]]</f>
        <v>Tube</v>
      </c>
      <c r="CF17" s="28" t="str">
        <f>TU[[#This Row],[Part Nr.]]</f>
        <v>60-HM4-2.75</v>
      </c>
      <c r="CG17" s="28" t="str">
        <f>TU[[#This Row],[UID]]</f>
        <v>TU-16</v>
      </c>
      <c r="CK17" s="18" t="str">
        <f>IF(TU[[#This Row],[Status]]=0,"",TU[[#This Row],[Status]])</f>
        <v>Active</v>
      </c>
    </row>
    <row r="18" spans="1:89">
      <c r="A18" s="18" t="s">
        <v>120</v>
      </c>
      <c r="B18" s="18" t="s">
        <v>67</v>
      </c>
      <c r="C18" s="54" t="s">
        <v>1460</v>
      </c>
      <c r="D18" s="28">
        <v>60000</v>
      </c>
      <c r="E18" s="54" t="s">
        <v>904</v>
      </c>
      <c r="F18" s="54">
        <v>221003</v>
      </c>
      <c r="G18" s="53">
        <v>17.0793</v>
      </c>
      <c r="H18" s="18" t="s">
        <v>253</v>
      </c>
      <c r="I18" s="18" t="s">
        <v>253</v>
      </c>
      <c r="J18" s="53">
        <v>2.75</v>
      </c>
      <c r="K18" s="53">
        <v>0.25</v>
      </c>
      <c r="L18" s="53">
        <v>8.3000000000000004E-2</v>
      </c>
      <c r="M18" s="18" t="s">
        <v>161</v>
      </c>
      <c r="N18" s="18" t="s">
        <v>129</v>
      </c>
      <c r="O18" s="18" t="s">
        <v>129</v>
      </c>
      <c r="P18" s="18" t="s">
        <v>128</v>
      </c>
      <c r="Q18" s="18" t="s">
        <v>173</v>
      </c>
      <c r="R18" s="20" t="s">
        <v>307</v>
      </c>
      <c r="CA18" s="1" t="s">
        <v>71</v>
      </c>
      <c r="CB18" s="1" t="s">
        <v>18</v>
      </c>
      <c r="CC18" s="1" t="s">
        <v>308</v>
      </c>
      <c r="CE18" s="28" t="str">
        <f>TU[[#This Row],[Part Type]]</f>
        <v>Tube</v>
      </c>
      <c r="CF18" s="28" t="str">
        <f>TU[[#This Row],[Part Nr.]]</f>
        <v>60-HM4-2.75</v>
      </c>
      <c r="CG18" s="28" t="str">
        <f>TU[[#This Row],[UID]]</f>
        <v>TU-17</v>
      </c>
      <c r="CK18" s="18" t="str">
        <f>IF(TU[[#This Row],[Status]]=0,"",TU[[#This Row],[Status]])</f>
        <v>Active</v>
      </c>
    </row>
    <row r="19" spans="1:89">
      <c r="A19" s="18" t="s">
        <v>120</v>
      </c>
      <c r="B19" s="18" t="s">
        <v>67</v>
      </c>
      <c r="C19" s="54" t="s">
        <v>1461</v>
      </c>
      <c r="D19" s="28">
        <v>60000</v>
      </c>
      <c r="E19" s="54" t="s">
        <v>904</v>
      </c>
      <c r="F19" s="54">
        <v>221003</v>
      </c>
      <c r="G19" s="53">
        <v>16.758700000000001</v>
      </c>
      <c r="H19" s="18" t="s">
        <v>253</v>
      </c>
      <c r="I19" s="18" t="s">
        <v>253</v>
      </c>
      <c r="J19" s="53">
        <v>2.75</v>
      </c>
      <c r="K19" s="53">
        <v>0.25</v>
      </c>
      <c r="L19" s="53">
        <v>8.3000000000000004E-2</v>
      </c>
      <c r="M19" s="18" t="s">
        <v>161</v>
      </c>
      <c r="N19" s="18" t="s">
        <v>129</v>
      </c>
      <c r="O19" s="18" t="s">
        <v>129</v>
      </c>
      <c r="P19" s="18" t="s">
        <v>128</v>
      </c>
      <c r="Q19" s="18" t="s">
        <v>173</v>
      </c>
      <c r="R19" s="20" t="s">
        <v>307</v>
      </c>
      <c r="CA19" s="1" t="s">
        <v>71</v>
      </c>
      <c r="CB19" s="1" t="s">
        <v>18</v>
      </c>
      <c r="CC19" s="1" t="s">
        <v>308</v>
      </c>
      <c r="CE19" s="28" t="str">
        <f>TU[[#This Row],[Part Type]]</f>
        <v>Tube</v>
      </c>
      <c r="CF19" s="28" t="str">
        <f>TU[[#This Row],[Part Nr.]]</f>
        <v>60-HM4-2.75</v>
      </c>
      <c r="CG19" s="28" t="str">
        <f>TU[[#This Row],[UID]]</f>
        <v>TU-18</v>
      </c>
      <c r="CK19" s="18" t="str">
        <f>IF(TU[[#This Row],[Status]]=0,"",TU[[#This Row],[Status]])</f>
        <v>Active</v>
      </c>
    </row>
    <row r="20" spans="1:89">
      <c r="A20" s="18" t="s">
        <v>120</v>
      </c>
      <c r="B20" s="18" t="s">
        <v>67</v>
      </c>
      <c r="C20" s="54" t="s">
        <v>1462</v>
      </c>
      <c r="D20" s="28">
        <v>60000</v>
      </c>
      <c r="E20" s="54" t="s">
        <v>904</v>
      </c>
      <c r="F20" s="54">
        <v>221003</v>
      </c>
      <c r="G20" s="53">
        <v>16.8584</v>
      </c>
      <c r="H20" s="18" t="s">
        <v>253</v>
      </c>
      <c r="I20" s="18" t="s">
        <v>253</v>
      </c>
      <c r="J20" s="53">
        <v>2.75</v>
      </c>
      <c r="K20" s="53">
        <v>0.25</v>
      </c>
      <c r="L20" s="53">
        <v>8.3000000000000004E-2</v>
      </c>
      <c r="M20" s="18" t="s">
        <v>161</v>
      </c>
      <c r="N20" s="18" t="s">
        <v>129</v>
      </c>
      <c r="O20" s="18" t="s">
        <v>129</v>
      </c>
      <c r="P20" s="18" t="s">
        <v>128</v>
      </c>
      <c r="Q20" s="18" t="s">
        <v>173</v>
      </c>
      <c r="R20" s="20" t="s">
        <v>307</v>
      </c>
      <c r="CA20" s="1" t="s">
        <v>71</v>
      </c>
      <c r="CB20" s="1" t="s">
        <v>18</v>
      </c>
      <c r="CC20" s="1" t="s">
        <v>308</v>
      </c>
      <c r="CE20" s="28" t="str">
        <f>TU[[#This Row],[Part Type]]</f>
        <v>Tube</v>
      </c>
      <c r="CF20" s="28" t="str">
        <f>TU[[#This Row],[Part Nr.]]</f>
        <v>60-HM4-2.75</v>
      </c>
      <c r="CG20" s="28" t="str">
        <f>TU[[#This Row],[UID]]</f>
        <v>TU-19</v>
      </c>
      <c r="CK20" s="18" t="str">
        <f>IF(TU[[#This Row],[Status]]=0,"",TU[[#This Row],[Status]])</f>
        <v>Active</v>
      </c>
    </row>
    <row r="21" spans="1:89">
      <c r="A21" s="18" t="s">
        <v>120</v>
      </c>
      <c r="B21" s="18" t="s">
        <v>67</v>
      </c>
      <c r="C21" s="54" t="s">
        <v>1463</v>
      </c>
      <c r="D21" s="28">
        <v>60000</v>
      </c>
      <c r="E21" s="54" t="s">
        <v>904</v>
      </c>
      <c r="F21" s="54">
        <v>221003</v>
      </c>
      <c r="G21" s="53">
        <v>16.858000000000001</v>
      </c>
      <c r="H21" s="18" t="s">
        <v>253</v>
      </c>
      <c r="I21" s="18" t="s">
        <v>253</v>
      </c>
      <c r="J21" s="53">
        <v>2.75</v>
      </c>
      <c r="K21" s="53">
        <v>0.25</v>
      </c>
      <c r="L21" s="53">
        <v>8.3000000000000004E-2</v>
      </c>
      <c r="M21" s="18" t="s">
        <v>161</v>
      </c>
      <c r="N21" s="18" t="s">
        <v>129</v>
      </c>
      <c r="O21" s="18" t="s">
        <v>129</v>
      </c>
      <c r="P21" s="18" t="s">
        <v>128</v>
      </c>
      <c r="Q21" s="18" t="s">
        <v>173</v>
      </c>
      <c r="R21" s="20" t="s">
        <v>307</v>
      </c>
      <c r="CA21" s="1" t="s">
        <v>71</v>
      </c>
      <c r="CB21" s="1" t="s">
        <v>18</v>
      </c>
      <c r="CC21" s="1" t="s">
        <v>308</v>
      </c>
      <c r="CE21" s="28" t="str">
        <f>TU[[#This Row],[Part Type]]</f>
        <v>Tube</v>
      </c>
      <c r="CF21" s="28" t="str">
        <f>TU[[#This Row],[Part Nr.]]</f>
        <v>60-HM4-2.75</v>
      </c>
      <c r="CG21" s="28" t="str">
        <f>TU[[#This Row],[UID]]</f>
        <v>TU-20</v>
      </c>
      <c r="CK21" s="18" t="str">
        <f>IF(TU[[#This Row],[Status]]=0,"",TU[[#This Row],[Status]])</f>
        <v>Active</v>
      </c>
    </row>
    <row r="22" spans="1:89">
      <c r="A22" s="18" t="s">
        <v>120</v>
      </c>
      <c r="B22" s="18" t="s">
        <v>67</v>
      </c>
      <c r="C22" s="54" t="s">
        <v>999</v>
      </c>
      <c r="D22" s="28">
        <v>60000</v>
      </c>
      <c r="E22" s="54" t="s">
        <v>904</v>
      </c>
      <c r="F22" s="54">
        <v>221003</v>
      </c>
      <c r="G22" s="53">
        <v>16.956700000000001</v>
      </c>
      <c r="H22" s="18" t="s">
        <v>253</v>
      </c>
      <c r="I22" s="18" t="s">
        <v>253</v>
      </c>
      <c r="J22" s="53">
        <v>2.75</v>
      </c>
      <c r="K22" s="53">
        <v>0.25</v>
      </c>
      <c r="L22" s="53">
        <v>8.3000000000000004E-2</v>
      </c>
      <c r="M22" s="18" t="s">
        <v>161</v>
      </c>
      <c r="N22" s="18" t="s">
        <v>129</v>
      </c>
      <c r="O22" s="18" t="s">
        <v>129</v>
      </c>
      <c r="P22" s="18" t="s">
        <v>128</v>
      </c>
      <c r="Q22" s="18" t="s">
        <v>173</v>
      </c>
      <c r="R22" s="20" t="s">
        <v>307</v>
      </c>
      <c r="CA22" s="1" t="s">
        <v>71</v>
      </c>
      <c r="CB22" s="1" t="s">
        <v>18</v>
      </c>
      <c r="CC22" s="1" t="s">
        <v>308</v>
      </c>
      <c r="CE22" s="28" t="str">
        <f>TU[[#This Row],[Part Type]]</f>
        <v>Tube</v>
      </c>
      <c r="CF22" s="28" t="str">
        <f>TU[[#This Row],[Part Nr.]]</f>
        <v>60-HM4-2.75</v>
      </c>
      <c r="CG22" s="28" t="str">
        <f>TU[[#This Row],[UID]]</f>
        <v>TU-21</v>
      </c>
      <c r="CK22" s="18" t="str">
        <f>IF(TU[[#This Row],[Status]]=0,"",TU[[#This Row],[Status]])</f>
        <v>Active</v>
      </c>
    </row>
    <row r="23" spans="1:89">
      <c r="A23" s="18" t="s">
        <v>120</v>
      </c>
      <c r="B23" s="18" t="s">
        <v>67</v>
      </c>
      <c r="C23" s="54" t="s">
        <v>1464</v>
      </c>
      <c r="D23" s="28">
        <v>60000</v>
      </c>
      <c r="E23" s="54" t="s">
        <v>904</v>
      </c>
      <c r="F23" s="54">
        <v>221003</v>
      </c>
      <c r="G23" s="53">
        <v>17.990100000000002</v>
      </c>
      <c r="H23" s="18" t="s">
        <v>253</v>
      </c>
      <c r="I23" s="18" t="s">
        <v>253</v>
      </c>
      <c r="J23" s="53">
        <v>2.75</v>
      </c>
      <c r="K23" s="53">
        <v>0.25</v>
      </c>
      <c r="L23" s="53">
        <v>8.3000000000000004E-2</v>
      </c>
      <c r="M23" s="18" t="s">
        <v>161</v>
      </c>
      <c r="N23" s="18" t="s">
        <v>129</v>
      </c>
      <c r="O23" s="18" t="s">
        <v>129</v>
      </c>
      <c r="P23" s="18" t="s">
        <v>128</v>
      </c>
      <c r="Q23" s="18" t="s">
        <v>173</v>
      </c>
      <c r="R23" s="20" t="s">
        <v>307</v>
      </c>
      <c r="CA23" s="1" t="s">
        <v>71</v>
      </c>
      <c r="CB23" s="1" t="s">
        <v>18</v>
      </c>
      <c r="CC23" s="1" t="s">
        <v>308</v>
      </c>
      <c r="CE23" s="28" t="str">
        <f>TU[[#This Row],[Part Type]]</f>
        <v>Tube</v>
      </c>
      <c r="CF23" s="28" t="str">
        <f>TU[[#This Row],[Part Nr.]]</f>
        <v>60-HM4-2.75</v>
      </c>
      <c r="CG23" s="28" t="str">
        <f>TU[[#This Row],[UID]]</f>
        <v>TU-22</v>
      </c>
      <c r="CK23" s="18" t="str">
        <f>IF(TU[[#This Row],[Status]]=0,"",TU[[#This Row],[Status]])</f>
        <v>Active</v>
      </c>
    </row>
    <row r="24" spans="1:89">
      <c r="A24" s="18" t="s">
        <v>120</v>
      </c>
      <c r="B24" s="18" t="s">
        <v>67</v>
      </c>
      <c r="C24" s="54" t="s">
        <v>1465</v>
      </c>
      <c r="D24" s="28">
        <v>60000</v>
      </c>
      <c r="E24" s="54" t="s">
        <v>904</v>
      </c>
      <c r="F24" s="54">
        <v>221003</v>
      </c>
      <c r="G24" s="53">
        <v>17.8565</v>
      </c>
      <c r="H24" s="18" t="s">
        <v>253</v>
      </c>
      <c r="I24" s="18" t="s">
        <v>253</v>
      </c>
      <c r="J24" s="53">
        <v>2.75</v>
      </c>
      <c r="K24" s="53">
        <v>0.25</v>
      </c>
      <c r="L24" s="53">
        <v>8.3000000000000004E-2</v>
      </c>
      <c r="M24" s="18" t="s">
        <v>161</v>
      </c>
      <c r="N24" s="18" t="s">
        <v>129</v>
      </c>
      <c r="O24" s="18" t="s">
        <v>129</v>
      </c>
      <c r="P24" s="18" t="s">
        <v>128</v>
      </c>
      <c r="Q24" s="18" t="s">
        <v>173</v>
      </c>
      <c r="R24" s="20" t="s">
        <v>307</v>
      </c>
      <c r="CA24" s="1" t="s">
        <v>71</v>
      </c>
      <c r="CB24" s="1" t="s">
        <v>18</v>
      </c>
      <c r="CC24" s="1" t="s">
        <v>308</v>
      </c>
      <c r="CE24" s="28" t="str">
        <f>TU[[#This Row],[Part Type]]</f>
        <v>Tube</v>
      </c>
      <c r="CF24" s="28" t="str">
        <f>TU[[#This Row],[Part Nr.]]</f>
        <v>60-HM4-2.75</v>
      </c>
      <c r="CG24" s="28" t="str">
        <f>TU[[#This Row],[UID]]</f>
        <v>TU-23</v>
      </c>
      <c r="CK24" s="18" t="str">
        <f>IF(TU[[#This Row],[Status]]=0,"",TU[[#This Row],[Status]])</f>
        <v>Active</v>
      </c>
    </row>
    <row r="25" spans="1:89">
      <c r="A25" s="18" t="s">
        <v>120</v>
      </c>
      <c r="B25" s="18" t="s">
        <v>67</v>
      </c>
      <c r="C25" s="54" t="s">
        <v>975</v>
      </c>
      <c r="D25" s="28">
        <v>60000</v>
      </c>
      <c r="E25" s="54" t="s">
        <v>904</v>
      </c>
      <c r="F25" s="54">
        <v>221003</v>
      </c>
      <c r="G25" s="53">
        <v>16.9405</v>
      </c>
      <c r="H25" s="18" t="s">
        <v>253</v>
      </c>
      <c r="I25" s="18" t="s">
        <v>253</v>
      </c>
      <c r="J25" s="53">
        <v>2.75</v>
      </c>
      <c r="K25" s="53">
        <v>0.25</v>
      </c>
      <c r="L25" s="53">
        <v>8.3000000000000004E-2</v>
      </c>
      <c r="M25" s="18" t="s">
        <v>161</v>
      </c>
      <c r="N25" s="18" t="s">
        <v>129</v>
      </c>
      <c r="O25" s="18" t="s">
        <v>129</v>
      </c>
      <c r="P25" s="18" t="s">
        <v>128</v>
      </c>
      <c r="Q25" s="18" t="s">
        <v>173</v>
      </c>
      <c r="R25" s="20" t="s">
        <v>307</v>
      </c>
      <c r="CA25" s="1" t="s">
        <v>71</v>
      </c>
      <c r="CB25" s="1" t="s">
        <v>18</v>
      </c>
      <c r="CC25" s="1" t="s">
        <v>308</v>
      </c>
      <c r="CE25" s="28" t="str">
        <f>TU[[#This Row],[Part Type]]</f>
        <v>Tube</v>
      </c>
      <c r="CF25" s="28" t="str">
        <f>TU[[#This Row],[Part Nr.]]</f>
        <v>60-HM4-2.75</v>
      </c>
      <c r="CG25" s="28" t="str">
        <f>TU[[#This Row],[UID]]</f>
        <v>TU-24</v>
      </c>
      <c r="CK25" s="18" t="str">
        <f>IF(TU[[#This Row],[Status]]=0,"",TU[[#This Row],[Status]])</f>
        <v>Active</v>
      </c>
    </row>
    <row r="26" spans="1:89">
      <c r="A26" s="18" t="s">
        <v>120</v>
      </c>
      <c r="B26" s="18" t="s">
        <v>67</v>
      </c>
      <c r="C26" s="54" t="s">
        <v>1466</v>
      </c>
      <c r="D26" s="28">
        <v>60000</v>
      </c>
      <c r="E26" s="54" t="s">
        <v>904</v>
      </c>
      <c r="F26" s="54">
        <v>221003</v>
      </c>
      <c r="G26" s="53">
        <v>16.6753</v>
      </c>
      <c r="H26" s="18" t="s">
        <v>253</v>
      </c>
      <c r="I26" s="18" t="s">
        <v>253</v>
      </c>
      <c r="J26" s="53">
        <v>2.75</v>
      </c>
      <c r="K26" s="53">
        <v>0.25</v>
      </c>
      <c r="L26" s="53">
        <v>8.3000000000000004E-2</v>
      </c>
      <c r="M26" s="18" t="s">
        <v>161</v>
      </c>
      <c r="N26" s="18" t="s">
        <v>129</v>
      </c>
      <c r="O26" s="18" t="s">
        <v>129</v>
      </c>
      <c r="P26" s="18" t="s">
        <v>128</v>
      </c>
      <c r="Q26" s="18" t="s">
        <v>173</v>
      </c>
      <c r="R26" s="20" t="s">
        <v>307</v>
      </c>
      <c r="CA26" s="1" t="s">
        <v>71</v>
      </c>
      <c r="CB26" s="1" t="s">
        <v>18</v>
      </c>
      <c r="CC26" s="1" t="s">
        <v>308</v>
      </c>
      <c r="CE26" s="28" t="str">
        <f>TU[[#This Row],[Part Type]]</f>
        <v>Tube</v>
      </c>
      <c r="CF26" s="28" t="str">
        <f>TU[[#This Row],[Part Nr.]]</f>
        <v>60-HM4-2.75</v>
      </c>
      <c r="CG26" s="28" t="str">
        <f>TU[[#This Row],[UID]]</f>
        <v>TU-25</v>
      </c>
      <c r="CK26" s="18" t="str">
        <f>IF(TU[[#This Row],[Status]]=0,"",TU[[#This Row],[Status]])</f>
        <v>Active</v>
      </c>
    </row>
    <row r="27" spans="1:89">
      <c r="A27" s="18" t="s">
        <v>120</v>
      </c>
      <c r="B27" s="18" t="s">
        <v>67</v>
      </c>
      <c r="C27" s="54" t="s">
        <v>1467</v>
      </c>
      <c r="D27" s="28">
        <v>60000</v>
      </c>
      <c r="E27" s="54" t="s">
        <v>904</v>
      </c>
      <c r="F27" s="54">
        <v>221003</v>
      </c>
      <c r="G27" s="53">
        <v>16.887599999999999</v>
      </c>
      <c r="H27" s="18" t="s">
        <v>253</v>
      </c>
      <c r="I27" s="18" t="s">
        <v>253</v>
      </c>
      <c r="J27" s="53">
        <v>2.75</v>
      </c>
      <c r="K27" s="53">
        <v>0.25</v>
      </c>
      <c r="L27" s="53">
        <v>8.3000000000000004E-2</v>
      </c>
      <c r="M27" s="18" t="s">
        <v>161</v>
      </c>
      <c r="N27" s="18" t="s">
        <v>129</v>
      </c>
      <c r="O27" s="18" t="s">
        <v>129</v>
      </c>
      <c r="P27" s="18" t="s">
        <v>128</v>
      </c>
      <c r="Q27" s="18" t="s">
        <v>173</v>
      </c>
      <c r="R27" s="20" t="s">
        <v>307</v>
      </c>
      <c r="CA27" s="1" t="s">
        <v>71</v>
      </c>
      <c r="CB27" s="1" t="s">
        <v>18</v>
      </c>
      <c r="CC27" s="1" t="s">
        <v>308</v>
      </c>
      <c r="CE27" s="28" t="str">
        <f>TU[[#This Row],[Part Type]]</f>
        <v>Tube</v>
      </c>
      <c r="CF27" s="28" t="str">
        <f>TU[[#This Row],[Part Nr.]]</f>
        <v>60-HM4-2.75</v>
      </c>
      <c r="CG27" s="28" t="str">
        <f>TU[[#This Row],[UID]]</f>
        <v>TU-26</v>
      </c>
      <c r="CK27" s="18" t="str">
        <f>IF(TU[[#This Row],[Status]]=0,"",TU[[#This Row],[Status]])</f>
        <v>Active</v>
      </c>
    </row>
    <row r="28" spans="1:89">
      <c r="A28" s="18" t="s">
        <v>120</v>
      </c>
      <c r="B28" s="18" t="s">
        <v>67</v>
      </c>
      <c r="C28" s="54" t="s">
        <v>1468</v>
      </c>
      <c r="D28" s="28">
        <v>60000</v>
      </c>
      <c r="E28" s="54" t="s">
        <v>904</v>
      </c>
      <c r="F28" s="54">
        <v>221003</v>
      </c>
      <c r="G28" s="53">
        <v>16.871300000000002</v>
      </c>
      <c r="H28" s="18" t="s">
        <v>253</v>
      </c>
      <c r="I28" s="18" t="s">
        <v>253</v>
      </c>
      <c r="J28" s="53">
        <v>2.75</v>
      </c>
      <c r="K28" s="53">
        <v>0.25</v>
      </c>
      <c r="L28" s="53">
        <v>8.3000000000000004E-2</v>
      </c>
      <c r="M28" s="18" t="s">
        <v>161</v>
      </c>
      <c r="N28" s="18" t="s">
        <v>129</v>
      </c>
      <c r="O28" s="18" t="s">
        <v>129</v>
      </c>
      <c r="P28" s="18" t="s">
        <v>128</v>
      </c>
      <c r="Q28" s="18" t="s">
        <v>173</v>
      </c>
      <c r="R28" s="20" t="s">
        <v>307</v>
      </c>
      <c r="CA28" s="1" t="s">
        <v>71</v>
      </c>
      <c r="CB28" s="1" t="s">
        <v>18</v>
      </c>
      <c r="CC28" s="1" t="s">
        <v>308</v>
      </c>
      <c r="CE28" s="28" t="str">
        <f>TU[[#This Row],[Part Type]]</f>
        <v>Tube</v>
      </c>
      <c r="CF28" s="28" t="str">
        <f>TU[[#This Row],[Part Nr.]]</f>
        <v>60-HM4-2.75</v>
      </c>
      <c r="CG28" s="28" t="str">
        <f>TU[[#This Row],[UID]]</f>
        <v>TU-27</v>
      </c>
      <c r="CK28" s="18" t="str">
        <f>IF(TU[[#This Row],[Status]]=0,"",TU[[#This Row],[Status]])</f>
        <v>Active</v>
      </c>
    </row>
    <row r="29" spans="1:89">
      <c r="A29" s="18" t="s">
        <v>120</v>
      </c>
      <c r="B29" s="18" t="s">
        <v>67</v>
      </c>
      <c r="C29" s="54" t="s">
        <v>1469</v>
      </c>
      <c r="D29" s="28">
        <v>60000</v>
      </c>
      <c r="E29" s="54" t="s">
        <v>904</v>
      </c>
      <c r="F29" s="54">
        <v>221003</v>
      </c>
      <c r="G29" s="53">
        <v>16.898199999999999</v>
      </c>
      <c r="H29" s="18" t="s">
        <v>253</v>
      </c>
      <c r="I29" s="18" t="s">
        <v>253</v>
      </c>
      <c r="J29" s="53">
        <v>2.75</v>
      </c>
      <c r="K29" s="53">
        <v>0.25</v>
      </c>
      <c r="L29" s="53">
        <v>8.3000000000000004E-2</v>
      </c>
      <c r="M29" s="18" t="s">
        <v>161</v>
      </c>
      <c r="N29" s="18" t="s">
        <v>129</v>
      </c>
      <c r="O29" s="18" t="s">
        <v>129</v>
      </c>
      <c r="P29" s="18" t="s">
        <v>128</v>
      </c>
      <c r="Q29" s="18" t="s">
        <v>173</v>
      </c>
      <c r="R29" s="20" t="s">
        <v>307</v>
      </c>
      <c r="CA29" s="1" t="s">
        <v>71</v>
      </c>
      <c r="CB29" s="1" t="s">
        <v>18</v>
      </c>
      <c r="CC29" s="1" t="s">
        <v>308</v>
      </c>
      <c r="CE29" s="28" t="str">
        <f>TU[[#This Row],[Part Type]]</f>
        <v>Tube</v>
      </c>
      <c r="CF29" s="28" t="str">
        <f>TU[[#This Row],[Part Nr.]]</f>
        <v>60-HM4-2.75</v>
      </c>
      <c r="CG29" s="28" t="str">
        <f>TU[[#This Row],[UID]]</f>
        <v>TU-28</v>
      </c>
      <c r="CK29" s="18" t="str">
        <f>IF(TU[[#This Row],[Status]]=0,"",TU[[#This Row],[Status]])</f>
        <v>Active</v>
      </c>
    </row>
    <row r="30" spans="1:89">
      <c r="A30" s="18" t="s">
        <v>120</v>
      </c>
      <c r="B30" s="18" t="s">
        <v>67</v>
      </c>
      <c r="C30" s="54" t="s">
        <v>994</v>
      </c>
      <c r="D30" s="28">
        <v>60000</v>
      </c>
      <c r="E30" s="54" t="s">
        <v>904</v>
      </c>
      <c r="F30" s="54">
        <v>221003</v>
      </c>
      <c r="G30" s="53">
        <v>16.8581</v>
      </c>
      <c r="H30" s="18" t="s">
        <v>253</v>
      </c>
      <c r="I30" s="18" t="s">
        <v>253</v>
      </c>
      <c r="J30" s="53">
        <v>2.75</v>
      </c>
      <c r="K30" s="53">
        <v>0.25</v>
      </c>
      <c r="L30" s="53">
        <v>8.3000000000000004E-2</v>
      </c>
      <c r="M30" s="18" t="s">
        <v>161</v>
      </c>
      <c r="N30" s="18" t="s">
        <v>129</v>
      </c>
      <c r="O30" s="18" t="s">
        <v>129</v>
      </c>
      <c r="P30" s="18" t="s">
        <v>128</v>
      </c>
      <c r="Q30" s="18" t="s">
        <v>173</v>
      </c>
      <c r="R30" s="20" t="s">
        <v>307</v>
      </c>
      <c r="CA30" s="1" t="s">
        <v>71</v>
      </c>
      <c r="CB30" s="1" t="s">
        <v>18</v>
      </c>
      <c r="CC30" s="1" t="s">
        <v>308</v>
      </c>
      <c r="CE30" s="28" t="str">
        <f>TU[[#This Row],[Part Type]]</f>
        <v>Tube</v>
      </c>
      <c r="CF30" s="28" t="str">
        <f>TU[[#This Row],[Part Nr.]]</f>
        <v>60-HM4-2.75</v>
      </c>
      <c r="CG30" s="28" t="str">
        <f>TU[[#This Row],[UID]]</f>
        <v>TU-29</v>
      </c>
      <c r="CK30" s="18" t="str">
        <f>IF(TU[[#This Row],[Status]]=0,"",TU[[#This Row],[Status]])</f>
        <v>Active</v>
      </c>
    </row>
    <row r="31" spans="1:89">
      <c r="A31" s="18" t="s">
        <v>120</v>
      </c>
      <c r="B31" s="18" t="s">
        <v>67</v>
      </c>
      <c r="C31" s="54" t="s">
        <v>981</v>
      </c>
      <c r="D31" s="28">
        <v>60000</v>
      </c>
      <c r="E31" s="54" t="s">
        <v>904</v>
      </c>
      <c r="F31" s="54">
        <v>221003</v>
      </c>
      <c r="G31" s="53">
        <v>17.0303</v>
      </c>
      <c r="H31" s="18" t="s">
        <v>253</v>
      </c>
      <c r="I31" s="18" t="s">
        <v>253</v>
      </c>
      <c r="J31" s="53">
        <v>2.75</v>
      </c>
      <c r="K31" s="53">
        <v>0.25</v>
      </c>
      <c r="L31" s="53">
        <v>8.3000000000000004E-2</v>
      </c>
      <c r="M31" s="18" t="s">
        <v>161</v>
      </c>
      <c r="N31" s="18" t="s">
        <v>129</v>
      </c>
      <c r="O31" s="18" t="s">
        <v>129</v>
      </c>
      <c r="P31" s="18" t="s">
        <v>128</v>
      </c>
      <c r="Q31" s="18" t="s">
        <v>173</v>
      </c>
      <c r="R31" s="20" t="s">
        <v>307</v>
      </c>
      <c r="CA31" s="1" t="s">
        <v>71</v>
      </c>
      <c r="CB31" s="1" t="s">
        <v>18</v>
      </c>
      <c r="CC31" s="1" t="s">
        <v>308</v>
      </c>
      <c r="CE31" s="28" t="str">
        <f>TU[[#This Row],[Part Type]]</f>
        <v>Tube</v>
      </c>
      <c r="CF31" s="28" t="str">
        <f>TU[[#This Row],[Part Nr.]]</f>
        <v>60-HM4-2.75</v>
      </c>
      <c r="CG31" s="28" t="str">
        <f>TU[[#This Row],[UID]]</f>
        <v>TU-30</v>
      </c>
      <c r="CK31" s="18" t="str">
        <f>IF(TU[[#This Row],[Status]]=0,"",TU[[#This Row],[Status]])</f>
        <v>Active</v>
      </c>
    </row>
    <row r="32" spans="1:89">
      <c r="A32" s="18" t="s">
        <v>120</v>
      </c>
      <c r="B32" s="18" t="s">
        <v>67</v>
      </c>
      <c r="C32" s="54" t="s">
        <v>1470</v>
      </c>
      <c r="D32" s="28">
        <v>60000</v>
      </c>
      <c r="E32" s="54" t="s">
        <v>904</v>
      </c>
      <c r="F32" s="54">
        <v>221003</v>
      </c>
      <c r="G32" s="53">
        <v>16.9451</v>
      </c>
      <c r="H32" s="18" t="s">
        <v>253</v>
      </c>
      <c r="I32" s="18" t="s">
        <v>253</v>
      </c>
      <c r="J32" s="53">
        <v>2.75</v>
      </c>
      <c r="K32" s="53">
        <v>0.25</v>
      </c>
      <c r="L32" s="53">
        <v>8.3000000000000004E-2</v>
      </c>
      <c r="M32" s="18" t="s">
        <v>161</v>
      </c>
      <c r="N32" s="18" t="s">
        <v>129</v>
      </c>
      <c r="O32" s="18" t="s">
        <v>129</v>
      </c>
      <c r="P32" s="18" t="s">
        <v>128</v>
      </c>
      <c r="Q32" s="18" t="s">
        <v>173</v>
      </c>
      <c r="R32" s="20" t="s">
        <v>307</v>
      </c>
      <c r="CA32" s="1" t="s">
        <v>71</v>
      </c>
      <c r="CB32" s="1" t="s">
        <v>18</v>
      </c>
      <c r="CC32" s="1" t="s">
        <v>308</v>
      </c>
      <c r="CE32" s="28" t="str">
        <f>TU[[#This Row],[Part Type]]</f>
        <v>Tube</v>
      </c>
      <c r="CF32" s="28" t="str">
        <f>TU[[#This Row],[Part Nr.]]</f>
        <v>60-HM4-2.75</v>
      </c>
      <c r="CG32" s="28" t="str">
        <f>TU[[#This Row],[UID]]</f>
        <v>TU-31</v>
      </c>
      <c r="CK32" s="18" t="str">
        <f>IF(TU[[#This Row],[Status]]=0,"",TU[[#This Row],[Status]])</f>
        <v>Active</v>
      </c>
    </row>
    <row r="33" spans="1:89">
      <c r="A33" s="18" t="s">
        <v>120</v>
      </c>
      <c r="B33" s="18" t="s">
        <v>67</v>
      </c>
      <c r="C33" s="54" t="s">
        <v>976</v>
      </c>
      <c r="D33" s="28">
        <v>60000</v>
      </c>
      <c r="E33" s="54" t="s">
        <v>904</v>
      </c>
      <c r="F33" s="54">
        <v>221003</v>
      </c>
      <c r="G33" s="53">
        <v>56.258600000000001</v>
      </c>
      <c r="H33" s="18" t="s">
        <v>253</v>
      </c>
      <c r="I33" s="18" t="s">
        <v>253</v>
      </c>
      <c r="J33" s="53">
        <v>2.75</v>
      </c>
      <c r="K33" s="53">
        <v>0.25</v>
      </c>
      <c r="L33" s="53">
        <v>8.3000000000000004E-2</v>
      </c>
      <c r="M33" s="18" t="s">
        <v>161</v>
      </c>
      <c r="N33" s="18" t="s">
        <v>129</v>
      </c>
      <c r="O33" s="18" t="s">
        <v>129</v>
      </c>
      <c r="P33" s="18" t="s">
        <v>128</v>
      </c>
      <c r="Q33" s="18" t="s">
        <v>173</v>
      </c>
      <c r="R33" s="20" t="s">
        <v>307</v>
      </c>
      <c r="CA33" s="1" t="s">
        <v>71</v>
      </c>
      <c r="CB33" s="1" t="s">
        <v>18</v>
      </c>
      <c r="CC33" s="1" t="s">
        <v>308</v>
      </c>
      <c r="CE33" s="28" t="str">
        <f>TU[[#This Row],[Part Type]]</f>
        <v>Tube</v>
      </c>
      <c r="CF33" s="28" t="str">
        <f>TU[[#This Row],[Part Nr.]]</f>
        <v>60-HM4-2.75</v>
      </c>
      <c r="CG33" s="28" t="str">
        <f>TU[[#This Row],[UID]]</f>
        <v>TU-32</v>
      </c>
      <c r="CK33" s="18" t="str">
        <f>IF(TU[[#This Row],[Status]]=0,"",TU[[#This Row],[Status]])</f>
        <v>Active</v>
      </c>
    </row>
    <row r="34" spans="1:89">
      <c r="A34" s="18" t="s">
        <v>120</v>
      </c>
      <c r="B34" s="18" t="s">
        <v>67</v>
      </c>
      <c r="C34" s="54" t="s">
        <v>1015</v>
      </c>
      <c r="D34" s="28">
        <v>60000</v>
      </c>
      <c r="E34" s="54" t="s">
        <v>904</v>
      </c>
      <c r="F34" s="54">
        <v>221003</v>
      </c>
      <c r="G34" s="53">
        <v>56.542299999999997</v>
      </c>
      <c r="H34" s="18" t="s">
        <v>253</v>
      </c>
      <c r="I34" s="18" t="s">
        <v>253</v>
      </c>
      <c r="J34" s="53">
        <v>2.75</v>
      </c>
      <c r="K34" s="53">
        <v>0.25</v>
      </c>
      <c r="L34" s="53">
        <v>8.3000000000000004E-2</v>
      </c>
      <c r="M34" s="18" t="s">
        <v>161</v>
      </c>
      <c r="N34" s="18" t="s">
        <v>129</v>
      </c>
      <c r="O34" s="18" t="s">
        <v>129</v>
      </c>
      <c r="P34" s="18" t="s">
        <v>128</v>
      </c>
      <c r="Q34" s="18" t="s">
        <v>173</v>
      </c>
      <c r="R34" s="20" t="s">
        <v>307</v>
      </c>
      <c r="CA34" s="1" t="s">
        <v>71</v>
      </c>
      <c r="CB34" s="1" t="s">
        <v>18</v>
      </c>
      <c r="CC34" s="1" t="s">
        <v>308</v>
      </c>
      <c r="CE34" s="28" t="str">
        <f>TU[[#This Row],[Part Type]]</f>
        <v>Tube</v>
      </c>
      <c r="CF34" s="28" t="str">
        <f>TU[[#This Row],[Part Nr.]]</f>
        <v>60-HM4-2.75</v>
      </c>
      <c r="CG34" s="28" t="str">
        <f>TU[[#This Row],[UID]]</f>
        <v>TU-33</v>
      </c>
      <c r="CK34" s="18" t="str">
        <f>IF(TU[[#This Row],[Status]]=0,"",TU[[#This Row],[Status]])</f>
        <v>Active</v>
      </c>
    </row>
    <row r="35" spans="1:89">
      <c r="A35" s="18" t="s">
        <v>120</v>
      </c>
      <c r="B35" s="18" t="s">
        <v>67</v>
      </c>
      <c r="C35" s="54" t="s">
        <v>998</v>
      </c>
      <c r="D35" s="28">
        <v>60000</v>
      </c>
      <c r="E35" s="54" t="s">
        <v>904</v>
      </c>
      <c r="F35" s="54">
        <v>221003</v>
      </c>
      <c r="G35" s="53">
        <v>57.488399999999999</v>
      </c>
      <c r="H35" s="18" t="s">
        <v>253</v>
      </c>
      <c r="I35" s="18" t="s">
        <v>253</v>
      </c>
      <c r="J35" s="53">
        <v>2.75</v>
      </c>
      <c r="K35" s="53">
        <v>0.25</v>
      </c>
      <c r="L35" s="53">
        <v>8.3000000000000004E-2</v>
      </c>
      <c r="M35" s="18" t="s">
        <v>161</v>
      </c>
      <c r="N35" s="18" t="s">
        <v>129</v>
      </c>
      <c r="O35" s="18" t="s">
        <v>129</v>
      </c>
      <c r="P35" s="18" t="s">
        <v>128</v>
      </c>
      <c r="Q35" s="18" t="s">
        <v>173</v>
      </c>
      <c r="R35" s="20" t="s">
        <v>307</v>
      </c>
      <c r="CA35" s="1" t="s">
        <v>71</v>
      </c>
      <c r="CB35" s="1" t="s">
        <v>18</v>
      </c>
      <c r="CC35" s="1" t="s">
        <v>308</v>
      </c>
      <c r="CE35" s="28" t="str">
        <f>TU[[#This Row],[Part Type]]</f>
        <v>Tube</v>
      </c>
      <c r="CF35" s="28" t="str">
        <f>TU[[#This Row],[Part Nr.]]</f>
        <v>60-HM4-2.75</v>
      </c>
      <c r="CG35" s="28" t="str">
        <f>TU[[#This Row],[UID]]</f>
        <v>TU-34</v>
      </c>
      <c r="CK35" s="18" t="str">
        <f>IF(TU[[#This Row],[Status]]=0,"",TU[[#This Row],[Status]])</f>
        <v>Active</v>
      </c>
    </row>
    <row r="36" spans="1:89">
      <c r="A36" s="18" t="s">
        <v>120</v>
      </c>
      <c r="B36" s="18" t="s">
        <v>67</v>
      </c>
      <c r="C36" s="54" t="s">
        <v>1471</v>
      </c>
      <c r="D36" s="28">
        <v>60000</v>
      </c>
      <c r="E36" s="54" t="s">
        <v>904</v>
      </c>
      <c r="F36" s="54">
        <v>221003</v>
      </c>
      <c r="G36" s="53">
        <v>56.484699999999997</v>
      </c>
      <c r="H36" s="18" t="s">
        <v>253</v>
      </c>
      <c r="I36" s="18" t="s">
        <v>253</v>
      </c>
      <c r="J36" s="53">
        <v>2.75</v>
      </c>
      <c r="K36" s="53">
        <v>0.25</v>
      </c>
      <c r="L36" s="53">
        <v>8.3000000000000004E-2</v>
      </c>
      <c r="M36" s="18" t="s">
        <v>161</v>
      </c>
      <c r="N36" s="18" t="s">
        <v>129</v>
      </c>
      <c r="O36" s="18" t="s">
        <v>129</v>
      </c>
      <c r="P36" s="18" t="s">
        <v>128</v>
      </c>
      <c r="Q36" s="18" t="s">
        <v>173</v>
      </c>
      <c r="R36" s="20" t="s">
        <v>307</v>
      </c>
      <c r="CA36" s="1" t="s">
        <v>71</v>
      </c>
      <c r="CB36" s="1" t="s">
        <v>18</v>
      </c>
      <c r="CC36" s="1" t="s">
        <v>308</v>
      </c>
      <c r="CE36" s="28" t="str">
        <f>TU[[#This Row],[Part Type]]</f>
        <v>Tube</v>
      </c>
      <c r="CF36" s="28" t="str">
        <f>TU[[#This Row],[Part Nr.]]</f>
        <v>60-HM4-2.75</v>
      </c>
      <c r="CG36" s="28" t="str">
        <f>TU[[#This Row],[UID]]</f>
        <v>TU-35</v>
      </c>
      <c r="CK36" s="18" t="str">
        <f>IF(TU[[#This Row],[Status]]=0,"",TU[[#This Row],[Status]])</f>
        <v>Active</v>
      </c>
    </row>
    <row r="37" spans="1:89">
      <c r="A37" s="18" t="s">
        <v>120</v>
      </c>
      <c r="B37" s="18" t="s">
        <v>67</v>
      </c>
      <c r="C37" s="54" t="s">
        <v>969</v>
      </c>
      <c r="D37" s="28">
        <v>60000</v>
      </c>
      <c r="E37" s="54" t="s">
        <v>904</v>
      </c>
      <c r="F37" s="54">
        <v>221003</v>
      </c>
      <c r="G37" s="53">
        <v>56.369700000000002</v>
      </c>
      <c r="H37" s="18" t="s">
        <v>253</v>
      </c>
      <c r="I37" s="18" t="s">
        <v>253</v>
      </c>
      <c r="J37" s="53">
        <v>2.75</v>
      </c>
      <c r="K37" s="53">
        <v>0.25</v>
      </c>
      <c r="L37" s="53">
        <v>8.3000000000000004E-2</v>
      </c>
      <c r="M37" s="18" t="s">
        <v>161</v>
      </c>
      <c r="N37" s="18" t="s">
        <v>129</v>
      </c>
      <c r="O37" s="18" t="s">
        <v>129</v>
      </c>
      <c r="P37" s="18" t="s">
        <v>128</v>
      </c>
      <c r="Q37" s="18" t="s">
        <v>173</v>
      </c>
      <c r="R37" s="20" t="s">
        <v>307</v>
      </c>
      <c r="CA37" s="1" t="s">
        <v>71</v>
      </c>
      <c r="CB37" s="1" t="s">
        <v>18</v>
      </c>
      <c r="CC37" s="1" t="s">
        <v>308</v>
      </c>
      <c r="CE37" s="28" t="str">
        <f>TU[[#This Row],[Part Type]]</f>
        <v>Tube</v>
      </c>
      <c r="CF37" s="28" t="str">
        <f>TU[[#This Row],[Part Nr.]]</f>
        <v>60-HM4-2.75</v>
      </c>
      <c r="CG37" s="28" t="str">
        <f>TU[[#This Row],[UID]]</f>
        <v>TU-36</v>
      </c>
      <c r="CK37" s="18" t="str">
        <f>IF(TU[[#This Row],[Status]]=0,"",TU[[#This Row],[Status]])</f>
        <v>Active</v>
      </c>
    </row>
    <row r="38" spans="1:89">
      <c r="A38" s="18" t="s">
        <v>120</v>
      </c>
      <c r="B38" s="18" t="s">
        <v>67</v>
      </c>
      <c r="C38" s="54" t="s">
        <v>1004</v>
      </c>
      <c r="D38" s="28">
        <v>60000</v>
      </c>
      <c r="E38" s="54" t="s">
        <v>904</v>
      </c>
      <c r="F38" s="54">
        <v>221003</v>
      </c>
      <c r="G38" s="53">
        <v>56.6447</v>
      </c>
      <c r="H38" s="18" t="s">
        <v>253</v>
      </c>
      <c r="I38" s="18" t="s">
        <v>253</v>
      </c>
      <c r="J38" s="53">
        <v>2.75</v>
      </c>
      <c r="K38" s="53">
        <v>0.25</v>
      </c>
      <c r="L38" s="53">
        <v>8.3000000000000004E-2</v>
      </c>
      <c r="M38" s="18" t="s">
        <v>161</v>
      </c>
      <c r="N38" s="18" t="s">
        <v>129</v>
      </c>
      <c r="O38" s="18" t="s">
        <v>129</v>
      </c>
      <c r="P38" s="18" t="s">
        <v>128</v>
      </c>
      <c r="Q38" s="18" t="s">
        <v>173</v>
      </c>
      <c r="R38" s="20" t="s">
        <v>307</v>
      </c>
      <c r="CA38" s="1" t="s">
        <v>71</v>
      </c>
      <c r="CB38" s="1" t="s">
        <v>18</v>
      </c>
      <c r="CC38" s="1" t="s">
        <v>308</v>
      </c>
      <c r="CE38" s="28" t="str">
        <f>TU[[#This Row],[Part Type]]</f>
        <v>Tube</v>
      </c>
      <c r="CF38" s="28" t="str">
        <f>TU[[#This Row],[Part Nr.]]</f>
        <v>60-HM4-2.75</v>
      </c>
      <c r="CG38" s="28" t="str">
        <f>TU[[#This Row],[UID]]</f>
        <v>TU-37</v>
      </c>
      <c r="CK38" s="18" t="str">
        <f>IF(TU[[#This Row],[Status]]=0,"",TU[[#This Row],[Status]])</f>
        <v>Active</v>
      </c>
    </row>
    <row r="39" spans="1:89">
      <c r="A39" s="18" t="s">
        <v>120</v>
      </c>
      <c r="B39" s="18" t="s">
        <v>67</v>
      </c>
      <c r="C39" s="54" t="s">
        <v>1008</v>
      </c>
      <c r="D39" s="28">
        <v>60000</v>
      </c>
      <c r="E39" s="54" t="s">
        <v>904</v>
      </c>
      <c r="F39" s="54">
        <v>221003</v>
      </c>
      <c r="G39" s="53">
        <v>56.199100000000001</v>
      </c>
      <c r="H39" s="18" t="s">
        <v>253</v>
      </c>
      <c r="I39" s="18" t="s">
        <v>253</v>
      </c>
      <c r="J39" s="53">
        <v>2.75</v>
      </c>
      <c r="K39" s="53">
        <v>0.25</v>
      </c>
      <c r="L39" s="53">
        <v>8.3000000000000004E-2</v>
      </c>
      <c r="M39" s="18" t="s">
        <v>161</v>
      </c>
      <c r="N39" s="18" t="s">
        <v>129</v>
      </c>
      <c r="O39" s="18" t="s">
        <v>129</v>
      </c>
      <c r="P39" s="18" t="s">
        <v>128</v>
      </c>
      <c r="Q39" s="18" t="s">
        <v>173</v>
      </c>
      <c r="R39" s="20" t="s">
        <v>307</v>
      </c>
      <c r="CA39" s="1" t="s">
        <v>71</v>
      </c>
      <c r="CB39" s="1" t="s">
        <v>18</v>
      </c>
      <c r="CC39" s="1" t="s">
        <v>308</v>
      </c>
      <c r="CE39" s="28" t="str">
        <f>TU[[#This Row],[Part Type]]</f>
        <v>Tube</v>
      </c>
      <c r="CF39" s="28" t="str">
        <f>TU[[#This Row],[Part Nr.]]</f>
        <v>60-HM4-2.75</v>
      </c>
      <c r="CG39" s="28" t="str">
        <f>TU[[#This Row],[UID]]</f>
        <v>TU-38</v>
      </c>
      <c r="CK39" s="18" t="str">
        <f>IF(TU[[#This Row],[Status]]=0,"",TU[[#This Row],[Status]])</f>
        <v>Active</v>
      </c>
    </row>
    <row r="40" spans="1:89">
      <c r="A40" s="18" t="s">
        <v>120</v>
      </c>
      <c r="B40" s="18" t="s">
        <v>67</v>
      </c>
      <c r="C40" s="54" t="s">
        <v>1022</v>
      </c>
      <c r="D40" s="28">
        <v>60000</v>
      </c>
      <c r="E40" s="54" t="s">
        <v>904</v>
      </c>
      <c r="F40" s="54">
        <v>221003</v>
      </c>
      <c r="G40" s="53">
        <v>56.290900000000001</v>
      </c>
      <c r="H40" s="18" t="s">
        <v>253</v>
      </c>
      <c r="I40" s="18" t="s">
        <v>253</v>
      </c>
      <c r="J40" s="53">
        <v>2.75</v>
      </c>
      <c r="K40" s="53">
        <v>0.25</v>
      </c>
      <c r="L40" s="53">
        <v>8.3000000000000004E-2</v>
      </c>
      <c r="M40" s="18" t="s">
        <v>161</v>
      </c>
      <c r="N40" s="18" t="s">
        <v>129</v>
      </c>
      <c r="O40" s="18" t="s">
        <v>129</v>
      </c>
      <c r="P40" s="18" t="s">
        <v>128</v>
      </c>
      <c r="Q40" s="18" t="s">
        <v>173</v>
      </c>
      <c r="R40" s="20" t="s">
        <v>307</v>
      </c>
      <c r="CA40" s="1" t="s">
        <v>71</v>
      </c>
      <c r="CB40" s="1" t="s">
        <v>18</v>
      </c>
      <c r="CC40" s="1" t="s">
        <v>308</v>
      </c>
      <c r="CE40" s="28" t="str">
        <f>TU[[#This Row],[Part Type]]</f>
        <v>Tube</v>
      </c>
      <c r="CF40" s="28" t="str">
        <f>TU[[#This Row],[Part Nr.]]</f>
        <v>60-HM4-2.75</v>
      </c>
      <c r="CG40" s="28" t="str">
        <f>TU[[#This Row],[UID]]</f>
        <v>TU-39</v>
      </c>
      <c r="CK40" s="18" t="str">
        <f>IF(TU[[#This Row],[Status]]=0,"",TU[[#This Row],[Status]])</f>
        <v>Active</v>
      </c>
    </row>
    <row r="41" spans="1:89">
      <c r="A41" s="18" t="s">
        <v>120</v>
      </c>
      <c r="B41" s="18" t="s">
        <v>67</v>
      </c>
      <c r="C41" s="54" t="s">
        <v>989</v>
      </c>
      <c r="D41" s="28">
        <v>60000</v>
      </c>
      <c r="E41" s="54" t="s">
        <v>904</v>
      </c>
      <c r="F41" s="54">
        <v>221003</v>
      </c>
      <c r="G41" s="53">
        <v>56.0565</v>
      </c>
      <c r="H41" s="18" t="s">
        <v>253</v>
      </c>
      <c r="I41" s="18" t="s">
        <v>253</v>
      </c>
      <c r="J41" s="53">
        <v>2.75</v>
      </c>
      <c r="K41" s="53">
        <v>0.25</v>
      </c>
      <c r="L41" s="53">
        <v>8.3000000000000004E-2</v>
      </c>
      <c r="M41" s="18" t="s">
        <v>161</v>
      </c>
      <c r="N41" s="18" t="s">
        <v>129</v>
      </c>
      <c r="O41" s="18" t="s">
        <v>129</v>
      </c>
      <c r="P41" s="18" t="s">
        <v>128</v>
      </c>
      <c r="Q41" s="18" t="s">
        <v>173</v>
      </c>
      <c r="R41" s="20" t="s">
        <v>307</v>
      </c>
      <c r="CA41" s="1" t="s">
        <v>71</v>
      </c>
      <c r="CB41" s="1" t="s">
        <v>18</v>
      </c>
      <c r="CC41" s="1" t="s">
        <v>308</v>
      </c>
      <c r="CE41" s="28" t="str">
        <f>TU[[#This Row],[Part Type]]</f>
        <v>Tube</v>
      </c>
      <c r="CF41" s="28" t="str">
        <f>TU[[#This Row],[Part Nr.]]</f>
        <v>60-HM4-2.75</v>
      </c>
      <c r="CG41" s="28" t="str">
        <f>TU[[#This Row],[UID]]</f>
        <v>TU-40</v>
      </c>
      <c r="CK41" s="18" t="str">
        <f>IF(TU[[#This Row],[Status]]=0,"",TU[[#This Row],[Status]])</f>
        <v>Active</v>
      </c>
    </row>
    <row r="42" spans="1:89">
      <c r="A42" s="18" t="s">
        <v>120</v>
      </c>
      <c r="B42" s="18" t="s">
        <v>67</v>
      </c>
      <c r="C42" s="54" t="s">
        <v>1472</v>
      </c>
      <c r="D42" s="28">
        <v>60000</v>
      </c>
      <c r="E42" s="54" t="s">
        <v>904</v>
      </c>
      <c r="F42" s="54">
        <v>221003</v>
      </c>
      <c r="G42" s="53">
        <v>56.135100000000001</v>
      </c>
      <c r="H42" s="18" t="s">
        <v>253</v>
      </c>
      <c r="I42" s="18" t="s">
        <v>253</v>
      </c>
      <c r="J42" s="53">
        <v>2.75</v>
      </c>
      <c r="K42" s="53">
        <v>0.25</v>
      </c>
      <c r="L42" s="53">
        <v>8.3000000000000004E-2</v>
      </c>
      <c r="M42" s="18" t="s">
        <v>161</v>
      </c>
      <c r="N42" s="18" t="s">
        <v>129</v>
      </c>
      <c r="O42" s="18" t="s">
        <v>129</v>
      </c>
      <c r="P42" s="18" t="s">
        <v>128</v>
      </c>
      <c r="Q42" s="18" t="s">
        <v>173</v>
      </c>
      <c r="R42" s="20" t="s">
        <v>307</v>
      </c>
      <c r="CA42" s="1" t="s">
        <v>71</v>
      </c>
      <c r="CB42" s="1" t="s">
        <v>18</v>
      </c>
      <c r="CC42" s="1" t="s">
        <v>308</v>
      </c>
      <c r="CE42" s="28" t="str">
        <f>TU[[#This Row],[Part Type]]</f>
        <v>Tube</v>
      </c>
      <c r="CF42" s="28" t="str">
        <f>TU[[#This Row],[Part Nr.]]</f>
        <v>60-HM4-2.75</v>
      </c>
      <c r="CG42" s="28" t="str">
        <f>TU[[#This Row],[UID]]</f>
        <v>TU-41</v>
      </c>
      <c r="CK42" s="18" t="str">
        <f>IF(TU[[#This Row],[Status]]=0,"",TU[[#This Row],[Status]])</f>
        <v>Active</v>
      </c>
    </row>
    <row r="43" spans="1:89">
      <c r="A43" s="18" t="s">
        <v>120</v>
      </c>
      <c r="B43" s="18" t="s">
        <v>67</v>
      </c>
      <c r="C43" s="54" t="s">
        <v>1027</v>
      </c>
      <c r="D43" s="28">
        <v>60000</v>
      </c>
      <c r="E43" s="54" t="s">
        <v>904</v>
      </c>
      <c r="F43" s="54">
        <v>221003</v>
      </c>
      <c r="G43" s="53">
        <v>56.375900000000001</v>
      </c>
      <c r="H43" s="18" t="s">
        <v>253</v>
      </c>
      <c r="I43" s="18" t="s">
        <v>253</v>
      </c>
      <c r="J43" s="53">
        <v>2.75</v>
      </c>
      <c r="K43" s="53">
        <v>0.25</v>
      </c>
      <c r="L43" s="53">
        <v>8.3000000000000004E-2</v>
      </c>
      <c r="M43" s="18" t="s">
        <v>161</v>
      </c>
      <c r="N43" s="18" t="s">
        <v>129</v>
      </c>
      <c r="O43" s="18" t="s">
        <v>129</v>
      </c>
      <c r="P43" s="18" t="s">
        <v>128</v>
      </c>
      <c r="Q43" s="18" t="s">
        <v>173</v>
      </c>
      <c r="R43" s="20" t="s">
        <v>307</v>
      </c>
      <c r="CA43" s="1" t="s">
        <v>71</v>
      </c>
      <c r="CB43" s="1" t="s">
        <v>18</v>
      </c>
      <c r="CC43" s="1" t="s">
        <v>308</v>
      </c>
      <c r="CE43" s="28" t="str">
        <f>TU[[#This Row],[Part Type]]</f>
        <v>Tube</v>
      </c>
      <c r="CF43" s="28" t="str">
        <f>TU[[#This Row],[Part Nr.]]</f>
        <v>60-HM4-2.75</v>
      </c>
      <c r="CG43" s="28" t="str">
        <f>TU[[#This Row],[UID]]</f>
        <v>TU-42</v>
      </c>
      <c r="CK43" s="18" t="str">
        <f>IF(TU[[#This Row],[Status]]=0,"",TU[[#This Row],[Status]])</f>
        <v>Active</v>
      </c>
    </row>
    <row r="44" spans="1:89">
      <c r="A44" s="18" t="s">
        <v>120</v>
      </c>
      <c r="B44" s="18" t="s">
        <v>67</v>
      </c>
      <c r="C44" s="54" t="s">
        <v>983</v>
      </c>
      <c r="D44" s="28">
        <v>60000</v>
      </c>
      <c r="E44" s="54" t="s">
        <v>904</v>
      </c>
      <c r="F44" s="54">
        <v>221003</v>
      </c>
      <c r="G44" s="53">
        <v>56.504399999999997</v>
      </c>
      <c r="H44" s="18" t="s">
        <v>253</v>
      </c>
      <c r="I44" s="18" t="s">
        <v>253</v>
      </c>
      <c r="J44" s="53">
        <v>2.75</v>
      </c>
      <c r="K44" s="53">
        <v>0.25</v>
      </c>
      <c r="L44" s="53">
        <v>8.3000000000000004E-2</v>
      </c>
      <c r="M44" s="18" t="s">
        <v>161</v>
      </c>
      <c r="N44" s="18" t="s">
        <v>129</v>
      </c>
      <c r="O44" s="18" t="s">
        <v>129</v>
      </c>
      <c r="P44" s="18" t="s">
        <v>128</v>
      </c>
      <c r="Q44" s="18" t="s">
        <v>173</v>
      </c>
      <c r="R44" s="20" t="s">
        <v>307</v>
      </c>
      <c r="CA44" s="1" t="s">
        <v>71</v>
      </c>
      <c r="CB44" s="1" t="s">
        <v>18</v>
      </c>
      <c r="CC44" s="1" t="s">
        <v>308</v>
      </c>
      <c r="CE44" s="28" t="str">
        <f>TU[[#This Row],[Part Type]]</f>
        <v>Tube</v>
      </c>
      <c r="CF44" s="28" t="str">
        <f>TU[[#This Row],[Part Nr.]]</f>
        <v>60-HM4-2.75</v>
      </c>
      <c r="CG44" s="28" t="str">
        <f>TU[[#This Row],[UID]]</f>
        <v>TU-43</v>
      </c>
      <c r="CK44" s="18" t="str">
        <f>IF(TU[[#This Row],[Status]]=0,"",TU[[#This Row],[Status]])</f>
        <v>Active</v>
      </c>
    </row>
    <row r="45" spans="1:89">
      <c r="A45" s="18" t="s">
        <v>120</v>
      </c>
      <c r="B45" s="18" t="s">
        <v>67</v>
      </c>
      <c r="C45" s="54" t="s">
        <v>1473</v>
      </c>
      <c r="D45" s="28">
        <v>60000</v>
      </c>
      <c r="E45" s="54" t="s">
        <v>904</v>
      </c>
      <c r="F45" s="54">
        <v>221003</v>
      </c>
      <c r="G45" s="53">
        <v>56.382100000000001</v>
      </c>
      <c r="H45" s="18" t="s">
        <v>253</v>
      </c>
      <c r="I45" s="18" t="s">
        <v>253</v>
      </c>
      <c r="J45" s="53">
        <v>2.75</v>
      </c>
      <c r="K45" s="53">
        <v>0.25</v>
      </c>
      <c r="L45" s="53">
        <v>8.3000000000000004E-2</v>
      </c>
      <c r="M45" s="18" t="s">
        <v>161</v>
      </c>
      <c r="N45" s="18" t="s">
        <v>129</v>
      </c>
      <c r="O45" s="18" t="s">
        <v>129</v>
      </c>
      <c r="P45" s="18" t="s">
        <v>128</v>
      </c>
      <c r="Q45" s="18" t="s">
        <v>173</v>
      </c>
      <c r="R45" s="20" t="s">
        <v>307</v>
      </c>
      <c r="CA45" s="1" t="s">
        <v>71</v>
      </c>
      <c r="CB45" s="1" t="s">
        <v>18</v>
      </c>
      <c r="CC45" s="1" t="s">
        <v>308</v>
      </c>
      <c r="CE45" s="28" t="str">
        <f>TU[[#This Row],[Part Type]]</f>
        <v>Tube</v>
      </c>
      <c r="CF45" s="28" t="str">
        <f>TU[[#This Row],[Part Nr.]]</f>
        <v>60-HM4-2.75</v>
      </c>
      <c r="CG45" s="28" t="str">
        <f>TU[[#This Row],[UID]]</f>
        <v>TU-44</v>
      </c>
      <c r="CK45" s="18" t="str">
        <f>IF(TU[[#This Row],[Status]]=0,"",TU[[#This Row],[Status]])</f>
        <v>Active</v>
      </c>
    </row>
    <row r="46" spans="1:89">
      <c r="A46" s="18" t="s">
        <v>120</v>
      </c>
      <c r="B46" s="18" t="s">
        <v>67</v>
      </c>
      <c r="C46" s="54" t="s">
        <v>977</v>
      </c>
      <c r="D46" s="28">
        <v>60000</v>
      </c>
      <c r="E46" s="54" t="s">
        <v>904</v>
      </c>
      <c r="F46" s="54">
        <v>221003</v>
      </c>
      <c r="G46" s="53">
        <v>56.227899999999998</v>
      </c>
      <c r="H46" s="18" t="s">
        <v>253</v>
      </c>
      <c r="I46" s="18" t="s">
        <v>253</v>
      </c>
      <c r="J46" s="53">
        <v>2.75</v>
      </c>
      <c r="K46" s="53">
        <v>0.25</v>
      </c>
      <c r="L46" s="53">
        <v>8.3000000000000004E-2</v>
      </c>
      <c r="M46" s="18" t="s">
        <v>161</v>
      </c>
      <c r="N46" s="18" t="s">
        <v>129</v>
      </c>
      <c r="O46" s="18" t="s">
        <v>129</v>
      </c>
      <c r="P46" s="18" t="s">
        <v>128</v>
      </c>
      <c r="Q46" s="18" t="s">
        <v>173</v>
      </c>
      <c r="R46" s="20" t="s">
        <v>307</v>
      </c>
      <c r="CA46" s="1" t="s">
        <v>71</v>
      </c>
      <c r="CB46" s="1" t="s">
        <v>18</v>
      </c>
      <c r="CC46" s="1" t="s">
        <v>308</v>
      </c>
      <c r="CE46" s="28" t="str">
        <f>TU[[#This Row],[Part Type]]</f>
        <v>Tube</v>
      </c>
      <c r="CF46" s="28" t="str">
        <f>TU[[#This Row],[Part Nr.]]</f>
        <v>60-HM4-2.75</v>
      </c>
      <c r="CG46" s="28" t="str">
        <f>TU[[#This Row],[UID]]</f>
        <v>TU-45</v>
      </c>
      <c r="CK46" s="18" t="str">
        <f>IF(TU[[#This Row],[Status]]=0,"",TU[[#This Row],[Status]])</f>
        <v>Active</v>
      </c>
    </row>
    <row r="47" spans="1:89">
      <c r="A47" s="18" t="s">
        <v>120</v>
      </c>
      <c r="B47" s="18" t="s">
        <v>67</v>
      </c>
      <c r="C47" s="54" t="s">
        <v>1025</v>
      </c>
      <c r="D47" s="28">
        <v>60000</v>
      </c>
      <c r="E47" s="54" t="s">
        <v>904</v>
      </c>
      <c r="F47" s="54">
        <v>221003</v>
      </c>
      <c r="G47" s="53">
        <v>56.422199999999997</v>
      </c>
      <c r="H47" s="18" t="s">
        <v>253</v>
      </c>
      <c r="I47" s="18" t="s">
        <v>253</v>
      </c>
      <c r="J47" s="53">
        <v>2.75</v>
      </c>
      <c r="K47" s="53">
        <v>0.25</v>
      </c>
      <c r="L47" s="53">
        <v>8.3000000000000004E-2</v>
      </c>
      <c r="M47" s="18" t="s">
        <v>161</v>
      </c>
      <c r="N47" s="18" t="s">
        <v>129</v>
      </c>
      <c r="O47" s="18" t="s">
        <v>129</v>
      </c>
      <c r="P47" s="18" t="s">
        <v>128</v>
      </c>
      <c r="Q47" s="18" t="s">
        <v>173</v>
      </c>
      <c r="R47" s="20" t="s">
        <v>307</v>
      </c>
      <c r="CA47" s="1" t="s">
        <v>71</v>
      </c>
      <c r="CB47" s="1" t="s">
        <v>18</v>
      </c>
      <c r="CC47" s="1" t="s">
        <v>308</v>
      </c>
      <c r="CE47" s="28" t="str">
        <f>TU[[#This Row],[Part Type]]</f>
        <v>Tube</v>
      </c>
      <c r="CF47" s="28" t="str">
        <f>TU[[#This Row],[Part Nr.]]</f>
        <v>60-HM4-2.75</v>
      </c>
      <c r="CG47" s="28" t="str">
        <f>TU[[#This Row],[UID]]</f>
        <v>TU-46</v>
      </c>
      <c r="CK47" s="18" t="str">
        <f>IF(TU[[#This Row],[Status]]=0,"",TU[[#This Row],[Status]])</f>
        <v>Active</v>
      </c>
    </row>
    <row r="48" spans="1:89">
      <c r="A48" s="18" t="s">
        <v>120</v>
      </c>
      <c r="B48" s="18" t="s">
        <v>67</v>
      </c>
      <c r="C48" s="54" t="s">
        <v>1010</v>
      </c>
      <c r="D48" s="28">
        <v>60000</v>
      </c>
      <c r="E48" s="54" t="s">
        <v>904</v>
      </c>
      <c r="F48" s="54">
        <v>221003</v>
      </c>
      <c r="G48" s="53">
        <v>56.394799999999996</v>
      </c>
      <c r="H48" s="18" t="s">
        <v>253</v>
      </c>
      <c r="I48" s="18" t="s">
        <v>253</v>
      </c>
      <c r="J48" s="53">
        <v>2.75</v>
      </c>
      <c r="K48" s="53">
        <v>0.25</v>
      </c>
      <c r="L48" s="53">
        <v>8.3000000000000004E-2</v>
      </c>
      <c r="M48" s="18" t="s">
        <v>161</v>
      </c>
      <c r="N48" s="18" t="s">
        <v>129</v>
      </c>
      <c r="O48" s="18" t="s">
        <v>129</v>
      </c>
      <c r="P48" s="18" t="s">
        <v>128</v>
      </c>
      <c r="Q48" s="18" t="s">
        <v>173</v>
      </c>
      <c r="R48" s="20" t="s">
        <v>307</v>
      </c>
      <c r="CA48" s="1" t="s">
        <v>71</v>
      </c>
      <c r="CB48" s="1" t="s">
        <v>18</v>
      </c>
      <c r="CC48" s="1" t="s">
        <v>308</v>
      </c>
      <c r="CE48" s="28" t="str">
        <f>TU[[#This Row],[Part Type]]</f>
        <v>Tube</v>
      </c>
      <c r="CF48" s="28" t="str">
        <f>TU[[#This Row],[Part Nr.]]</f>
        <v>60-HM4-2.75</v>
      </c>
      <c r="CG48" s="28" t="str">
        <f>TU[[#This Row],[UID]]</f>
        <v>TU-47</v>
      </c>
      <c r="CK48" s="18" t="str">
        <f>IF(TU[[#This Row],[Status]]=0,"",TU[[#This Row],[Status]])</f>
        <v>Active</v>
      </c>
    </row>
    <row r="49" spans="1:89">
      <c r="A49" s="18" t="s">
        <v>120</v>
      </c>
      <c r="B49" s="18" t="s">
        <v>67</v>
      </c>
      <c r="C49" s="54" t="s">
        <v>1023</v>
      </c>
      <c r="D49" s="28">
        <v>60000</v>
      </c>
      <c r="E49" s="54" t="s">
        <v>904</v>
      </c>
      <c r="F49" s="54">
        <v>221003</v>
      </c>
      <c r="G49" s="53">
        <v>57.671399999999998</v>
      </c>
      <c r="H49" s="18" t="s">
        <v>253</v>
      </c>
      <c r="I49" s="18" t="s">
        <v>253</v>
      </c>
      <c r="J49" s="53">
        <v>2.75</v>
      </c>
      <c r="K49" s="53">
        <v>0.25</v>
      </c>
      <c r="L49" s="53">
        <v>8.3000000000000004E-2</v>
      </c>
      <c r="M49" s="18" t="s">
        <v>161</v>
      </c>
      <c r="N49" s="18" t="s">
        <v>129</v>
      </c>
      <c r="O49" s="18" t="s">
        <v>129</v>
      </c>
      <c r="P49" s="18" t="s">
        <v>128</v>
      </c>
      <c r="Q49" s="18" t="s">
        <v>173</v>
      </c>
      <c r="R49" s="20" t="s">
        <v>307</v>
      </c>
      <c r="CA49" s="1" t="s">
        <v>71</v>
      </c>
      <c r="CB49" s="1" t="s">
        <v>18</v>
      </c>
      <c r="CC49" s="1" t="s">
        <v>308</v>
      </c>
      <c r="CE49" s="28" t="str">
        <f>TU[[#This Row],[Part Type]]</f>
        <v>Tube</v>
      </c>
      <c r="CF49" s="28" t="str">
        <f>TU[[#This Row],[Part Nr.]]</f>
        <v>60-HM4-2.75</v>
      </c>
      <c r="CG49" s="28" t="str">
        <f>TU[[#This Row],[UID]]</f>
        <v>TU-48</v>
      </c>
      <c r="CK49" s="18" t="str">
        <f>IF(TU[[#This Row],[Status]]=0,"",TU[[#This Row],[Status]])</f>
        <v>Active</v>
      </c>
    </row>
    <row r="50" spans="1:89">
      <c r="A50" s="18" t="s">
        <v>120</v>
      </c>
      <c r="B50" s="18" t="s">
        <v>67</v>
      </c>
      <c r="C50" s="54" t="s">
        <v>1474</v>
      </c>
      <c r="D50" s="28">
        <v>60000</v>
      </c>
      <c r="E50" s="54" t="s">
        <v>904</v>
      </c>
      <c r="F50" s="54">
        <v>221003</v>
      </c>
      <c r="G50" s="53">
        <v>56.304200000000002</v>
      </c>
      <c r="H50" s="18" t="s">
        <v>253</v>
      </c>
      <c r="I50" s="18" t="s">
        <v>253</v>
      </c>
      <c r="J50" s="53">
        <v>2.75</v>
      </c>
      <c r="K50" s="53">
        <v>0.25</v>
      </c>
      <c r="L50" s="53">
        <v>8.3000000000000004E-2</v>
      </c>
      <c r="M50" s="18" t="s">
        <v>161</v>
      </c>
      <c r="N50" s="18" t="s">
        <v>129</v>
      </c>
      <c r="O50" s="18" t="s">
        <v>129</v>
      </c>
      <c r="P50" s="18" t="s">
        <v>128</v>
      </c>
      <c r="Q50" s="18" t="s">
        <v>173</v>
      </c>
      <c r="R50" s="20" t="s">
        <v>307</v>
      </c>
      <c r="CA50" s="1" t="s">
        <v>71</v>
      </c>
      <c r="CB50" s="1" t="s">
        <v>18</v>
      </c>
      <c r="CC50" s="1" t="s">
        <v>308</v>
      </c>
      <c r="CE50" s="28" t="str">
        <f>TU[[#This Row],[Part Type]]</f>
        <v>Tube</v>
      </c>
      <c r="CF50" s="28" t="str">
        <f>TU[[#This Row],[Part Nr.]]</f>
        <v>60-HM4-2.75</v>
      </c>
      <c r="CG50" s="28" t="str">
        <f>TU[[#This Row],[UID]]</f>
        <v>TU-49</v>
      </c>
      <c r="CK50" s="18" t="str">
        <f>IF(TU[[#This Row],[Status]]=0,"",TU[[#This Row],[Status]])</f>
        <v>Active</v>
      </c>
    </row>
    <row r="51" spans="1:89">
      <c r="A51" s="18" t="s">
        <v>120</v>
      </c>
      <c r="B51" s="18" t="s">
        <v>67</v>
      </c>
      <c r="C51" s="54" t="s">
        <v>987</v>
      </c>
      <c r="D51" s="28">
        <v>60000</v>
      </c>
      <c r="E51" s="54" t="s">
        <v>904</v>
      </c>
      <c r="F51" s="54">
        <v>221003</v>
      </c>
      <c r="G51" s="53">
        <v>56.510399999999997</v>
      </c>
      <c r="H51" s="18" t="s">
        <v>253</v>
      </c>
      <c r="I51" s="18" t="s">
        <v>253</v>
      </c>
      <c r="J51" s="53">
        <v>2.75</v>
      </c>
      <c r="K51" s="53">
        <v>0.25</v>
      </c>
      <c r="L51" s="53">
        <v>8.3000000000000004E-2</v>
      </c>
      <c r="M51" s="18" t="s">
        <v>161</v>
      </c>
      <c r="N51" s="18" t="s">
        <v>129</v>
      </c>
      <c r="O51" s="18" t="s">
        <v>129</v>
      </c>
      <c r="P51" s="18" t="s">
        <v>128</v>
      </c>
      <c r="Q51" s="18" t="s">
        <v>173</v>
      </c>
      <c r="R51" s="20" t="s">
        <v>307</v>
      </c>
      <c r="CA51" s="1" t="s">
        <v>71</v>
      </c>
      <c r="CB51" s="1" t="s">
        <v>18</v>
      </c>
      <c r="CC51" s="1" t="s">
        <v>308</v>
      </c>
      <c r="CE51" s="28" t="str">
        <f>TU[[#This Row],[Part Type]]</f>
        <v>Tube</v>
      </c>
      <c r="CF51" s="28" t="str">
        <f>TU[[#This Row],[Part Nr.]]</f>
        <v>60-HM4-2.75</v>
      </c>
      <c r="CG51" s="28" t="str">
        <f>TU[[#This Row],[UID]]</f>
        <v>TU-50</v>
      </c>
      <c r="CK51" s="18" t="str">
        <f>IF(TU[[#This Row],[Status]]=0,"",TU[[#This Row],[Status]])</f>
        <v>Active</v>
      </c>
    </row>
    <row r="52" spans="1:89">
      <c r="A52" s="18" t="s">
        <v>120</v>
      </c>
      <c r="B52" s="18" t="s">
        <v>67</v>
      </c>
      <c r="C52" s="54" t="s">
        <v>971</v>
      </c>
      <c r="D52" s="28">
        <v>60000</v>
      </c>
      <c r="E52" s="54" t="s">
        <v>904</v>
      </c>
      <c r="F52" s="54">
        <v>221003</v>
      </c>
      <c r="G52" s="53">
        <v>55.911000000000001</v>
      </c>
      <c r="H52" s="18" t="s">
        <v>253</v>
      </c>
      <c r="I52" s="18" t="s">
        <v>253</v>
      </c>
      <c r="J52" s="53">
        <v>2.75</v>
      </c>
      <c r="K52" s="53">
        <v>0.25</v>
      </c>
      <c r="L52" s="53">
        <v>8.3000000000000004E-2</v>
      </c>
      <c r="M52" s="18" t="s">
        <v>161</v>
      </c>
      <c r="N52" s="18" t="s">
        <v>129</v>
      </c>
      <c r="O52" s="18" t="s">
        <v>129</v>
      </c>
      <c r="P52" s="18" t="s">
        <v>128</v>
      </c>
      <c r="Q52" s="18" t="s">
        <v>173</v>
      </c>
      <c r="R52" s="20" t="s">
        <v>307</v>
      </c>
      <c r="CA52" s="1" t="s">
        <v>71</v>
      </c>
      <c r="CB52" s="1" t="s">
        <v>18</v>
      </c>
      <c r="CC52" s="1" t="s">
        <v>308</v>
      </c>
      <c r="CE52" s="28" t="str">
        <f>TU[[#This Row],[Part Type]]</f>
        <v>Tube</v>
      </c>
      <c r="CF52" s="28" t="str">
        <f>TU[[#This Row],[Part Nr.]]</f>
        <v>60-HM4-2.75</v>
      </c>
      <c r="CG52" s="28" t="str">
        <f>TU[[#This Row],[UID]]</f>
        <v>TU-51</v>
      </c>
      <c r="CK52" s="18" t="str">
        <f>IF(TU[[#This Row],[Status]]=0,"",TU[[#This Row],[Status]])</f>
        <v>Active</v>
      </c>
    </row>
    <row r="53" spans="1:89">
      <c r="A53" s="18" t="s">
        <v>120</v>
      </c>
      <c r="B53" s="18" t="s">
        <v>67</v>
      </c>
      <c r="C53" s="54" t="s">
        <v>1003</v>
      </c>
      <c r="D53" s="28">
        <v>60000</v>
      </c>
      <c r="E53" s="54" t="s">
        <v>904</v>
      </c>
      <c r="F53" s="54">
        <v>221003</v>
      </c>
      <c r="G53" s="53">
        <v>56.365600000000001</v>
      </c>
      <c r="H53" s="18" t="s">
        <v>253</v>
      </c>
      <c r="I53" s="18" t="s">
        <v>253</v>
      </c>
      <c r="J53" s="53">
        <v>2.75</v>
      </c>
      <c r="K53" s="53">
        <v>0.25</v>
      </c>
      <c r="L53" s="53">
        <v>8.3000000000000004E-2</v>
      </c>
      <c r="M53" s="18" t="s">
        <v>161</v>
      </c>
      <c r="N53" s="18" t="s">
        <v>129</v>
      </c>
      <c r="O53" s="18" t="s">
        <v>129</v>
      </c>
      <c r="P53" s="18" t="s">
        <v>128</v>
      </c>
      <c r="Q53" s="18" t="s">
        <v>173</v>
      </c>
      <c r="R53" s="20" t="s">
        <v>307</v>
      </c>
      <c r="CA53" s="1" t="s">
        <v>71</v>
      </c>
      <c r="CB53" s="1" t="s">
        <v>18</v>
      </c>
      <c r="CC53" s="1" t="s">
        <v>308</v>
      </c>
      <c r="CE53" s="28" t="str">
        <f>TU[[#This Row],[Part Type]]</f>
        <v>Tube</v>
      </c>
      <c r="CF53" s="28" t="str">
        <f>TU[[#This Row],[Part Nr.]]</f>
        <v>60-HM4-2.75</v>
      </c>
      <c r="CG53" s="28" t="str">
        <f>TU[[#This Row],[UID]]</f>
        <v>TU-52</v>
      </c>
      <c r="CK53" s="18" t="str">
        <f>IF(TU[[#This Row],[Status]]=0,"",TU[[#This Row],[Status]])</f>
        <v>Active</v>
      </c>
    </row>
    <row r="54" spans="1:89">
      <c r="A54" s="18" t="s">
        <v>120</v>
      </c>
      <c r="B54" s="18" t="s">
        <v>67</v>
      </c>
      <c r="C54" s="54" t="s">
        <v>1009</v>
      </c>
      <c r="D54" s="28">
        <v>60000</v>
      </c>
      <c r="E54" s="54" t="s">
        <v>904</v>
      </c>
      <c r="F54" s="54">
        <v>221003</v>
      </c>
      <c r="G54" s="53">
        <v>56.231099999999998</v>
      </c>
      <c r="H54" s="18" t="s">
        <v>253</v>
      </c>
      <c r="I54" s="18" t="s">
        <v>253</v>
      </c>
      <c r="J54" s="53">
        <v>2.75</v>
      </c>
      <c r="K54" s="53">
        <v>0.25</v>
      </c>
      <c r="L54" s="53">
        <v>8.3000000000000004E-2</v>
      </c>
      <c r="M54" s="18" t="s">
        <v>161</v>
      </c>
      <c r="N54" s="18" t="s">
        <v>129</v>
      </c>
      <c r="O54" s="18" t="s">
        <v>129</v>
      </c>
      <c r="P54" s="18" t="s">
        <v>128</v>
      </c>
      <c r="Q54" s="18" t="s">
        <v>173</v>
      </c>
      <c r="R54" s="20" t="s">
        <v>307</v>
      </c>
      <c r="CA54" s="1" t="s">
        <v>71</v>
      </c>
      <c r="CB54" s="1" t="s">
        <v>18</v>
      </c>
      <c r="CC54" s="1" t="s">
        <v>308</v>
      </c>
      <c r="CE54" s="28" t="str">
        <f>TU[[#This Row],[Part Type]]</f>
        <v>Tube</v>
      </c>
      <c r="CF54" s="28" t="str">
        <f>TU[[#This Row],[Part Nr.]]</f>
        <v>60-HM4-2.75</v>
      </c>
      <c r="CG54" s="28" t="str">
        <f>TU[[#This Row],[UID]]</f>
        <v>TU-53</v>
      </c>
      <c r="CK54" s="18" t="str">
        <f>IF(TU[[#This Row],[Status]]=0,"",TU[[#This Row],[Status]])</f>
        <v>Active</v>
      </c>
    </row>
    <row r="55" spans="1:89">
      <c r="A55" s="18" t="s">
        <v>120</v>
      </c>
      <c r="B55" s="18" t="s">
        <v>67</v>
      </c>
      <c r="C55" s="54" t="s">
        <v>982</v>
      </c>
      <c r="D55" s="28">
        <v>60000</v>
      </c>
      <c r="E55" s="54" t="s">
        <v>904</v>
      </c>
      <c r="F55" s="54">
        <v>221003</v>
      </c>
      <c r="G55" s="53">
        <v>56.5212</v>
      </c>
      <c r="H55" s="18" t="s">
        <v>253</v>
      </c>
      <c r="I55" s="18" t="s">
        <v>253</v>
      </c>
      <c r="J55" s="53">
        <v>2.75</v>
      </c>
      <c r="K55" s="53">
        <v>0.25</v>
      </c>
      <c r="L55" s="53">
        <v>8.3000000000000004E-2</v>
      </c>
      <c r="M55" s="18" t="s">
        <v>161</v>
      </c>
      <c r="N55" s="18" t="s">
        <v>129</v>
      </c>
      <c r="O55" s="18" t="s">
        <v>129</v>
      </c>
      <c r="P55" s="18" t="s">
        <v>128</v>
      </c>
      <c r="Q55" s="18" t="s">
        <v>173</v>
      </c>
      <c r="R55" s="20" t="s">
        <v>307</v>
      </c>
      <c r="CA55" s="1" t="s">
        <v>71</v>
      </c>
      <c r="CB55" s="1" t="s">
        <v>18</v>
      </c>
      <c r="CC55" s="1" t="s">
        <v>308</v>
      </c>
      <c r="CE55" s="28" t="str">
        <f>TU[[#This Row],[Part Type]]</f>
        <v>Tube</v>
      </c>
      <c r="CF55" s="28" t="str">
        <f>TU[[#This Row],[Part Nr.]]</f>
        <v>60-HM4-2.75</v>
      </c>
      <c r="CG55" s="28" t="str">
        <f>TU[[#This Row],[UID]]</f>
        <v>TU-54</v>
      </c>
      <c r="CK55" s="18" t="str">
        <f>IF(TU[[#This Row],[Status]]=0,"",TU[[#This Row],[Status]])</f>
        <v>Active</v>
      </c>
    </row>
    <row r="56" spans="1:89">
      <c r="A56" s="18" t="s">
        <v>120</v>
      </c>
      <c r="B56" s="18" t="s">
        <v>67</v>
      </c>
      <c r="C56" s="54" t="s">
        <v>988</v>
      </c>
      <c r="D56" s="28">
        <v>60000</v>
      </c>
      <c r="E56" s="54" t="s">
        <v>904</v>
      </c>
      <c r="F56" s="54">
        <v>221003</v>
      </c>
      <c r="G56" s="53">
        <v>56.375599999999999</v>
      </c>
      <c r="H56" s="18" t="s">
        <v>253</v>
      </c>
      <c r="I56" s="18" t="s">
        <v>253</v>
      </c>
      <c r="J56" s="53">
        <v>2.75</v>
      </c>
      <c r="K56" s="53">
        <v>0.25</v>
      </c>
      <c r="L56" s="53">
        <v>8.3000000000000004E-2</v>
      </c>
      <c r="M56" s="18" t="s">
        <v>161</v>
      </c>
      <c r="N56" s="18" t="s">
        <v>129</v>
      </c>
      <c r="O56" s="18" t="s">
        <v>129</v>
      </c>
      <c r="P56" s="18" t="s">
        <v>128</v>
      </c>
      <c r="Q56" s="18" t="s">
        <v>173</v>
      </c>
      <c r="R56" s="20" t="s">
        <v>307</v>
      </c>
      <c r="CA56" s="1" t="s">
        <v>71</v>
      </c>
      <c r="CB56" s="1" t="s">
        <v>18</v>
      </c>
      <c r="CC56" s="1" t="s">
        <v>308</v>
      </c>
      <c r="CE56" s="28" t="str">
        <f>TU[[#This Row],[Part Type]]</f>
        <v>Tube</v>
      </c>
      <c r="CF56" s="28" t="str">
        <f>TU[[#This Row],[Part Nr.]]</f>
        <v>60-HM4-2.75</v>
      </c>
      <c r="CG56" s="28" t="str">
        <f>TU[[#This Row],[UID]]</f>
        <v>TU-55</v>
      </c>
      <c r="CK56" s="18" t="str">
        <f>IF(TU[[#This Row],[Status]]=0,"",TU[[#This Row],[Status]])</f>
        <v>Active</v>
      </c>
    </row>
    <row r="57" spans="1:89">
      <c r="A57" s="18" t="s">
        <v>120</v>
      </c>
      <c r="B57" s="18" t="s">
        <v>67</v>
      </c>
      <c r="C57" s="54" t="s">
        <v>1475</v>
      </c>
      <c r="D57" s="28">
        <v>100000</v>
      </c>
      <c r="E57" s="54" t="s">
        <v>1476</v>
      </c>
      <c r="F57" s="54">
        <v>221003</v>
      </c>
      <c r="G57" s="53">
        <v>14.671200000000001</v>
      </c>
      <c r="H57" s="18" t="s">
        <v>253</v>
      </c>
      <c r="I57" s="18" t="s">
        <v>253</v>
      </c>
      <c r="J57" s="53">
        <v>2.75</v>
      </c>
      <c r="K57" s="53">
        <v>0.25</v>
      </c>
      <c r="L57" s="53">
        <v>6.25E-2</v>
      </c>
      <c r="M57" s="18" t="s">
        <v>161</v>
      </c>
      <c r="N57" s="18" t="s">
        <v>129</v>
      </c>
      <c r="O57" s="18" t="s">
        <v>129</v>
      </c>
      <c r="P57" s="18" t="s">
        <v>128</v>
      </c>
      <c r="Q57" s="18" t="s">
        <v>173</v>
      </c>
      <c r="R57" s="20" t="s">
        <v>332</v>
      </c>
      <c r="CA57" s="1" t="s">
        <v>71</v>
      </c>
      <c r="CB57" s="1" t="s">
        <v>18</v>
      </c>
      <c r="CC57" s="1" t="s">
        <v>308</v>
      </c>
      <c r="CE57" s="28" t="str">
        <f>TU[[#This Row],[Part Type]]</f>
        <v>Tube</v>
      </c>
      <c r="CF57" s="28" t="str">
        <f>TU[[#This Row],[Part Nr.]]</f>
        <v>100-XM4-2.75</v>
      </c>
      <c r="CG57" s="28" t="str">
        <f>TU[[#This Row],[UID]]</f>
        <v>TU-56</v>
      </c>
      <c r="CK57" s="18" t="str">
        <f>IF(TU[[#This Row],[Status]]=0,"",TU[[#This Row],[Status]])</f>
        <v>Active</v>
      </c>
    </row>
    <row r="58" spans="1:89">
      <c r="A58" s="18" t="s">
        <v>120</v>
      </c>
      <c r="B58" s="18" t="s">
        <v>67</v>
      </c>
      <c r="C58" s="54" t="s">
        <v>1477</v>
      </c>
      <c r="D58" s="28">
        <v>100000</v>
      </c>
      <c r="E58" s="54" t="s">
        <v>1476</v>
      </c>
      <c r="F58" s="54">
        <v>221003</v>
      </c>
      <c r="G58" s="53">
        <v>14.6691</v>
      </c>
      <c r="H58" s="18" t="s">
        <v>253</v>
      </c>
      <c r="I58" s="18" t="s">
        <v>253</v>
      </c>
      <c r="J58" s="53">
        <v>2.75</v>
      </c>
      <c r="K58" s="53">
        <v>0.25</v>
      </c>
      <c r="L58" s="53">
        <v>6.25E-2</v>
      </c>
      <c r="M58" s="18" t="s">
        <v>161</v>
      </c>
      <c r="N58" s="18" t="s">
        <v>129</v>
      </c>
      <c r="O58" s="18" t="s">
        <v>129</v>
      </c>
      <c r="P58" s="18" t="s">
        <v>128</v>
      </c>
      <c r="Q58" s="18" t="s">
        <v>173</v>
      </c>
      <c r="R58" s="20" t="s">
        <v>332</v>
      </c>
      <c r="CA58" s="1" t="s">
        <v>71</v>
      </c>
      <c r="CB58" s="1" t="s">
        <v>18</v>
      </c>
      <c r="CC58" s="1" t="s">
        <v>308</v>
      </c>
      <c r="CE58" s="28" t="str">
        <f>TU[[#This Row],[Part Type]]</f>
        <v>Tube</v>
      </c>
      <c r="CF58" s="28" t="str">
        <f>TU[[#This Row],[Part Nr.]]</f>
        <v>100-XM4-2.75</v>
      </c>
      <c r="CG58" s="28" t="str">
        <f>TU[[#This Row],[UID]]</f>
        <v>TU-57</v>
      </c>
      <c r="CK58" s="18" t="str">
        <f>IF(TU[[#This Row],[Status]]=0,"",TU[[#This Row],[Status]])</f>
        <v>Active</v>
      </c>
    </row>
    <row r="59" spans="1:89">
      <c r="A59" s="18" t="s">
        <v>120</v>
      </c>
      <c r="B59" s="18" t="s">
        <v>67</v>
      </c>
      <c r="C59" s="54" t="s">
        <v>1016</v>
      </c>
      <c r="D59" s="28">
        <v>100000</v>
      </c>
      <c r="E59" s="54" t="s">
        <v>1476</v>
      </c>
      <c r="F59" s="54">
        <v>221003</v>
      </c>
      <c r="G59" s="53">
        <v>14.610200000000001</v>
      </c>
      <c r="H59" s="18" t="s">
        <v>253</v>
      </c>
      <c r="I59" s="18" t="s">
        <v>253</v>
      </c>
      <c r="J59" s="53">
        <v>2.75</v>
      </c>
      <c r="K59" s="53">
        <v>0.25</v>
      </c>
      <c r="L59" s="53">
        <v>6.25E-2</v>
      </c>
      <c r="M59" s="18" t="s">
        <v>161</v>
      </c>
      <c r="N59" s="18" t="s">
        <v>129</v>
      </c>
      <c r="O59" s="18" t="s">
        <v>129</v>
      </c>
      <c r="P59" s="18" t="s">
        <v>128</v>
      </c>
      <c r="Q59" s="18" t="s">
        <v>173</v>
      </c>
      <c r="R59" s="20" t="s">
        <v>332</v>
      </c>
      <c r="CA59" s="1" t="s">
        <v>71</v>
      </c>
      <c r="CB59" s="1" t="s">
        <v>18</v>
      </c>
      <c r="CC59" s="1" t="s">
        <v>308</v>
      </c>
      <c r="CE59" s="28" t="str">
        <f>TU[[#This Row],[Part Type]]</f>
        <v>Tube</v>
      </c>
      <c r="CF59" s="28" t="str">
        <f>TU[[#This Row],[Part Nr.]]</f>
        <v>100-XM4-2.75</v>
      </c>
      <c r="CG59" s="28" t="str">
        <f>TU[[#This Row],[UID]]</f>
        <v>TU-58</v>
      </c>
      <c r="CK59" s="18" t="str">
        <f>IF(TU[[#This Row],[Status]]=0,"",TU[[#This Row],[Status]])</f>
        <v>Active</v>
      </c>
    </row>
    <row r="60" spans="1:89">
      <c r="A60" s="18" t="s">
        <v>120</v>
      </c>
      <c r="B60" s="18" t="s">
        <v>67</v>
      </c>
      <c r="C60" s="54" t="s">
        <v>1478</v>
      </c>
      <c r="D60" s="28">
        <v>100000</v>
      </c>
      <c r="E60" s="54" t="s">
        <v>1476</v>
      </c>
      <c r="F60" s="54">
        <v>221003</v>
      </c>
      <c r="G60" s="53">
        <v>14.620100000000001</v>
      </c>
      <c r="H60" s="18" t="s">
        <v>253</v>
      </c>
      <c r="I60" s="18" t="s">
        <v>253</v>
      </c>
      <c r="J60" s="53">
        <v>2.75</v>
      </c>
      <c r="K60" s="53">
        <v>0.25</v>
      </c>
      <c r="L60" s="53">
        <v>6.25E-2</v>
      </c>
      <c r="M60" s="18" t="s">
        <v>161</v>
      </c>
      <c r="N60" s="18" t="s">
        <v>129</v>
      </c>
      <c r="O60" s="18" t="s">
        <v>129</v>
      </c>
      <c r="P60" s="18" t="s">
        <v>128</v>
      </c>
      <c r="Q60" s="18" t="s">
        <v>173</v>
      </c>
      <c r="R60" s="20" t="s">
        <v>332</v>
      </c>
      <c r="CA60" s="1" t="s">
        <v>71</v>
      </c>
      <c r="CB60" s="1" t="s">
        <v>18</v>
      </c>
      <c r="CC60" s="1" t="s">
        <v>308</v>
      </c>
      <c r="CE60" s="28" t="str">
        <f>TU[[#This Row],[Part Type]]</f>
        <v>Tube</v>
      </c>
      <c r="CF60" s="28" t="str">
        <f>TU[[#This Row],[Part Nr.]]</f>
        <v>100-XM4-2.75</v>
      </c>
      <c r="CG60" s="28" t="str">
        <f>TU[[#This Row],[UID]]</f>
        <v>TU-59</v>
      </c>
      <c r="CK60" s="18" t="str">
        <f>IF(TU[[#This Row],[Status]]=0,"",TU[[#This Row],[Status]])</f>
        <v>Active</v>
      </c>
    </row>
    <row r="61" spans="1:89">
      <c r="A61" s="18" t="s">
        <v>120</v>
      </c>
      <c r="B61" s="18" t="s">
        <v>67</v>
      </c>
      <c r="C61" s="54" t="s">
        <v>1479</v>
      </c>
      <c r="D61" s="28">
        <v>100000</v>
      </c>
      <c r="E61" s="54" t="s">
        <v>1476</v>
      </c>
      <c r="F61" s="54">
        <v>221003</v>
      </c>
      <c r="G61" s="53">
        <v>14.5936</v>
      </c>
      <c r="H61" s="18" t="s">
        <v>253</v>
      </c>
      <c r="I61" s="18" t="s">
        <v>253</v>
      </c>
      <c r="J61" s="53">
        <v>2.75</v>
      </c>
      <c r="K61" s="53">
        <v>0.25</v>
      </c>
      <c r="L61" s="53">
        <v>6.25E-2</v>
      </c>
      <c r="M61" s="18" t="s">
        <v>161</v>
      </c>
      <c r="N61" s="18" t="s">
        <v>129</v>
      </c>
      <c r="O61" s="18" t="s">
        <v>129</v>
      </c>
      <c r="P61" s="18" t="s">
        <v>128</v>
      </c>
      <c r="Q61" s="18" t="s">
        <v>173</v>
      </c>
      <c r="R61" s="20" t="s">
        <v>332</v>
      </c>
      <c r="CA61" s="1" t="s">
        <v>71</v>
      </c>
      <c r="CB61" s="1" t="s">
        <v>18</v>
      </c>
      <c r="CC61" s="1" t="s">
        <v>308</v>
      </c>
      <c r="CE61" s="28" t="str">
        <f>TU[[#This Row],[Part Type]]</f>
        <v>Tube</v>
      </c>
      <c r="CF61" s="28" t="str">
        <f>TU[[#This Row],[Part Nr.]]</f>
        <v>100-XM4-2.75</v>
      </c>
      <c r="CG61" s="28" t="str">
        <f>TU[[#This Row],[UID]]</f>
        <v>TU-60</v>
      </c>
      <c r="CK61" s="18" t="str">
        <f>IF(TU[[#This Row],[Status]]=0,"",TU[[#This Row],[Status]])</f>
        <v>Active</v>
      </c>
    </row>
    <row r="62" spans="1:89">
      <c r="A62" s="18" t="s">
        <v>120</v>
      </c>
      <c r="B62" s="18" t="s">
        <v>67</v>
      </c>
      <c r="C62" s="54" t="s">
        <v>1480</v>
      </c>
      <c r="D62" s="28">
        <v>100000</v>
      </c>
      <c r="E62" s="54" t="s">
        <v>1476</v>
      </c>
      <c r="F62" s="54">
        <v>221003</v>
      </c>
      <c r="G62" s="53">
        <v>14.600199999999999</v>
      </c>
      <c r="H62" s="18" t="s">
        <v>253</v>
      </c>
      <c r="I62" s="18" t="s">
        <v>253</v>
      </c>
      <c r="J62" s="53">
        <v>2.75</v>
      </c>
      <c r="K62" s="53">
        <v>0.25</v>
      </c>
      <c r="L62" s="53">
        <v>6.25E-2</v>
      </c>
      <c r="M62" s="18" t="s">
        <v>161</v>
      </c>
      <c r="N62" s="18" t="s">
        <v>129</v>
      </c>
      <c r="O62" s="18" t="s">
        <v>129</v>
      </c>
      <c r="P62" s="18" t="s">
        <v>128</v>
      </c>
      <c r="Q62" s="18" t="s">
        <v>173</v>
      </c>
      <c r="R62" s="20" t="s">
        <v>332</v>
      </c>
      <c r="CA62" s="1" t="s">
        <v>71</v>
      </c>
      <c r="CB62" s="1" t="s">
        <v>18</v>
      </c>
      <c r="CC62" s="1" t="s">
        <v>308</v>
      </c>
      <c r="CE62" s="28" t="str">
        <f>TU[[#This Row],[Part Type]]</f>
        <v>Tube</v>
      </c>
      <c r="CF62" s="28" t="str">
        <f>TU[[#This Row],[Part Nr.]]</f>
        <v>100-XM4-2.75</v>
      </c>
      <c r="CG62" s="28" t="str">
        <f>TU[[#This Row],[UID]]</f>
        <v>TU-61</v>
      </c>
      <c r="CK62" s="18" t="str">
        <f>IF(TU[[#This Row],[Status]]=0,"",TU[[#This Row],[Status]])</f>
        <v>Active</v>
      </c>
    </row>
    <row r="63" spans="1:89">
      <c r="A63" s="18" t="s">
        <v>120</v>
      </c>
      <c r="B63" s="18" t="s">
        <v>67</v>
      </c>
      <c r="C63" s="54" t="s">
        <v>1481</v>
      </c>
      <c r="D63" s="28">
        <v>100000</v>
      </c>
      <c r="E63" s="54" t="s">
        <v>1476</v>
      </c>
      <c r="F63" s="54">
        <v>221003</v>
      </c>
      <c r="G63" s="53">
        <v>14.644299999999999</v>
      </c>
      <c r="H63" s="18" t="s">
        <v>253</v>
      </c>
      <c r="I63" s="18" t="s">
        <v>253</v>
      </c>
      <c r="J63" s="53">
        <v>2.75</v>
      </c>
      <c r="K63" s="53">
        <v>0.25</v>
      </c>
      <c r="L63" s="53">
        <v>6.25E-2</v>
      </c>
      <c r="M63" s="18" t="s">
        <v>161</v>
      </c>
      <c r="N63" s="18" t="s">
        <v>129</v>
      </c>
      <c r="O63" s="18" t="s">
        <v>129</v>
      </c>
      <c r="P63" s="18" t="s">
        <v>128</v>
      </c>
      <c r="Q63" s="18" t="s">
        <v>173</v>
      </c>
      <c r="R63" s="20" t="s">
        <v>332</v>
      </c>
      <c r="CA63" s="1" t="s">
        <v>71</v>
      </c>
      <c r="CB63" s="1" t="s">
        <v>18</v>
      </c>
      <c r="CC63" s="1" t="s">
        <v>308</v>
      </c>
      <c r="CE63" s="28" t="str">
        <f>TU[[#This Row],[Part Type]]</f>
        <v>Tube</v>
      </c>
      <c r="CF63" s="28" t="str">
        <f>TU[[#This Row],[Part Nr.]]</f>
        <v>100-XM4-2.75</v>
      </c>
      <c r="CG63" s="28" t="str">
        <f>TU[[#This Row],[UID]]</f>
        <v>TU-62</v>
      </c>
      <c r="CK63" s="18" t="str">
        <f>IF(TU[[#This Row],[Status]]=0,"",TU[[#This Row],[Status]])</f>
        <v>Active</v>
      </c>
    </row>
    <row r="64" spans="1:89">
      <c r="A64" s="18" t="s">
        <v>120</v>
      </c>
      <c r="B64" s="18" t="s">
        <v>67</v>
      </c>
      <c r="C64" s="54" t="s">
        <v>1482</v>
      </c>
      <c r="D64" s="28">
        <v>100000</v>
      </c>
      <c r="E64" s="54" t="s">
        <v>1476</v>
      </c>
      <c r="F64" s="54">
        <v>221003</v>
      </c>
      <c r="G64" s="53">
        <v>14.6287</v>
      </c>
      <c r="H64" s="18" t="s">
        <v>253</v>
      </c>
      <c r="I64" s="18" t="s">
        <v>253</v>
      </c>
      <c r="J64" s="53">
        <v>2.75</v>
      </c>
      <c r="K64" s="53">
        <v>0.25</v>
      </c>
      <c r="L64" s="53">
        <v>6.25E-2</v>
      </c>
      <c r="M64" s="18" t="s">
        <v>161</v>
      </c>
      <c r="N64" s="18" t="s">
        <v>129</v>
      </c>
      <c r="O64" s="18" t="s">
        <v>129</v>
      </c>
      <c r="P64" s="18" t="s">
        <v>128</v>
      </c>
      <c r="Q64" s="18" t="s">
        <v>173</v>
      </c>
      <c r="R64" s="20" t="s">
        <v>332</v>
      </c>
      <c r="CA64" s="1" t="s">
        <v>71</v>
      </c>
      <c r="CB64" s="1" t="s">
        <v>18</v>
      </c>
      <c r="CC64" s="1" t="s">
        <v>308</v>
      </c>
      <c r="CE64" s="28" t="str">
        <f>TU[[#This Row],[Part Type]]</f>
        <v>Tube</v>
      </c>
      <c r="CF64" s="28" t="str">
        <f>TU[[#This Row],[Part Nr.]]</f>
        <v>100-XM4-2.75</v>
      </c>
      <c r="CG64" s="28" t="str">
        <f>TU[[#This Row],[UID]]</f>
        <v>TU-63</v>
      </c>
      <c r="CK64" s="18" t="str">
        <f>IF(TU[[#This Row],[Status]]=0,"",TU[[#This Row],[Status]])</f>
        <v>Active</v>
      </c>
    </row>
    <row r="65" spans="1:89">
      <c r="A65" s="18" t="s">
        <v>120</v>
      </c>
      <c r="B65" s="18" t="s">
        <v>67</v>
      </c>
      <c r="C65" s="54" t="s">
        <v>1483</v>
      </c>
      <c r="D65" s="28">
        <v>100000</v>
      </c>
      <c r="E65" s="54" t="s">
        <v>1476</v>
      </c>
      <c r="F65" s="54">
        <v>221003</v>
      </c>
      <c r="G65" s="53">
        <v>14.5799</v>
      </c>
      <c r="H65" s="18" t="s">
        <v>253</v>
      </c>
      <c r="I65" s="18" t="s">
        <v>253</v>
      </c>
      <c r="J65" s="53">
        <v>2.75</v>
      </c>
      <c r="K65" s="53">
        <v>0.25</v>
      </c>
      <c r="L65" s="53">
        <v>6.25E-2</v>
      </c>
      <c r="M65" s="18" t="s">
        <v>161</v>
      </c>
      <c r="N65" s="18" t="s">
        <v>129</v>
      </c>
      <c r="O65" s="18" t="s">
        <v>129</v>
      </c>
      <c r="P65" s="18" t="s">
        <v>128</v>
      </c>
      <c r="Q65" s="18" t="s">
        <v>173</v>
      </c>
      <c r="R65" s="20" t="s">
        <v>332</v>
      </c>
      <c r="CA65" s="1" t="s">
        <v>71</v>
      </c>
      <c r="CB65" s="1" t="s">
        <v>18</v>
      </c>
      <c r="CC65" s="1" t="s">
        <v>308</v>
      </c>
      <c r="CE65" s="28" t="str">
        <f>TU[[#This Row],[Part Type]]</f>
        <v>Tube</v>
      </c>
      <c r="CF65" s="28" t="str">
        <f>TU[[#This Row],[Part Nr.]]</f>
        <v>100-XM4-2.75</v>
      </c>
      <c r="CG65" s="28" t="str">
        <f>TU[[#This Row],[UID]]</f>
        <v>TU-64</v>
      </c>
      <c r="CK65" s="18" t="str">
        <f>IF(TU[[#This Row],[Status]]=0,"",TU[[#This Row],[Status]])</f>
        <v>Active</v>
      </c>
    </row>
    <row r="66" spans="1:89">
      <c r="A66" s="18" t="s">
        <v>120</v>
      </c>
      <c r="B66" s="18" t="s">
        <v>67</v>
      </c>
      <c r="C66" s="54" t="s">
        <v>1484</v>
      </c>
      <c r="D66" s="28">
        <v>100000</v>
      </c>
      <c r="E66" s="54" t="s">
        <v>1476</v>
      </c>
      <c r="F66" s="54">
        <v>221003</v>
      </c>
      <c r="G66" s="53">
        <v>17.9679</v>
      </c>
      <c r="H66" s="18" t="s">
        <v>253</v>
      </c>
      <c r="I66" s="18" t="s">
        <v>253</v>
      </c>
      <c r="J66" s="53">
        <v>2.75</v>
      </c>
      <c r="K66" s="53">
        <v>0.25</v>
      </c>
      <c r="L66" s="53">
        <v>6.25E-2</v>
      </c>
      <c r="M66" s="18" t="s">
        <v>161</v>
      </c>
      <c r="N66" s="18" t="s">
        <v>129</v>
      </c>
      <c r="O66" s="18" t="s">
        <v>129</v>
      </c>
      <c r="P66" s="18" t="s">
        <v>128</v>
      </c>
      <c r="Q66" s="18" t="s">
        <v>173</v>
      </c>
      <c r="R66" s="20" t="s">
        <v>332</v>
      </c>
      <c r="CA66" s="1" t="s">
        <v>71</v>
      </c>
      <c r="CB66" s="1" t="s">
        <v>18</v>
      </c>
      <c r="CC66" s="1" t="s">
        <v>308</v>
      </c>
      <c r="CE66" s="28" t="str">
        <f>TU[[#This Row],[Part Type]]</f>
        <v>Tube</v>
      </c>
      <c r="CF66" s="28" t="str">
        <f>TU[[#This Row],[Part Nr.]]</f>
        <v>100-XM4-2.75</v>
      </c>
      <c r="CG66" s="28" t="str">
        <f>TU[[#This Row],[UID]]</f>
        <v>TU-65</v>
      </c>
      <c r="CK66" s="18" t="str">
        <f>IF(TU[[#This Row],[Status]]=0,"",TU[[#This Row],[Status]])</f>
        <v>Active</v>
      </c>
    </row>
    <row r="67" spans="1:89">
      <c r="A67" s="18" t="s">
        <v>120</v>
      </c>
      <c r="B67" s="18" t="s">
        <v>67</v>
      </c>
      <c r="C67" s="54" t="s">
        <v>1485</v>
      </c>
      <c r="D67" s="28">
        <v>100000</v>
      </c>
      <c r="E67" s="54" t="s">
        <v>1476</v>
      </c>
      <c r="F67" s="54">
        <v>221003</v>
      </c>
      <c r="G67" s="53">
        <v>56.305199999999999</v>
      </c>
      <c r="H67" s="18" t="s">
        <v>253</v>
      </c>
      <c r="I67" s="18" t="s">
        <v>253</v>
      </c>
      <c r="J67" s="53">
        <v>2.75</v>
      </c>
      <c r="K67" s="53">
        <v>0.25</v>
      </c>
      <c r="L67" s="53">
        <v>6.25E-2</v>
      </c>
      <c r="M67" s="18" t="s">
        <v>161</v>
      </c>
      <c r="N67" s="18" t="s">
        <v>129</v>
      </c>
      <c r="O67" s="18" t="s">
        <v>129</v>
      </c>
      <c r="P67" s="18" t="s">
        <v>128</v>
      </c>
      <c r="Q67" s="18" t="s">
        <v>173</v>
      </c>
      <c r="R67" s="20" t="s">
        <v>332</v>
      </c>
      <c r="CA67" s="1" t="s">
        <v>71</v>
      </c>
      <c r="CB67" s="1" t="s">
        <v>18</v>
      </c>
      <c r="CC67" s="1" t="s">
        <v>308</v>
      </c>
      <c r="CE67" s="28" t="str">
        <f>TU[[#This Row],[Part Type]]</f>
        <v>Tube</v>
      </c>
      <c r="CF67" s="28" t="str">
        <f>TU[[#This Row],[Part Nr.]]</f>
        <v>100-XM4-2.75</v>
      </c>
      <c r="CG67" s="28" t="str">
        <f>TU[[#This Row],[UID]]</f>
        <v>TU-66</v>
      </c>
      <c r="CK67" s="18" t="str">
        <f>IF(TU[[#This Row],[Status]]=0,"",TU[[#This Row],[Status]])</f>
        <v>Active</v>
      </c>
    </row>
    <row r="68" spans="1:89">
      <c r="A68" s="18" t="s">
        <v>120</v>
      </c>
      <c r="B68" s="18" t="s">
        <v>67</v>
      </c>
      <c r="C68" s="54" t="s">
        <v>1486</v>
      </c>
      <c r="D68" s="28">
        <v>100000</v>
      </c>
      <c r="E68" s="54" t="s">
        <v>1476</v>
      </c>
      <c r="F68" s="54">
        <v>221003</v>
      </c>
      <c r="G68" s="53">
        <v>63.953499999999998</v>
      </c>
      <c r="H68" s="18" t="s">
        <v>253</v>
      </c>
      <c r="I68" s="18" t="s">
        <v>253</v>
      </c>
      <c r="J68" s="53">
        <v>2.75</v>
      </c>
      <c r="K68" s="53">
        <v>0.25</v>
      </c>
      <c r="L68" s="53">
        <v>6.25E-2</v>
      </c>
      <c r="M68" s="18" t="s">
        <v>161</v>
      </c>
      <c r="N68" s="18" t="s">
        <v>129</v>
      </c>
      <c r="O68" s="18" t="s">
        <v>129</v>
      </c>
      <c r="P68" s="18" t="s">
        <v>128</v>
      </c>
      <c r="Q68" s="18" t="s">
        <v>173</v>
      </c>
      <c r="R68" s="20" t="s">
        <v>332</v>
      </c>
      <c r="CA68" s="1" t="s">
        <v>71</v>
      </c>
      <c r="CB68" s="1" t="s">
        <v>18</v>
      </c>
      <c r="CC68" s="1" t="s">
        <v>308</v>
      </c>
      <c r="CE68" s="28" t="str">
        <f>TU[[#This Row],[Part Type]]</f>
        <v>Tube</v>
      </c>
      <c r="CF68" s="28" t="str">
        <f>TU[[#This Row],[Part Nr.]]</f>
        <v>100-XM4-2.75</v>
      </c>
      <c r="CG68" s="28" t="str">
        <f>TU[[#This Row],[UID]]</f>
        <v>TU-67</v>
      </c>
      <c r="CK68" s="18" t="str">
        <f>IF(TU[[#This Row],[Status]]=0,"",TU[[#This Row],[Status]])</f>
        <v>Active</v>
      </c>
    </row>
    <row r="69" spans="1:89">
      <c r="A69" s="18" t="s">
        <v>120</v>
      </c>
      <c r="B69" s="18" t="s">
        <v>67</v>
      </c>
      <c r="C69" s="54" t="s">
        <v>1487</v>
      </c>
      <c r="D69" s="28">
        <v>100000</v>
      </c>
      <c r="E69" s="54" t="s">
        <v>1476</v>
      </c>
      <c r="F69" s="54">
        <v>221003</v>
      </c>
      <c r="G69" s="53">
        <v>63.934199999999997</v>
      </c>
      <c r="H69" s="18" t="s">
        <v>253</v>
      </c>
      <c r="I69" s="18" t="s">
        <v>253</v>
      </c>
      <c r="J69" s="53">
        <v>2.75</v>
      </c>
      <c r="K69" s="53">
        <v>0.25</v>
      </c>
      <c r="L69" s="53">
        <v>6.25E-2</v>
      </c>
      <c r="M69" s="18" t="s">
        <v>161</v>
      </c>
      <c r="N69" s="18" t="s">
        <v>129</v>
      </c>
      <c r="O69" s="18" t="s">
        <v>129</v>
      </c>
      <c r="P69" s="18" t="s">
        <v>128</v>
      </c>
      <c r="Q69" s="18" t="s">
        <v>173</v>
      </c>
      <c r="R69" s="20" t="s">
        <v>332</v>
      </c>
      <c r="CA69" s="1" t="s">
        <v>71</v>
      </c>
      <c r="CB69" s="1" t="s">
        <v>18</v>
      </c>
      <c r="CC69" s="1" t="s">
        <v>308</v>
      </c>
      <c r="CE69" s="28" t="str">
        <f>TU[[#This Row],[Part Type]]</f>
        <v>Tube</v>
      </c>
      <c r="CF69" s="28" t="str">
        <f>TU[[#This Row],[Part Nr.]]</f>
        <v>100-XM4-2.75</v>
      </c>
      <c r="CG69" s="28" t="str">
        <f>TU[[#This Row],[UID]]</f>
        <v>TU-68</v>
      </c>
      <c r="CK69" s="18" t="str">
        <f>IF(TU[[#This Row],[Status]]=0,"",TU[[#This Row],[Status]])</f>
        <v>Active</v>
      </c>
    </row>
    <row r="70" spans="1:89">
      <c r="A70" s="18" t="s">
        <v>120</v>
      </c>
      <c r="B70" s="18" t="s">
        <v>67</v>
      </c>
      <c r="C70" s="54" t="s">
        <v>1488</v>
      </c>
      <c r="D70" s="28">
        <v>100000</v>
      </c>
      <c r="E70" s="54" t="s">
        <v>1476</v>
      </c>
      <c r="F70" s="54">
        <v>221003</v>
      </c>
      <c r="G70" s="53">
        <v>56.344099999999997</v>
      </c>
      <c r="H70" s="18" t="s">
        <v>253</v>
      </c>
      <c r="I70" s="18" t="s">
        <v>253</v>
      </c>
      <c r="J70" s="53">
        <v>2.75</v>
      </c>
      <c r="K70" s="53">
        <v>0.25</v>
      </c>
      <c r="L70" s="53">
        <v>6.25E-2</v>
      </c>
      <c r="M70" s="18" t="s">
        <v>161</v>
      </c>
      <c r="N70" s="18" t="s">
        <v>129</v>
      </c>
      <c r="O70" s="18" t="s">
        <v>129</v>
      </c>
      <c r="P70" s="18" t="s">
        <v>128</v>
      </c>
      <c r="Q70" s="18" t="s">
        <v>173</v>
      </c>
      <c r="R70" s="20" t="s">
        <v>332</v>
      </c>
      <c r="CA70" s="1" t="s">
        <v>71</v>
      </c>
      <c r="CB70" s="1" t="s">
        <v>18</v>
      </c>
      <c r="CC70" s="1" t="s">
        <v>308</v>
      </c>
      <c r="CE70" s="28" t="str">
        <f>TU[[#This Row],[Part Type]]</f>
        <v>Tube</v>
      </c>
      <c r="CF70" s="28" t="str">
        <f>TU[[#This Row],[Part Nr.]]</f>
        <v>100-XM4-2.75</v>
      </c>
      <c r="CG70" s="28" t="str">
        <f>TU[[#This Row],[UID]]</f>
        <v>TU-69</v>
      </c>
      <c r="CK70" s="18" t="str">
        <f>IF(TU[[#This Row],[Status]]=0,"",TU[[#This Row],[Status]])</f>
        <v>Active</v>
      </c>
    </row>
    <row r="71" spans="1:89">
      <c r="A71" s="18" t="s">
        <v>120</v>
      </c>
      <c r="B71" s="18" t="s">
        <v>67</v>
      </c>
      <c r="C71" s="54" t="s">
        <v>1489</v>
      </c>
      <c r="D71" s="28">
        <v>100000</v>
      </c>
      <c r="E71" s="54" t="s">
        <v>1476</v>
      </c>
      <c r="F71" s="54">
        <v>221003</v>
      </c>
      <c r="G71" s="53">
        <v>56.834899999999998</v>
      </c>
      <c r="H71" s="18" t="s">
        <v>253</v>
      </c>
      <c r="I71" s="18" t="s">
        <v>253</v>
      </c>
      <c r="J71" s="53">
        <v>2.75</v>
      </c>
      <c r="K71" s="53">
        <v>0.25</v>
      </c>
      <c r="L71" s="53">
        <v>6.25E-2</v>
      </c>
      <c r="M71" s="18" t="s">
        <v>161</v>
      </c>
      <c r="N71" s="18" t="s">
        <v>129</v>
      </c>
      <c r="O71" s="18" t="s">
        <v>129</v>
      </c>
      <c r="P71" s="18" t="s">
        <v>128</v>
      </c>
      <c r="Q71" s="18" t="s">
        <v>173</v>
      </c>
      <c r="R71" s="20" t="s">
        <v>332</v>
      </c>
      <c r="CA71" s="1" t="s">
        <v>71</v>
      </c>
      <c r="CB71" s="1" t="s">
        <v>18</v>
      </c>
      <c r="CC71" s="1" t="s">
        <v>308</v>
      </c>
      <c r="CE71" s="28" t="str">
        <f>TU[[#This Row],[Part Type]]</f>
        <v>Tube</v>
      </c>
      <c r="CF71" s="28" t="str">
        <f>TU[[#This Row],[Part Nr.]]</f>
        <v>100-XM4-2.75</v>
      </c>
      <c r="CG71" s="28" t="str">
        <f>TU[[#This Row],[UID]]</f>
        <v>TU-70</v>
      </c>
      <c r="CK71" s="18" t="str">
        <f>IF(TU[[#This Row],[Status]]=0,"",TU[[#This Row],[Status]])</f>
        <v>Active</v>
      </c>
    </row>
    <row r="72" spans="1:89">
      <c r="A72" s="18" t="s">
        <v>120</v>
      </c>
      <c r="B72" s="18" t="s">
        <v>67</v>
      </c>
      <c r="C72" s="54" t="s">
        <v>1490</v>
      </c>
      <c r="D72" s="28">
        <v>100000</v>
      </c>
      <c r="E72" s="54" t="s">
        <v>1476</v>
      </c>
      <c r="F72" s="54">
        <v>221003</v>
      </c>
      <c r="G72" s="53">
        <v>56.636800000000001</v>
      </c>
      <c r="H72" s="18" t="s">
        <v>253</v>
      </c>
      <c r="I72" s="18" t="s">
        <v>253</v>
      </c>
      <c r="J72" s="53">
        <v>2.75</v>
      </c>
      <c r="K72" s="53">
        <v>0.25</v>
      </c>
      <c r="L72" s="53">
        <v>6.25E-2</v>
      </c>
      <c r="M72" s="18" t="s">
        <v>161</v>
      </c>
      <c r="N72" s="18" t="s">
        <v>129</v>
      </c>
      <c r="O72" s="18" t="s">
        <v>129</v>
      </c>
      <c r="P72" s="18" t="s">
        <v>128</v>
      </c>
      <c r="Q72" s="18" t="s">
        <v>173</v>
      </c>
      <c r="R72" s="20" t="s">
        <v>332</v>
      </c>
      <c r="CA72" s="1" t="s">
        <v>71</v>
      </c>
      <c r="CB72" s="1" t="s">
        <v>18</v>
      </c>
      <c r="CC72" s="1" t="s">
        <v>308</v>
      </c>
      <c r="CE72" s="28" t="str">
        <f>TU[[#This Row],[Part Type]]</f>
        <v>Tube</v>
      </c>
      <c r="CF72" s="28" t="str">
        <f>TU[[#This Row],[Part Nr.]]</f>
        <v>100-XM4-2.75</v>
      </c>
      <c r="CG72" s="28" t="str">
        <f>TU[[#This Row],[UID]]</f>
        <v>TU-71</v>
      </c>
      <c r="CK72" s="18" t="str">
        <f>IF(TU[[#This Row],[Status]]=0,"",TU[[#This Row],[Status]])</f>
        <v>Active</v>
      </c>
    </row>
    <row r="73" spans="1:89">
      <c r="D73" s="28"/>
      <c r="G73" s="53"/>
      <c r="J73" s="53"/>
      <c r="K73" s="53"/>
      <c r="L73" s="53"/>
      <c r="O73" s="18"/>
      <c r="CA73" s="1" t="s">
        <v>71</v>
      </c>
      <c r="CB73" s="1" t="s">
        <v>18</v>
      </c>
      <c r="CC73" s="1" t="s">
        <v>308</v>
      </c>
      <c r="CE73" s="28">
        <f>TU[[#This Row],[Part Type]]</f>
        <v>0</v>
      </c>
      <c r="CF73" s="28">
        <f>TU[[#This Row],[Part Nr.]]</f>
        <v>0</v>
      </c>
      <c r="CG73" s="28">
        <f>TU[[#This Row],[UID]]</f>
        <v>0</v>
      </c>
      <c r="CK73" s="18" t="str">
        <f>IF(TU[[#This Row],[Status]]=0,"",TU[[#This Row],[Status]])</f>
        <v/>
      </c>
    </row>
    <row r="74" spans="1:89">
      <c r="D74" s="28"/>
      <c r="G74" s="53"/>
      <c r="J74" s="53"/>
      <c r="K74" s="53"/>
      <c r="L74" s="53"/>
      <c r="O74" s="18"/>
      <c r="CA74" s="1" t="s">
        <v>71</v>
      </c>
      <c r="CB74" s="1" t="s">
        <v>18</v>
      </c>
      <c r="CC74" s="1" t="s">
        <v>308</v>
      </c>
      <c r="CE74" s="28">
        <f>TU[[#This Row],[Part Type]]</f>
        <v>0</v>
      </c>
      <c r="CF74" s="28">
        <f>TU[[#This Row],[Part Nr.]]</f>
        <v>0</v>
      </c>
      <c r="CG74" s="28">
        <f>TU[[#This Row],[UID]]</f>
        <v>0</v>
      </c>
      <c r="CK74" s="18" t="str">
        <f>IF(TU[[#This Row],[Status]]=0,"",TU[[#This Row],[Status]])</f>
        <v/>
      </c>
    </row>
    <row r="75" spans="1:89">
      <c r="D75" s="28"/>
      <c r="G75" s="53"/>
      <c r="J75" s="53"/>
      <c r="K75" s="53"/>
      <c r="L75" s="53"/>
      <c r="O75" s="18"/>
      <c r="CA75" s="1" t="s">
        <v>71</v>
      </c>
      <c r="CB75" s="1" t="s">
        <v>18</v>
      </c>
      <c r="CC75" s="1" t="s">
        <v>308</v>
      </c>
      <c r="CE75" s="28">
        <f>TU[[#This Row],[Part Type]]</f>
        <v>0</v>
      </c>
      <c r="CF75" s="28">
        <f>TU[[#This Row],[Part Nr.]]</f>
        <v>0</v>
      </c>
      <c r="CG75" s="28">
        <f>TU[[#This Row],[UID]]</f>
        <v>0</v>
      </c>
      <c r="CK75" s="18" t="str">
        <f>IF(TU[[#This Row],[Status]]=0,"",TU[[#This Row],[Status]])</f>
        <v/>
      </c>
    </row>
    <row r="76" spans="1:89">
      <c r="D76" s="28"/>
      <c r="G76" s="53"/>
      <c r="J76" s="53"/>
      <c r="K76" s="53"/>
      <c r="L76" s="53"/>
      <c r="O76" s="18"/>
      <c r="CA76" s="1" t="s">
        <v>71</v>
      </c>
      <c r="CB76" s="1" t="s">
        <v>18</v>
      </c>
      <c r="CC76" s="1" t="s">
        <v>308</v>
      </c>
      <c r="CE76" s="28">
        <f>TU[[#This Row],[Part Type]]</f>
        <v>0</v>
      </c>
      <c r="CF76" s="28">
        <f>TU[[#This Row],[Part Nr.]]</f>
        <v>0</v>
      </c>
      <c r="CG76" s="28">
        <f>TU[[#This Row],[UID]]</f>
        <v>0</v>
      </c>
      <c r="CK76" s="18" t="str">
        <f>IF(TU[[#This Row],[Status]]=0,"",TU[[#This Row],[Status]])</f>
        <v/>
      </c>
    </row>
    <row r="77" spans="1:89">
      <c r="D77" s="28"/>
      <c r="G77" s="53"/>
      <c r="J77" s="53"/>
      <c r="K77" s="53"/>
      <c r="L77" s="53"/>
      <c r="O77" s="18"/>
      <c r="CA77" s="1" t="s">
        <v>71</v>
      </c>
      <c r="CB77" s="1" t="s">
        <v>18</v>
      </c>
      <c r="CC77" s="1" t="s">
        <v>308</v>
      </c>
      <c r="CE77" s="28">
        <f>TU[[#This Row],[Part Type]]</f>
        <v>0</v>
      </c>
      <c r="CF77" s="28">
        <f>TU[[#This Row],[Part Nr.]]</f>
        <v>0</v>
      </c>
      <c r="CG77" s="28">
        <f>TU[[#This Row],[UID]]</f>
        <v>0</v>
      </c>
      <c r="CK77" s="18" t="str">
        <f>IF(TU[[#This Row],[Status]]=0,"",TU[[#This Row],[Status]])</f>
        <v/>
      </c>
    </row>
    <row r="78" spans="1:89">
      <c r="D78" s="28"/>
      <c r="G78" s="53"/>
      <c r="J78" s="53"/>
      <c r="K78" s="53"/>
      <c r="L78" s="53"/>
      <c r="O78" s="18"/>
      <c r="CA78" s="1" t="s">
        <v>71</v>
      </c>
      <c r="CB78" s="1" t="s">
        <v>18</v>
      </c>
      <c r="CC78" s="1" t="s">
        <v>308</v>
      </c>
      <c r="CE78" s="28">
        <f>TU[[#This Row],[Part Type]]</f>
        <v>0</v>
      </c>
      <c r="CF78" s="28">
        <f>TU[[#This Row],[Part Nr.]]</f>
        <v>0</v>
      </c>
      <c r="CG78" s="28">
        <f>TU[[#This Row],[UID]]</f>
        <v>0</v>
      </c>
      <c r="CK78" s="18" t="str">
        <f>IF(TU[[#This Row],[Status]]=0,"",TU[[#This Row],[Status]])</f>
        <v/>
      </c>
    </row>
    <row r="79" spans="1:89">
      <c r="D79" s="28"/>
      <c r="G79" s="53"/>
      <c r="J79" s="53"/>
      <c r="K79" s="53"/>
      <c r="L79" s="53"/>
      <c r="O79" s="18"/>
      <c r="CA79" s="1" t="s">
        <v>71</v>
      </c>
      <c r="CB79" s="1" t="s">
        <v>18</v>
      </c>
      <c r="CC79" s="1" t="s">
        <v>308</v>
      </c>
      <c r="CE79" s="28">
        <f>TU[[#This Row],[Part Type]]</f>
        <v>0</v>
      </c>
      <c r="CF79" s="28">
        <f>TU[[#This Row],[Part Nr.]]</f>
        <v>0</v>
      </c>
      <c r="CG79" s="28">
        <f>TU[[#This Row],[UID]]</f>
        <v>0</v>
      </c>
      <c r="CK79" s="18" t="str">
        <f>IF(TU[[#This Row],[Status]]=0,"",TU[[#This Row],[Status]])</f>
        <v/>
      </c>
    </row>
    <row r="80" spans="1:89">
      <c r="D80" s="28"/>
      <c r="G80" s="53"/>
      <c r="J80" s="53"/>
      <c r="K80" s="53"/>
      <c r="L80" s="53"/>
      <c r="O80" s="18"/>
      <c r="CA80" s="1" t="s">
        <v>71</v>
      </c>
      <c r="CB80" s="1" t="s">
        <v>18</v>
      </c>
      <c r="CC80" s="1" t="s">
        <v>308</v>
      </c>
      <c r="CE80" s="28">
        <f>TU[[#This Row],[Part Type]]</f>
        <v>0</v>
      </c>
      <c r="CF80" s="28">
        <f>TU[[#This Row],[Part Nr.]]</f>
        <v>0</v>
      </c>
      <c r="CG80" s="28">
        <f>TU[[#This Row],[UID]]</f>
        <v>0</v>
      </c>
      <c r="CK80" s="18" t="str">
        <f>IF(TU[[#This Row],[Status]]=0,"",TU[[#This Row],[Status]])</f>
        <v/>
      </c>
    </row>
    <row r="81" spans="4:89">
      <c r="D81" s="28"/>
      <c r="G81" s="53"/>
      <c r="J81" s="53"/>
      <c r="K81" s="53"/>
      <c r="L81" s="53"/>
      <c r="O81" s="18"/>
      <c r="CA81" s="1" t="s">
        <v>71</v>
      </c>
      <c r="CB81" s="1" t="s">
        <v>18</v>
      </c>
      <c r="CC81" s="1" t="s">
        <v>308</v>
      </c>
      <c r="CE81" s="28">
        <f>TU[[#This Row],[Part Type]]</f>
        <v>0</v>
      </c>
      <c r="CF81" s="28">
        <f>TU[[#This Row],[Part Nr.]]</f>
        <v>0</v>
      </c>
      <c r="CG81" s="28">
        <f>TU[[#This Row],[UID]]</f>
        <v>0</v>
      </c>
      <c r="CK81" s="18" t="str">
        <f>IF(TU[[#This Row],[Status]]=0,"",TU[[#This Row],[Status]])</f>
        <v/>
      </c>
    </row>
    <row r="82" spans="4:89">
      <c r="D82" s="28"/>
      <c r="G82" s="53"/>
      <c r="J82" s="53"/>
      <c r="K82" s="53"/>
      <c r="L82" s="53"/>
      <c r="O82" s="18"/>
      <c r="CA82" s="1" t="s">
        <v>71</v>
      </c>
      <c r="CB82" s="1" t="s">
        <v>18</v>
      </c>
      <c r="CC82" s="1" t="s">
        <v>308</v>
      </c>
      <c r="CE82" s="28">
        <f>TU[[#This Row],[Part Type]]</f>
        <v>0</v>
      </c>
      <c r="CF82" s="28">
        <f>TU[[#This Row],[Part Nr.]]</f>
        <v>0</v>
      </c>
      <c r="CG82" s="28">
        <f>TU[[#This Row],[UID]]</f>
        <v>0</v>
      </c>
      <c r="CK82" s="18" t="str">
        <f>IF(TU[[#This Row],[Status]]=0,"",TU[[#This Row],[Status]])</f>
        <v/>
      </c>
    </row>
    <row r="83" spans="4:89">
      <c r="D83" s="28"/>
      <c r="G83" s="53"/>
      <c r="J83" s="53"/>
      <c r="K83" s="53"/>
      <c r="L83" s="53"/>
      <c r="O83" s="18"/>
      <c r="CA83" s="1" t="s">
        <v>71</v>
      </c>
      <c r="CB83" s="1" t="s">
        <v>18</v>
      </c>
      <c r="CC83" s="1" t="s">
        <v>308</v>
      </c>
      <c r="CE83" s="28">
        <f>TU[[#This Row],[Part Type]]</f>
        <v>0</v>
      </c>
      <c r="CF83" s="28">
        <f>TU[[#This Row],[Part Nr.]]</f>
        <v>0</v>
      </c>
      <c r="CG83" s="28">
        <f>TU[[#This Row],[UID]]</f>
        <v>0</v>
      </c>
      <c r="CK83" s="18" t="str">
        <f>IF(TU[[#This Row],[Status]]=0,"",TU[[#This Row],[Status]])</f>
        <v/>
      </c>
    </row>
    <row r="84" spans="4:89">
      <c r="D84" s="28"/>
      <c r="G84" s="53"/>
      <c r="J84" s="53"/>
      <c r="K84" s="53"/>
      <c r="L84" s="53"/>
      <c r="O84" s="18"/>
      <c r="CA84" s="1" t="s">
        <v>71</v>
      </c>
      <c r="CB84" s="1" t="s">
        <v>18</v>
      </c>
      <c r="CC84" s="1" t="s">
        <v>308</v>
      </c>
      <c r="CE84" s="28">
        <f>TU[[#This Row],[Part Type]]</f>
        <v>0</v>
      </c>
      <c r="CF84" s="28">
        <f>TU[[#This Row],[Part Nr.]]</f>
        <v>0</v>
      </c>
      <c r="CG84" s="28">
        <f>TU[[#This Row],[UID]]</f>
        <v>0</v>
      </c>
      <c r="CK84" s="18" t="str">
        <f>IF(TU[[#This Row],[Status]]=0,"",TU[[#This Row],[Status]])</f>
        <v/>
      </c>
    </row>
    <row r="85" spans="4:89">
      <c r="D85" s="28"/>
      <c r="G85" s="53"/>
      <c r="J85" s="53"/>
      <c r="K85" s="53"/>
      <c r="L85" s="53"/>
      <c r="O85" s="18"/>
      <c r="CA85" s="1" t="s">
        <v>71</v>
      </c>
      <c r="CB85" s="1" t="s">
        <v>18</v>
      </c>
      <c r="CC85" s="1" t="s">
        <v>308</v>
      </c>
      <c r="CE85" s="28">
        <f>TU[[#This Row],[Part Type]]</f>
        <v>0</v>
      </c>
      <c r="CF85" s="28">
        <f>TU[[#This Row],[Part Nr.]]</f>
        <v>0</v>
      </c>
      <c r="CG85" s="28">
        <f>TU[[#This Row],[UID]]</f>
        <v>0</v>
      </c>
      <c r="CK85" s="18" t="str">
        <f>IF(TU[[#This Row],[Status]]=0,"",TU[[#This Row],[Status]])</f>
        <v/>
      </c>
    </row>
    <row r="86" spans="4:89">
      <c r="D86" s="28"/>
      <c r="G86" s="53"/>
      <c r="J86" s="53"/>
      <c r="K86" s="53"/>
      <c r="L86" s="53"/>
      <c r="O86" s="18"/>
      <c r="CA86" s="1" t="s">
        <v>71</v>
      </c>
      <c r="CB86" s="1" t="s">
        <v>18</v>
      </c>
      <c r="CC86" s="1" t="s">
        <v>308</v>
      </c>
      <c r="CE86" s="28">
        <f>TU[[#This Row],[Part Type]]</f>
        <v>0</v>
      </c>
      <c r="CF86" s="28">
        <f>TU[[#This Row],[Part Nr.]]</f>
        <v>0</v>
      </c>
      <c r="CG86" s="28">
        <f>TU[[#This Row],[UID]]</f>
        <v>0</v>
      </c>
      <c r="CK86" s="18" t="str">
        <f>IF(TU[[#This Row],[Status]]=0,"",TU[[#This Row],[Status]])</f>
        <v/>
      </c>
    </row>
    <row r="87" spans="4:89">
      <c r="D87" s="28"/>
      <c r="G87" s="53"/>
      <c r="J87" s="53"/>
      <c r="K87" s="53"/>
      <c r="L87" s="53"/>
      <c r="O87" s="18"/>
      <c r="CA87" s="1" t="s">
        <v>71</v>
      </c>
      <c r="CB87" s="1" t="s">
        <v>18</v>
      </c>
      <c r="CC87" s="1" t="s">
        <v>308</v>
      </c>
      <c r="CE87" s="28">
        <f>TU[[#This Row],[Part Type]]</f>
        <v>0</v>
      </c>
      <c r="CF87" s="28">
        <f>TU[[#This Row],[Part Nr.]]</f>
        <v>0</v>
      </c>
      <c r="CG87" s="28">
        <f>TU[[#This Row],[UID]]</f>
        <v>0</v>
      </c>
      <c r="CK87" s="18" t="str">
        <f>IF(TU[[#This Row],[Status]]=0,"",TU[[#This Row],[Status]])</f>
        <v/>
      </c>
    </row>
    <row r="88" spans="4:89">
      <c r="D88" s="28"/>
      <c r="G88" s="53"/>
      <c r="J88" s="53"/>
      <c r="K88" s="53"/>
      <c r="L88" s="53"/>
      <c r="O88" s="18"/>
      <c r="CA88" s="1" t="s">
        <v>71</v>
      </c>
      <c r="CB88" s="1" t="s">
        <v>18</v>
      </c>
      <c r="CC88" s="1" t="s">
        <v>308</v>
      </c>
      <c r="CE88" s="28">
        <f>TU[[#This Row],[Part Type]]</f>
        <v>0</v>
      </c>
      <c r="CF88" s="28">
        <f>TU[[#This Row],[Part Nr.]]</f>
        <v>0</v>
      </c>
      <c r="CG88" s="28">
        <f>TU[[#This Row],[UID]]</f>
        <v>0</v>
      </c>
      <c r="CK88" s="18" t="str">
        <f>IF(TU[[#This Row],[Status]]=0,"",TU[[#This Row],[Status]])</f>
        <v/>
      </c>
    </row>
    <row r="89" spans="4:89">
      <c r="D89" s="28"/>
      <c r="G89" s="53"/>
      <c r="J89" s="53"/>
      <c r="K89" s="53"/>
      <c r="L89" s="53"/>
      <c r="O89" s="18"/>
      <c r="CA89" s="1" t="s">
        <v>71</v>
      </c>
      <c r="CB89" s="1" t="s">
        <v>18</v>
      </c>
      <c r="CC89" s="1" t="s">
        <v>308</v>
      </c>
      <c r="CE89" s="28">
        <f>TU[[#This Row],[Part Type]]</f>
        <v>0</v>
      </c>
      <c r="CF89" s="28">
        <f>TU[[#This Row],[Part Nr.]]</f>
        <v>0</v>
      </c>
      <c r="CG89" s="28">
        <f>TU[[#This Row],[UID]]</f>
        <v>0</v>
      </c>
      <c r="CK89" s="18" t="str">
        <f>IF(TU[[#This Row],[Status]]=0,"",TU[[#This Row],[Status]])</f>
        <v/>
      </c>
    </row>
    <row r="90" spans="4:89">
      <c r="D90" s="28"/>
      <c r="G90" s="53"/>
      <c r="J90" s="53"/>
      <c r="K90" s="53"/>
      <c r="L90" s="53"/>
      <c r="O90" s="18"/>
      <c r="CA90" s="1" t="s">
        <v>71</v>
      </c>
      <c r="CB90" s="1" t="s">
        <v>18</v>
      </c>
      <c r="CC90" s="1" t="s">
        <v>308</v>
      </c>
      <c r="CE90" s="28">
        <f>TU[[#This Row],[Part Type]]</f>
        <v>0</v>
      </c>
      <c r="CF90" s="28">
        <f>TU[[#This Row],[Part Nr.]]</f>
        <v>0</v>
      </c>
      <c r="CG90" s="28">
        <f>TU[[#This Row],[UID]]</f>
        <v>0</v>
      </c>
      <c r="CK90" s="18" t="str">
        <f>IF(TU[[#This Row],[Status]]=0,"",TU[[#This Row],[Status]])</f>
        <v/>
      </c>
    </row>
    <row r="91" spans="4:89">
      <c r="D91" s="28"/>
      <c r="G91" s="53"/>
      <c r="J91" s="53"/>
      <c r="K91" s="53"/>
      <c r="L91" s="53"/>
      <c r="O91" s="18"/>
      <c r="CA91" s="1" t="s">
        <v>71</v>
      </c>
      <c r="CB91" s="1" t="s">
        <v>18</v>
      </c>
      <c r="CC91" s="1" t="s">
        <v>308</v>
      </c>
      <c r="CE91" s="28">
        <f>TU[[#This Row],[Part Type]]</f>
        <v>0</v>
      </c>
      <c r="CF91" s="28">
        <f>TU[[#This Row],[Part Nr.]]</f>
        <v>0</v>
      </c>
      <c r="CG91" s="28">
        <f>TU[[#This Row],[UID]]</f>
        <v>0</v>
      </c>
      <c r="CK91" s="18" t="str">
        <f>IF(TU[[#This Row],[Status]]=0,"",TU[[#This Row],[Status]])</f>
        <v/>
      </c>
    </row>
    <row r="92" spans="4:89">
      <c r="D92" s="28"/>
      <c r="G92" s="53"/>
      <c r="J92" s="53"/>
      <c r="K92" s="53"/>
      <c r="L92" s="53"/>
      <c r="O92" s="18"/>
      <c r="CA92" s="1" t="s">
        <v>71</v>
      </c>
      <c r="CB92" s="1" t="s">
        <v>18</v>
      </c>
      <c r="CC92" s="1" t="s">
        <v>308</v>
      </c>
      <c r="CE92" s="28">
        <f>TU[[#This Row],[Part Type]]</f>
        <v>0</v>
      </c>
      <c r="CF92" s="28">
        <f>TU[[#This Row],[Part Nr.]]</f>
        <v>0</v>
      </c>
      <c r="CG92" s="28">
        <f>TU[[#This Row],[UID]]</f>
        <v>0</v>
      </c>
      <c r="CK92" s="18" t="str">
        <f>IF(TU[[#This Row],[Status]]=0,"",TU[[#This Row],[Status]])</f>
        <v/>
      </c>
    </row>
    <row r="93" spans="4:89">
      <c r="D93" s="28"/>
      <c r="G93" s="53"/>
      <c r="J93" s="53"/>
      <c r="K93" s="53"/>
      <c r="L93" s="53"/>
      <c r="O93" s="18"/>
      <c r="CA93" s="1" t="s">
        <v>71</v>
      </c>
      <c r="CB93" s="1" t="s">
        <v>18</v>
      </c>
      <c r="CC93" s="1" t="s">
        <v>308</v>
      </c>
      <c r="CE93" s="28">
        <f>TU[[#This Row],[Part Type]]</f>
        <v>0</v>
      </c>
      <c r="CF93" s="28">
        <f>TU[[#This Row],[Part Nr.]]</f>
        <v>0</v>
      </c>
      <c r="CG93" s="28">
        <f>TU[[#This Row],[UID]]</f>
        <v>0</v>
      </c>
      <c r="CK93" s="18" t="str">
        <f>IF(TU[[#This Row],[Status]]=0,"",TU[[#This Row],[Status]])</f>
        <v/>
      </c>
    </row>
    <row r="94" spans="4:89">
      <c r="D94" s="28"/>
      <c r="G94" s="53"/>
      <c r="J94" s="53"/>
      <c r="K94" s="53"/>
      <c r="L94" s="53"/>
      <c r="O94" s="18"/>
      <c r="CA94" s="1" t="s">
        <v>71</v>
      </c>
      <c r="CB94" s="1" t="s">
        <v>18</v>
      </c>
      <c r="CC94" s="1" t="s">
        <v>308</v>
      </c>
      <c r="CE94" s="28">
        <f>TU[[#This Row],[Part Type]]</f>
        <v>0</v>
      </c>
      <c r="CF94" s="28">
        <f>TU[[#This Row],[Part Nr.]]</f>
        <v>0</v>
      </c>
      <c r="CG94" s="28">
        <f>TU[[#This Row],[UID]]</f>
        <v>0</v>
      </c>
      <c r="CK94" s="18" t="str">
        <f>IF(TU[[#This Row],[Status]]=0,"",TU[[#This Row],[Status]])</f>
        <v/>
      </c>
    </row>
    <row r="95" spans="4:89">
      <c r="D95" s="28"/>
      <c r="G95" s="53"/>
      <c r="J95" s="53"/>
      <c r="K95" s="53"/>
      <c r="L95" s="53"/>
      <c r="O95" s="18"/>
      <c r="CA95" s="1" t="s">
        <v>71</v>
      </c>
      <c r="CB95" s="1" t="s">
        <v>18</v>
      </c>
      <c r="CC95" s="1" t="s">
        <v>308</v>
      </c>
      <c r="CE95" s="28">
        <f>TU[[#This Row],[Part Type]]</f>
        <v>0</v>
      </c>
      <c r="CF95" s="28">
        <f>TU[[#This Row],[Part Nr.]]</f>
        <v>0</v>
      </c>
      <c r="CG95" s="28">
        <f>TU[[#This Row],[UID]]</f>
        <v>0</v>
      </c>
      <c r="CK95" s="18" t="str">
        <f>IF(TU[[#This Row],[Status]]=0,"",TU[[#This Row],[Status]])</f>
        <v/>
      </c>
    </row>
    <row r="96" spans="4:89">
      <c r="D96" s="28"/>
      <c r="G96" s="53"/>
      <c r="J96" s="53"/>
      <c r="K96" s="53"/>
      <c r="L96" s="53"/>
      <c r="O96" s="18"/>
      <c r="CA96" s="1" t="s">
        <v>71</v>
      </c>
      <c r="CB96" s="1" t="s">
        <v>18</v>
      </c>
      <c r="CC96" s="1" t="s">
        <v>308</v>
      </c>
      <c r="CE96" s="28">
        <f>TU[[#This Row],[Part Type]]</f>
        <v>0</v>
      </c>
      <c r="CF96" s="28">
        <f>TU[[#This Row],[Part Nr.]]</f>
        <v>0</v>
      </c>
      <c r="CG96" s="28">
        <f>TU[[#This Row],[UID]]</f>
        <v>0</v>
      </c>
      <c r="CK96" s="18" t="str">
        <f>IF(TU[[#This Row],[Status]]=0,"",TU[[#This Row],[Status]])</f>
        <v/>
      </c>
    </row>
    <row r="97" spans="4:89">
      <c r="D97" s="28"/>
      <c r="G97" s="53"/>
      <c r="J97" s="53"/>
      <c r="K97" s="53"/>
      <c r="L97" s="53"/>
      <c r="O97" s="18"/>
      <c r="CA97" s="1" t="s">
        <v>71</v>
      </c>
      <c r="CB97" s="1" t="s">
        <v>18</v>
      </c>
      <c r="CC97" s="1" t="s">
        <v>308</v>
      </c>
      <c r="CE97" s="28">
        <f>TU[[#This Row],[Part Type]]</f>
        <v>0</v>
      </c>
      <c r="CF97" s="28">
        <f>TU[[#This Row],[Part Nr.]]</f>
        <v>0</v>
      </c>
      <c r="CG97" s="28">
        <f>TU[[#This Row],[UID]]</f>
        <v>0</v>
      </c>
      <c r="CK97" s="18" t="str">
        <f>IF(TU[[#This Row],[Status]]=0,"",TU[[#This Row],[Status]])</f>
        <v/>
      </c>
    </row>
    <row r="98" spans="4:89">
      <c r="D98" s="28"/>
      <c r="G98" s="53"/>
      <c r="J98" s="53"/>
      <c r="K98" s="53"/>
      <c r="L98" s="53"/>
      <c r="O98" s="18"/>
      <c r="CA98" s="1" t="s">
        <v>71</v>
      </c>
      <c r="CB98" s="1" t="s">
        <v>18</v>
      </c>
      <c r="CC98" s="1" t="s">
        <v>308</v>
      </c>
      <c r="CE98" s="28">
        <f>TU[[#This Row],[Part Type]]</f>
        <v>0</v>
      </c>
      <c r="CF98" s="28">
        <f>TU[[#This Row],[Part Nr.]]</f>
        <v>0</v>
      </c>
      <c r="CG98" s="28">
        <f>TU[[#This Row],[UID]]</f>
        <v>0</v>
      </c>
      <c r="CK98" s="18" t="str">
        <f>IF(TU[[#This Row],[Status]]=0,"",TU[[#This Row],[Status]])</f>
        <v/>
      </c>
    </row>
    <row r="99" spans="4:89">
      <c r="D99" s="28"/>
      <c r="G99" s="53"/>
      <c r="J99" s="53"/>
      <c r="K99" s="53"/>
      <c r="L99" s="53"/>
      <c r="O99" s="18"/>
      <c r="CA99" s="1" t="s">
        <v>71</v>
      </c>
      <c r="CB99" s="1" t="s">
        <v>18</v>
      </c>
      <c r="CC99" s="1" t="s">
        <v>308</v>
      </c>
      <c r="CE99" s="28">
        <f>TU[[#This Row],[Part Type]]</f>
        <v>0</v>
      </c>
      <c r="CF99" s="28">
        <f>TU[[#This Row],[Part Nr.]]</f>
        <v>0</v>
      </c>
      <c r="CG99" s="28">
        <f>TU[[#This Row],[UID]]</f>
        <v>0</v>
      </c>
      <c r="CK99" s="18" t="str">
        <f>IF(TU[[#This Row],[Status]]=0,"",TU[[#This Row],[Status]])</f>
        <v/>
      </c>
    </row>
    <row r="100" spans="4:89">
      <c r="D100" s="28"/>
      <c r="G100" s="53"/>
      <c r="J100" s="53"/>
      <c r="K100" s="53"/>
      <c r="L100" s="53"/>
      <c r="O100" s="18"/>
      <c r="CA100" s="1" t="s">
        <v>71</v>
      </c>
      <c r="CB100" s="1" t="s">
        <v>18</v>
      </c>
      <c r="CC100" s="1" t="s">
        <v>308</v>
      </c>
      <c r="CE100" s="28">
        <f>TU[[#This Row],[Part Type]]</f>
        <v>0</v>
      </c>
      <c r="CF100" s="28">
        <f>TU[[#This Row],[Part Nr.]]</f>
        <v>0</v>
      </c>
      <c r="CG100" s="28">
        <f>TU[[#This Row],[UID]]</f>
        <v>0</v>
      </c>
      <c r="CK100" s="18" t="str">
        <f>IF(TU[[#This Row],[Status]]=0,"",TU[[#This Row],[Status]])</f>
        <v/>
      </c>
    </row>
    <row r="101" spans="4:89">
      <c r="D101" s="28"/>
      <c r="G101" s="53"/>
      <c r="J101" s="53"/>
      <c r="K101" s="53"/>
      <c r="L101" s="53"/>
      <c r="O101" s="18"/>
      <c r="CA101" s="1" t="s">
        <v>71</v>
      </c>
      <c r="CB101" s="1" t="s">
        <v>18</v>
      </c>
      <c r="CC101" s="1" t="s">
        <v>308</v>
      </c>
      <c r="CE101" s="28">
        <f>TU[[#This Row],[Part Type]]</f>
        <v>0</v>
      </c>
      <c r="CF101" s="28">
        <f>TU[[#This Row],[Part Nr.]]</f>
        <v>0</v>
      </c>
      <c r="CG101" s="28">
        <f>TU[[#This Row],[UID]]</f>
        <v>0</v>
      </c>
      <c r="CK101" s="18" t="str">
        <f>IF(TU[[#This Row],[Status]]=0,"",TU[[#This Row],[Status]])</f>
        <v/>
      </c>
    </row>
    <row r="102" spans="4:89">
      <c r="D102" s="28"/>
      <c r="G102" s="53"/>
      <c r="J102" s="53"/>
      <c r="K102" s="53"/>
      <c r="L102" s="53"/>
      <c r="O102" s="18"/>
      <c r="CA102" s="1" t="s">
        <v>71</v>
      </c>
      <c r="CB102" s="1" t="s">
        <v>18</v>
      </c>
      <c r="CC102" s="1" t="s">
        <v>308</v>
      </c>
      <c r="CE102" s="28">
        <f>TU[[#This Row],[Part Type]]</f>
        <v>0</v>
      </c>
      <c r="CF102" s="28">
        <f>TU[[#This Row],[Part Nr.]]</f>
        <v>0</v>
      </c>
      <c r="CG102" s="28">
        <f>TU[[#This Row],[UID]]</f>
        <v>0</v>
      </c>
      <c r="CK102" s="18" t="str">
        <f>IF(TU[[#This Row],[Status]]=0,"",TU[[#This Row],[Status]])</f>
        <v/>
      </c>
    </row>
    <row r="103" spans="4:89">
      <c r="D103" s="28"/>
      <c r="G103" s="53"/>
      <c r="J103" s="53"/>
      <c r="K103" s="53"/>
      <c r="L103" s="53"/>
      <c r="O103" s="18"/>
      <c r="CA103" s="1" t="s">
        <v>71</v>
      </c>
      <c r="CB103" s="1" t="s">
        <v>18</v>
      </c>
      <c r="CC103" s="1" t="s">
        <v>308</v>
      </c>
      <c r="CE103" s="28">
        <f>TU[[#This Row],[Part Type]]</f>
        <v>0</v>
      </c>
      <c r="CF103" s="28">
        <f>TU[[#This Row],[Part Nr.]]</f>
        <v>0</v>
      </c>
      <c r="CG103" s="28">
        <f>TU[[#This Row],[UID]]</f>
        <v>0</v>
      </c>
      <c r="CK103" s="18" t="str">
        <f>IF(TU[[#This Row],[Status]]=0,"",TU[[#This Row],[Status]])</f>
        <v/>
      </c>
    </row>
    <row r="104" spans="4:89">
      <c r="D104" s="28"/>
      <c r="G104" s="53"/>
      <c r="J104" s="53"/>
      <c r="K104" s="53"/>
      <c r="L104" s="53"/>
      <c r="O104" s="18"/>
      <c r="CA104" s="1" t="s">
        <v>71</v>
      </c>
      <c r="CB104" s="1" t="s">
        <v>18</v>
      </c>
      <c r="CC104" s="1" t="s">
        <v>308</v>
      </c>
      <c r="CE104" s="28">
        <f>TU[[#This Row],[Part Type]]</f>
        <v>0</v>
      </c>
      <c r="CF104" s="28">
        <f>TU[[#This Row],[Part Nr.]]</f>
        <v>0</v>
      </c>
      <c r="CG104" s="28">
        <f>TU[[#This Row],[UID]]</f>
        <v>0</v>
      </c>
      <c r="CK104" s="18" t="str">
        <f>IF(TU[[#This Row],[Status]]=0,"",TU[[#This Row],[Status]])</f>
        <v/>
      </c>
    </row>
    <row r="105" spans="4:89">
      <c r="D105" s="28"/>
      <c r="G105" s="53"/>
      <c r="J105" s="53"/>
      <c r="K105" s="53"/>
      <c r="L105" s="53"/>
      <c r="O105" s="18"/>
      <c r="CA105" s="1" t="s">
        <v>71</v>
      </c>
      <c r="CB105" s="1" t="s">
        <v>18</v>
      </c>
      <c r="CC105" s="1" t="s">
        <v>308</v>
      </c>
      <c r="CE105" s="28">
        <f>TU[[#This Row],[Part Type]]</f>
        <v>0</v>
      </c>
      <c r="CF105" s="28">
        <f>TU[[#This Row],[Part Nr.]]</f>
        <v>0</v>
      </c>
      <c r="CG105" s="28">
        <f>TU[[#This Row],[UID]]</f>
        <v>0</v>
      </c>
      <c r="CK105" s="18" t="str">
        <f>IF(TU[[#This Row],[Status]]=0,"",TU[[#This Row],[Status]])</f>
        <v/>
      </c>
    </row>
    <row r="106" spans="4:89">
      <c r="D106" s="28"/>
      <c r="G106" s="53"/>
      <c r="J106" s="53"/>
      <c r="K106" s="53"/>
      <c r="L106" s="53"/>
      <c r="O106" s="18"/>
      <c r="CA106" s="1" t="s">
        <v>71</v>
      </c>
      <c r="CB106" s="1" t="s">
        <v>18</v>
      </c>
      <c r="CC106" s="1" t="s">
        <v>308</v>
      </c>
      <c r="CE106" s="28">
        <f>TU[[#This Row],[Part Type]]</f>
        <v>0</v>
      </c>
      <c r="CF106" s="28">
        <f>TU[[#This Row],[Part Nr.]]</f>
        <v>0</v>
      </c>
      <c r="CG106" s="28">
        <f>TU[[#This Row],[UID]]</f>
        <v>0</v>
      </c>
      <c r="CK106" s="18" t="str">
        <f>IF(TU[[#This Row],[Status]]=0,"",TU[[#This Row],[Status]])</f>
        <v/>
      </c>
    </row>
    <row r="107" spans="4:89">
      <c r="D107" s="28"/>
      <c r="G107" s="53"/>
      <c r="J107" s="53"/>
      <c r="K107" s="53"/>
      <c r="L107" s="53"/>
      <c r="O107" s="18"/>
      <c r="CA107" s="1" t="s">
        <v>71</v>
      </c>
      <c r="CB107" s="1" t="s">
        <v>18</v>
      </c>
      <c r="CC107" s="1" t="s">
        <v>308</v>
      </c>
      <c r="CE107" s="28">
        <f>TU[[#This Row],[Part Type]]</f>
        <v>0</v>
      </c>
      <c r="CF107" s="28">
        <f>TU[[#This Row],[Part Nr.]]</f>
        <v>0</v>
      </c>
      <c r="CG107" s="28">
        <f>TU[[#This Row],[UID]]</f>
        <v>0</v>
      </c>
      <c r="CK107" s="18" t="str">
        <f>IF(TU[[#This Row],[Status]]=0,"",TU[[#This Row],[Status]])</f>
        <v/>
      </c>
    </row>
    <row r="108" spans="4:89">
      <c r="D108" s="28"/>
      <c r="G108" s="53"/>
      <c r="J108" s="53"/>
      <c r="K108" s="53"/>
      <c r="L108" s="53"/>
      <c r="O108" s="18"/>
      <c r="CA108" s="1" t="s">
        <v>71</v>
      </c>
      <c r="CB108" s="1" t="s">
        <v>18</v>
      </c>
      <c r="CC108" s="1" t="s">
        <v>308</v>
      </c>
      <c r="CE108" s="28">
        <f>TU[[#This Row],[Part Type]]</f>
        <v>0</v>
      </c>
      <c r="CF108" s="28">
        <f>TU[[#This Row],[Part Nr.]]</f>
        <v>0</v>
      </c>
      <c r="CG108" s="28">
        <f>TU[[#This Row],[UID]]</f>
        <v>0</v>
      </c>
      <c r="CK108" s="18" t="str">
        <f>IF(TU[[#This Row],[Status]]=0,"",TU[[#This Row],[Status]])</f>
        <v/>
      </c>
    </row>
    <row r="109" spans="4:89">
      <c r="D109" s="28"/>
      <c r="G109" s="53"/>
      <c r="J109" s="53"/>
      <c r="K109" s="53"/>
      <c r="L109" s="53"/>
      <c r="O109" s="18"/>
      <c r="CA109" s="1" t="s">
        <v>71</v>
      </c>
      <c r="CB109" s="1" t="s">
        <v>18</v>
      </c>
      <c r="CC109" s="1" t="s">
        <v>308</v>
      </c>
      <c r="CE109" s="28">
        <f>TU[[#This Row],[Part Type]]</f>
        <v>0</v>
      </c>
      <c r="CF109" s="28">
        <f>TU[[#This Row],[Part Nr.]]</f>
        <v>0</v>
      </c>
      <c r="CG109" s="28">
        <f>TU[[#This Row],[UID]]</f>
        <v>0</v>
      </c>
      <c r="CK109" s="18" t="str">
        <f>IF(TU[[#This Row],[Status]]=0,"",TU[[#This Row],[Status]])</f>
        <v/>
      </c>
    </row>
    <row r="110" spans="4:89">
      <c r="D110" s="28"/>
      <c r="G110" s="53"/>
      <c r="J110" s="53"/>
      <c r="K110" s="53"/>
      <c r="L110" s="53"/>
      <c r="O110" s="18"/>
      <c r="CA110" s="1" t="s">
        <v>71</v>
      </c>
      <c r="CB110" s="1" t="s">
        <v>18</v>
      </c>
      <c r="CC110" s="1" t="s">
        <v>308</v>
      </c>
      <c r="CE110" s="28">
        <f>TU[[#This Row],[Part Type]]</f>
        <v>0</v>
      </c>
      <c r="CF110" s="28">
        <f>TU[[#This Row],[Part Nr.]]</f>
        <v>0</v>
      </c>
      <c r="CG110" s="28">
        <f>TU[[#This Row],[UID]]</f>
        <v>0</v>
      </c>
      <c r="CK110" s="18" t="str">
        <f>IF(TU[[#This Row],[Status]]=0,"",TU[[#This Row],[Status]])</f>
        <v/>
      </c>
    </row>
    <row r="111" spans="4:89">
      <c r="D111" s="28"/>
      <c r="G111" s="53"/>
      <c r="J111" s="53"/>
      <c r="K111" s="53"/>
      <c r="L111" s="53"/>
      <c r="O111" s="18"/>
      <c r="CA111" s="1" t="s">
        <v>71</v>
      </c>
      <c r="CB111" s="1" t="s">
        <v>18</v>
      </c>
      <c r="CC111" s="1" t="s">
        <v>308</v>
      </c>
      <c r="CE111" s="28">
        <f>TU[[#This Row],[Part Type]]</f>
        <v>0</v>
      </c>
      <c r="CF111" s="28">
        <f>TU[[#This Row],[Part Nr.]]</f>
        <v>0</v>
      </c>
      <c r="CG111" s="28">
        <f>TU[[#This Row],[UID]]</f>
        <v>0</v>
      </c>
      <c r="CK111" s="18" t="str">
        <f>IF(TU[[#This Row],[Status]]=0,"",TU[[#This Row],[Status]])</f>
        <v/>
      </c>
    </row>
    <row r="112" spans="4:89">
      <c r="D112" s="28"/>
      <c r="G112" s="53"/>
      <c r="J112" s="53"/>
      <c r="K112" s="53"/>
      <c r="L112" s="53"/>
      <c r="O112" s="18"/>
      <c r="CA112" s="1" t="s">
        <v>71</v>
      </c>
      <c r="CB112" s="1" t="s">
        <v>18</v>
      </c>
      <c r="CC112" s="1" t="s">
        <v>308</v>
      </c>
      <c r="CE112" s="28">
        <f>TU[[#This Row],[Part Type]]</f>
        <v>0</v>
      </c>
      <c r="CF112" s="28">
        <f>TU[[#This Row],[Part Nr.]]</f>
        <v>0</v>
      </c>
      <c r="CG112" s="28">
        <f>TU[[#This Row],[UID]]</f>
        <v>0</v>
      </c>
      <c r="CK112" s="18" t="str">
        <f>IF(TU[[#This Row],[Status]]=0,"",TU[[#This Row],[Status]])</f>
        <v/>
      </c>
    </row>
    <row r="113" spans="4:89">
      <c r="D113" s="28"/>
      <c r="G113" s="53"/>
      <c r="J113" s="53"/>
      <c r="K113" s="53"/>
      <c r="L113" s="53"/>
      <c r="O113" s="18"/>
      <c r="CA113" s="1" t="s">
        <v>71</v>
      </c>
      <c r="CB113" s="1" t="s">
        <v>18</v>
      </c>
      <c r="CC113" s="1" t="s">
        <v>308</v>
      </c>
      <c r="CE113" s="28">
        <f>TU[[#This Row],[Part Type]]</f>
        <v>0</v>
      </c>
      <c r="CF113" s="28">
        <f>TU[[#This Row],[Part Nr.]]</f>
        <v>0</v>
      </c>
      <c r="CG113" s="28">
        <f>TU[[#This Row],[UID]]</f>
        <v>0</v>
      </c>
      <c r="CK113" s="18" t="str">
        <f>IF(TU[[#This Row],[Status]]=0,"",TU[[#This Row],[Status]])</f>
        <v/>
      </c>
    </row>
    <row r="114" spans="4:89">
      <c r="D114" s="28"/>
      <c r="G114" s="53"/>
      <c r="J114" s="53"/>
      <c r="K114" s="53"/>
      <c r="L114" s="53"/>
      <c r="O114" s="18"/>
      <c r="CA114" s="1" t="s">
        <v>71</v>
      </c>
      <c r="CB114" s="1" t="s">
        <v>18</v>
      </c>
      <c r="CC114" s="1" t="s">
        <v>308</v>
      </c>
      <c r="CE114" s="28">
        <f>TU[[#This Row],[Part Type]]</f>
        <v>0</v>
      </c>
      <c r="CF114" s="28">
        <f>TU[[#This Row],[Part Nr.]]</f>
        <v>0</v>
      </c>
      <c r="CG114" s="28">
        <f>TU[[#This Row],[UID]]</f>
        <v>0</v>
      </c>
      <c r="CK114" s="18" t="str">
        <f>IF(TU[[#This Row],[Status]]=0,"",TU[[#This Row],[Status]])</f>
        <v/>
      </c>
    </row>
    <row r="115" spans="4:89">
      <c r="D115" s="28"/>
      <c r="G115" s="53"/>
      <c r="J115" s="53"/>
      <c r="K115" s="53"/>
      <c r="L115" s="53"/>
      <c r="O115" s="18"/>
      <c r="CA115" s="1" t="s">
        <v>71</v>
      </c>
      <c r="CB115" s="1" t="s">
        <v>18</v>
      </c>
      <c r="CC115" s="1" t="s">
        <v>308</v>
      </c>
      <c r="CE115" s="28">
        <f>TU[[#This Row],[Part Type]]</f>
        <v>0</v>
      </c>
      <c r="CF115" s="28">
        <f>TU[[#This Row],[Part Nr.]]</f>
        <v>0</v>
      </c>
      <c r="CG115" s="28">
        <f>TU[[#This Row],[UID]]</f>
        <v>0</v>
      </c>
      <c r="CK115" s="18" t="str">
        <f>IF(TU[[#This Row],[Status]]=0,"",TU[[#This Row],[Status]])</f>
        <v/>
      </c>
    </row>
    <row r="116" spans="4:89">
      <c r="D116" s="28"/>
      <c r="G116" s="53"/>
      <c r="J116" s="53"/>
      <c r="K116" s="53"/>
      <c r="L116" s="53"/>
      <c r="O116" s="18"/>
      <c r="CA116" s="1" t="s">
        <v>71</v>
      </c>
      <c r="CB116" s="1" t="s">
        <v>18</v>
      </c>
      <c r="CC116" s="1" t="s">
        <v>308</v>
      </c>
      <c r="CE116" s="28">
        <f>TU[[#This Row],[Part Type]]</f>
        <v>0</v>
      </c>
      <c r="CF116" s="28">
        <f>TU[[#This Row],[Part Nr.]]</f>
        <v>0</v>
      </c>
      <c r="CG116" s="28">
        <f>TU[[#This Row],[UID]]</f>
        <v>0</v>
      </c>
      <c r="CK116" s="18" t="str">
        <f>IF(TU[[#This Row],[Status]]=0,"",TU[[#This Row],[Status]])</f>
        <v/>
      </c>
    </row>
    <row r="117" spans="4:89">
      <c r="D117" s="28"/>
      <c r="G117" s="53"/>
      <c r="J117" s="53"/>
      <c r="K117" s="53"/>
      <c r="L117" s="53"/>
      <c r="O117" s="18"/>
      <c r="CA117" s="1" t="s">
        <v>71</v>
      </c>
      <c r="CB117" s="1" t="s">
        <v>18</v>
      </c>
      <c r="CC117" s="1" t="s">
        <v>308</v>
      </c>
      <c r="CE117" s="28">
        <f>TU[[#This Row],[Part Type]]</f>
        <v>0</v>
      </c>
      <c r="CF117" s="28">
        <f>TU[[#This Row],[Part Nr.]]</f>
        <v>0</v>
      </c>
      <c r="CG117" s="28">
        <f>TU[[#This Row],[UID]]</f>
        <v>0</v>
      </c>
      <c r="CK117" s="18" t="str">
        <f>IF(TU[[#This Row],[Status]]=0,"",TU[[#This Row],[Status]])</f>
        <v/>
      </c>
    </row>
    <row r="118" spans="4:89">
      <c r="D118" s="28"/>
      <c r="G118" s="53"/>
      <c r="J118" s="53"/>
      <c r="K118" s="53"/>
      <c r="L118" s="53"/>
      <c r="O118" s="18"/>
      <c r="CA118" s="1" t="s">
        <v>71</v>
      </c>
      <c r="CB118" s="1" t="s">
        <v>18</v>
      </c>
      <c r="CC118" s="1" t="s">
        <v>308</v>
      </c>
      <c r="CE118" s="28">
        <f>TU[[#This Row],[Part Type]]</f>
        <v>0</v>
      </c>
      <c r="CF118" s="28">
        <f>TU[[#This Row],[Part Nr.]]</f>
        <v>0</v>
      </c>
      <c r="CG118" s="28">
        <f>TU[[#This Row],[UID]]</f>
        <v>0</v>
      </c>
      <c r="CK118" s="18" t="str">
        <f>IF(TU[[#This Row],[Status]]=0,"",TU[[#This Row],[Status]])</f>
        <v/>
      </c>
    </row>
    <row r="119" spans="4:89">
      <c r="D119" s="28"/>
      <c r="G119" s="53"/>
      <c r="J119" s="53"/>
      <c r="K119" s="53"/>
      <c r="L119" s="53"/>
      <c r="O119" s="18"/>
      <c r="CA119" s="1" t="s">
        <v>71</v>
      </c>
      <c r="CB119" s="1" t="s">
        <v>18</v>
      </c>
      <c r="CC119" s="1" t="s">
        <v>308</v>
      </c>
      <c r="CE119" s="28">
        <f>TU[[#This Row],[Part Type]]</f>
        <v>0</v>
      </c>
      <c r="CF119" s="28">
        <f>TU[[#This Row],[Part Nr.]]</f>
        <v>0</v>
      </c>
      <c r="CG119" s="28">
        <f>TU[[#This Row],[UID]]</f>
        <v>0</v>
      </c>
      <c r="CK119" s="18" t="str">
        <f>IF(TU[[#This Row],[Status]]=0,"",TU[[#This Row],[Status]])</f>
        <v/>
      </c>
    </row>
    <row r="120" spans="4:89">
      <c r="D120" s="28"/>
      <c r="G120" s="53"/>
      <c r="J120" s="53"/>
      <c r="K120" s="53"/>
      <c r="L120" s="53"/>
      <c r="O120" s="18"/>
      <c r="CA120" s="1" t="s">
        <v>71</v>
      </c>
      <c r="CB120" s="1" t="s">
        <v>18</v>
      </c>
      <c r="CC120" s="1" t="s">
        <v>308</v>
      </c>
      <c r="CE120" s="28">
        <f>TU[[#This Row],[Part Type]]</f>
        <v>0</v>
      </c>
      <c r="CF120" s="28">
        <f>TU[[#This Row],[Part Nr.]]</f>
        <v>0</v>
      </c>
      <c r="CG120" s="28">
        <f>TU[[#This Row],[UID]]</f>
        <v>0</v>
      </c>
      <c r="CK120" s="18" t="str">
        <f>IF(TU[[#This Row],[Status]]=0,"",TU[[#This Row],[Status]])</f>
        <v/>
      </c>
    </row>
    <row r="121" spans="4:89">
      <c r="D121" s="28"/>
      <c r="G121" s="53"/>
      <c r="J121" s="53"/>
      <c r="K121" s="53"/>
      <c r="L121" s="53"/>
      <c r="O121" s="18"/>
      <c r="CA121" s="1" t="s">
        <v>71</v>
      </c>
      <c r="CB121" s="1" t="s">
        <v>18</v>
      </c>
      <c r="CC121" s="1" t="s">
        <v>308</v>
      </c>
      <c r="CE121" s="28">
        <f>TU[[#This Row],[Part Type]]</f>
        <v>0</v>
      </c>
      <c r="CF121" s="28">
        <f>TU[[#This Row],[Part Nr.]]</f>
        <v>0</v>
      </c>
      <c r="CG121" s="28">
        <f>TU[[#This Row],[UID]]</f>
        <v>0</v>
      </c>
      <c r="CK121" s="18" t="str">
        <f>IF(TU[[#This Row],[Status]]=0,"",TU[[#This Row],[Status]])</f>
        <v/>
      </c>
    </row>
    <row r="122" spans="4:89">
      <c r="D122" s="28"/>
      <c r="G122" s="53"/>
      <c r="J122" s="53"/>
      <c r="K122" s="53"/>
      <c r="L122" s="53"/>
      <c r="O122" s="18"/>
      <c r="CA122" s="1" t="s">
        <v>71</v>
      </c>
      <c r="CB122" s="1" t="s">
        <v>18</v>
      </c>
      <c r="CC122" s="1" t="s">
        <v>308</v>
      </c>
      <c r="CE122" s="28">
        <f>TU[[#This Row],[Part Type]]</f>
        <v>0</v>
      </c>
      <c r="CF122" s="28">
        <f>TU[[#This Row],[Part Nr.]]</f>
        <v>0</v>
      </c>
      <c r="CG122" s="28">
        <f>TU[[#This Row],[UID]]</f>
        <v>0</v>
      </c>
      <c r="CK122" s="18" t="str">
        <f>IF(TU[[#This Row],[Status]]=0,"",TU[[#This Row],[Status]])</f>
        <v/>
      </c>
    </row>
    <row r="123" spans="4:89">
      <c r="D123" s="28"/>
      <c r="G123" s="53"/>
      <c r="J123" s="53"/>
      <c r="K123" s="53"/>
      <c r="L123" s="53"/>
      <c r="O123" s="18"/>
      <c r="CA123" s="1" t="s">
        <v>71</v>
      </c>
      <c r="CB123" s="1" t="s">
        <v>18</v>
      </c>
      <c r="CC123" s="1" t="s">
        <v>308</v>
      </c>
      <c r="CE123" s="28">
        <f>TU[[#This Row],[Part Type]]</f>
        <v>0</v>
      </c>
      <c r="CF123" s="28">
        <f>TU[[#This Row],[Part Nr.]]</f>
        <v>0</v>
      </c>
      <c r="CG123" s="28">
        <f>TU[[#This Row],[UID]]</f>
        <v>0</v>
      </c>
      <c r="CK123" s="18" t="str">
        <f>IF(TU[[#This Row],[Status]]=0,"",TU[[#This Row],[Status]])</f>
        <v/>
      </c>
    </row>
    <row r="124" spans="4:89">
      <c r="D124" s="28"/>
      <c r="G124" s="53"/>
      <c r="J124" s="53"/>
      <c r="K124" s="53"/>
      <c r="L124" s="53"/>
      <c r="O124" s="18"/>
      <c r="CA124" s="1" t="s">
        <v>71</v>
      </c>
      <c r="CB124" s="1" t="s">
        <v>18</v>
      </c>
      <c r="CC124" s="1" t="s">
        <v>308</v>
      </c>
      <c r="CE124" s="28">
        <f>TU[[#This Row],[Part Type]]</f>
        <v>0</v>
      </c>
      <c r="CF124" s="28">
        <f>TU[[#This Row],[Part Nr.]]</f>
        <v>0</v>
      </c>
      <c r="CG124" s="28">
        <f>TU[[#This Row],[UID]]</f>
        <v>0</v>
      </c>
      <c r="CK124" s="18" t="str">
        <f>IF(TU[[#This Row],[Status]]=0,"",TU[[#This Row],[Status]])</f>
        <v/>
      </c>
    </row>
    <row r="125" spans="4:89">
      <c r="D125" s="28"/>
      <c r="G125" s="53"/>
      <c r="J125" s="53"/>
      <c r="K125" s="53"/>
      <c r="L125" s="53"/>
      <c r="O125" s="18"/>
      <c r="CA125" s="1" t="s">
        <v>71</v>
      </c>
      <c r="CB125" s="1" t="s">
        <v>18</v>
      </c>
      <c r="CC125" s="1" t="s">
        <v>308</v>
      </c>
      <c r="CE125" s="28">
        <f>TU[[#This Row],[Part Type]]</f>
        <v>0</v>
      </c>
      <c r="CF125" s="28">
        <f>TU[[#This Row],[Part Nr.]]</f>
        <v>0</v>
      </c>
      <c r="CG125" s="28">
        <f>TU[[#This Row],[UID]]</f>
        <v>0</v>
      </c>
      <c r="CK125" s="18" t="str">
        <f>IF(TU[[#This Row],[Status]]=0,"",TU[[#This Row],[Status]])</f>
        <v/>
      </c>
    </row>
    <row r="126" spans="4:89">
      <c r="D126" s="28"/>
      <c r="G126" s="53"/>
      <c r="J126" s="53"/>
      <c r="K126" s="53"/>
      <c r="L126" s="53"/>
      <c r="O126" s="18"/>
      <c r="CA126" s="1" t="s">
        <v>71</v>
      </c>
      <c r="CB126" s="1" t="s">
        <v>18</v>
      </c>
      <c r="CC126" s="1" t="s">
        <v>308</v>
      </c>
      <c r="CE126" s="28">
        <f>TU[[#This Row],[Part Type]]</f>
        <v>0</v>
      </c>
      <c r="CF126" s="28">
        <f>TU[[#This Row],[Part Nr.]]</f>
        <v>0</v>
      </c>
      <c r="CG126" s="28">
        <f>TU[[#This Row],[UID]]</f>
        <v>0</v>
      </c>
      <c r="CK126" s="18" t="str">
        <f>IF(TU[[#This Row],[Status]]=0,"",TU[[#This Row],[Status]])</f>
        <v/>
      </c>
    </row>
    <row r="127" spans="4:89">
      <c r="D127" s="28"/>
      <c r="G127" s="53"/>
      <c r="J127" s="53"/>
      <c r="K127" s="53"/>
      <c r="L127" s="53"/>
      <c r="O127" s="18"/>
      <c r="CA127" s="1" t="s">
        <v>71</v>
      </c>
      <c r="CB127" s="1" t="s">
        <v>18</v>
      </c>
      <c r="CC127" s="1" t="s">
        <v>308</v>
      </c>
      <c r="CE127" s="28">
        <f>TU[[#This Row],[Part Type]]</f>
        <v>0</v>
      </c>
      <c r="CF127" s="28">
        <f>TU[[#This Row],[Part Nr.]]</f>
        <v>0</v>
      </c>
      <c r="CG127" s="28">
        <f>TU[[#This Row],[UID]]</f>
        <v>0</v>
      </c>
      <c r="CK127" s="18" t="str">
        <f>IF(TU[[#This Row],[Status]]=0,"",TU[[#This Row],[Status]])</f>
        <v/>
      </c>
    </row>
    <row r="128" spans="4:89">
      <c r="D128" s="28"/>
      <c r="G128" s="53"/>
      <c r="J128" s="53"/>
      <c r="K128" s="53"/>
      <c r="L128" s="53"/>
      <c r="O128" s="18"/>
      <c r="CA128" s="1" t="s">
        <v>71</v>
      </c>
      <c r="CB128" s="1" t="s">
        <v>18</v>
      </c>
      <c r="CC128" s="1" t="s">
        <v>308</v>
      </c>
      <c r="CE128" s="28">
        <f>TU[[#This Row],[Part Type]]</f>
        <v>0</v>
      </c>
      <c r="CF128" s="28">
        <f>TU[[#This Row],[Part Nr.]]</f>
        <v>0</v>
      </c>
      <c r="CG128" s="28">
        <f>TU[[#This Row],[UID]]</f>
        <v>0</v>
      </c>
      <c r="CK128" s="18" t="str">
        <f>IF(TU[[#This Row],[Status]]=0,"",TU[[#This Row],[Status]])</f>
        <v/>
      </c>
    </row>
    <row r="129" spans="4:89">
      <c r="D129" s="28"/>
      <c r="G129" s="53"/>
      <c r="J129" s="53"/>
      <c r="K129" s="53"/>
      <c r="L129" s="53"/>
      <c r="O129" s="18"/>
      <c r="CA129" s="1" t="s">
        <v>71</v>
      </c>
      <c r="CB129" s="1" t="s">
        <v>18</v>
      </c>
      <c r="CC129" s="1" t="s">
        <v>308</v>
      </c>
      <c r="CE129" s="28">
        <f>TU[[#This Row],[Part Type]]</f>
        <v>0</v>
      </c>
      <c r="CF129" s="28">
        <f>TU[[#This Row],[Part Nr.]]</f>
        <v>0</v>
      </c>
      <c r="CG129" s="28">
        <f>TU[[#This Row],[UID]]</f>
        <v>0</v>
      </c>
      <c r="CK129" s="18" t="str">
        <f>IF(TU[[#This Row],[Status]]=0,"",TU[[#This Row],[Status]])</f>
        <v/>
      </c>
    </row>
    <row r="130" spans="4:89">
      <c r="D130" s="28"/>
      <c r="G130" s="53"/>
      <c r="J130" s="53"/>
      <c r="K130" s="53"/>
      <c r="L130" s="53"/>
      <c r="O130" s="18"/>
      <c r="CA130" s="1" t="s">
        <v>71</v>
      </c>
      <c r="CB130" s="1" t="s">
        <v>18</v>
      </c>
      <c r="CC130" s="1" t="s">
        <v>308</v>
      </c>
      <c r="CE130" s="28">
        <f>TU[[#This Row],[Part Type]]</f>
        <v>0</v>
      </c>
      <c r="CF130" s="28">
        <f>TU[[#This Row],[Part Nr.]]</f>
        <v>0</v>
      </c>
      <c r="CG130" s="28">
        <f>TU[[#This Row],[UID]]</f>
        <v>0</v>
      </c>
      <c r="CK130" s="18" t="str">
        <f>IF(TU[[#This Row],[Status]]=0,"",TU[[#This Row],[Status]])</f>
        <v/>
      </c>
    </row>
    <row r="131" spans="4:89">
      <c r="D131" s="28"/>
      <c r="G131" s="53"/>
      <c r="J131" s="53"/>
      <c r="K131" s="53"/>
      <c r="L131" s="53"/>
      <c r="O131" s="18"/>
      <c r="CA131" s="1" t="s">
        <v>71</v>
      </c>
      <c r="CB131" s="1" t="s">
        <v>18</v>
      </c>
      <c r="CC131" s="1" t="s">
        <v>308</v>
      </c>
      <c r="CE131" s="28">
        <f>TU[[#This Row],[Part Type]]</f>
        <v>0</v>
      </c>
      <c r="CF131" s="28">
        <f>TU[[#This Row],[Part Nr.]]</f>
        <v>0</v>
      </c>
      <c r="CG131" s="28">
        <f>TU[[#This Row],[UID]]</f>
        <v>0</v>
      </c>
      <c r="CK131" s="18" t="str">
        <f>IF(TU[[#This Row],[Status]]=0,"",TU[[#This Row],[Status]])</f>
        <v/>
      </c>
    </row>
    <row r="132" spans="4:89">
      <c r="D132" s="28"/>
      <c r="G132" s="53"/>
      <c r="J132" s="53"/>
      <c r="K132" s="53"/>
      <c r="L132" s="53"/>
      <c r="O132" s="18"/>
      <c r="CA132" s="1" t="s">
        <v>71</v>
      </c>
      <c r="CB132" s="1" t="s">
        <v>18</v>
      </c>
      <c r="CC132" s="1" t="s">
        <v>308</v>
      </c>
      <c r="CE132" s="28">
        <f>TU[[#This Row],[Part Type]]</f>
        <v>0</v>
      </c>
      <c r="CF132" s="28">
        <f>TU[[#This Row],[Part Nr.]]</f>
        <v>0</v>
      </c>
      <c r="CG132" s="28">
        <f>TU[[#This Row],[UID]]</f>
        <v>0</v>
      </c>
      <c r="CK132" s="18" t="str">
        <f>IF(TU[[#This Row],[Status]]=0,"",TU[[#This Row],[Status]])</f>
        <v/>
      </c>
    </row>
    <row r="133" spans="4:89">
      <c r="D133" s="28"/>
      <c r="G133" s="53"/>
      <c r="J133" s="53"/>
      <c r="K133" s="53"/>
      <c r="L133" s="53"/>
      <c r="O133" s="18"/>
      <c r="CA133" s="1" t="s">
        <v>71</v>
      </c>
      <c r="CB133" s="1" t="s">
        <v>18</v>
      </c>
      <c r="CC133" s="1" t="s">
        <v>308</v>
      </c>
      <c r="CE133" s="28">
        <f>TU[[#This Row],[Part Type]]</f>
        <v>0</v>
      </c>
      <c r="CF133" s="28">
        <f>TU[[#This Row],[Part Nr.]]</f>
        <v>0</v>
      </c>
      <c r="CG133" s="28">
        <f>TU[[#This Row],[UID]]</f>
        <v>0</v>
      </c>
      <c r="CK133" s="18" t="str">
        <f>IF(TU[[#This Row],[Status]]=0,"",TU[[#This Row],[Status]])</f>
        <v/>
      </c>
    </row>
    <row r="134" spans="4:89">
      <c r="D134" s="28"/>
      <c r="G134" s="53"/>
      <c r="J134" s="53"/>
      <c r="K134" s="53"/>
      <c r="L134" s="53"/>
      <c r="O134" s="18"/>
      <c r="CA134" s="1" t="s">
        <v>71</v>
      </c>
      <c r="CB134" s="1" t="s">
        <v>18</v>
      </c>
      <c r="CC134" s="1" t="s">
        <v>308</v>
      </c>
      <c r="CE134" s="28">
        <f>TU[[#This Row],[Part Type]]</f>
        <v>0</v>
      </c>
      <c r="CF134" s="28">
        <f>TU[[#This Row],[Part Nr.]]</f>
        <v>0</v>
      </c>
      <c r="CG134" s="28">
        <f>TU[[#This Row],[UID]]</f>
        <v>0</v>
      </c>
      <c r="CK134" s="18" t="str">
        <f>IF(TU[[#This Row],[Status]]=0,"",TU[[#This Row],[Status]])</f>
        <v/>
      </c>
    </row>
    <row r="135" spans="4:89">
      <c r="D135" s="28"/>
      <c r="G135" s="53"/>
      <c r="J135" s="53"/>
      <c r="K135" s="53"/>
      <c r="L135" s="53"/>
      <c r="O135" s="18"/>
      <c r="CA135" s="1" t="s">
        <v>71</v>
      </c>
      <c r="CB135" s="1" t="s">
        <v>18</v>
      </c>
      <c r="CC135" s="1" t="s">
        <v>308</v>
      </c>
      <c r="CE135" s="28">
        <f>TU[[#This Row],[Part Type]]</f>
        <v>0</v>
      </c>
      <c r="CF135" s="28">
        <f>TU[[#This Row],[Part Nr.]]</f>
        <v>0</v>
      </c>
      <c r="CG135" s="28">
        <f>TU[[#This Row],[UID]]</f>
        <v>0</v>
      </c>
      <c r="CK135" s="18" t="str">
        <f>IF(TU[[#This Row],[Status]]=0,"",TU[[#This Row],[Status]])</f>
        <v/>
      </c>
    </row>
    <row r="136" spans="4:89">
      <c r="D136" s="28"/>
      <c r="G136" s="53"/>
      <c r="J136" s="53"/>
      <c r="K136" s="53"/>
      <c r="L136" s="53"/>
      <c r="O136" s="18"/>
      <c r="CA136" s="1" t="s">
        <v>71</v>
      </c>
      <c r="CB136" s="1" t="s">
        <v>18</v>
      </c>
      <c r="CC136" s="1" t="s">
        <v>308</v>
      </c>
      <c r="CE136" s="28">
        <f>TU[[#This Row],[Part Type]]</f>
        <v>0</v>
      </c>
      <c r="CF136" s="28">
        <f>TU[[#This Row],[Part Nr.]]</f>
        <v>0</v>
      </c>
      <c r="CG136" s="28">
        <f>TU[[#This Row],[UID]]</f>
        <v>0</v>
      </c>
      <c r="CK136" s="18" t="str">
        <f>IF(TU[[#This Row],[Status]]=0,"",TU[[#This Row],[Status]])</f>
        <v/>
      </c>
    </row>
    <row r="137" spans="4:89">
      <c r="D137" s="28"/>
      <c r="G137" s="53"/>
      <c r="J137" s="53"/>
      <c r="K137" s="53"/>
      <c r="L137" s="53"/>
      <c r="O137" s="18"/>
      <c r="CA137" s="1" t="s">
        <v>71</v>
      </c>
      <c r="CB137" s="1" t="s">
        <v>18</v>
      </c>
      <c r="CC137" s="1" t="s">
        <v>308</v>
      </c>
      <c r="CE137" s="28">
        <f>TU[[#This Row],[Part Type]]</f>
        <v>0</v>
      </c>
      <c r="CF137" s="28">
        <f>TU[[#This Row],[Part Nr.]]</f>
        <v>0</v>
      </c>
      <c r="CG137" s="28">
        <f>TU[[#This Row],[UID]]</f>
        <v>0</v>
      </c>
      <c r="CK137" s="18" t="str">
        <f>IF(TU[[#This Row],[Status]]=0,"",TU[[#This Row],[Status]])</f>
        <v/>
      </c>
    </row>
    <row r="138" spans="4:89">
      <c r="D138" s="28"/>
      <c r="G138" s="53"/>
      <c r="J138" s="53"/>
      <c r="K138" s="53"/>
      <c r="L138" s="53"/>
      <c r="O138" s="18"/>
      <c r="CA138" s="1" t="s">
        <v>71</v>
      </c>
      <c r="CB138" s="1" t="s">
        <v>18</v>
      </c>
      <c r="CC138" s="1" t="s">
        <v>308</v>
      </c>
      <c r="CE138" s="28">
        <f>TU[[#This Row],[Part Type]]</f>
        <v>0</v>
      </c>
      <c r="CF138" s="28">
        <f>TU[[#This Row],[Part Nr.]]</f>
        <v>0</v>
      </c>
      <c r="CG138" s="28">
        <f>TU[[#This Row],[UID]]</f>
        <v>0</v>
      </c>
      <c r="CK138" s="18" t="str">
        <f>IF(TU[[#This Row],[Status]]=0,"",TU[[#This Row],[Status]])</f>
        <v/>
      </c>
    </row>
    <row r="139" spans="4:89">
      <c r="D139" s="28"/>
      <c r="G139" s="53"/>
      <c r="J139" s="53"/>
      <c r="K139" s="53"/>
      <c r="L139" s="53"/>
      <c r="O139" s="18"/>
      <c r="CA139" s="1" t="s">
        <v>71</v>
      </c>
      <c r="CB139" s="1" t="s">
        <v>18</v>
      </c>
      <c r="CC139" s="1" t="s">
        <v>308</v>
      </c>
      <c r="CE139" s="28">
        <f>TU[[#This Row],[Part Type]]</f>
        <v>0</v>
      </c>
      <c r="CF139" s="28">
        <f>TU[[#This Row],[Part Nr.]]</f>
        <v>0</v>
      </c>
      <c r="CG139" s="28">
        <f>TU[[#This Row],[UID]]</f>
        <v>0</v>
      </c>
      <c r="CK139" s="18" t="str">
        <f>IF(TU[[#This Row],[Status]]=0,"",TU[[#This Row],[Status]])</f>
        <v/>
      </c>
    </row>
    <row r="140" spans="4:89">
      <c r="D140" s="28"/>
      <c r="G140" s="53"/>
      <c r="J140" s="53"/>
      <c r="K140" s="53"/>
      <c r="L140" s="53"/>
      <c r="O140" s="18"/>
      <c r="CA140" s="1" t="s">
        <v>71</v>
      </c>
      <c r="CB140" s="1" t="s">
        <v>18</v>
      </c>
      <c r="CC140" s="1" t="s">
        <v>308</v>
      </c>
      <c r="CE140" s="28">
        <f>TU[[#This Row],[Part Type]]</f>
        <v>0</v>
      </c>
      <c r="CF140" s="28">
        <f>TU[[#This Row],[Part Nr.]]</f>
        <v>0</v>
      </c>
      <c r="CG140" s="28">
        <f>TU[[#This Row],[UID]]</f>
        <v>0</v>
      </c>
      <c r="CK140" s="18" t="str">
        <f>IF(TU[[#This Row],[Status]]=0,"",TU[[#This Row],[Status]])</f>
        <v/>
      </c>
    </row>
    <row r="141" spans="4:89">
      <c r="D141" s="28"/>
      <c r="G141" s="53"/>
      <c r="J141" s="53"/>
      <c r="K141" s="53"/>
      <c r="L141" s="53"/>
      <c r="O141" s="18"/>
      <c r="CA141" s="1" t="s">
        <v>71</v>
      </c>
      <c r="CB141" s="1" t="s">
        <v>18</v>
      </c>
      <c r="CC141" s="1" t="s">
        <v>308</v>
      </c>
      <c r="CE141" s="28">
        <f>TU[[#This Row],[Part Type]]</f>
        <v>0</v>
      </c>
      <c r="CF141" s="28">
        <f>TU[[#This Row],[Part Nr.]]</f>
        <v>0</v>
      </c>
      <c r="CG141" s="28">
        <f>TU[[#This Row],[UID]]</f>
        <v>0</v>
      </c>
      <c r="CK141" s="18" t="str">
        <f>IF(TU[[#This Row],[Status]]=0,"",TU[[#This Row],[Status]])</f>
        <v/>
      </c>
    </row>
    <row r="142" spans="4:89">
      <c r="D142" s="28"/>
      <c r="G142" s="53"/>
      <c r="J142" s="53"/>
      <c r="K142" s="53"/>
      <c r="L142" s="53"/>
      <c r="O142" s="18"/>
      <c r="CA142" s="1" t="s">
        <v>71</v>
      </c>
      <c r="CB142" s="1" t="s">
        <v>18</v>
      </c>
      <c r="CC142" s="1" t="s">
        <v>308</v>
      </c>
      <c r="CE142" s="28">
        <f>TU[[#This Row],[Part Type]]</f>
        <v>0</v>
      </c>
      <c r="CF142" s="28">
        <f>TU[[#This Row],[Part Nr.]]</f>
        <v>0</v>
      </c>
      <c r="CG142" s="28">
        <f>TU[[#This Row],[UID]]</f>
        <v>0</v>
      </c>
      <c r="CK142" s="18" t="str">
        <f>IF(TU[[#This Row],[Status]]=0,"",TU[[#This Row],[Status]])</f>
        <v/>
      </c>
    </row>
    <row r="143" spans="4:89">
      <c r="D143" s="28"/>
      <c r="G143" s="53"/>
      <c r="J143" s="53"/>
      <c r="K143" s="53"/>
      <c r="L143" s="53"/>
      <c r="O143" s="18"/>
      <c r="CA143" s="1" t="s">
        <v>71</v>
      </c>
      <c r="CB143" s="1" t="s">
        <v>18</v>
      </c>
      <c r="CC143" s="1" t="s">
        <v>308</v>
      </c>
      <c r="CE143" s="28">
        <f>TU[[#This Row],[Part Type]]</f>
        <v>0</v>
      </c>
      <c r="CF143" s="28">
        <f>TU[[#This Row],[Part Nr.]]</f>
        <v>0</v>
      </c>
      <c r="CG143" s="28">
        <f>TU[[#This Row],[UID]]</f>
        <v>0</v>
      </c>
      <c r="CK143" s="18" t="str">
        <f>IF(TU[[#This Row],[Status]]=0,"",TU[[#This Row],[Status]])</f>
        <v/>
      </c>
    </row>
    <row r="144" spans="4:89">
      <c r="D144" s="28"/>
      <c r="G144" s="53"/>
      <c r="J144" s="53"/>
      <c r="K144" s="53"/>
      <c r="L144" s="53"/>
      <c r="O144" s="18"/>
      <c r="CA144" s="1" t="s">
        <v>71</v>
      </c>
      <c r="CB144" s="1" t="s">
        <v>18</v>
      </c>
      <c r="CC144" s="1" t="s">
        <v>308</v>
      </c>
      <c r="CE144" s="28">
        <f>TU[[#This Row],[Part Type]]</f>
        <v>0</v>
      </c>
      <c r="CF144" s="28">
        <f>TU[[#This Row],[Part Nr.]]</f>
        <v>0</v>
      </c>
      <c r="CG144" s="28">
        <f>TU[[#This Row],[UID]]</f>
        <v>0</v>
      </c>
      <c r="CK144" s="18" t="str">
        <f>IF(TU[[#This Row],[Status]]=0,"",TU[[#This Row],[Status]])</f>
        <v/>
      </c>
    </row>
    <row r="145" spans="4:89">
      <c r="D145" s="28"/>
      <c r="G145" s="53"/>
      <c r="J145" s="53"/>
      <c r="K145" s="53"/>
      <c r="L145" s="53"/>
      <c r="O145" s="18"/>
      <c r="CA145" s="1" t="s">
        <v>71</v>
      </c>
      <c r="CB145" s="1" t="s">
        <v>18</v>
      </c>
      <c r="CC145" s="1" t="s">
        <v>308</v>
      </c>
      <c r="CE145" s="28">
        <f>TU[[#This Row],[Part Type]]</f>
        <v>0</v>
      </c>
      <c r="CF145" s="28">
        <f>TU[[#This Row],[Part Nr.]]</f>
        <v>0</v>
      </c>
      <c r="CG145" s="28">
        <f>TU[[#This Row],[UID]]</f>
        <v>0</v>
      </c>
      <c r="CK145" s="18" t="str">
        <f>IF(TU[[#This Row],[Status]]=0,"",TU[[#This Row],[Status]])</f>
        <v/>
      </c>
    </row>
    <row r="146" spans="4:89">
      <c r="D146" s="28"/>
      <c r="G146" s="53"/>
      <c r="J146" s="53"/>
      <c r="K146" s="53"/>
      <c r="L146" s="53"/>
      <c r="O146" s="18"/>
      <c r="CA146" s="1" t="s">
        <v>71</v>
      </c>
      <c r="CB146" s="1" t="s">
        <v>18</v>
      </c>
      <c r="CC146" s="1" t="s">
        <v>308</v>
      </c>
      <c r="CE146" s="28">
        <f>TU[[#This Row],[Part Type]]</f>
        <v>0</v>
      </c>
      <c r="CF146" s="28">
        <f>TU[[#This Row],[Part Nr.]]</f>
        <v>0</v>
      </c>
      <c r="CG146" s="28">
        <f>TU[[#This Row],[UID]]</f>
        <v>0</v>
      </c>
      <c r="CK146" s="18" t="str">
        <f>IF(TU[[#This Row],[Status]]=0,"",TU[[#This Row],[Status]])</f>
        <v/>
      </c>
    </row>
    <row r="147" spans="4:89">
      <c r="D147" s="28"/>
      <c r="G147" s="53"/>
      <c r="J147" s="53"/>
      <c r="K147" s="53"/>
      <c r="L147" s="53"/>
      <c r="O147" s="18"/>
      <c r="CA147" s="1" t="s">
        <v>71</v>
      </c>
      <c r="CB147" s="1" t="s">
        <v>18</v>
      </c>
      <c r="CC147" s="1" t="s">
        <v>308</v>
      </c>
      <c r="CE147" s="28">
        <f>TU[[#This Row],[Part Type]]</f>
        <v>0</v>
      </c>
      <c r="CF147" s="28">
        <f>TU[[#This Row],[Part Nr.]]</f>
        <v>0</v>
      </c>
      <c r="CG147" s="28">
        <f>TU[[#This Row],[UID]]</f>
        <v>0</v>
      </c>
      <c r="CK147" s="18" t="str">
        <f>IF(TU[[#This Row],[Status]]=0,"",TU[[#This Row],[Status]])</f>
        <v/>
      </c>
    </row>
    <row r="148" spans="4:89">
      <c r="D148" s="28"/>
      <c r="G148" s="53"/>
      <c r="J148" s="53"/>
      <c r="K148" s="53"/>
      <c r="L148" s="53"/>
      <c r="O148" s="18"/>
      <c r="CA148" s="1" t="s">
        <v>71</v>
      </c>
      <c r="CB148" s="1" t="s">
        <v>18</v>
      </c>
      <c r="CC148" s="1" t="s">
        <v>308</v>
      </c>
      <c r="CE148" s="28">
        <f>TU[[#This Row],[Part Type]]</f>
        <v>0</v>
      </c>
      <c r="CF148" s="28">
        <f>TU[[#This Row],[Part Nr.]]</f>
        <v>0</v>
      </c>
      <c r="CG148" s="28">
        <f>TU[[#This Row],[UID]]</f>
        <v>0</v>
      </c>
      <c r="CK148" s="18" t="str">
        <f>IF(TU[[#This Row],[Status]]=0,"",TU[[#This Row],[Status]])</f>
        <v/>
      </c>
    </row>
    <row r="149" spans="4:89">
      <c r="D149" s="28"/>
      <c r="G149" s="53"/>
      <c r="J149" s="53"/>
      <c r="K149" s="53"/>
      <c r="L149" s="53"/>
      <c r="O149" s="18"/>
      <c r="CA149" s="1" t="s">
        <v>71</v>
      </c>
      <c r="CB149" s="1" t="s">
        <v>18</v>
      </c>
      <c r="CC149" s="1" t="s">
        <v>308</v>
      </c>
      <c r="CE149" s="28">
        <f>TU[[#This Row],[Part Type]]</f>
        <v>0</v>
      </c>
      <c r="CF149" s="28">
        <f>TU[[#This Row],[Part Nr.]]</f>
        <v>0</v>
      </c>
      <c r="CG149" s="28">
        <f>TU[[#This Row],[UID]]</f>
        <v>0</v>
      </c>
      <c r="CK149" s="18" t="str">
        <f>IF(TU[[#This Row],[Status]]=0,"",TU[[#This Row],[Status]])</f>
        <v/>
      </c>
    </row>
    <row r="150" spans="4:89">
      <c r="D150" s="28"/>
      <c r="G150" s="53"/>
      <c r="J150" s="53"/>
      <c r="K150" s="53"/>
      <c r="L150" s="53"/>
      <c r="O150" s="18"/>
      <c r="CA150" s="1" t="s">
        <v>71</v>
      </c>
      <c r="CB150" s="1" t="s">
        <v>18</v>
      </c>
      <c r="CC150" s="1" t="s">
        <v>308</v>
      </c>
      <c r="CE150" s="28">
        <f>TU[[#This Row],[Part Type]]</f>
        <v>0</v>
      </c>
      <c r="CF150" s="28">
        <f>TU[[#This Row],[Part Nr.]]</f>
        <v>0</v>
      </c>
      <c r="CG150" s="28">
        <f>TU[[#This Row],[UID]]</f>
        <v>0</v>
      </c>
      <c r="CK150" s="18" t="str">
        <f>IF(TU[[#This Row],[Status]]=0,"",TU[[#This Row],[Status]])</f>
        <v/>
      </c>
    </row>
    <row r="151" spans="4:89">
      <c r="D151" s="28"/>
      <c r="G151" s="53"/>
      <c r="J151" s="53"/>
      <c r="K151" s="53"/>
      <c r="L151" s="53"/>
      <c r="O151" s="18"/>
      <c r="CA151" s="1" t="s">
        <v>71</v>
      </c>
      <c r="CB151" s="1" t="s">
        <v>18</v>
      </c>
      <c r="CC151" s="1" t="s">
        <v>308</v>
      </c>
      <c r="CE151" s="28">
        <f>TU[[#This Row],[Part Type]]</f>
        <v>0</v>
      </c>
      <c r="CF151" s="28">
        <f>TU[[#This Row],[Part Nr.]]</f>
        <v>0</v>
      </c>
      <c r="CG151" s="28">
        <f>TU[[#This Row],[UID]]</f>
        <v>0</v>
      </c>
      <c r="CK151" s="18" t="str">
        <f>IF(TU[[#This Row],[Status]]=0,"",TU[[#This Row],[Status]])</f>
        <v/>
      </c>
    </row>
    <row r="152" spans="4:89">
      <c r="D152" s="28"/>
      <c r="G152" s="53"/>
      <c r="J152" s="53"/>
      <c r="K152" s="53"/>
      <c r="L152" s="53"/>
      <c r="O152" s="18"/>
      <c r="CA152" s="1" t="s">
        <v>71</v>
      </c>
      <c r="CB152" s="1" t="s">
        <v>18</v>
      </c>
      <c r="CC152" s="1" t="s">
        <v>308</v>
      </c>
      <c r="CE152" s="28">
        <f>TU[[#This Row],[Part Type]]</f>
        <v>0</v>
      </c>
      <c r="CF152" s="28">
        <f>TU[[#This Row],[Part Nr.]]</f>
        <v>0</v>
      </c>
      <c r="CG152" s="28">
        <f>TU[[#This Row],[UID]]</f>
        <v>0</v>
      </c>
      <c r="CK152" s="18" t="str">
        <f>IF(TU[[#This Row],[Status]]=0,"",TU[[#This Row],[Status]])</f>
        <v/>
      </c>
    </row>
    <row r="153" spans="4:89">
      <c r="D153" s="28"/>
      <c r="G153" s="53"/>
      <c r="J153" s="53"/>
      <c r="K153" s="53"/>
      <c r="L153" s="53"/>
      <c r="O153" s="18"/>
      <c r="CA153" s="1" t="s">
        <v>71</v>
      </c>
      <c r="CB153" s="1" t="s">
        <v>18</v>
      </c>
      <c r="CC153" s="1" t="s">
        <v>308</v>
      </c>
      <c r="CE153" s="28">
        <f>TU[[#This Row],[Part Type]]</f>
        <v>0</v>
      </c>
      <c r="CF153" s="28">
        <f>TU[[#This Row],[Part Nr.]]</f>
        <v>0</v>
      </c>
      <c r="CG153" s="28">
        <f>TU[[#This Row],[UID]]</f>
        <v>0</v>
      </c>
      <c r="CK153" s="18" t="str">
        <f>IF(TU[[#This Row],[Status]]=0,"",TU[[#This Row],[Status]])</f>
        <v/>
      </c>
    </row>
    <row r="154" spans="4:89">
      <c r="D154" s="28"/>
      <c r="G154" s="53"/>
      <c r="J154" s="53"/>
      <c r="K154" s="53"/>
      <c r="L154" s="53"/>
      <c r="O154" s="18"/>
      <c r="CA154" s="1" t="s">
        <v>71</v>
      </c>
      <c r="CB154" s="1" t="s">
        <v>18</v>
      </c>
      <c r="CC154" s="1" t="s">
        <v>308</v>
      </c>
      <c r="CE154" s="28">
        <f>TU[[#This Row],[Part Type]]</f>
        <v>0</v>
      </c>
      <c r="CF154" s="28">
        <f>TU[[#This Row],[Part Nr.]]</f>
        <v>0</v>
      </c>
      <c r="CG154" s="28">
        <f>TU[[#This Row],[UID]]</f>
        <v>0</v>
      </c>
      <c r="CK154" s="18" t="str">
        <f>IF(TU[[#This Row],[Status]]=0,"",TU[[#This Row],[Status]])</f>
        <v/>
      </c>
    </row>
    <row r="155" spans="4:89">
      <c r="D155" s="28"/>
      <c r="G155" s="53"/>
      <c r="J155" s="53"/>
      <c r="K155" s="53"/>
      <c r="L155" s="53"/>
      <c r="O155" s="18"/>
      <c r="CA155" s="1" t="s">
        <v>71</v>
      </c>
      <c r="CB155" s="1" t="s">
        <v>18</v>
      </c>
      <c r="CC155" s="1" t="s">
        <v>308</v>
      </c>
      <c r="CE155" s="28">
        <f>TU[[#This Row],[Part Type]]</f>
        <v>0</v>
      </c>
      <c r="CF155" s="28">
        <f>TU[[#This Row],[Part Nr.]]</f>
        <v>0</v>
      </c>
      <c r="CG155" s="28">
        <f>TU[[#This Row],[UID]]</f>
        <v>0</v>
      </c>
      <c r="CK155" s="18" t="str">
        <f>IF(TU[[#This Row],[Status]]=0,"",TU[[#This Row],[Status]])</f>
        <v/>
      </c>
    </row>
    <row r="156" spans="4:89">
      <c r="D156" s="28"/>
      <c r="G156" s="53"/>
      <c r="J156" s="53"/>
      <c r="K156" s="53"/>
      <c r="L156" s="53"/>
      <c r="O156" s="18"/>
      <c r="CA156" s="1" t="s">
        <v>71</v>
      </c>
      <c r="CB156" s="1" t="s">
        <v>18</v>
      </c>
      <c r="CC156" s="1" t="s">
        <v>308</v>
      </c>
      <c r="CE156" s="28">
        <f>TU[[#This Row],[Part Type]]</f>
        <v>0</v>
      </c>
      <c r="CF156" s="28">
        <f>TU[[#This Row],[Part Nr.]]</f>
        <v>0</v>
      </c>
      <c r="CG156" s="28">
        <f>TU[[#This Row],[UID]]</f>
        <v>0</v>
      </c>
      <c r="CK156" s="18" t="str">
        <f>IF(TU[[#This Row],[Status]]=0,"",TU[[#This Row],[Status]])</f>
        <v/>
      </c>
    </row>
    <row r="157" spans="4:89">
      <c r="D157" s="28"/>
      <c r="G157" s="53"/>
      <c r="J157" s="53"/>
      <c r="K157" s="53"/>
      <c r="L157" s="53"/>
      <c r="O157" s="18"/>
      <c r="CA157" s="1" t="s">
        <v>71</v>
      </c>
      <c r="CB157" s="1" t="s">
        <v>18</v>
      </c>
      <c r="CC157" s="1" t="s">
        <v>308</v>
      </c>
      <c r="CE157" s="28">
        <f>TU[[#This Row],[Part Type]]</f>
        <v>0</v>
      </c>
      <c r="CF157" s="28">
        <f>TU[[#This Row],[Part Nr.]]</f>
        <v>0</v>
      </c>
      <c r="CG157" s="28">
        <f>TU[[#This Row],[UID]]</f>
        <v>0</v>
      </c>
      <c r="CK157" s="18" t="str">
        <f>IF(TU[[#This Row],[Status]]=0,"",TU[[#This Row],[Status]])</f>
        <v/>
      </c>
    </row>
    <row r="158" spans="4:89">
      <c r="D158" s="28"/>
      <c r="G158" s="53"/>
      <c r="J158" s="53"/>
      <c r="K158" s="53"/>
      <c r="L158" s="53"/>
      <c r="O158" s="18"/>
      <c r="CA158" s="1" t="s">
        <v>71</v>
      </c>
      <c r="CB158" s="1" t="s">
        <v>18</v>
      </c>
      <c r="CC158" s="1" t="s">
        <v>308</v>
      </c>
      <c r="CE158" s="28">
        <f>TU[[#This Row],[Part Type]]</f>
        <v>0</v>
      </c>
      <c r="CF158" s="28">
        <f>TU[[#This Row],[Part Nr.]]</f>
        <v>0</v>
      </c>
      <c r="CG158" s="28">
        <f>TU[[#This Row],[UID]]</f>
        <v>0</v>
      </c>
      <c r="CK158" s="18" t="str">
        <f>IF(TU[[#This Row],[Status]]=0,"",TU[[#This Row],[Status]])</f>
        <v/>
      </c>
    </row>
    <row r="159" spans="4:89">
      <c r="D159" s="28"/>
      <c r="G159" s="53"/>
      <c r="J159" s="53"/>
      <c r="K159" s="53"/>
      <c r="L159" s="53"/>
      <c r="O159" s="18"/>
      <c r="CA159" s="1" t="s">
        <v>71</v>
      </c>
      <c r="CB159" s="1" t="s">
        <v>18</v>
      </c>
      <c r="CC159" s="1" t="s">
        <v>308</v>
      </c>
      <c r="CE159" s="28">
        <f>TU[[#This Row],[Part Type]]</f>
        <v>0</v>
      </c>
      <c r="CF159" s="28">
        <f>TU[[#This Row],[Part Nr.]]</f>
        <v>0</v>
      </c>
      <c r="CG159" s="28">
        <f>TU[[#This Row],[UID]]</f>
        <v>0</v>
      </c>
      <c r="CK159" s="18" t="str">
        <f>IF(TU[[#This Row],[Status]]=0,"",TU[[#This Row],[Status]])</f>
        <v/>
      </c>
    </row>
    <row r="160" spans="4:89">
      <c r="D160" s="28"/>
      <c r="G160" s="53"/>
      <c r="J160" s="53"/>
      <c r="K160" s="53"/>
      <c r="L160" s="53"/>
      <c r="O160" s="18"/>
      <c r="CA160" s="1" t="s">
        <v>71</v>
      </c>
      <c r="CB160" s="1" t="s">
        <v>18</v>
      </c>
      <c r="CC160" s="1" t="s">
        <v>308</v>
      </c>
      <c r="CE160" s="28">
        <f>TU[[#This Row],[Part Type]]</f>
        <v>0</v>
      </c>
      <c r="CF160" s="28">
        <f>TU[[#This Row],[Part Nr.]]</f>
        <v>0</v>
      </c>
      <c r="CG160" s="28">
        <f>TU[[#This Row],[UID]]</f>
        <v>0</v>
      </c>
      <c r="CK160" s="18" t="str">
        <f>IF(TU[[#This Row],[Status]]=0,"",TU[[#This Row],[Status]])</f>
        <v/>
      </c>
    </row>
    <row r="161" spans="4:89">
      <c r="D161" s="28"/>
      <c r="G161" s="53"/>
      <c r="J161" s="53"/>
      <c r="K161" s="53"/>
      <c r="L161" s="53"/>
      <c r="O161" s="18"/>
      <c r="CA161" s="1" t="s">
        <v>71</v>
      </c>
      <c r="CB161" s="1" t="s">
        <v>18</v>
      </c>
      <c r="CC161" s="1" t="s">
        <v>308</v>
      </c>
      <c r="CE161" s="28">
        <f>TU[[#This Row],[Part Type]]</f>
        <v>0</v>
      </c>
      <c r="CF161" s="28">
        <f>TU[[#This Row],[Part Nr.]]</f>
        <v>0</v>
      </c>
      <c r="CG161" s="28">
        <f>TU[[#This Row],[UID]]</f>
        <v>0</v>
      </c>
      <c r="CK161" s="18" t="str">
        <f>IF(TU[[#This Row],[Status]]=0,"",TU[[#This Row],[Status]])</f>
        <v/>
      </c>
    </row>
    <row r="162" spans="4:89">
      <c r="D162" s="28"/>
      <c r="G162" s="53"/>
      <c r="J162" s="53"/>
      <c r="K162" s="53"/>
      <c r="L162" s="53"/>
      <c r="O162" s="18"/>
      <c r="CA162" s="1" t="s">
        <v>71</v>
      </c>
      <c r="CB162" s="1" t="s">
        <v>18</v>
      </c>
      <c r="CC162" s="1" t="s">
        <v>308</v>
      </c>
      <c r="CE162" s="28">
        <f>TU[[#This Row],[Part Type]]</f>
        <v>0</v>
      </c>
      <c r="CF162" s="28">
        <f>TU[[#This Row],[Part Nr.]]</f>
        <v>0</v>
      </c>
      <c r="CG162" s="28">
        <f>TU[[#This Row],[UID]]</f>
        <v>0</v>
      </c>
      <c r="CK162" s="18" t="str">
        <f>IF(TU[[#This Row],[Status]]=0,"",TU[[#This Row],[Status]])</f>
        <v/>
      </c>
    </row>
    <row r="163" spans="4:89">
      <c r="D163" s="28"/>
      <c r="G163" s="53"/>
      <c r="J163" s="53"/>
      <c r="K163" s="53"/>
      <c r="L163" s="53"/>
      <c r="O163" s="18"/>
      <c r="CA163" s="1" t="s">
        <v>71</v>
      </c>
      <c r="CB163" s="1" t="s">
        <v>18</v>
      </c>
      <c r="CC163" s="1" t="s">
        <v>308</v>
      </c>
      <c r="CE163" s="28">
        <f>TU[[#This Row],[Part Type]]</f>
        <v>0</v>
      </c>
      <c r="CF163" s="28">
        <f>TU[[#This Row],[Part Nr.]]</f>
        <v>0</v>
      </c>
      <c r="CG163" s="28">
        <f>TU[[#This Row],[UID]]</f>
        <v>0</v>
      </c>
      <c r="CK163" s="18" t="str">
        <f>IF(TU[[#This Row],[Status]]=0,"",TU[[#This Row],[Status]])</f>
        <v/>
      </c>
    </row>
    <row r="164" spans="4:89">
      <c r="D164" s="28"/>
      <c r="G164" s="53"/>
      <c r="J164" s="53"/>
      <c r="K164" s="53"/>
      <c r="L164" s="53"/>
      <c r="O164" s="18"/>
      <c r="CA164" s="1" t="s">
        <v>71</v>
      </c>
      <c r="CB164" s="1" t="s">
        <v>18</v>
      </c>
      <c r="CC164" s="1" t="s">
        <v>308</v>
      </c>
      <c r="CE164" s="28">
        <f>TU[[#This Row],[Part Type]]</f>
        <v>0</v>
      </c>
      <c r="CF164" s="28">
        <f>TU[[#This Row],[Part Nr.]]</f>
        <v>0</v>
      </c>
      <c r="CG164" s="28">
        <f>TU[[#This Row],[UID]]</f>
        <v>0</v>
      </c>
      <c r="CK164" s="18" t="str">
        <f>IF(TU[[#This Row],[Status]]=0,"",TU[[#This Row],[Status]])</f>
        <v/>
      </c>
    </row>
    <row r="165" spans="4:89">
      <c r="D165" s="28"/>
      <c r="G165" s="53"/>
      <c r="J165" s="53"/>
      <c r="K165" s="53"/>
      <c r="L165" s="53"/>
      <c r="O165" s="18"/>
      <c r="CA165" s="1" t="s">
        <v>71</v>
      </c>
      <c r="CB165" s="1" t="s">
        <v>18</v>
      </c>
      <c r="CC165" s="1" t="s">
        <v>308</v>
      </c>
      <c r="CE165" s="28">
        <f>TU[[#This Row],[Part Type]]</f>
        <v>0</v>
      </c>
      <c r="CF165" s="28">
        <f>TU[[#This Row],[Part Nr.]]</f>
        <v>0</v>
      </c>
      <c r="CG165" s="28">
        <f>TU[[#This Row],[UID]]</f>
        <v>0</v>
      </c>
      <c r="CK165" s="18" t="str">
        <f>IF(TU[[#This Row],[Status]]=0,"",TU[[#This Row],[Status]])</f>
        <v/>
      </c>
    </row>
    <row r="166" spans="4:89">
      <c r="D166" s="28"/>
      <c r="G166" s="53"/>
      <c r="J166" s="53"/>
      <c r="K166" s="53"/>
      <c r="L166" s="53"/>
      <c r="O166" s="18"/>
      <c r="CA166" s="1" t="s">
        <v>71</v>
      </c>
      <c r="CB166" s="1" t="s">
        <v>18</v>
      </c>
      <c r="CC166" s="1" t="s">
        <v>308</v>
      </c>
      <c r="CE166" s="28">
        <f>TU[[#This Row],[Part Type]]</f>
        <v>0</v>
      </c>
      <c r="CF166" s="28">
        <f>TU[[#This Row],[Part Nr.]]</f>
        <v>0</v>
      </c>
      <c r="CG166" s="28">
        <f>TU[[#This Row],[UID]]</f>
        <v>0</v>
      </c>
      <c r="CK166" s="18" t="str">
        <f>IF(TU[[#This Row],[Status]]=0,"",TU[[#This Row],[Status]])</f>
        <v/>
      </c>
    </row>
    <row r="167" spans="4:89">
      <c r="D167" s="28"/>
      <c r="G167" s="53"/>
      <c r="J167" s="53"/>
      <c r="K167" s="53"/>
      <c r="L167" s="53"/>
      <c r="O167" s="18"/>
      <c r="CA167" s="1" t="s">
        <v>71</v>
      </c>
      <c r="CB167" s="1" t="s">
        <v>18</v>
      </c>
      <c r="CC167" s="1" t="s">
        <v>308</v>
      </c>
      <c r="CE167" s="28">
        <f>TU[[#This Row],[Part Type]]</f>
        <v>0</v>
      </c>
      <c r="CF167" s="28">
        <f>TU[[#This Row],[Part Nr.]]</f>
        <v>0</v>
      </c>
      <c r="CG167" s="28">
        <f>TU[[#This Row],[UID]]</f>
        <v>0</v>
      </c>
      <c r="CK167" s="18" t="str">
        <f>IF(TU[[#This Row],[Status]]=0,"",TU[[#This Row],[Status]])</f>
        <v/>
      </c>
    </row>
    <row r="168" spans="4:89">
      <c r="D168" s="28"/>
      <c r="G168" s="53"/>
      <c r="J168" s="53"/>
      <c r="K168" s="53"/>
      <c r="L168" s="53"/>
      <c r="O168" s="18"/>
      <c r="CA168" s="1" t="s">
        <v>71</v>
      </c>
      <c r="CB168" s="1" t="s">
        <v>18</v>
      </c>
      <c r="CC168" s="1" t="s">
        <v>308</v>
      </c>
      <c r="CE168" s="28">
        <f>TU[[#This Row],[Part Type]]</f>
        <v>0</v>
      </c>
      <c r="CF168" s="28">
        <f>TU[[#This Row],[Part Nr.]]</f>
        <v>0</v>
      </c>
      <c r="CG168" s="28">
        <f>TU[[#This Row],[UID]]</f>
        <v>0</v>
      </c>
      <c r="CK168" s="18" t="str">
        <f>IF(TU[[#This Row],[Status]]=0,"",TU[[#This Row],[Status]])</f>
        <v/>
      </c>
    </row>
    <row r="169" spans="4:89">
      <c r="D169" s="28"/>
      <c r="G169" s="53"/>
      <c r="J169" s="53"/>
      <c r="K169" s="53"/>
      <c r="L169" s="53"/>
      <c r="O169" s="18"/>
      <c r="CA169" s="1" t="s">
        <v>71</v>
      </c>
      <c r="CB169" s="1" t="s">
        <v>18</v>
      </c>
      <c r="CC169" s="1" t="s">
        <v>308</v>
      </c>
      <c r="CE169" s="28">
        <f>TU[[#This Row],[Part Type]]</f>
        <v>0</v>
      </c>
      <c r="CF169" s="28">
        <f>TU[[#This Row],[Part Nr.]]</f>
        <v>0</v>
      </c>
      <c r="CG169" s="28">
        <f>TU[[#This Row],[UID]]</f>
        <v>0</v>
      </c>
      <c r="CK169" s="18" t="str">
        <f>IF(TU[[#This Row],[Status]]=0,"",TU[[#This Row],[Status]])</f>
        <v/>
      </c>
    </row>
    <row r="170" spans="4:89">
      <c r="D170" s="28"/>
      <c r="G170" s="53"/>
      <c r="J170" s="53"/>
      <c r="K170" s="53"/>
      <c r="L170" s="53"/>
      <c r="O170" s="18"/>
      <c r="CA170" s="1" t="s">
        <v>71</v>
      </c>
      <c r="CB170" s="1" t="s">
        <v>18</v>
      </c>
      <c r="CC170" s="1" t="s">
        <v>308</v>
      </c>
      <c r="CE170" s="28">
        <f>TU[[#This Row],[Part Type]]</f>
        <v>0</v>
      </c>
      <c r="CF170" s="28">
        <f>TU[[#This Row],[Part Nr.]]</f>
        <v>0</v>
      </c>
      <c r="CG170" s="28">
        <f>TU[[#This Row],[UID]]</f>
        <v>0</v>
      </c>
      <c r="CK170" s="18" t="str">
        <f>IF(TU[[#This Row],[Status]]=0,"",TU[[#This Row],[Status]])</f>
        <v/>
      </c>
    </row>
    <row r="171" spans="4:89">
      <c r="D171" s="28"/>
      <c r="G171" s="53"/>
      <c r="J171" s="53"/>
      <c r="K171" s="53"/>
      <c r="L171" s="53"/>
      <c r="O171" s="18"/>
      <c r="CA171" s="1" t="s">
        <v>71</v>
      </c>
      <c r="CB171" s="1" t="s">
        <v>18</v>
      </c>
      <c r="CC171" s="1" t="s">
        <v>308</v>
      </c>
      <c r="CE171" s="28">
        <f>TU[[#This Row],[Part Type]]</f>
        <v>0</v>
      </c>
      <c r="CF171" s="28">
        <f>TU[[#This Row],[Part Nr.]]</f>
        <v>0</v>
      </c>
      <c r="CG171" s="28">
        <f>TU[[#This Row],[UID]]</f>
        <v>0</v>
      </c>
      <c r="CK171" s="18" t="str">
        <f>IF(TU[[#This Row],[Status]]=0,"",TU[[#This Row],[Status]])</f>
        <v/>
      </c>
    </row>
    <row r="172" spans="4:89">
      <c r="D172" s="28"/>
      <c r="G172" s="53"/>
      <c r="J172" s="53"/>
      <c r="K172" s="53"/>
      <c r="L172" s="53"/>
      <c r="O172" s="18"/>
      <c r="CA172" s="1" t="s">
        <v>71</v>
      </c>
      <c r="CB172" s="1" t="s">
        <v>18</v>
      </c>
      <c r="CC172" s="1" t="s">
        <v>308</v>
      </c>
      <c r="CE172" s="28">
        <f>TU[[#This Row],[Part Type]]</f>
        <v>0</v>
      </c>
      <c r="CF172" s="28">
        <f>TU[[#This Row],[Part Nr.]]</f>
        <v>0</v>
      </c>
      <c r="CG172" s="28">
        <f>TU[[#This Row],[UID]]</f>
        <v>0</v>
      </c>
      <c r="CK172" s="18" t="str">
        <f>IF(TU[[#This Row],[Status]]=0,"",TU[[#This Row],[Status]])</f>
        <v/>
      </c>
    </row>
    <row r="173" spans="4:89">
      <c r="D173" s="28"/>
      <c r="G173" s="53"/>
      <c r="J173" s="53"/>
      <c r="K173" s="53"/>
      <c r="L173" s="53"/>
      <c r="O173" s="18"/>
      <c r="CA173" s="1" t="s">
        <v>71</v>
      </c>
      <c r="CB173" s="1" t="s">
        <v>18</v>
      </c>
      <c r="CC173" s="1" t="s">
        <v>308</v>
      </c>
      <c r="CE173" s="28">
        <f>TU[[#This Row],[Part Type]]</f>
        <v>0</v>
      </c>
      <c r="CF173" s="28">
        <f>TU[[#This Row],[Part Nr.]]</f>
        <v>0</v>
      </c>
      <c r="CG173" s="28">
        <f>TU[[#This Row],[UID]]</f>
        <v>0</v>
      </c>
      <c r="CK173" s="18" t="str">
        <f>IF(TU[[#This Row],[Status]]=0,"",TU[[#This Row],[Status]])</f>
        <v/>
      </c>
    </row>
    <row r="174" spans="4:89">
      <c r="D174" s="28"/>
      <c r="G174" s="53"/>
      <c r="J174" s="53"/>
      <c r="K174" s="53"/>
      <c r="L174" s="53"/>
      <c r="O174" s="18"/>
      <c r="CA174" s="1" t="s">
        <v>71</v>
      </c>
      <c r="CB174" s="1" t="s">
        <v>18</v>
      </c>
      <c r="CC174" s="1" t="s">
        <v>308</v>
      </c>
      <c r="CE174" s="28">
        <f>TU[[#This Row],[Part Type]]</f>
        <v>0</v>
      </c>
      <c r="CF174" s="28">
        <f>TU[[#This Row],[Part Nr.]]</f>
        <v>0</v>
      </c>
      <c r="CG174" s="28">
        <f>TU[[#This Row],[UID]]</f>
        <v>0</v>
      </c>
      <c r="CK174" s="18" t="str">
        <f>IF(TU[[#This Row],[Status]]=0,"",TU[[#This Row],[Status]])</f>
        <v/>
      </c>
    </row>
    <row r="175" spans="4:89">
      <c r="D175" s="28"/>
      <c r="G175" s="53"/>
      <c r="J175" s="53"/>
      <c r="K175" s="53"/>
      <c r="L175" s="53"/>
      <c r="O175" s="18"/>
      <c r="CA175" s="1" t="s">
        <v>71</v>
      </c>
      <c r="CB175" s="1" t="s">
        <v>18</v>
      </c>
      <c r="CC175" s="1" t="s">
        <v>308</v>
      </c>
      <c r="CE175" s="28">
        <f>TU[[#This Row],[Part Type]]</f>
        <v>0</v>
      </c>
      <c r="CF175" s="28">
        <f>TU[[#This Row],[Part Nr.]]</f>
        <v>0</v>
      </c>
      <c r="CG175" s="28">
        <f>TU[[#This Row],[UID]]</f>
        <v>0</v>
      </c>
      <c r="CK175" s="18" t="str">
        <f>IF(TU[[#This Row],[Status]]=0,"",TU[[#This Row],[Status]])</f>
        <v/>
      </c>
    </row>
    <row r="176" spans="4:89">
      <c r="D176" s="28"/>
      <c r="G176" s="53"/>
      <c r="J176" s="53"/>
      <c r="K176" s="53"/>
      <c r="L176" s="53"/>
      <c r="O176" s="18"/>
      <c r="CA176" s="1" t="s">
        <v>71</v>
      </c>
      <c r="CB176" s="1" t="s">
        <v>18</v>
      </c>
      <c r="CC176" s="1" t="s">
        <v>308</v>
      </c>
      <c r="CE176" s="28">
        <f>TU[[#This Row],[Part Type]]</f>
        <v>0</v>
      </c>
      <c r="CF176" s="28">
        <f>TU[[#This Row],[Part Nr.]]</f>
        <v>0</v>
      </c>
      <c r="CG176" s="28">
        <f>TU[[#This Row],[UID]]</f>
        <v>0</v>
      </c>
      <c r="CK176" s="18" t="str">
        <f>IF(TU[[#This Row],[Status]]=0,"",TU[[#This Row],[Status]])</f>
        <v/>
      </c>
    </row>
    <row r="177" spans="4:89">
      <c r="D177" s="28"/>
      <c r="G177" s="53"/>
      <c r="J177" s="53"/>
      <c r="K177" s="53"/>
      <c r="L177" s="53"/>
      <c r="O177" s="18"/>
      <c r="CA177" s="1" t="s">
        <v>71</v>
      </c>
      <c r="CB177" s="1" t="s">
        <v>18</v>
      </c>
      <c r="CC177" s="1" t="s">
        <v>308</v>
      </c>
      <c r="CE177" s="28">
        <f>TU[[#This Row],[Part Type]]</f>
        <v>0</v>
      </c>
      <c r="CF177" s="28">
        <f>TU[[#This Row],[Part Nr.]]</f>
        <v>0</v>
      </c>
      <c r="CG177" s="28">
        <f>TU[[#This Row],[UID]]</f>
        <v>0</v>
      </c>
      <c r="CK177" s="18" t="str">
        <f>IF(TU[[#This Row],[Status]]=0,"",TU[[#This Row],[Status]])</f>
        <v/>
      </c>
    </row>
    <row r="178" spans="4:89">
      <c r="D178" s="28"/>
      <c r="G178" s="53"/>
      <c r="J178" s="53"/>
      <c r="K178" s="53"/>
      <c r="L178" s="53"/>
      <c r="O178" s="18"/>
      <c r="CA178" s="1" t="s">
        <v>71</v>
      </c>
      <c r="CB178" s="1" t="s">
        <v>18</v>
      </c>
      <c r="CC178" s="1" t="s">
        <v>308</v>
      </c>
      <c r="CE178" s="28">
        <f>TU[[#This Row],[Part Type]]</f>
        <v>0</v>
      </c>
      <c r="CF178" s="28">
        <f>TU[[#This Row],[Part Nr.]]</f>
        <v>0</v>
      </c>
      <c r="CG178" s="28">
        <f>TU[[#This Row],[UID]]</f>
        <v>0</v>
      </c>
      <c r="CK178" s="18" t="str">
        <f>IF(TU[[#This Row],[Status]]=0,"",TU[[#This Row],[Status]])</f>
        <v/>
      </c>
    </row>
    <row r="179" spans="4:89">
      <c r="D179" s="28"/>
      <c r="G179" s="53"/>
      <c r="J179" s="53"/>
      <c r="K179" s="53"/>
      <c r="L179" s="53"/>
      <c r="O179" s="18"/>
      <c r="CA179" s="1" t="s">
        <v>71</v>
      </c>
      <c r="CB179" s="1" t="s">
        <v>18</v>
      </c>
      <c r="CC179" s="1" t="s">
        <v>308</v>
      </c>
      <c r="CE179" s="28">
        <f>TU[[#This Row],[Part Type]]</f>
        <v>0</v>
      </c>
      <c r="CF179" s="28">
        <f>TU[[#This Row],[Part Nr.]]</f>
        <v>0</v>
      </c>
      <c r="CG179" s="28">
        <f>TU[[#This Row],[UID]]</f>
        <v>0</v>
      </c>
      <c r="CK179" s="18" t="str">
        <f>IF(TU[[#This Row],[Status]]=0,"",TU[[#This Row],[Status]])</f>
        <v/>
      </c>
    </row>
    <row r="180" spans="4:89">
      <c r="D180" s="28"/>
      <c r="G180" s="53"/>
      <c r="J180" s="53"/>
      <c r="K180" s="53"/>
      <c r="L180" s="53"/>
      <c r="O180" s="18"/>
      <c r="CA180" s="1" t="s">
        <v>71</v>
      </c>
      <c r="CB180" s="1" t="s">
        <v>18</v>
      </c>
      <c r="CC180" s="1" t="s">
        <v>308</v>
      </c>
      <c r="CE180" s="28">
        <f>TU[[#This Row],[Part Type]]</f>
        <v>0</v>
      </c>
      <c r="CF180" s="28">
        <f>TU[[#This Row],[Part Nr.]]</f>
        <v>0</v>
      </c>
      <c r="CG180" s="28">
        <f>TU[[#This Row],[UID]]</f>
        <v>0</v>
      </c>
      <c r="CK180" s="18" t="str">
        <f>IF(TU[[#This Row],[Status]]=0,"",TU[[#This Row],[Status]])</f>
        <v/>
      </c>
    </row>
    <row r="181" spans="4:89">
      <c r="D181" s="28"/>
      <c r="G181" s="53"/>
      <c r="J181" s="53"/>
      <c r="K181" s="53"/>
      <c r="L181" s="53"/>
      <c r="O181" s="18"/>
      <c r="CA181" s="1" t="s">
        <v>71</v>
      </c>
      <c r="CB181" s="1" t="s">
        <v>18</v>
      </c>
      <c r="CC181" s="1" t="s">
        <v>308</v>
      </c>
      <c r="CE181" s="28">
        <f>TU[[#This Row],[Part Type]]</f>
        <v>0</v>
      </c>
      <c r="CF181" s="28">
        <f>TU[[#This Row],[Part Nr.]]</f>
        <v>0</v>
      </c>
      <c r="CG181" s="28">
        <f>TU[[#This Row],[UID]]</f>
        <v>0</v>
      </c>
      <c r="CK181" s="18" t="str">
        <f>IF(TU[[#This Row],[Status]]=0,"",TU[[#This Row],[Status]])</f>
        <v/>
      </c>
    </row>
    <row r="182" spans="4:89">
      <c r="D182" s="28"/>
      <c r="G182" s="53"/>
      <c r="J182" s="53"/>
      <c r="K182" s="53"/>
      <c r="L182" s="53"/>
      <c r="O182" s="18"/>
      <c r="CA182" s="1" t="s">
        <v>71</v>
      </c>
      <c r="CB182" s="1" t="s">
        <v>18</v>
      </c>
      <c r="CC182" s="1" t="s">
        <v>308</v>
      </c>
      <c r="CE182" s="28">
        <f>TU[[#This Row],[Part Type]]</f>
        <v>0</v>
      </c>
      <c r="CF182" s="28">
        <f>TU[[#This Row],[Part Nr.]]</f>
        <v>0</v>
      </c>
      <c r="CG182" s="28">
        <f>TU[[#This Row],[UID]]</f>
        <v>0</v>
      </c>
      <c r="CK182" s="18" t="str">
        <f>IF(TU[[#This Row],[Status]]=0,"",TU[[#This Row],[Status]])</f>
        <v/>
      </c>
    </row>
    <row r="183" spans="4:89">
      <c r="D183" s="28"/>
      <c r="G183" s="53"/>
      <c r="J183" s="53"/>
      <c r="K183" s="53"/>
      <c r="L183" s="53"/>
      <c r="O183" s="18"/>
      <c r="CA183" s="1" t="s">
        <v>71</v>
      </c>
      <c r="CB183" s="1" t="s">
        <v>18</v>
      </c>
      <c r="CC183" s="1" t="s">
        <v>308</v>
      </c>
      <c r="CE183" s="28">
        <f>TU[[#This Row],[Part Type]]</f>
        <v>0</v>
      </c>
      <c r="CF183" s="28">
        <f>TU[[#This Row],[Part Nr.]]</f>
        <v>0</v>
      </c>
      <c r="CG183" s="28">
        <f>TU[[#This Row],[UID]]</f>
        <v>0</v>
      </c>
      <c r="CK183" s="18" t="str">
        <f>IF(TU[[#This Row],[Status]]=0,"",TU[[#This Row],[Status]])</f>
        <v/>
      </c>
    </row>
    <row r="184" spans="4:89">
      <c r="D184" s="28"/>
      <c r="G184" s="53"/>
      <c r="J184" s="53"/>
      <c r="K184" s="53"/>
      <c r="L184" s="53"/>
      <c r="O184" s="18"/>
      <c r="CA184" s="1" t="s">
        <v>71</v>
      </c>
      <c r="CB184" s="1" t="s">
        <v>18</v>
      </c>
      <c r="CC184" s="1" t="s">
        <v>308</v>
      </c>
      <c r="CE184" s="28">
        <f>TU[[#This Row],[Part Type]]</f>
        <v>0</v>
      </c>
      <c r="CF184" s="28">
        <f>TU[[#This Row],[Part Nr.]]</f>
        <v>0</v>
      </c>
      <c r="CG184" s="28">
        <f>TU[[#This Row],[UID]]</f>
        <v>0</v>
      </c>
      <c r="CK184" s="18" t="str">
        <f>IF(TU[[#This Row],[Status]]=0,"",TU[[#This Row],[Status]])</f>
        <v/>
      </c>
    </row>
    <row r="185" spans="4:89">
      <c r="D185" s="28"/>
      <c r="G185" s="53"/>
      <c r="J185" s="53"/>
      <c r="K185" s="53"/>
      <c r="L185" s="53"/>
      <c r="O185" s="18"/>
      <c r="CA185" s="1" t="s">
        <v>71</v>
      </c>
      <c r="CB185" s="1" t="s">
        <v>18</v>
      </c>
      <c r="CC185" s="1" t="s">
        <v>308</v>
      </c>
      <c r="CE185" s="28">
        <f>TU[[#This Row],[Part Type]]</f>
        <v>0</v>
      </c>
      <c r="CF185" s="28">
        <f>TU[[#This Row],[Part Nr.]]</f>
        <v>0</v>
      </c>
      <c r="CG185" s="28">
        <f>TU[[#This Row],[UID]]</f>
        <v>0</v>
      </c>
      <c r="CK185" s="18" t="str">
        <f>IF(TU[[#This Row],[Status]]=0,"",TU[[#This Row],[Status]])</f>
        <v/>
      </c>
    </row>
    <row r="186" spans="4:89">
      <c r="D186" s="28"/>
      <c r="G186" s="53"/>
      <c r="J186" s="53"/>
      <c r="K186" s="53"/>
      <c r="L186" s="53"/>
      <c r="O186" s="18"/>
      <c r="CA186" s="1" t="s">
        <v>71</v>
      </c>
      <c r="CB186" s="1" t="s">
        <v>18</v>
      </c>
      <c r="CC186" s="1" t="s">
        <v>308</v>
      </c>
      <c r="CE186" s="28">
        <f>TU[[#This Row],[Part Type]]</f>
        <v>0</v>
      </c>
      <c r="CF186" s="28">
        <f>TU[[#This Row],[Part Nr.]]</f>
        <v>0</v>
      </c>
      <c r="CG186" s="28">
        <f>TU[[#This Row],[UID]]</f>
        <v>0</v>
      </c>
      <c r="CK186" s="18" t="str">
        <f>IF(TU[[#This Row],[Status]]=0,"",TU[[#This Row],[Status]])</f>
        <v/>
      </c>
    </row>
    <row r="187" spans="4:89">
      <c r="D187" s="28"/>
      <c r="G187" s="53"/>
      <c r="J187" s="53"/>
      <c r="K187" s="53"/>
      <c r="L187" s="53"/>
      <c r="O187" s="18"/>
      <c r="CA187" s="1" t="s">
        <v>71</v>
      </c>
      <c r="CB187" s="1" t="s">
        <v>18</v>
      </c>
      <c r="CC187" s="1" t="s">
        <v>308</v>
      </c>
      <c r="CE187" s="28">
        <f>TU[[#This Row],[Part Type]]</f>
        <v>0</v>
      </c>
      <c r="CF187" s="28">
        <f>TU[[#This Row],[Part Nr.]]</f>
        <v>0</v>
      </c>
      <c r="CG187" s="28">
        <f>TU[[#This Row],[UID]]</f>
        <v>0</v>
      </c>
      <c r="CK187" s="18" t="str">
        <f>IF(TU[[#This Row],[Status]]=0,"",TU[[#This Row],[Status]])</f>
        <v/>
      </c>
    </row>
    <row r="188" spans="4:89">
      <c r="D188" s="28"/>
      <c r="G188" s="53"/>
      <c r="J188" s="53"/>
      <c r="K188" s="53"/>
      <c r="L188" s="53"/>
      <c r="O188" s="18"/>
      <c r="CA188" s="1" t="s">
        <v>71</v>
      </c>
      <c r="CB188" s="1" t="s">
        <v>18</v>
      </c>
      <c r="CC188" s="1" t="s">
        <v>308</v>
      </c>
      <c r="CE188" s="28">
        <f>TU[[#This Row],[Part Type]]</f>
        <v>0</v>
      </c>
      <c r="CF188" s="28">
        <f>TU[[#This Row],[Part Nr.]]</f>
        <v>0</v>
      </c>
      <c r="CG188" s="28">
        <f>TU[[#This Row],[UID]]</f>
        <v>0</v>
      </c>
      <c r="CK188" s="18" t="str">
        <f>IF(TU[[#This Row],[Status]]=0,"",TU[[#This Row],[Status]])</f>
        <v/>
      </c>
    </row>
    <row r="189" spans="4:89">
      <c r="D189" s="28"/>
      <c r="G189" s="53"/>
      <c r="J189" s="53"/>
      <c r="K189" s="53"/>
      <c r="L189" s="53"/>
      <c r="O189" s="18"/>
      <c r="CA189" s="1" t="s">
        <v>71</v>
      </c>
      <c r="CB189" s="1" t="s">
        <v>18</v>
      </c>
      <c r="CC189" s="1" t="s">
        <v>308</v>
      </c>
      <c r="CE189" s="28">
        <f>TU[[#This Row],[Part Type]]</f>
        <v>0</v>
      </c>
      <c r="CF189" s="28">
        <f>TU[[#This Row],[Part Nr.]]</f>
        <v>0</v>
      </c>
      <c r="CG189" s="28">
        <f>TU[[#This Row],[UID]]</f>
        <v>0</v>
      </c>
      <c r="CK189" s="18" t="str">
        <f>IF(TU[[#This Row],[Status]]=0,"",TU[[#This Row],[Status]])</f>
        <v/>
      </c>
    </row>
    <row r="190" spans="4:89">
      <c r="D190" s="28"/>
      <c r="G190" s="53"/>
      <c r="J190" s="53"/>
      <c r="K190" s="53"/>
      <c r="L190" s="53"/>
      <c r="O190" s="18"/>
      <c r="CA190" s="1" t="s">
        <v>71</v>
      </c>
      <c r="CB190" s="1" t="s">
        <v>18</v>
      </c>
      <c r="CC190" s="1" t="s">
        <v>308</v>
      </c>
      <c r="CE190" s="28">
        <f>TU[[#This Row],[Part Type]]</f>
        <v>0</v>
      </c>
      <c r="CF190" s="28">
        <f>TU[[#This Row],[Part Nr.]]</f>
        <v>0</v>
      </c>
      <c r="CG190" s="28">
        <f>TU[[#This Row],[UID]]</f>
        <v>0</v>
      </c>
      <c r="CK190" s="18" t="str">
        <f>IF(TU[[#This Row],[Status]]=0,"",TU[[#This Row],[Status]])</f>
        <v/>
      </c>
    </row>
    <row r="191" spans="4:89">
      <c r="D191" s="28"/>
      <c r="G191" s="53"/>
      <c r="J191" s="53"/>
      <c r="K191" s="53"/>
      <c r="L191" s="53"/>
      <c r="O191" s="18"/>
      <c r="CA191" s="1" t="s">
        <v>71</v>
      </c>
      <c r="CB191" s="1" t="s">
        <v>18</v>
      </c>
      <c r="CC191" s="1" t="s">
        <v>308</v>
      </c>
      <c r="CE191" s="28">
        <f>TU[[#This Row],[Part Type]]</f>
        <v>0</v>
      </c>
      <c r="CF191" s="28">
        <f>TU[[#This Row],[Part Nr.]]</f>
        <v>0</v>
      </c>
      <c r="CG191" s="28">
        <f>TU[[#This Row],[UID]]</f>
        <v>0</v>
      </c>
      <c r="CK191" s="18" t="str">
        <f>IF(TU[[#This Row],[Status]]=0,"",TU[[#This Row],[Status]])</f>
        <v/>
      </c>
    </row>
    <row r="192" spans="4:89">
      <c r="D192" s="28"/>
      <c r="G192" s="53"/>
      <c r="J192" s="53"/>
      <c r="K192" s="53"/>
      <c r="L192" s="53"/>
      <c r="O192" s="18"/>
      <c r="CA192" s="1" t="s">
        <v>71</v>
      </c>
      <c r="CB192" s="1" t="s">
        <v>18</v>
      </c>
      <c r="CC192" s="1" t="s">
        <v>308</v>
      </c>
      <c r="CE192" s="28">
        <f>TU[[#This Row],[Part Type]]</f>
        <v>0</v>
      </c>
      <c r="CF192" s="28">
        <f>TU[[#This Row],[Part Nr.]]</f>
        <v>0</v>
      </c>
      <c r="CG192" s="28">
        <f>TU[[#This Row],[UID]]</f>
        <v>0</v>
      </c>
      <c r="CK192" s="18" t="str">
        <f>IF(TU[[#This Row],[Status]]=0,"",TU[[#This Row],[Status]])</f>
        <v/>
      </c>
    </row>
    <row r="193" spans="4:89">
      <c r="D193" s="28"/>
      <c r="G193" s="53"/>
      <c r="J193" s="53"/>
      <c r="K193" s="53"/>
      <c r="L193" s="53"/>
      <c r="O193" s="18"/>
      <c r="CA193" s="1" t="s">
        <v>71</v>
      </c>
      <c r="CB193" s="1" t="s">
        <v>18</v>
      </c>
      <c r="CC193" s="1" t="s">
        <v>308</v>
      </c>
      <c r="CE193" s="28">
        <f>TU[[#This Row],[Part Type]]</f>
        <v>0</v>
      </c>
      <c r="CF193" s="28">
        <f>TU[[#This Row],[Part Nr.]]</f>
        <v>0</v>
      </c>
      <c r="CG193" s="28">
        <f>TU[[#This Row],[UID]]</f>
        <v>0</v>
      </c>
      <c r="CK193" s="18" t="str">
        <f>IF(TU[[#This Row],[Status]]=0,"",TU[[#This Row],[Status]])</f>
        <v/>
      </c>
    </row>
    <row r="194" spans="4:89">
      <c r="D194" s="28"/>
      <c r="G194" s="53"/>
      <c r="J194" s="53"/>
      <c r="K194" s="53"/>
      <c r="L194" s="53"/>
      <c r="O194" s="18"/>
      <c r="CA194" s="1" t="s">
        <v>71</v>
      </c>
      <c r="CB194" s="1" t="s">
        <v>18</v>
      </c>
      <c r="CC194" s="1" t="s">
        <v>308</v>
      </c>
      <c r="CE194" s="28">
        <f>TU[[#This Row],[Part Type]]</f>
        <v>0</v>
      </c>
      <c r="CF194" s="28">
        <f>TU[[#This Row],[Part Nr.]]</f>
        <v>0</v>
      </c>
      <c r="CG194" s="28">
        <f>TU[[#This Row],[UID]]</f>
        <v>0</v>
      </c>
      <c r="CK194" s="18" t="str">
        <f>IF(TU[[#This Row],[Status]]=0,"",TU[[#This Row],[Status]])</f>
        <v/>
      </c>
    </row>
    <row r="195" spans="4:89">
      <c r="D195" s="28"/>
      <c r="G195" s="53"/>
      <c r="J195" s="53"/>
      <c r="K195" s="53"/>
      <c r="L195" s="53"/>
      <c r="O195" s="18"/>
      <c r="CA195" s="1" t="s">
        <v>71</v>
      </c>
      <c r="CB195" s="1" t="s">
        <v>18</v>
      </c>
      <c r="CC195" s="1" t="s">
        <v>308</v>
      </c>
      <c r="CE195" s="28">
        <f>TU[[#This Row],[Part Type]]</f>
        <v>0</v>
      </c>
      <c r="CF195" s="28">
        <f>TU[[#This Row],[Part Nr.]]</f>
        <v>0</v>
      </c>
      <c r="CG195" s="28">
        <f>TU[[#This Row],[UID]]</f>
        <v>0</v>
      </c>
      <c r="CK195" s="18" t="str">
        <f>IF(TU[[#This Row],[Status]]=0,"",TU[[#This Row],[Status]])</f>
        <v/>
      </c>
    </row>
    <row r="196" spans="4:89">
      <c r="D196" s="28"/>
      <c r="G196" s="53"/>
      <c r="J196" s="53"/>
      <c r="K196" s="53"/>
      <c r="L196" s="53"/>
      <c r="O196" s="18"/>
      <c r="CA196" s="1" t="s">
        <v>71</v>
      </c>
      <c r="CB196" s="1" t="s">
        <v>18</v>
      </c>
      <c r="CC196" s="1" t="s">
        <v>308</v>
      </c>
      <c r="CE196" s="28">
        <f>TU[[#This Row],[Part Type]]</f>
        <v>0</v>
      </c>
      <c r="CF196" s="28">
        <f>TU[[#This Row],[Part Nr.]]</f>
        <v>0</v>
      </c>
      <c r="CG196" s="28">
        <f>TU[[#This Row],[UID]]</f>
        <v>0</v>
      </c>
      <c r="CK196" s="18" t="str">
        <f>IF(TU[[#This Row],[Status]]=0,"",TU[[#This Row],[Status]])</f>
        <v/>
      </c>
    </row>
    <row r="197" spans="4:89">
      <c r="D197" s="28"/>
      <c r="G197" s="53"/>
      <c r="J197" s="53"/>
      <c r="K197" s="53"/>
      <c r="L197" s="53"/>
      <c r="O197" s="18"/>
      <c r="CA197" s="1" t="s">
        <v>71</v>
      </c>
      <c r="CB197" s="1" t="s">
        <v>18</v>
      </c>
      <c r="CC197" s="1" t="s">
        <v>308</v>
      </c>
      <c r="CE197" s="28">
        <f>TU[[#This Row],[Part Type]]</f>
        <v>0</v>
      </c>
      <c r="CF197" s="28">
        <f>TU[[#This Row],[Part Nr.]]</f>
        <v>0</v>
      </c>
      <c r="CG197" s="28">
        <f>TU[[#This Row],[UID]]</f>
        <v>0</v>
      </c>
      <c r="CK197" s="18" t="str">
        <f>IF(TU[[#This Row],[Status]]=0,"",TU[[#This Row],[Status]])</f>
        <v/>
      </c>
    </row>
    <row r="198" spans="4:89">
      <c r="D198" s="28"/>
      <c r="G198" s="53"/>
      <c r="J198" s="53"/>
      <c r="K198" s="53"/>
      <c r="L198" s="53"/>
      <c r="O198" s="18"/>
      <c r="CA198" s="1" t="s">
        <v>71</v>
      </c>
      <c r="CB198" s="1" t="s">
        <v>18</v>
      </c>
      <c r="CC198" s="1" t="s">
        <v>308</v>
      </c>
      <c r="CE198" s="28">
        <f>TU[[#This Row],[Part Type]]</f>
        <v>0</v>
      </c>
      <c r="CF198" s="28">
        <f>TU[[#This Row],[Part Nr.]]</f>
        <v>0</v>
      </c>
      <c r="CG198" s="28">
        <f>TU[[#This Row],[UID]]</f>
        <v>0</v>
      </c>
      <c r="CK198" s="18" t="str">
        <f>IF(TU[[#This Row],[Status]]=0,"",TU[[#This Row],[Status]])</f>
        <v/>
      </c>
    </row>
    <row r="199" spans="4:89">
      <c r="D199" s="28"/>
      <c r="G199" s="53"/>
      <c r="J199" s="53"/>
      <c r="K199" s="53"/>
      <c r="L199" s="53"/>
      <c r="O199" s="18"/>
      <c r="CA199" s="1" t="s">
        <v>71</v>
      </c>
      <c r="CB199" s="1" t="s">
        <v>18</v>
      </c>
      <c r="CC199" s="1" t="s">
        <v>308</v>
      </c>
      <c r="CE199" s="28">
        <f>TU[[#This Row],[Part Type]]</f>
        <v>0</v>
      </c>
      <c r="CF199" s="28">
        <f>TU[[#This Row],[Part Nr.]]</f>
        <v>0</v>
      </c>
      <c r="CG199" s="28">
        <f>TU[[#This Row],[UID]]</f>
        <v>0</v>
      </c>
      <c r="CK199" s="18" t="str">
        <f>IF(TU[[#This Row],[Status]]=0,"",TU[[#This Row],[Status]])</f>
        <v/>
      </c>
    </row>
    <row r="200" spans="4:89">
      <c r="D200" s="28"/>
      <c r="G200" s="53"/>
      <c r="J200" s="53"/>
      <c r="K200" s="53"/>
      <c r="L200" s="53"/>
      <c r="O200" s="18"/>
      <c r="CA200" s="1" t="s">
        <v>71</v>
      </c>
      <c r="CB200" s="1" t="s">
        <v>18</v>
      </c>
      <c r="CC200" s="1" t="s">
        <v>308</v>
      </c>
      <c r="CE200" s="28">
        <f>TU[[#This Row],[Part Type]]</f>
        <v>0</v>
      </c>
      <c r="CF200" s="28">
        <f>TU[[#This Row],[Part Nr.]]</f>
        <v>0</v>
      </c>
      <c r="CG200" s="28">
        <f>TU[[#This Row],[UID]]</f>
        <v>0</v>
      </c>
      <c r="CK200" s="18" t="str">
        <f>IF(TU[[#This Row],[Status]]=0,"",TU[[#This Row],[Status]])</f>
        <v/>
      </c>
    </row>
    <row r="201" spans="4:89">
      <c r="D201" s="28"/>
      <c r="G201" s="53"/>
      <c r="J201" s="53"/>
      <c r="K201" s="53"/>
      <c r="L201" s="53"/>
      <c r="O201" s="18"/>
      <c r="CA201" s="1" t="s">
        <v>71</v>
      </c>
      <c r="CB201" s="1" t="s">
        <v>18</v>
      </c>
      <c r="CC201" s="1" t="s">
        <v>308</v>
      </c>
      <c r="CE201" s="28">
        <f>TU[[#This Row],[Part Type]]</f>
        <v>0</v>
      </c>
      <c r="CF201" s="28">
        <f>TU[[#This Row],[Part Nr.]]</f>
        <v>0</v>
      </c>
      <c r="CG201" s="28">
        <f>TU[[#This Row],[UID]]</f>
        <v>0</v>
      </c>
      <c r="CK201" s="18" t="str">
        <f>IF(TU[[#This Row],[Status]]=0,"",TU[[#This Row],[Status]])</f>
        <v/>
      </c>
    </row>
  </sheetData>
  <hyperlinks>
    <hyperlink ref="R57:R72" r:id="rId1" display="https://www.highpressure.com/pdfs/section/UltraHighPressure.pdf " xr:uid="{5F189323-CD8C-3C46-A988-8C6FC14BB06C}"/>
  </hyperlinks>
  <pageMargins left="0.7" right="0.7" top="0.75" bottom="0.75" header="0.3" footer="0.3"/>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2CDB-8649-B740-9AF4-AEFFE5450DB7}">
  <sheetPr codeName="Sheet7"/>
  <dimension ref="A1:CN51"/>
  <sheetViews>
    <sheetView workbookViewId="0">
      <selection activeCell="C1" sqref="C1"/>
    </sheetView>
  </sheetViews>
  <sheetFormatPr defaultColWidth="11" defaultRowHeight="15.95"/>
  <cols>
    <col min="1" max="1" width="10.5" style="11" bestFit="1" customWidth="1"/>
    <col min="2" max="3" width="10.5" style="11" customWidth="1"/>
    <col min="4" max="4" width="12.875" style="11" bestFit="1" customWidth="1"/>
    <col min="5" max="5" width="17.625" style="11" bestFit="1" customWidth="1"/>
    <col min="6" max="9" width="17.625" style="11" customWidth="1"/>
    <col min="10" max="10" width="14.125" style="11" bestFit="1" customWidth="1"/>
    <col min="11" max="11" width="12" style="11" bestFit="1" customWidth="1"/>
    <col min="12" max="12" width="15.375" style="11" customWidth="1"/>
    <col min="13" max="13" width="107.375" bestFit="1" customWidth="1"/>
    <col min="82" max="82" width="15.5" customWidth="1"/>
    <col min="83" max="83" width="19.125" customWidth="1"/>
    <col min="84" max="84" width="20.375" customWidth="1"/>
    <col min="87" max="87" width="13.625" customWidth="1"/>
    <col min="88" max="88" width="12.625" customWidth="1"/>
    <col min="89" max="89" width="16.5" customWidth="1"/>
    <col min="91" max="91" width="14.625" customWidth="1"/>
  </cols>
  <sheetData>
    <row r="1" spans="1:92">
      <c r="A1" s="33" t="s">
        <v>12</v>
      </c>
      <c r="B1" s="33" t="s">
        <v>95</v>
      </c>
      <c r="C1" s="184" t="s">
        <v>94</v>
      </c>
      <c r="D1" s="33" t="s">
        <v>1417</v>
      </c>
      <c r="E1" s="33" t="s">
        <v>1491</v>
      </c>
      <c r="F1" s="33" t="s">
        <v>1315</v>
      </c>
      <c r="G1" s="33" t="s">
        <v>1492</v>
      </c>
      <c r="H1" s="33" t="s">
        <v>1493</v>
      </c>
      <c r="I1" s="33" t="s">
        <v>1494</v>
      </c>
      <c r="J1" s="33" t="s">
        <v>760</v>
      </c>
      <c r="K1" s="34" t="s">
        <v>401</v>
      </c>
      <c r="L1" s="33" t="s">
        <v>236</v>
      </c>
      <c r="M1" s="33" t="s">
        <v>342</v>
      </c>
      <c r="CC1" t="s">
        <v>119</v>
      </c>
      <c r="CD1" s="117" t="s">
        <v>2</v>
      </c>
      <c r="CE1" s="118" t="s">
        <v>3</v>
      </c>
      <c r="CF1" s="118" t="s">
        <v>4</v>
      </c>
      <c r="CG1" s="118" t="s">
        <v>5</v>
      </c>
      <c r="CH1" s="118" t="s">
        <v>6</v>
      </c>
      <c r="CI1" s="119" t="s">
        <v>7</v>
      </c>
      <c r="CJ1" s="118" t="s">
        <v>8</v>
      </c>
      <c r="CK1" s="118" t="s">
        <v>9</v>
      </c>
      <c r="CL1" s="118" t="s">
        <v>10</v>
      </c>
      <c r="CM1" s="118" t="s">
        <v>11</v>
      </c>
      <c r="CN1" s="120" t="s">
        <v>12</v>
      </c>
    </row>
    <row r="2" spans="1:92">
      <c r="A2" s="11" t="s">
        <v>120</v>
      </c>
      <c r="B2" s="11" t="s">
        <v>55</v>
      </c>
      <c r="C2" s="11" t="s">
        <v>1495</v>
      </c>
      <c r="D2" s="11" t="s">
        <v>122</v>
      </c>
      <c r="E2" s="11" t="s">
        <v>124</v>
      </c>
      <c r="F2" s="11" t="str">
        <f>TW[[#This Row],[Autoclave]]&amp;"-"&amp;TW[[#This Row],[Washer Material]]</f>
        <v>Old 1"-Rene 41</v>
      </c>
      <c r="G2" s="11">
        <v>1.7</v>
      </c>
      <c r="H2" s="11">
        <v>0.4</v>
      </c>
      <c r="I2" s="11">
        <v>0.39</v>
      </c>
      <c r="J2" s="12">
        <v>39083</v>
      </c>
      <c r="K2" s="11">
        <v>17</v>
      </c>
      <c r="L2" s="16" t="s">
        <v>129</v>
      </c>
      <c r="M2" s="65" t="s">
        <v>1496</v>
      </c>
      <c r="CC2" t="s">
        <v>131</v>
      </c>
      <c r="CD2" s="1" t="s">
        <v>71</v>
      </c>
      <c r="CE2" s="1" t="s">
        <v>18</v>
      </c>
      <c r="CF2" s="1" t="s">
        <v>308</v>
      </c>
      <c r="CG2" s="1"/>
      <c r="CH2" s="135" t="str">
        <f>TW[[#This Row],[Part Type]]</f>
        <v>Thrust Washer</v>
      </c>
      <c r="CI2" s="135" t="e">
        <f>#REF!</f>
        <v>#REF!</v>
      </c>
      <c r="CJ2" s="135" t="str">
        <f>TW[[#This Row],[UID]]</f>
        <v>TW-1</v>
      </c>
      <c r="CK2" s="1"/>
      <c r="CL2" s="1"/>
      <c r="CM2" s="1"/>
      <c r="CN2" s="1" t="str">
        <f>IF(TW[[#This Row],[Status]]=0,"",TW[[#This Row],[Status]])</f>
        <v>Active</v>
      </c>
    </row>
    <row r="3" spans="1:92">
      <c r="A3" s="11" t="s">
        <v>120</v>
      </c>
      <c r="B3" s="11" t="s">
        <v>55</v>
      </c>
      <c r="C3" s="11" t="s">
        <v>1497</v>
      </c>
      <c r="D3" s="11" t="s">
        <v>122</v>
      </c>
      <c r="E3" s="11" t="s">
        <v>164</v>
      </c>
      <c r="F3" s="11" t="str">
        <f>TW[[#This Row],[Autoclave]]&amp;"-"&amp;TW[[#This Row],[Washer Material]]</f>
        <v>Old 1"-Inconel 625</v>
      </c>
      <c r="G3" s="11">
        <v>1.7</v>
      </c>
      <c r="H3" s="11">
        <v>0.4</v>
      </c>
      <c r="I3" s="11">
        <v>0.39</v>
      </c>
      <c r="J3" s="12">
        <v>39083</v>
      </c>
      <c r="K3" s="11">
        <v>6</v>
      </c>
      <c r="L3" s="16" t="s">
        <v>129</v>
      </c>
      <c r="M3" s="65" t="s">
        <v>1496</v>
      </c>
      <c r="CD3" s="1" t="s">
        <v>71</v>
      </c>
      <c r="CE3" s="1" t="s">
        <v>18</v>
      </c>
      <c r="CF3" s="1" t="s">
        <v>308</v>
      </c>
      <c r="CH3" s="52" t="str">
        <f>TW[[#This Row],[Part Type]]</f>
        <v>Thrust Washer</v>
      </c>
      <c r="CI3" s="29" t="e">
        <f>#REF!</f>
        <v>#REF!</v>
      </c>
      <c r="CJ3" s="52" t="str">
        <f>TW[[#This Row],[UID]]</f>
        <v>TW-2</v>
      </c>
      <c r="CN3" t="str">
        <f>IF(TW[[#This Row],[Status]]=0,"",TW[[#This Row],[Status]])</f>
        <v>Active</v>
      </c>
    </row>
    <row r="4" spans="1:92">
      <c r="A4" s="11" t="s">
        <v>120</v>
      </c>
      <c r="B4" s="11" t="s">
        <v>55</v>
      </c>
      <c r="C4" s="11" t="s">
        <v>1498</v>
      </c>
      <c r="D4" s="11" t="s">
        <v>182</v>
      </c>
      <c r="E4" s="11" t="s">
        <v>124</v>
      </c>
      <c r="F4" s="11" t="str">
        <f>TW[[#This Row],[Autoclave]]&amp;"-"&amp;TW[[#This Row],[Washer Material]]</f>
        <v>New 1"-Rene 41</v>
      </c>
      <c r="G4" s="11">
        <v>2.1</v>
      </c>
      <c r="H4" s="11">
        <v>0.4</v>
      </c>
      <c r="I4" s="11">
        <v>0.25</v>
      </c>
      <c r="J4" s="12">
        <v>39876</v>
      </c>
      <c r="K4" s="11">
        <v>10</v>
      </c>
      <c r="L4" s="16" t="s">
        <v>129</v>
      </c>
      <c r="M4" s="65" t="s">
        <v>1499</v>
      </c>
      <c r="CD4" s="1" t="s">
        <v>71</v>
      </c>
      <c r="CE4" s="1" t="s">
        <v>18</v>
      </c>
      <c r="CF4" s="1" t="s">
        <v>308</v>
      </c>
      <c r="CH4" s="52" t="str">
        <f>TW[[#This Row],[Part Type]]</f>
        <v>Thrust Washer</v>
      </c>
      <c r="CI4" s="29" t="e">
        <f>#REF!</f>
        <v>#REF!</v>
      </c>
      <c r="CJ4" s="52" t="str">
        <f>TW[[#This Row],[UID]]</f>
        <v>TW-3</v>
      </c>
      <c r="CN4" t="str">
        <f>IF(TW[[#This Row],[Status]]=0,"",TW[[#This Row],[Status]])</f>
        <v>Active</v>
      </c>
    </row>
    <row r="5" spans="1:92">
      <c r="A5" s="11" t="s">
        <v>140</v>
      </c>
      <c r="B5" s="11" t="s">
        <v>55</v>
      </c>
      <c r="C5" s="11" t="s">
        <v>1500</v>
      </c>
      <c r="D5" s="11" t="s">
        <v>873</v>
      </c>
      <c r="E5" s="11" t="s">
        <v>136</v>
      </c>
      <c r="F5" s="11" t="str">
        <f>TW[[#This Row],[Autoclave]]&amp;"-"&amp;TW[[#This Row],[Washer Material]]</f>
        <v>TZM 3"-TZM</v>
      </c>
      <c r="J5" s="14">
        <v>44896</v>
      </c>
      <c r="K5" s="11">
        <v>0</v>
      </c>
      <c r="L5" s="11" t="s">
        <v>1501</v>
      </c>
      <c r="M5" s="11" t="s">
        <v>129</v>
      </c>
      <c r="CD5" s="1" t="s">
        <v>71</v>
      </c>
      <c r="CE5" s="1" t="s">
        <v>18</v>
      </c>
      <c r="CF5" s="1" t="s">
        <v>308</v>
      </c>
      <c r="CH5" s="52" t="str">
        <f>TW[[#This Row],[Part Type]]</f>
        <v>Thrust Washer</v>
      </c>
      <c r="CI5" s="29" t="e">
        <f>#REF!</f>
        <v>#REF!</v>
      </c>
      <c r="CJ5" s="52" t="str">
        <f>TW[[#This Row],[UID]]</f>
        <v>TW-4</v>
      </c>
      <c r="CN5" t="str">
        <f>IF(TW[[#This Row],[Status]]=0,"",TW[[#This Row],[Status]])</f>
        <v>New</v>
      </c>
    </row>
    <row r="6" spans="1:92">
      <c r="A6" s="11" t="s">
        <v>140</v>
      </c>
      <c r="B6" s="11" t="s">
        <v>55</v>
      </c>
      <c r="C6" s="11" t="s">
        <v>1502</v>
      </c>
      <c r="D6" s="11" t="s">
        <v>873</v>
      </c>
      <c r="E6" s="11" t="s">
        <v>294</v>
      </c>
      <c r="F6" s="11" t="str">
        <f>TW[[#This Row],[Autoclave]]&amp;"-"&amp;TW[[#This Row],[Washer Material]]</f>
        <v>TZM 3"-Inconel 718</v>
      </c>
      <c r="J6" s="14">
        <v>45063</v>
      </c>
      <c r="K6" s="11">
        <v>0</v>
      </c>
      <c r="L6" s="11" t="s">
        <v>1503</v>
      </c>
      <c r="M6" s="11">
        <v>5</v>
      </c>
      <c r="CD6" s="1" t="s">
        <v>71</v>
      </c>
      <c r="CE6" s="1" t="s">
        <v>18</v>
      </c>
      <c r="CF6" s="1" t="s">
        <v>308</v>
      </c>
      <c r="CH6" s="52" t="str">
        <f>TW[[#This Row],[Part Type]]</f>
        <v>Thrust Washer</v>
      </c>
      <c r="CI6" s="29" t="e">
        <f>#REF!</f>
        <v>#REF!</v>
      </c>
      <c r="CJ6" s="52" t="str">
        <f>TW[[#This Row],[UID]]</f>
        <v>TW-5</v>
      </c>
      <c r="CN6" t="str">
        <f>IF(TW[[#This Row],[Status]]=0,"",TW[[#This Row],[Status]])</f>
        <v>New</v>
      </c>
    </row>
    <row r="7" spans="1:92">
      <c r="A7" s="11" t="s">
        <v>120</v>
      </c>
      <c r="B7" s="11" t="s">
        <v>55</v>
      </c>
      <c r="C7" s="11" t="s">
        <v>1504</v>
      </c>
      <c r="D7" s="11" t="s">
        <v>182</v>
      </c>
      <c r="E7" s="11" t="s">
        <v>1505</v>
      </c>
      <c r="F7" s="11" t="str">
        <f>TW[[#This Row],[Autoclave]]&amp;"-"&amp;TW[[#This Row],[Washer Material]]</f>
        <v>New 1"-Stainless Steel</v>
      </c>
      <c r="G7" s="11">
        <v>2.1</v>
      </c>
      <c r="H7" s="11">
        <v>0.4</v>
      </c>
      <c r="I7" s="11">
        <v>0.31</v>
      </c>
      <c r="J7" s="14">
        <v>45108</v>
      </c>
      <c r="K7" s="11">
        <v>6</v>
      </c>
      <c r="L7" s="11" t="s">
        <v>1506</v>
      </c>
      <c r="M7" s="11"/>
      <c r="CC7" s="18"/>
      <c r="CD7" s="1" t="s">
        <v>71</v>
      </c>
      <c r="CE7" s="1" t="s">
        <v>18</v>
      </c>
      <c r="CF7" s="1" t="s">
        <v>308</v>
      </c>
      <c r="CG7" s="18"/>
      <c r="CH7" s="36" t="str">
        <f>TW[[#This Row],[Part Type]]</f>
        <v>Thrust Washer</v>
      </c>
      <c r="CI7" s="28" t="e">
        <f>#REF!</f>
        <v>#REF!</v>
      </c>
      <c r="CJ7" s="36" t="str">
        <f>TW[[#This Row],[UID]]</f>
        <v>TW-6</v>
      </c>
      <c r="CK7" s="18"/>
      <c r="CL7" s="18"/>
      <c r="CM7" s="18"/>
      <c r="CN7" s="18" t="str">
        <f>IF(TW[[#This Row],[Status]]=0,"",TW[[#This Row],[Status]])</f>
        <v>Active</v>
      </c>
    </row>
    <row r="8" spans="1:92">
      <c r="A8" s="11" t="s">
        <v>120</v>
      </c>
      <c r="B8" s="11" t="s">
        <v>55</v>
      </c>
      <c r="C8" s="11" t="s">
        <v>1507</v>
      </c>
      <c r="D8" s="11" t="s">
        <v>182</v>
      </c>
      <c r="E8" s="11" t="s">
        <v>294</v>
      </c>
      <c r="F8" s="11" t="str">
        <f>TW[[#This Row],[Autoclave]]&amp;"-"&amp;TW[[#This Row],[Washer Material]]</f>
        <v>New 1"-Inconel 718</v>
      </c>
      <c r="G8" s="11">
        <v>2.1</v>
      </c>
      <c r="H8" s="11">
        <v>0.4</v>
      </c>
      <c r="I8" s="11">
        <v>6.25E-2</v>
      </c>
      <c r="J8" s="14">
        <v>45139</v>
      </c>
      <c r="K8" s="11">
        <v>6</v>
      </c>
      <c r="L8" s="11" t="s">
        <v>1508</v>
      </c>
      <c r="M8" s="11"/>
      <c r="CC8" s="18"/>
      <c r="CD8" s="1" t="s">
        <v>71</v>
      </c>
      <c r="CE8" s="1" t="s">
        <v>18</v>
      </c>
      <c r="CF8" s="1" t="s">
        <v>308</v>
      </c>
      <c r="CG8" s="18"/>
      <c r="CH8" s="36" t="str">
        <f>TW[[#This Row],[Part Type]]</f>
        <v>Thrust Washer</v>
      </c>
      <c r="CI8" s="28" t="e">
        <f>#REF!</f>
        <v>#REF!</v>
      </c>
      <c r="CJ8" s="36" t="str">
        <f>TW[[#This Row],[UID]]</f>
        <v>TW-7</v>
      </c>
      <c r="CK8" s="18"/>
      <c r="CL8" s="18"/>
      <c r="CM8" s="18"/>
      <c r="CN8" s="18" t="str">
        <f>IF(TW[[#This Row],[Status]]=0,"",TW[[#This Row],[Status]])</f>
        <v>Active</v>
      </c>
    </row>
    <row r="9" spans="1:92">
      <c r="A9" s="11" t="s">
        <v>140</v>
      </c>
      <c r="B9" s="11" t="s">
        <v>55</v>
      </c>
      <c r="C9" s="11" t="s">
        <v>1509</v>
      </c>
      <c r="D9" s="11" t="s">
        <v>873</v>
      </c>
      <c r="E9" s="11" t="s">
        <v>294</v>
      </c>
      <c r="F9" s="11" t="str">
        <f>TW[[#This Row],[Autoclave]]&amp;"-"&amp;TW[[#This Row],[Washer Material]]</f>
        <v>TZM 3"-Inconel 718</v>
      </c>
      <c r="J9" s="14">
        <v>45063</v>
      </c>
      <c r="L9" s="11" t="s">
        <v>1510</v>
      </c>
      <c r="M9" s="11"/>
      <c r="CC9" s="18"/>
      <c r="CD9" s="1" t="s">
        <v>71</v>
      </c>
      <c r="CE9" s="1" t="s">
        <v>18</v>
      </c>
      <c r="CF9" s="1" t="s">
        <v>308</v>
      </c>
      <c r="CG9" s="18"/>
      <c r="CH9" s="36" t="str">
        <f>TW[[#This Row],[Part Type]]</f>
        <v>Thrust Washer</v>
      </c>
      <c r="CI9" s="28" t="e">
        <f>#REF!</f>
        <v>#REF!</v>
      </c>
      <c r="CJ9" s="36" t="str">
        <f>TW[[#This Row],[UID]]</f>
        <v>TW-8</v>
      </c>
      <c r="CK9" s="18"/>
      <c r="CL9" s="18"/>
      <c r="CM9" s="18"/>
      <c r="CN9" s="18" t="str">
        <f>IF(TW[[#This Row],[Status]]=0,"",TW[[#This Row],[Status]])</f>
        <v>New</v>
      </c>
    </row>
    <row r="10" spans="1:92">
      <c r="A10" s="11" t="s">
        <v>140</v>
      </c>
      <c r="B10" s="11" t="s">
        <v>55</v>
      </c>
      <c r="C10" s="11" t="s">
        <v>1511</v>
      </c>
      <c r="D10" s="11" t="s">
        <v>873</v>
      </c>
      <c r="E10" s="11" t="s">
        <v>136</v>
      </c>
      <c r="F10" s="11" t="str">
        <f>TW[[#This Row],[Autoclave]]&amp;"-"&amp;TW[[#This Row],[Washer Material]]</f>
        <v>TZM 3"-TZM</v>
      </c>
      <c r="J10" s="14">
        <v>45063</v>
      </c>
      <c r="L10" s="11" t="s">
        <v>1512</v>
      </c>
      <c r="M10" s="11"/>
      <c r="CC10" s="18"/>
      <c r="CD10" s="1" t="s">
        <v>71</v>
      </c>
      <c r="CE10" s="1" t="s">
        <v>18</v>
      </c>
      <c r="CF10" s="1" t="s">
        <v>308</v>
      </c>
      <c r="CG10" s="18"/>
      <c r="CH10" s="36" t="str">
        <f>TW[[#This Row],[Part Type]]</f>
        <v>Thrust Washer</v>
      </c>
      <c r="CI10" s="28" t="e">
        <f>#REF!</f>
        <v>#REF!</v>
      </c>
      <c r="CJ10" s="36" t="str">
        <f>TW[[#This Row],[UID]]</f>
        <v>TW-9</v>
      </c>
      <c r="CK10" s="18"/>
      <c r="CL10" s="18"/>
      <c r="CM10" s="18"/>
      <c r="CN10" s="18" t="str">
        <f>IF(TW[[#This Row],[Status]]=0,"",TW[[#This Row],[Status]])</f>
        <v>New</v>
      </c>
    </row>
    <row r="11" spans="1:92" ht="33.950000000000003">
      <c r="A11" s="11" t="s">
        <v>140</v>
      </c>
      <c r="B11" s="11" t="s">
        <v>55</v>
      </c>
      <c r="C11" s="11" t="s">
        <v>1513</v>
      </c>
      <c r="D11" s="11" t="s">
        <v>873</v>
      </c>
      <c r="E11" s="11" t="s">
        <v>136</v>
      </c>
      <c r="F11" s="11" t="str">
        <f>TW[[#This Row],[Autoclave]]&amp;"-"&amp;TW[[#This Row],[Washer Material]]</f>
        <v>TZM 3"-TZM</v>
      </c>
      <c r="J11" s="14">
        <v>45122</v>
      </c>
      <c r="L11" s="11" t="s">
        <v>1514</v>
      </c>
      <c r="M11" s="11"/>
      <c r="CC11" s="57"/>
      <c r="CD11" s="1" t="s">
        <v>71</v>
      </c>
      <c r="CE11" s="1" t="s">
        <v>18</v>
      </c>
      <c r="CF11" s="1" t="s">
        <v>308</v>
      </c>
      <c r="CG11" s="57"/>
      <c r="CH11" s="138" t="str">
        <f>TW[[#This Row],[Part Type]]</f>
        <v>Thrust Washer</v>
      </c>
      <c r="CI11" s="138" t="e">
        <f>#REF!</f>
        <v>#REF!</v>
      </c>
      <c r="CJ11" s="140" t="str">
        <f>TW[[#This Row],[UID]]</f>
        <v>TW-10</v>
      </c>
      <c r="CK11" s="57"/>
      <c r="CL11" s="57"/>
      <c r="CM11" s="57"/>
      <c r="CN11" s="57" t="str">
        <f>IF(TW[[#This Row],[Status]]=0,"",TW[[#This Row],[Status]])</f>
        <v>New</v>
      </c>
    </row>
    <row r="12" spans="1:92">
      <c r="A12" s="11" t="s">
        <v>140</v>
      </c>
      <c r="B12" s="11" t="s">
        <v>55</v>
      </c>
      <c r="C12" s="11" t="s">
        <v>1515</v>
      </c>
      <c r="D12" s="11" t="s">
        <v>873</v>
      </c>
      <c r="E12" s="11" t="s">
        <v>136</v>
      </c>
      <c r="F12" s="11" t="str">
        <f>TW[[#This Row],[Autoclave]]&amp;"-"&amp;TW[[#This Row],[Washer Material]]</f>
        <v>TZM 3"-TZM</v>
      </c>
      <c r="J12" s="14">
        <v>45122</v>
      </c>
      <c r="L12" s="11" t="s">
        <v>1516</v>
      </c>
      <c r="M12" s="11"/>
      <c r="CD12" s="1" t="s">
        <v>71</v>
      </c>
      <c r="CE12" s="1" t="s">
        <v>18</v>
      </c>
      <c r="CF12" s="1" t="s">
        <v>308</v>
      </c>
      <c r="CH12" s="29" t="str">
        <f>TW[[#This Row],[Part Type]]</f>
        <v>Thrust Washer</v>
      </c>
      <c r="CI12" s="29" t="e">
        <f>#REF!</f>
        <v>#REF!</v>
      </c>
      <c r="CJ12" s="29" t="str">
        <f>TW[[#This Row],[UID]]</f>
        <v>TW-11</v>
      </c>
      <c r="CN12" t="str">
        <f>IF(TW[[#This Row],[Status]]=0,"",TW[[#This Row],[Status]])</f>
        <v>New</v>
      </c>
    </row>
    <row r="13" spans="1:92">
      <c r="A13" s="11" t="s">
        <v>140</v>
      </c>
      <c r="B13" s="11" t="s">
        <v>55</v>
      </c>
      <c r="C13" s="11" t="s">
        <v>1517</v>
      </c>
      <c r="D13" s="11" t="s">
        <v>873</v>
      </c>
      <c r="E13" s="11" t="s">
        <v>136</v>
      </c>
      <c r="F13" s="11" t="str">
        <f>TW[[#This Row],[Autoclave]]&amp;"-"&amp;TW[[#This Row],[Washer Material]]</f>
        <v>TZM 3"-TZM</v>
      </c>
      <c r="J13" s="14">
        <v>45188</v>
      </c>
      <c r="L13" s="11" t="s">
        <v>1518</v>
      </c>
      <c r="M13" s="11"/>
      <c r="CD13" s="1" t="s">
        <v>71</v>
      </c>
      <c r="CE13" s="1" t="s">
        <v>18</v>
      </c>
      <c r="CF13" s="1" t="s">
        <v>308</v>
      </c>
      <c r="CH13" s="29" t="str">
        <f>TW[[#This Row],[Part Type]]</f>
        <v>Thrust Washer</v>
      </c>
      <c r="CI13" s="29" t="e">
        <f>#REF!</f>
        <v>#REF!</v>
      </c>
      <c r="CJ13" s="29" t="str">
        <f>TW[[#This Row],[UID]]</f>
        <v>TW-12</v>
      </c>
      <c r="CN13" t="str">
        <f>IF(TW[[#This Row],[Status]]=0,"",TW[[#This Row],[Status]])</f>
        <v>New</v>
      </c>
    </row>
    <row r="14" spans="1:92">
      <c r="A14" s="11" t="s">
        <v>140</v>
      </c>
      <c r="B14" s="11" t="s">
        <v>55</v>
      </c>
      <c r="C14" s="11" t="s">
        <v>1519</v>
      </c>
      <c r="D14" s="11" t="s">
        <v>878</v>
      </c>
      <c r="E14" s="11" t="s">
        <v>136</v>
      </c>
      <c r="F14" s="11" t="str">
        <f>TW[[#This Row],[Autoclave]]&amp;"-"&amp;TW[[#This Row],[Washer Material]]</f>
        <v>TZM 3.5"-TZM</v>
      </c>
      <c r="G14" s="11">
        <v>3.46</v>
      </c>
      <c r="H14" s="11">
        <v>0.87</v>
      </c>
      <c r="I14" s="11">
        <v>0.04</v>
      </c>
      <c r="J14" s="14">
        <v>45679</v>
      </c>
      <c r="M14" s="11"/>
      <c r="CD14" s="1" t="s">
        <v>71</v>
      </c>
      <c r="CE14" s="1" t="s">
        <v>18</v>
      </c>
      <c r="CF14" s="1" t="s">
        <v>308</v>
      </c>
      <c r="CH14" s="29" t="str">
        <f>TW[[#This Row],[Part Type]]</f>
        <v>Thrust Washer</v>
      </c>
      <c r="CI14" s="29" t="e">
        <f>#REF!</f>
        <v>#REF!</v>
      </c>
      <c r="CJ14" s="29" t="str">
        <f>TW[[#This Row],[UID]]</f>
        <v>TW-13</v>
      </c>
      <c r="CN14" t="str">
        <f>IF(TW[[#This Row],[Status]]=0,"",TW[[#This Row],[Status]])</f>
        <v>New</v>
      </c>
    </row>
    <row r="15" spans="1:92">
      <c r="A15" s="11" t="s">
        <v>140</v>
      </c>
      <c r="B15" s="11" t="s">
        <v>55</v>
      </c>
      <c r="C15" s="11" t="s">
        <v>1520</v>
      </c>
      <c r="D15" s="11" t="s">
        <v>878</v>
      </c>
      <c r="E15" s="11" t="s">
        <v>294</v>
      </c>
      <c r="F15" s="11" t="str">
        <f>TW[[#This Row],[Autoclave]]&amp;"-"&amp;TW[[#This Row],[Washer Material]]</f>
        <v>TZM 3.5"-Inconel 718</v>
      </c>
      <c r="G15" s="11">
        <v>3.46</v>
      </c>
      <c r="H15" s="11">
        <v>0.87</v>
      </c>
      <c r="I15" s="11">
        <v>4.7E-2</v>
      </c>
      <c r="J15" s="14">
        <v>45679</v>
      </c>
      <c r="M15" s="11"/>
      <c r="CD15" s="1" t="s">
        <v>71</v>
      </c>
      <c r="CE15" s="1" t="s">
        <v>18</v>
      </c>
      <c r="CF15" s="1" t="s">
        <v>308</v>
      </c>
      <c r="CH15" s="29" t="str">
        <f>TW[[#This Row],[Part Type]]</f>
        <v>Thrust Washer</v>
      </c>
      <c r="CI15" s="29" t="e">
        <f>#REF!</f>
        <v>#REF!</v>
      </c>
      <c r="CJ15" s="29" t="str">
        <f>TW[[#This Row],[UID]]</f>
        <v>TW-14</v>
      </c>
      <c r="CN15" t="str">
        <f>IF(TW[[#This Row],[Status]]=0,"",TW[[#This Row],[Status]])</f>
        <v>New</v>
      </c>
    </row>
    <row r="16" spans="1:92">
      <c r="F16" s="11" t="str">
        <f>TW[[#This Row],[Autoclave]]&amp;"-"&amp;TW[[#This Row],[Washer Material]]</f>
        <v>-</v>
      </c>
      <c r="M16" s="11"/>
      <c r="CD16" s="1" t="s">
        <v>71</v>
      </c>
      <c r="CE16" s="1" t="s">
        <v>18</v>
      </c>
      <c r="CF16" s="1" t="s">
        <v>308</v>
      </c>
      <c r="CH16" s="29">
        <f>TW[[#This Row],[Part Type]]</f>
        <v>0</v>
      </c>
      <c r="CI16" s="29" t="e">
        <f>#REF!</f>
        <v>#REF!</v>
      </c>
      <c r="CJ16" s="29">
        <f>TW[[#This Row],[UID]]</f>
        <v>0</v>
      </c>
      <c r="CN16" t="str">
        <f>IF(TW[[#This Row],[Status]]=0,"",TW[[#This Row],[Status]])</f>
        <v/>
      </c>
    </row>
    <row r="17" spans="6:92">
      <c r="F17" s="11" t="str">
        <f>TW[[#This Row],[Autoclave]]&amp;"-"&amp;TW[[#This Row],[Washer Material]]</f>
        <v>-</v>
      </c>
      <c r="M17" s="11"/>
      <c r="CD17" s="1" t="s">
        <v>71</v>
      </c>
      <c r="CE17" s="1" t="s">
        <v>18</v>
      </c>
      <c r="CF17" s="1" t="s">
        <v>308</v>
      </c>
      <c r="CH17" s="29">
        <f>TW[[#This Row],[Part Type]]</f>
        <v>0</v>
      </c>
      <c r="CI17" s="29" t="e">
        <f>#REF!</f>
        <v>#REF!</v>
      </c>
      <c r="CJ17" s="29">
        <f>TW[[#This Row],[UID]]</f>
        <v>0</v>
      </c>
      <c r="CN17" t="str">
        <f>IF(TW[[#This Row],[Status]]=0,"",TW[[#This Row],[Status]])</f>
        <v/>
      </c>
    </row>
    <row r="18" spans="6:92">
      <c r="F18" s="11" t="str">
        <f>TW[[#This Row],[Autoclave]]&amp;"-"&amp;TW[[#This Row],[Washer Material]]</f>
        <v>-</v>
      </c>
      <c r="M18" s="11"/>
      <c r="CD18" s="1" t="s">
        <v>71</v>
      </c>
      <c r="CE18" s="1" t="s">
        <v>18</v>
      </c>
      <c r="CF18" s="1" t="s">
        <v>308</v>
      </c>
      <c r="CH18" s="29">
        <f>TW[[#This Row],[Part Type]]</f>
        <v>0</v>
      </c>
      <c r="CI18" s="29" t="e">
        <f>#REF!</f>
        <v>#REF!</v>
      </c>
      <c r="CJ18" s="29">
        <f>TW[[#This Row],[UID]]</f>
        <v>0</v>
      </c>
      <c r="CN18" t="str">
        <f>IF(TW[[#This Row],[Status]]=0,"",TW[[#This Row],[Status]])</f>
        <v/>
      </c>
    </row>
    <row r="19" spans="6:92">
      <c r="F19" s="11" t="str">
        <f>TW[[#This Row],[Autoclave]]&amp;"-"&amp;TW[[#This Row],[Washer Material]]</f>
        <v>-</v>
      </c>
      <c r="M19" s="11"/>
      <c r="CD19" s="1" t="s">
        <v>71</v>
      </c>
      <c r="CE19" s="1" t="s">
        <v>18</v>
      </c>
      <c r="CF19" s="1" t="s">
        <v>308</v>
      </c>
      <c r="CH19" s="29">
        <f>TW[[#This Row],[Part Type]]</f>
        <v>0</v>
      </c>
      <c r="CI19" s="29" t="e">
        <f>#REF!</f>
        <v>#REF!</v>
      </c>
      <c r="CJ19" s="29">
        <f>TW[[#This Row],[UID]]</f>
        <v>0</v>
      </c>
      <c r="CN19" t="str">
        <f>IF(TW[[#This Row],[Status]]=0,"",TW[[#This Row],[Status]])</f>
        <v/>
      </c>
    </row>
    <row r="20" spans="6:92">
      <c r="F20" s="11" t="str">
        <f>TW[[#This Row],[Autoclave]]&amp;"-"&amp;TW[[#This Row],[Washer Material]]</f>
        <v>-</v>
      </c>
      <c r="M20" s="11"/>
      <c r="CD20" s="1" t="s">
        <v>71</v>
      </c>
      <c r="CE20" s="1" t="s">
        <v>18</v>
      </c>
      <c r="CF20" s="1" t="s">
        <v>308</v>
      </c>
      <c r="CH20" s="29">
        <f>TW[[#This Row],[Part Type]]</f>
        <v>0</v>
      </c>
      <c r="CI20" s="29" t="e">
        <f>#REF!</f>
        <v>#REF!</v>
      </c>
      <c r="CJ20" s="29">
        <f>TW[[#This Row],[UID]]</f>
        <v>0</v>
      </c>
      <c r="CN20" t="str">
        <f>IF(TW[[#This Row],[Status]]=0,"",TW[[#This Row],[Status]])</f>
        <v/>
      </c>
    </row>
    <row r="21" spans="6:92">
      <c r="F21" s="11" t="str">
        <f>TW[[#This Row],[Autoclave]]&amp;"-"&amp;TW[[#This Row],[Washer Material]]</f>
        <v>-</v>
      </c>
      <c r="M21" s="11"/>
      <c r="CD21" s="1" t="s">
        <v>71</v>
      </c>
      <c r="CE21" s="1" t="s">
        <v>18</v>
      </c>
      <c r="CF21" s="1" t="s">
        <v>308</v>
      </c>
      <c r="CH21" s="29">
        <f>TW[[#This Row],[Part Type]]</f>
        <v>0</v>
      </c>
      <c r="CI21" s="29" t="e">
        <f>#REF!</f>
        <v>#REF!</v>
      </c>
      <c r="CJ21" s="29">
        <f>TW[[#This Row],[UID]]</f>
        <v>0</v>
      </c>
      <c r="CN21" t="str">
        <f>IF(TW[[#This Row],[Status]]=0,"",TW[[#This Row],[Status]])</f>
        <v/>
      </c>
    </row>
    <row r="22" spans="6:92">
      <c r="F22" s="11" t="str">
        <f>TW[[#This Row],[Autoclave]]&amp;"-"&amp;TW[[#This Row],[Washer Material]]</f>
        <v>-</v>
      </c>
      <c r="M22" s="11"/>
      <c r="CD22" s="1" t="s">
        <v>71</v>
      </c>
      <c r="CE22" s="1" t="s">
        <v>18</v>
      </c>
      <c r="CF22" s="1" t="s">
        <v>308</v>
      </c>
      <c r="CH22" s="29">
        <f>TW[[#This Row],[Part Type]]</f>
        <v>0</v>
      </c>
      <c r="CI22" s="29" t="e">
        <f>#REF!</f>
        <v>#REF!</v>
      </c>
      <c r="CJ22" s="29">
        <f>TW[[#This Row],[UID]]</f>
        <v>0</v>
      </c>
      <c r="CN22" t="str">
        <f>IF(TW[[#This Row],[Status]]=0,"",TW[[#This Row],[Status]])</f>
        <v/>
      </c>
    </row>
    <row r="23" spans="6:92">
      <c r="F23" s="11" t="str">
        <f>TW[[#This Row],[Autoclave]]&amp;"-"&amp;TW[[#This Row],[Washer Material]]</f>
        <v>-</v>
      </c>
      <c r="M23" s="11"/>
      <c r="CD23" s="1" t="s">
        <v>71</v>
      </c>
      <c r="CE23" s="1" t="s">
        <v>18</v>
      </c>
      <c r="CF23" s="1" t="s">
        <v>308</v>
      </c>
      <c r="CH23" s="29">
        <f>TW[[#This Row],[Part Type]]</f>
        <v>0</v>
      </c>
      <c r="CI23" s="29" t="e">
        <f>#REF!</f>
        <v>#REF!</v>
      </c>
      <c r="CJ23" s="29">
        <f>TW[[#This Row],[UID]]</f>
        <v>0</v>
      </c>
      <c r="CN23" t="str">
        <f>IF(TW[[#This Row],[Status]]=0,"",TW[[#This Row],[Status]])</f>
        <v/>
      </c>
    </row>
    <row r="24" spans="6:92">
      <c r="F24" s="11" t="str">
        <f>TW[[#This Row],[Autoclave]]&amp;"-"&amp;TW[[#This Row],[Washer Material]]</f>
        <v>-</v>
      </c>
      <c r="M24" s="11"/>
      <c r="CD24" s="1" t="s">
        <v>71</v>
      </c>
      <c r="CE24" s="1" t="s">
        <v>18</v>
      </c>
      <c r="CF24" s="1" t="s">
        <v>308</v>
      </c>
      <c r="CH24" s="29">
        <f>TW[[#This Row],[Part Type]]</f>
        <v>0</v>
      </c>
      <c r="CI24" s="29" t="e">
        <f>#REF!</f>
        <v>#REF!</v>
      </c>
      <c r="CJ24" s="29">
        <f>TW[[#This Row],[UID]]</f>
        <v>0</v>
      </c>
      <c r="CN24" t="str">
        <f>IF(TW[[#This Row],[Status]]=0,"",TW[[#This Row],[Status]])</f>
        <v/>
      </c>
    </row>
    <row r="25" spans="6:92">
      <c r="F25" s="11" t="str">
        <f>TW[[#This Row],[Autoclave]]&amp;"-"&amp;TW[[#This Row],[Washer Material]]</f>
        <v>-</v>
      </c>
      <c r="M25" s="11"/>
      <c r="CD25" s="1" t="s">
        <v>71</v>
      </c>
      <c r="CE25" s="1" t="s">
        <v>18</v>
      </c>
      <c r="CF25" s="1" t="s">
        <v>308</v>
      </c>
      <c r="CH25" s="29">
        <f>TW[[#This Row],[Part Type]]</f>
        <v>0</v>
      </c>
      <c r="CI25" s="29" t="e">
        <f>#REF!</f>
        <v>#REF!</v>
      </c>
      <c r="CJ25" s="29">
        <f>TW[[#This Row],[UID]]</f>
        <v>0</v>
      </c>
      <c r="CN25" t="str">
        <f>IF(TW[[#This Row],[Status]]=0,"",TW[[#This Row],[Status]])</f>
        <v/>
      </c>
    </row>
    <row r="26" spans="6:92">
      <c r="F26" s="11" t="str">
        <f>TW[[#This Row],[Autoclave]]&amp;"-"&amp;TW[[#This Row],[Washer Material]]</f>
        <v>-</v>
      </c>
      <c r="M26" s="11"/>
      <c r="CD26" s="1" t="s">
        <v>71</v>
      </c>
      <c r="CE26" s="1" t="s">
        <v>18</v>
      </c>
      <c r="CF26" s="1" t="s">
        <v>308</v>
      </c>
      <c r="CH26" s="29">
        <f>TW[[#This Row],[Part Type]]</f>
        <v>0</v>
      </c>
      <c r="CI26" s="29" t="e">
        <f>#REF!</f>
        <v>#REF!</v>
      </c>
      <c r="CJ26" s="29">
        <f>TW[[#This Row],[UID]]</f>
        <v>0</v>
      </c>
      <c r="CN26" t="str">
        <f>IF(TW[[#This Row],[Status]]=0,"",TW[[#This Row],[Status]])</f>
        <v/>
      </c>
    </row>
    <row r="27" spans="6:92">
      <c r="F27" s="11" t="str">
        <f>TW[[#This Row],[Autoclave]]&amp;"-"&amp;TW[[#This Row],[Washer Material]]</f>
        <v>-</v>
      </c>
      <c r="M27" s="11"/>
      <c r="CD27" s="1" t="s">
        <v>71</v>
      </c>
      <c r="CE27" s="1" t="s">
        <v>18</v>
      </c>
      <c r="CF27" s="1" t="s">
        <v>308</v>
      </c>
      <c r="CH27" s="29">
        <f>TW[[#This Row],[Part Type]]</f>
        <v>0</v>
      </c>
      <c r="CI27" s="29" t="e">
        <f>#REF!</f>
        <v>#REF!</v>
      </c>
      <c r="CJ27" s="29">
        <f>TW[[#This Row],[UID]]</f>
        <v>0</v>
      </c>
      <c r="CN27" t="str">
        <f>IF(TW[[#This Row],[Status]]=0,"",TW[[#This Row],[Status]])</f>
        <v/>
      </c>
    </row>
    <row r="28" spans="6:92">
      <c r="F28" s="11" t="str">
        <f>TW[[#This Row],[Autoclave]]&amp;"-"&amp;TW[[#This Row],[Washer Material]]</f>
        <v>-</v>
      </c>
      <c r="M28" s="11"/>
      <c r="CD28" s="1" t="s">
        <v>71</v>
      </c>
      <c r="CE28" s="1" t="s">
        <v>18</v>
      </c>
      <c r="CF28" s="1" t="s">
        <v>308</v>
      </c>
      <c r="CH28" s="29">
        <f>TW[[#This Row],[Part Type]]</f>
        <v>0</v>
      </c>
      <c r="CI28" s="29" t="e">
        <f>#REF!</f>
        <v>#REF!</v>
      </c>
      <c r="CJ28" s="29">
        <f>TW[[#This Row],[UID]]</f>
        <v>0</v>
      </c>
      <c r="CN28" t="str">
        <f>IF(TW[[#This Row],[Status]]=0,"",TW[[#This Row],[Status]])</f>
        <v/>
      </c>
    </row>
    <row r="29" spans="6:92">
      <c r="F29" s="11" t="str">
        <f>TW[[#This Row],[Autoclave]]&amp;"-"&amp;TW[[#This Row],[Washer Material]]</f>
        <v>-</v>
      </c>
      <c r="M29" s="11"/>
      <c r="CD29" s="1" t="s">
        <v>71</v>
      </c>
      <c r="CE29" s="1" t="s">
        <v>18</v>
      </c>
      <c r="CF29" s="1" t="s">
        <v>308</v>
      </c>
      <c r="CH29" s="29">
        <f>TW[[#This Row],[Part Type]]</f>
        <v>0</v>
      </c>
      <c r="CI29" s="29" t="e">
        <f>#REF!</f>
        <v>#REF!</v>
      </c>
      <c r="CJ29" s="29">
        <f>TW[[#This Row],[UID]]</f>
        <v>0</v>
      </c>
      <c r="CN29" t="str">
        <f>IF(TW[[#This Row],[Status]]=0,"",TW[[#This Row],[Status]])</f>
        <v/>
      </c>
    </row>
    <row r="30" spans="6:92">
      <c r="F30" s="11" t="str">
        <f>TW[[#This Row],[Autoclave]]&amp;"-"&amp;TW[[#This Row],[Washer Material]]</f>
        <v>-</v>
      </c>
      <c r="M30" s="11"/>
      <c r="CD30" s="1" t="s">
        <v>71</v>
      </c>
      <c r="CE30" s="1" t="s">
        <v>18</v>
      </c>
      <c r="CF30" s="1" t="s">
        <v>308</v>
      </c>
      <c r="CH30" s="29">
        <f>TW[[#This Row],[Part Type]]</f>
        <v>0</v>
      </c>
      <c r="CI30" s="29" t="e">
        <f>#REF!</f>
        <v>#REF!</v>
      </c>
      <c r="CJ30" s="29">
        <f>TW[[#This Row],[UID]]</f>
        <v>0</v>
      </c>
      <c r="CN30" t="str">
        <f>IF(TW[[#This Row],[Status]]=0,"",TW[[#This Row],[Status]])</f>
        <v/>
      </c>
    </row>
    <row r="31" spans="6:92">
      <c r="F31" s="11" t="str">
        <f>TW[[#This Row],[Autoclave]]&amp;"-"&amp;TW[[#This Row],[Washer Material]]</f>
        <v>-</v>
      </c>
      <c r="M31" s="11"/>
      <c r="CD31" s="1" t="s">
        <v>71</v>
      </c>
      <c r="CE31" s="1" t="s">
        <v>18</v>
      </c>
      <c r="CF31" s="1" t="s">
        <v>308</v>
      </c>
      <c r="CH31" s="29">
        <f>TW[[#This Row],[Part Type]]</f>
        <v>0</v>
      </c>
      <c r="CI31" s="29" t="e">
        <f>#REF!</f>
        <v>#REF!</v>
      </c>
      <c r="CJ31" s="29">
        <f>TW[[#This Row],[UID]]</f>
        <v>0</v>
      </c>
      <c r="CN31" t="str">
        <f>IF(TW[[#This Row],[Status]]=0,"",TW[[#This Row],[Status]])</f>
        <v/>
      </c>
    </row>
    <row r="32" spans="6:92">
      <c r="F32" s="11" t="str">
        <f>TW[[#This Row],[Autoclave]]&amp;"-"&amp;TW[[#This Row],[Washer Material]]</f>
        <v>-</v>
      </c>
      <c r="M32" s="11"/>
      <c r="CD32" s="1" t="s">
        <v>71</v>
      </c>
      <c r="CE32" s="1" t="s">
        <v>18</v>
      </c>
      <c r="CF32" s="1" t="s">
        <v>308</v>
      </c>
      <c r="CH32" s="29">
        <f>TW[[#This Row],[Part Type]]</f>
        <v>0</v>
      </c>
      <c r="CI32" s="29" t="e">
        <f>#REF!</f>
        <v>#REF!</v>
      </c>
      <c r="CJ32" s="29">
        <f>TW[[#This Row],[UID]]</f>
        <v>0</v>
      </c>
      <c r="CN32" t="str">
        <f>IF(TW[[#This Row],[Status]]=0,"",TW[[#This Row],[Status]])</f>
        <v/>
      </c>
    </row>
    <row r="33" spans="6:92">
      <c r="F33" s="11" t="str">
        <f>TW[[#This Row],[Autoclave]]&amp;"-"&amp;TW[[#This Row],[Washer Material]]</f>
        <v>-</v>
      </c>
      <c r="M33" s="11"/>
      <c r="CD33" s="1" t="s">
        <v>71</v>
      </c>
      <c r="CE33" s="1" t="s">
        <v>18</v>
      </c>
      <c r="CF33" s="1" t="s">
        <v>308</v>
      </c>
      <c r="CH33" s="29">
        <f>TW[[#This Row],[Part Type]]</f>
        <v>0</v>
      </c>
      <c r="CI33" s="29" t="e">
        <f>#REF!</f>
        <v>#REF!</v>
      </c>
      <c r="CJ33" s="29">
        <f>TW[[#This Row],[UID]]</f>
        <v>0</v>
      </c>
      <c r="CN33" t="str">
        <f>IF(TW[[#This Row],[Status]]=0,"",TW[[#This Row],[Status]])</f>
        <v/>
      </c>
    </row>
    <row r="34" spans="6:92">
      <c r="F34" s="11" t="str">
        <f>TW[[#This Row],[Autoclave]]&amp;"-"&amp;TW[[#This Row],[Washer Material]]</f>
        <v>-</v>
      </c>
      <c r="M34" s="11"/>
      <c r="CD34" s="1" t="s">
        <v>71</v>
      </c>
      <c r="CE34" s="1" t="s">
        <v>18</v>
      </c>
      <c r="CF34" s="1" t="s">
        <v>308</v>
      </c>
      <c r="CH34" s="29">
        <f>TW[[#This Row],[Part Type]]</f>
        <v>0</v>
      </c>
      <c r="CI34" s="29" t="e">
        <f>#REF!</f>
        <v>#REF!</v>
      </c>
      <c r="CJ34" s="29">
        <f>TW[[#This Row],[UID]]</f>
        <v>0</v>
      </c>
      <c r="CN34" t="str">
        <f>IF(TW[[#This Row],[Status]]=0,"",TW[[#This Row],[Status]])</f>
        <v/>
      </c>
    </row>
    <row r="35" spans="6:92">
      <c r="F35" s="11" t="str">
        <f>TW[[#This Row],[Autoclave]]&amp;"-"&amp;TW[[#This Row],[Washer Material]]</f>
        <v>-</v>
      </c>
      <c r="M35" s="11"/>
      <c r="CD35" s="1" t="s">
        <v>71</v>
      </c>
      <c r="CE35" s="1" t="s">
        <v>18</v>
      </c>
      <c r="CF35" s="1" t="s">
        <v>308</v>
      </c>
      <c r="CH35" s="29">
        <f>TW[[#This Row],[Part Type]]</f>
        <v>0</v>
      </c>
      <c r="CI35" s="29" t="e">
        <f>#REF!</f>
        <v>#REF!</v>
      </c>
      <c r="CJ35" s="29">
        <f>TW[[#This Row],[UID]]</f>
        <v>0</v>
      </c>
      <c r="CN35" t="str">
        <f>IF(TW[[#This Row],[Status]]=0,"",TW[[#This Row],[Status]])</f>
        <v/>
      </c>
    </row>
    <row r="36" spans="6:92">
      <c r="F36" s="11" t="str">
        <f>TW[[#This Row],[Autoclave]]&amp;"-"&amp;TW[[#This Row],[Washer Material]]</f>
        <v>-</v>
      </c>
      <c r="M36" s="11"/>
      <c r="CD36" s="1" t="s">
        <v>71</v>
      </c>
      <c r="CE36" s="1" t="s">
        <v>18</v>
      </c>
      <c r="CF36" s="1" t="s">
        <v>308</v>
      </c>
      <c r="CH36" s="29">
        <f>TW[[#This Row],[Part Type]]</f>
        <v>0</v>
      </c>
      <c r="CI36" s="29" t="e">
        <f>#REF!</f>
        <v>#REF!</v>
      </c>
      <c r="CJ36" s="29">
        <f>TW[[#This Row],[UID]]</f>
        <v>0</v>
      </c>
      <c r="CN36" t="str">
        <f>IF(TW[[#This Row],[Status]]=0,"",TW[[#This Row],[Status]])</f>
        <v/>
      </c>
    </row>
    <row r="37" spans="6:92">
      <c r="F37" s="11" t="str">
        <f>TW[[#This Row],[Autoclave]]&amp;"-"&amp;TW[[#This Row],[Washer Material]]</f>
        <v>-</v>
      </c>
      <c r="M37" s="11"/>
      <c r="CD37" s="1" t="s">
        <v>71</v>
      </c>
      <c r="CE37" s="1" t="s">
        <v>18</v>
      </c>
      <c r="CF37" s="1" t="s">
        <v>308</v>
      </c>
      <c r="CH37" s="29">
        <f>TW[[#This Row],[Part Type]]</f>
        <v>0</v>
      </c>
      <c r="CI37" s="29" t="e">
        <f>#REF!</f>
        <v>#REF!</v>
      </c>
      <c r="CJ37" s="29">
        <f>TW[[#This Row],[UID]]</f>
        <v>0</v>
      </c>
      <c r="CN37" t="str">
        <f>IF(TW[[#This Row],[Status]]=0,"",TW[[#This Row],[Status]])</f>
        <v/>
      </c>
    </row>
    <row r="38" spans="6:92">
      <c r="F38" s="11" t="str">
        <f>TW[[#This Row],[Autoclave]]&amp;"-"&amp;TW[[#This Row],[Washer Material]]</f>
        <v>-</v>
      </c>
      <c r="M38" s="11"/>
      <c r="CD38" s="1" t="s">
        <v>71</v>
      </c>
      <c r="CE38" s="1" t="s">
        <v>18</v>
      </c>
      <c r="CF38" s="1" t="s">
        <v>308</v>
      </c>
      <c r="CH38" s="29">
        <f>TW[[#This Row],[Part Type]]</f>
        <v>0</v>
      </c>
      <c r="CI38" s="29" t="e">
        <f>#REF!</f>
        <v>#REF!</v>
      </c>
      <c r="CJ38" s="29">
        <f>TW[[#This Row],[UID]]</f>
        <v>0</v>
      </c>
      <c r="CN38" t="str">
        <f>IF(TW[[#This Row],[Status]]=0,"",TW[[#This Row],[Status]])</f>
        <v/>
      </c>
    </row>
    <row r="39" spans="6:92">
      <c r="F39" s="11" t="str">
        <f>TW[[#This Row],[Autoclave]]&amp;"-"&amp;TW[[#This Row],[Washer Material]]</f>
        <v>-</v>
      </c>
      <c r="M39" s="11"/>
      <c r="CD39" s="1" t="s">
        <v>71</v>
      </c>
      <c r="CE39" s="1" t="s">
        <v>18</v>
      </c>
      <c r="CF39" s="1" t="s">
        <v>308</v>
      </c>
      <c r="CH39" s="29">
        <f>TW[[#This Row],[Part Type]]</f>
        <v>0</v>
      </c>
      <c r="CI39" s="29" t="e">
        <f>#REF!</f>
        <v>#REF!</v>
      </c>
      <c r="CJ39" s="29">
        <f>TW[[#This Row],[UID]]</f>
        <v>0</v>
      </c>
      <c r="CN39" t="str">
        <f>IF(TW[[#This Row],[Status]]=0,"",TW[[#This Row],[Status]])</f>
        <v/>
      </c>
    </row>
    <row r="40" spans="6:92">
      <c r="F40" s="11" t="str">
        <f>TW[[#This Row],[Autoclave]]&amp;"-"&amp;TW[[#This Row],[Washer Material]]</f>
        <v>-</v>
      </c>
      <c r="M40" s="11"/>
      <c r="CD40" s="1" t="s">
        <v>71</v>
      </c>
      <c r="CE40" s="1" t="s">
        <v>18</v>
      </c>
      <c r="CF40" s="1" t="s">
        <v>308</v>
      </c>
      <c r="CH40" s="29">
        <f>TW[[#This Row],[Part Type]]</f>
        <v>0</v>
      </c>
      <c r="CI40" s="29" t="e">
        <f>#REF!</f>
        <v>#REF!</v>
      </c>
      <c r="CJ40" s="29">
        <f>TW[[#This Row],[UID]]</f>
        <v>0</v>
      </c>
      <c r="CN40" t="str">
        <f>IF(TW[[#This Row],[Status]]=0,"",TW[[#This Row],[Status]])</f>
        <v/>
      </c>
    </row>
    <row r="41" spans="6:92">
      <c r="F41" s="11" t="str">
        <f>TW[[#This Row],[Autoclave]]&amp;"-"&amp;TW[[#This Row],[Washer Material]]</f>
        <v>-</v>
      </c>
      <c r="M41" s="11"/>
      <c r="CD41" s="1" t="s">
        <v>71</v>
      </c>
      <c r="CE41" s="1" t="s">
        <v>18</v>
      </c>
      <c r="CF41" s="1" t="s">
        <v>308</v>
      </c>
      <c r="CH41" s="29">
        <f>TW[[#This Row],[Part Type]]</f>
        <v>0</v>
      </c>
      <c r="CI41" s="29" t="e">
        <f>#REF!</f>
        <v>#REF!</v>
      </c>
      <c r="CJ41" s="29">
        <f>TW[[#This Row],[UID]]</f>
        <v>0</v>
      </c>
      <c r="CN41" t="str">
        <f>IF(TW[[#This Row],[Status]]=0,"",TW[[#This Row],[Status]])</f>
        <v/>
      </c>
    </row>
    <row r="42" spans="6:92">
      <c r="F42" s="11" t="str">
        <f>TW[[#This Row],[Autoclave]]&amp;"-"&amp;TW[[#This Row],[Washer Material]]</f>
        <v>-</v>
      </c>
      <c r="M42" s="11"/>
      <c r="CD42" s="1" t="s">
        <v>71</v>
      </c>
      <c r="CE42" s="1" t="s">
        <v>18</v>
      </c>
      <c r="CF42" s="1" t="s">
        <v>308</v>
      </c>
      <c r="CH42" s="29">
        <f>TW[[#This Row],[Part Type]]</f>
        <v>0</v>
      </c>
      <c r="CI42" s="29" t="e">
        <f>#REF!</f>
        <v>#REF!</v>
      </c>
      <c r="CJ42" s="29">
        <f>TW[[#This Row],[UID]]</f>
        <v>0</v>
      </c>
      <c r="CN42" t="str">
        <f>IF(TW[[#This Row],[Status]]=0,"",TW[[#This Row],[Status]])</f>
        <v/>
      </c>
    </row>
    <row r="43" spans="6:92">
      <c r="F43" s="11" t="str">
        <f>TW[[#This Row],[Autoclave]]&amp;"-"&amp;TW[[#This Row],[Washer Material]]</f>
        <v>-</v>
      </c>
      <c r="M43" s="11"/>
      <c r="CD43" s="1" t="s">
        <v>71</v>
      </c>
      <c r="CE43" s="1" t="s">
        <v>18</v>
      </c>
      <c r="CF43" s="1" t="s">
        <v>308</v>
      </c>
      <c r="CH43" s="29">
        <f>TW[[#This Row],[Part Type]]</f>
        <v>0</v>
      </c>
      <c r="CI43" s="29" t="e">
        <f>#REF!</f>
        <v>#REF!</v>
      </c>
      <c r="CJ43" s="29">
        <f>TW[[#This Row],[UID]]</f>
        <v>0</v>
      </c>
      <c r="CN43" t="str">
        <f>IF(TW[[#This Row],[Status]]=0,"",TW[[#This Row],[Status]])</f>
        <v/>
      </c>
    </row>
    <row r="44" spans="6:92">
      <c r="F44" s="11" t="str">
        <f>TW[[#This Row],[Autoclave]]&amp;"-"&amp;TW[[#This Row],[Washer Material]]</f>
        <v>-</v>
      </c>
      <c r="M44" s="11"/>
      <c r="CD44" s="1" t="s">
        <v>71</v>
      </c>
      <c r="CE44" s="1" t="s">
        <v>18</v>
      </c>
      <c r="CF44" s="1" t="s">
        <v>308</v>
      </c>
      <c r="CH44" s="29">
        <f>TW[[#This Row],[Part Type]]</f>
        <v>0</v>
      </c>
      <c r="CI44" s="29" t="e">
        <f>#REF!</f>
        <v>#REF!</v>
      </c>
      <c r="CJ44" s="29">
        <f>TW[[#This Row],[UID]]</f>
        <v>0</v>
      </c>
      <c r="CN44" t="str">
        <f>IF(TW[[#This Row],[Status]]=0,"",TW[[#This Row],[Status]])</f>
        <v/>
      </c>
    </row>
    <row r="45" spans="6:92">
      <c r="F45" s="11" t="str">
        <f>TW[[#This Row],[Autoclave]]&amp;"-"&amp;TW[[#This Row],[Washer Material]]</f>
        <v>-</v>
      </c>
      <c r="M45" s="11"/>
      <c r="CD45" s="1" t="s">
        <v>71</v>
      </c>
      <c r="CE45" s="1" t="s">
        <v>18</v>
      </c>
      <c r="CF45" s="1" t="s">
        <v>308</v>
      </c>
      <c r="CH45" s="29">
        <f>TW[[#This Row],[Part Type]]</f>
        <v>0</v>
      </c>
      <c r="CI45" s="29" t="e">
        <f>#REF!</f>
        <v>#REF!</v>
      </c>
      <c r="CJ45" s="29">
        <f>TW[[#This Row],[UID]]</f>
        <v>0</v>
      </c>
      <c r="CN45" t="str">
        <f>IF(TW[[#This Row],[Status]]=0,"",TW[[#This Row],[Status]])</f>
        <v/>
      </c>
    </row>
    <row r="46" spans="6:92">
      <c r="F46" s="11" t="str">
        <f>TW[[#This Row],[Autoclave]]&amp;"-"&amp;TW[[#This Row],[Washer Material]]</f>
        <v>-</v>
      </c>
      <c r="M46" s="11"/>
      <c r="CD46" s="1" t="s">
        <v>71</v>
      </c>
      <c r="CE46" s="1" t="s">
        <v>18</v>
      </c>
      <c r="CF46" s="1" t="s">
        <v>308</v>
      </c>
      <c r="CH46" s="29">
        <f>TW[[#This Row],[Part Type]]</f>
        <v>0</v>
      </c>
      <c r="CI46" s="29" t="e">
        <f>#REF!</f>
        <v>#REF!</v>
      </c>
      <c r="CJ46" s="29">
        <f>TW[[#This Row],[UID]]</f>
        <v>0</v>
      </c>
      <c r="CN46" t="str">
        <f>IF(TW[[#This Row],[Status]]=0,"",TW[[#This Row],[Status]])</f>
        <v/>
      </c>
    </row>
    <row r="47" spans="6:92">
      <c r="F47" s="11" t="str">
        <f>TW[[#This Row],[Autoclave]]&amp;"-"&amp;TW[[#This Row],[Washer Material]]</f>
        <v>-</v>
      </c>
      <c r="M47" s="11"/>
      <c r="CD47" s="1" t="s">
        <v>71</v>
      </c>
      <c r="CE47" s="1" t="s">
        <v>18</v>
      </c>
      <c r="CF47" s="1" t="s">
        <v>308</v>
      </c>
      <c r="CH47" s="29">
        <f>TW[[#This Row],[Part Type]]</f>
        <v>0</v>
      </c>
      <c r="CI47" s="29" t="e">
        <f>#REF!</f>
        <v>#REF!</v>
      </c>
      <c r="CJ47" s="29">
        <f>TW[[#This Row],[UID]]</f>
        <v>0</v>
      </c>
      <c r="CN47" t="str">
        <f>IF(TW[[#This Row],[Status]]=0,"",TW[[#This Row],[Status]])</f>
        <v/>
      </c>
    </row>
    <row r="48" spans="6:92">
      <c r="F48" s="11" t="str">
        <f>TW[[#This Row],[Autoclave]]&amp;"-"&amp;TW[[#This Row],[Washer Material]]</f>
        <v>-</v>
      </c>
      <c r="M48" s="11"/>
      <c r="CD48" s="1" t="s">
        <v>71</v>
      </c>
      <c r="CE48" s="1" t="s">
        <v>18</v>
      </c>
      <c r="CF48" s="1" t="s">
        <v>308</v>
      </c>
      <c r="CH48" s="29">
        <f>TW[[#This Row],[Part Type]]</f>
        <v>0</v>
      </c>
      <c r="CI48" s="29" t="e">
        <f>#REF!</f>
        <v>#REF!</v>
      </c>
      <c r="CJ48" s="29">
        <f>TW[[#This Row],[UID]]</f>
        <v>0</v>
      </c>
      <c r="CN48" t="str">
        <f>IF(TW[[#This Row],[Status]]=0,"",TW[[#This Row],[Status]])</f>
        <v/>
      </c>
    </row>
    <row r="49" spans="5:92">
      <c r="F49" s="11" t="str">
        <f>TW[[#This Row],[Autoclave]]&amp;"-"&amp;TW[[#This Row],[Washer Material]]</f>
        <v>-</v>
      </c>
      <c r="M49" s="11"/>
      <c r="CD49" s="1" t="s">
        <v>71</v>
      </c>
      <c r="CE49" s="1" t="s">
        <v>18</v>
      </c>
      <c r="CF49" s="1" t="s">
        <v>308</v>
      </c>
      <c r="CH49" s="29">
        <f>TW[[#This Row],[Part Type]]</f>
        <v>0</v>
      </c>
      <c r="CI49" s="29" t="e">
        <f>#REF!</f>
        <v>#REF!</v>
      </c>
      <c r="CJ49" s="29">
        <f>TW[[#This Row],[UID]]</f>
        <v>0</v>
      </c>
      <c r="CN49" t="str">
        <f>IF(TW[[#This Row],[Status]]=0,"",TW[[#This Row],[Status]])</f>
        <v/>
      </c>
    </row>
    <row r="50" spans="5:92">
      <c r="F50" s="11" t="str">
        <f>TW[[#This Row],[Autoclave]]&amp;"-"&amp;TW[[#This Row],[Washer Material]]</f>
        <v>-</v>
      </c>
      <c r="M50" s="11"/>
      <c r="CD50" s="1" t="s">
        <v>71</v>
      </c>
      <c r="CE50" s="1" t="s">
        <v>18</v>
      </c>
      <c r="CF50" s="1" t="s">
        <v>308</v>
      </c>
      <c r="CH50" s="29">
        <f>TW[[#This Row],[Part Type]]</f>
        <v>0</v>
      </c>
      <c r="CI50" s="29" t="e">
        <f>#REF!</f>
        <v>#REF!</v>
      </c>
      <c r="CJ50" s="29">
        <f>TW[[#This Row],[UID]]</f>
        <v>0</v>
      </c>
      <c r="CN50" t="str">
        <f>IF(TW[[#This Row],[Status]]=0,"",TW[[#This Row],[Status]])</f>
        <v/>
      </c>
    </row>
    <row r="51" spans="5:92">
      <c r="E51" s="150"/>
      <c r="F51" s="150" t="str">
        <f>TW[[#This Row],[Autoclave]]&amp;"-"&amp;TW[[#This Row],[Washer Material]]</f>
        <v>-</v>
      </c>
      <c r="G51" s="150"/>
      <c r="H51" s="150"/>
      <c r="I51" s="150"/>
      <c r="M51" s="11"/>
      <c r="CD51" s="1" t="s">
        <v>71</v>
      </c>
      <c r="CE51" s="1" t="s">
        <v>18</v>
      </c>
      <c r="CF51" s="1" t="s">
        <v>308</v>
      </c>
      <c r="CH51" s="29">
        <f>TW[[#This Row],[Part Type]]</f>
        <v>0</v>
      </c>
      <c r="CI51" s="29" t="e">
        <f>#REF!</f>
        <v>#REF!</v>
      </c>
      <c r="CJ51" s="29">
        <f>TW[[#This Row],[UID]]</f>
        <v>0</v>
      </c>
      <c r="CN51" t="str">
        <f>IF(TW[[#This Row],[Status]]=0,"",TW[[#This Row],[Status]])</f>
        <v/>
      </c>
    </row>
  </sheetData>
  <phoneticPr fontId="5" type="noConversion"/>
  <hyperlinks>
    <hyperlink ref="M4" r:id="rId1" xr:uid="{9E75AED2-D811-A645-8C89-AA37D62781BF}"/>
    <hyperlink ref="M2" r:id="rId2" xr:uid="{D2AD5689-6F25-F743-B55A-D37CF191A455}"/>
    <hyperlink ref="M3" r:id="rId3" xr:uid="{C9FE8E82-1214-754E-9512-873901AEFEF4}"/>
  </hyperlinks>
  <pageMargins left="0.7" right="0.7" top="0.75" bottom="0.75" header="0.3" footer="0.3"/>
  <tableParts count="2">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Itzel Esparza</cp:lastModifiedBy>
  <cp:revision/>
  <dcterms:created xsi:type="dcterms:W3CDTF">2021-01-30T18:43:55Z</dcterms:created>
  <dcterms:modified xsi:type="dcterms:W3CDTF">2025-10-17T14:23:23Z</dcterms:modified>
  <cp:category/>
  <cp:contentStatus/>
</cp:coreProperties>
</file>